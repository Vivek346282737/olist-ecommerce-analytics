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1itdv\Desktop\olist-ecommerce-analytics\excel\"/>
    </mc:Choice>
  </mc:AlternateContent>
  <xr:revisionPtr revIDLastSave="0" documentId="13_ncr:1_{0573C85F-B984-43E2-A1BD-D715C7BB3110}" xr6:coauthVersionLast="47" xr6:coauthVersionMax="47" xr10:uidLastSave="{00000000-0000-0000-0000-000000000000}"/>
  <bookViews>
    <workbookView xWindow="-98" yWindow="-98" windowWidth="21795" windowHeight="12975" activeTab="3" xr2:uid="{00000000-000D-0000-FFFF-FFFF00000000}"/>
  </bookViews>
  <sheets>
    <sheet name="Pivot_Delivery" sheetId="6" r:id="rId1"/>
    <sheet name="Pivot_Category" sheetId="5" r:id="rId2"/>
    <sheet name="Pivot_Monthly" sheetId="4" r:id="rId3"/>
    <sheet name="KPI_Summary" sheetId="1" r:id="rId4"/>
    <sheet name="Orders" sheetId="2" r:id="rId5"/>
    <sheet name="State_Lookup" sheetId="3" r:id="rId6"/>
  </sheets>
  <definedNames>
    <definedName name="_xlnm._FilterDatabase" localSheetId="4" hidden="1">Orders!$A$1:$L$5001</definedName>
    <definedName name="Slicer_customer_state">#N/A</definedName>
  </definedNames>
  <calcPr calcId="191029"/>
  <pivotCaches>
    <pivotCache cacheId="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001" i="2" l="1"/>
  <c r="M5000" i="2"/>
  <c r="M4999" i="2"/>
  <c r="M4998" i="2"/>
  <c r="M4997" i="2"/>
  <c r="M4996" i="2"/>
  <c r="M4995" i="2"/>
  <c r="M4994" i="2"/>
  <c r="M4993" i="2"/>
  <c r="M4992" i="2"/>
  <c r="M4991" i="2"/>
  <c r="M4990" i="2"/>
  <c r="M4989" i="2"/>
  <c r="M4988" i="2"/>
  <c r="M4987" i="2"/>
  <c r="M4986" i="2"/>
  <c r="M4985" i="2"/>
  <c r="M4984" i="2"/>
  <c r="M4983" i="2"/>
  <c r="M4982" i="2"/>
  <c r="M4981" i="2"/>
  <c r="M4980" i="2"/>
  <c r="M4979" i="2"/>
  <c r="M4978" i="2"/>
  <c r="M4977" i="2"/>
  <c r="M4976" i="2"/>
  <c r="M4975" i="2"/>
  <c r="M4974" i="2"/>
  <c r="M4973" i="2"/>
  <c r="M4972" i="2"/>
  <c r="M4971" i="2"/>
  <c r="M4970" i="2"/>
  <c r="M4969" i="2"/>
  <c r="M4968" i="2"/>
  <c r="M4967" i="2"/>
  <c r="M4966" i="2"/>
  <c r="M4965" i="2"/>
  <c r="M4964" i="2"/>
  <c r="M4963" i="2"/>
  <c r="M4962" i="2"/>
  <c r="M4961" i="2"/>
  <c r="M4960" i="2"/>
  <c r="M4959" i="2"/>
  <c r="M4958" i="2"/>
  <c r="M4957" i="2"/>
  <c r="M4956" i="2"/>
  <c r="M4955" i="2"/>
  <c r="M4954" i="2"/>
  <c r="M4953" i="2"/>
  <c r="M4952" i="2"/>
  <c r="M4951" i="2"/>
  <c r="M4950" i="2"/>
  <c r="M4949" i="2"/>
  <c r="M4948" i="2"/>
  <c r="M4947" i="2"/>
  <c r="M4946" i="2"/>
  <c r="M4945" i="2"/>
  <c r="M4944" i="2"/>
  <c r="M4943" i="2"/>
  <c r="M4942" i="2"/>
  <c r="M4941" i="2"/>
  <c r="M4940" i="2"/>
  <c r="M4939" i="2"/>
  <c r="M4938" i="2"/>
  <c r="M4937" i="2"/>
  <c r="M4936" i="2"/>
  <c r="M4935" i="2"/>
  <c r="M4934" i="2"/>
  <c r="M4933" i="2"/>
  <c r="M4932" i="2"/>
  <c r="M4931" i="2"/>
  <c r="M4930" i="2"/>
  <c r="M4929" i="2"/>
  <c r="M4928" i="2"/>
  <c r="M4927" i="2"/>
  <c r="M4926" i="2"/>
  <c r="M4925" i="2"/>
  <c r="M4924" i="2"/>
  <c r="M4923" i="2"/>
  <c r="M4922" i="2"/>
  <c r="M4921" i="2"/>
  <c r="M4920" i="2"/>
  <c r="M4919" i="2"/>
  <c r="M4918" i="2"/>
  <c r="M4917" i="2"/>
  <c r="M4916" i="2"/>
  <c r="M4915" i="2"/>
  <c r="M4914" i="2"/>
  <c r="M4913" i="2"/>
  <c r="M4912" i="2"/>
  <c r="M4911" i="2"/>
  <c r="M4910" i="2"/>
  <c r="M4909" i="2"/>
  <c r="M4908" i="2"/>
  <c r="M4907" i="2"/>
  <c r="M4906" i="2"/>
  <c r="M4905" i="2"/>
  <c r="M4904" i="2"/>
  <c r="M4903" i="2"/>
  <c r="M4902" i="2"/>
  <c r="M4901" i="2"/>
  <c r="M4900" i="2"/>
  <c r="M4899" i="2"/>
  <c r="M4898" i="2"/>
  <c r="M4897" i="2"/>
  <c r="M4896" i="2"/>
  <c r="M4895" i="2"/>
  <c r="M4894" i="2"/>
  <c r="M4893" i="2"/>
  <c r="M4892" i="2"/>
  <c r="M4891" i="2"/>
  <c r="M4890" i="2"/>
  <c r="M4889" i="2"/>
  <c r="M4888" i="2"/>
  <c r="M4887" i="2"/>
  <c r="M4886" i="2"/>
  <c r="M4885" i="2"/>
  <c r="M4884" i="2"/>
  <c r="M4883" i="2"/>
  <c r="M4882" i="2"/>
  <c r="M4881" i="2"/>
  <c r="M4880" i="2"/>
  <c r="M4879" i="2"/>
  <c r="M4878" i="2"/>
  <c r="M4877" i="2"/>
  <c r="M4876" i="2"/>
  <c r="M4875" i="2"/>
  <c r="M4874" i="2"/>
  <c r="M4873" i="2"/>
  <c r="M4872" i="2"/>
  <c r="M4871" i="2"/>
  <c r="M4870" i="2"/>
  <c r="M4869" i="2"/>
  <c r="M4868" i="2"/>
  <c r="M4867" i="2"/>
  <c r="M4866" i="2"/>
  <c r="M4865" i="2"/>
  <c r="M4864" i="2"/>
  <c r="M4863" i="2"/>
  <c r="M4862" i="2"/>
  <c r="M4861" i="2"/>
  <c r="M4860" i="2"/>
  <c r="M4859" i="2"/>
  <c r="M4858" i="2"/>
  <c r="M4857" i="2"/>
  <c r="M4856" i="2"/>
  <c r="M4855" i="2"/>
  <c r="M4854" i="2"/>
  <c r="M4853" i="2"/>
  <c r="M4852" i="2"/>
  <c r="M4851" i="2"/>
  <c r="M4850" i="2"/>
  <c r="M4849" i="2"/>
  <c r="M4848" i="2"/>
  <c r="M4847" i="2"/>
  <c r="M4846" i="2"/>
  <c r="M4845" i="2"/>
  <c r="M4844" i="2"/>
  <c r="M4843" i="2"/>
  <c r="M4842" i="2"/>
  <c r="M4841" i="2"/>
  <c r="M4840" i="2"/>
  <c r="M4839" i="2"/>
  <c r="M4838" i="2"/>
  <c r="M4837" i="2"/>
  <c r="M4836" i="2"/>
  <c r="M4835" i="2"/>
  <c r="M4834" i="2"/>
  <c r="M4833" i="2"/>
  <c r="M4832" i="2"/>
  <c r="M4831" i="2"/>
  <c r="M4830" i="2"/>
  <c r="M4829" i="2"/>
  <c r="M4828" i="2"/>
  <c r="M4827" i="2"/>
  <c r="M4826" i="2"/>
  <c r="M4825" i="2"/>
  <c r="M4824" i="2"/>
  <c r="M4823" i="2"/>
  <c r="M4822" i="2"/>
  <c r="M4821" i="2"/>
  <c r="M4820" i="2"/>
  <c r="M4819" i="2"/>
  <c r="M4818" i="2"/>
  <c r="M4817" i="2"/>
  <c r="M4816" i="2"/>
  <c r="M4815" i="2"/>
  <c r="M4814" i="2"/>
  <c r="M4813" i="2"/>
  <c r="M4812" i="2"/>
  <c r="M4811" i="2"/>
  <c r="M4810" i="2"/>
  <c r="M4809" i="2"/>
  <c r="M4808" i="2"/>
  <c r="M4807" i="2"/>
  <c r="M4806" i="2"/>
  <c r="M4805" i="2"/>
  <c r="M4804" i="2"/>
  <c r="M4803" i="2"/>
  <c r="M4802" i="2"/>
  <c r="M4801" i="2"/>
  <c r="M4800" i="2"/>
  <c r="M4799" i="2"/>
  <c r="M4798" i="2"/>
  <c r="M4797" i="2"/>
  <c r="M4796" i="2"/>
  <c r="M4795" i="2"/>
  <c r="M4794" i="2"/>
  <c r="M4793" i="2"/>
  <c r="M4792" i="2"/>
  <c r="M4791" i="2"/>
  <c r="M4790" i="2"/>
  <c r="M4789" i="2"/>
  <c r="M4788" i="2"/>
  <c r="M4787" i="2"/>
  <c r="M4786" i="2"/>
  <c r="M4785" i="2"/>
  <c r="M4784" i="2"/>
  <c r="M4783" i="2"/>
  <c r="M4782" i="2"/>
  <c r="M4781" i="2"/>
  <c r="M4780" i="2"/>
  <c r="M4779" i="2"/>
  <c r="M4778" i="2"/>
  <c r="M4777" i="2"/>
  <c r="M4776" i="2"/>
  <c r="M4775" i="2"/>
  <c r="M4774" i="2"/>
  <c r="M4773" i="2"/>
  <c r="M4772" i="2"/>
  <c r="M4771" i="2"/>
  <c r="M4770" i="2"/>
  <c r="M4769" i="2"/>
  <c r="M4768" i="2"/>
  <c r="M4767" i="2"/>
  <c r="M4766" i="2"/>
  <c r="M4765" i="2"/>
  <c r="M4764" i="2"/>
  <c r="M4763" i="2"/>
  <c r="M4762" i="2"/>
  <c r="M4761" i="2"/>
  <c r="M4760" i="2"/>
  <c r="M4759" i="2"/>
  <c r="M4758" i="2"/>
  <c r="M4757" i="2"/>
  <c r="M4756" i="2"/>
  <c r="M4755" i="2"/>
  <c r="M4754" i="2"/>
  <c r="M4753" i="2"/>
  <c r="M4752" i="2"/>
  <c r="M4751" i="2"/>
  <c r="M4750" i="2"/>
  <c r="M4749" i="2"/>
  <c r="M4748" i="2"/>
  <c r="M4747" i="2"/>
  <c r="M4746" i="2"/>
  <c r="M4745" i="2"/>
  <c r="M4744" i="2"/>
  <c r="M4743" i="2"/>
  <c r="M4742" i="2"/>
  <c r="M4741" i="2"/>
  <c r="M4740" i="2"/>
  <c r="M4739" i="2"/>
  <c r="M4738" i="2"/>
  <c r="M4737" i="2"/>
  <c r="M4736" i="2"/>
  <c r="M4735" i="2"/>
  <c r="M4734" i="2"/>
  <c r="M4733" i="2"/>
  <c r="M4732" i="2"/>
  <c r="M4731" i="2"/>
  <c r="M4730" i="2"/>
  <c r="M4729" i="2"/>
  <c r="M4728" i="2"/>
  <c r="M4727" i="2"/>
  <c r="M4726" i="2"/>
  <c r="M4725" i="2"/>
  <c r="M4724" i="2"/>
  <c r="M4723" i="2"/>
  <c r="M4722" i="2"/>
  <c r="M4721" i="2"/>
  <c r="M4720" i="2"/>
  <c r="M4719" i="2"/>
  <c r="M4718" i="2"/>
  <c r="M4717" i="2"/>
  <c r="M4716" i="2"/>
  <c r="M4715" i="2"/>
  <c r="M4714" i="2"/>
  <c r="M4713" i="2"/>
  <c r="M4712" i="2"/>
  <c r="M4711" i="2"/>
  <c r="M4710" i="2"/>
  <c r="M4709" i="2"/>
  <c r="M4708" i="2"/>
  <c r="M4707" i="2"/>
  <c r="M4706" i="2"/>
  <c r="M4705" i="2"/>
  <c r="M4704" i="2"/>
  <c r="M4703" i="2"/>
  <c r="M4702" i="2"/>
  <c r="M4701" i="2"/>
  <c r="M4700" i="2"/>
  <c r="M4699" i="2"/>
  <c r="M4698" i="2"/>
  <c r="M4697" i="2"/>
  <c r="M4696" i="2"/>
  <c r="M4695" i="2"/>
  <c r="M4694" i="2"/>
  <c r="M4693" i="2"/>
  <c r="M4692" i="2"/>
  <c r="M4691" i="2"/>
  <c r="M4690" i="2"/>
  <c r="M4689" i="2"/>
  <c r="M4688" i="2"/>
  <c r="M4687" i="2"/>
  <c r="M4686" i="2"/>
  <c r="M4685" i="2"/>
  <c r="M4684" i="2"/>
  <c r="M4683" i="2"/>
  <c r="M4682" i="2"/>
  <c r="M4681" i="2"/>
  <c r="M4680" i="2"/>
  <c r="M4679" i="2"/>
  <c r="M4678" i="2"/>
  <c r="M4677" i="2"/>
  <c r="M4676" i="2"/>
  <c r="M4675" i="2"/>
  <c r="M4674" i="2"/>
  <c r="M4673" i="2"/>
  <c r="M4672" i="2"/>
  <c r="M4671" i="2"/>
  <c r="M4670" i="2"/>
  <c r="M4669" i="2"/>
  <c r="M4668" i="2"/>
  <c r="M4667" i="2"/>
  <c r="M4666" i="2"/>
  <c r="M4665" i="2"/>
  <c r="M4664" i="2"/>
  <c r="M4663" i="2"/>
  <c r="M4662" i="2"/>
  <c r="M4661" i="2"/>
  <c r="M4660" i="2"/>
  <c r="M4659" i="2"/>
  <c r="M4658" i="2"/>
  <c r="M4657" i="2"/>
  <c r="M4656" i="2"/>
  <c r="M4655" i="2"/>
  <c r="M4654" i="2"/>
  <c r="M4653" i="2"/>
  <c r="M4652" i="2"/>
  <c r="M4651" i="2"/>
  <c r="M4650" i="2"/>
  <c r="M4649" i="2"/>
  <c r="M4648" i="2"/>
  <c r="M4647" i="2"/>
  <c r="M4646" i="2"/>
  <c r="M4645" i="2"/>
  <c r="M4644" i="2"/>
  <c r="M4643" i="2"/>
  <c r="M4642" i="2"/>
  <c r="M4641" i="2"/>
  <c r="M4640" i="2"/>
  <c r="M4639" i="2"/>
  <c r="M4638" i="2"/>
  <c r="M4637" i="2"/>
  <c r="M4636" i="2"/>
  <c r="M4635" i="2"/>
  <c r="M4634" i="2"/>
  <c r="M4633" i="2"/>
  <c r="M4632" i="2"/>
  <c r="M4631" i="2"/>
  <c r="M4630" i="2"/>
  <c r="M4629" i="2"/>
  <c r="M4628" i="2"/>
  <c r="M4627" i="2"/>
  <c r="M4626" i="2"/>
  <c r="M4625" i="2"/>
  <c r="M4624" i="2"/>
  <c r="M4623" i="2"/>
  <c r="M4622" i="2"/>
  <c r="M4621" i="2"/>
  <c r="M4620" i="2"/>
  <c r="M4619" i="2"/>
  <c r="M4618" i="2"/>
  <c r="M4617" i="2"/>
  <c r="M4616" i="2"/>
  <c r="M4615" i="2"/>
  <c r="M4614" i="2"/>
  <c r="M4613" i="2"/>
  <c r="M4612" i="2"/>
  <c r="M4611" i="2"/>
  <c r="M4610" i="2"/>
  <c r="M4609" i="2"/>
  <c r="M4608" i="2"/>
  <c r="M4607" i="2"/>
  <c r="M4606" i="2"/>
  <c r="M4605" i="2"/>
  <c r="M4604" i="2"/>
  <c r="M4603" i="2"/>
  <c r="M4602" i="2"/>
  <c r="M4601" i="2"/>
  <c r="M4600" i="2"/>
  <c r="M4599" i="2"/>
  <c r="M4598" i="2"/>
  <c r="M4597" i="2"/>
  <c r="M4596" i="2"/>
  <c r="M4595" i="2"/>
  <c r="M4594" i="2"/>
  <c r="M4593" i="2"/>
  <c r="M4592" i="2"/>
  <c r="M4591" i="2"/>
  <c r="M4590" i="2"/>
  <c r="M4589" i="2"/>
  <c r="M4588" i="2"/>
  <c r="M4587" i="2"/>
  <c r="M4586" i="2"/>
  <c r="M4585" i="2"/>
  <c r="M4584" i="2"/>
  <c r="M4583" i="2"/>
  <c r="M4582" i="2"/>
  <c r="M4581" i="2"/>
  <c r="M4580" i="2"/>
  <c r="M4579" i="2"/>
  <c r="M4578" i="2"/>
  <c r="M4577" i="2"/>
  <c r="M4576" i="2"/>
  <c r="M4575" i="2"/>
  <c r="M4574" i="2"/>
  <c r="M4573" i="2"/>
  <c r="M4572" i="2"/>
  <c r="M4571" i="2"/>
  <c r="M4570" i="2"/>
  <c r="M4569" i="2"/>
  <c r="M4568" i="2"/>
  <c r="M4567" i="2"/>
  <c r="M4566" i="2"/>
  <c r="M4565" i="2"/>
  <c r="M4564" i="2"/>
  <c r="M4563" i="2"/>
  <c r="M4562" i="2"/>
  <c r="M4561" i="2"/>
  <c r="M4560" i="2"/>
  <c r="M4559" i="2"/>
  <c r="M4558" i="2"/>
  <c r="M4557" i="2"/>
  <c r="M4556" i="2"/>
  <c r="M4555" i="2"/>
  <c r="M4554" i="2"/>
  <c r="M4553" i="2"/>
  <c r="M4552" i="2"/>
  <c r="M4551" i="2"/>
  <c r="M4550" i="2"/>
  <c r="M4549" i="2"/>
  <c r="M4548" i="2"/>
  <c r="M4547" i="2"/>
  <c r="M4546" i="2"/>
  <c r="M4545" i="2"/>
  <c r="M4544" i="2"/>
  <c r="M4543" i="2"/>
  <c r="M4542" i="2"/>
  <c r="M4541" i="2"/>
  <c r="M4540" i="2"/>
  <c r="M4539" i="2"/>
  <c r="M4538" i="2"/>
  <c r="M4537" i="2"/>
  <c r="M4536" i="2"/>
  <c r="M4535" i="2"/>
  <c r="M4534" i="2"/>
  <c r="M4533" i="2"/>
  <c r="M4532" i="2"/>
  <c r="M4531" i="2"/>
  <c r="M4530" i="2"/>
  <c r="M4529" i="2"/>
  <c r="M4528" i="2"/>
  <c r="M4527" i="2"/>
  <c r="M4526" i="2"/>
  <c r="M4525" i="2"/>
  <c r="M4524" i="2"/>
  <c r="M4523" i="2"/>
  <c r="M4522" i="2"/>
  <c r="M4521" i="2"/>
  <c r="M4520" i="2"/>
  <c r="M4519" i="2"/>
  <c r="M4518" i="2"/>
  <c r="M4517" i="2"/>
  <c r="M4516" i="2"/>
  <c r="M4515" i="2"/>
  <c r="M4514" i="2"/>
  <c r="M4513" i="2"/>
  <c r="M4512" i="2"/>
  <c r="M4511" i="2"/>
  <c r="M4510" i="2"/>
  <c r="M4509" i="2"/>
  <c r="M4508" i="2"/>
  <c r="M4507" i="2"/>
  <c r="M4506" i="2"/>
  <c r="M4505" i="2"/>
  <c r="M4504" i="2"/>
  <c r="M4503" i="2"/>
  <c r="M4502" i="2"/>
  <c r="M4501" i="2"/>
  <c r="M4500" i="2"/>
  <c r="M4499" i="2"/>
  <c r="M4498" i="2"/>
  <c r="M4497" i="2"/>
  <c r="M4496" i="2"/>
  <c r="M4495" i="2"/>
  <c r="M4494" i="2"/>
  <c r="M4493" i="2"/>
  <c r="M4492" i="2"/>
  <c r="M4491" i="2"/>
  <c r="M4490" i="2"/>
  <c r="M4489" i="2"/>
  <c r="M4488" i="2"/>
  <c r="M4487" i="2"/>
  <c r="M4486" i="2"/>
  <c r="M4485" i="2"/>
  <c r="M4484" i="2"/>
  <c r="M4483" i="2"/>
  <c r="M4482" i="2"/>
  <c r="M4481" i="2"/>
  <c r="M4480" i="2"/>
  <c r="M4479" i="2"/>
  <c r="M4478" i="2"/>
  <c r="M4477" i="2"/>
  <c r="M4476" i="2"/>
  <c r="M4475" i="2"/>
  <c r="M4474" i="2"/>
  <c r="M4473" i="2"/>
  <c r="M4472" i="2"/>
  <c r="M4471" i="2"/>
  <c r="M4470" i="2"/>
  <c r="M4469" i="2"/>
  <c r="M4468" i="2"/>
  <c r="M4467" i="2"/>
  <c r="M4466" i="2"/>
  <c r="M4465" i="2"/>
  <c r="M4464" i="2"/>
  <c r="M4463" i="2"/>
  <c r="M4462" i="2"/>
  <c r="M4461" i="2"/>
  <c r="M4460" i="2"/>
  <c r="M4459" i="2"/>
  <c r="M4458" i="2"/>
  <c r="M4457" i="2"/>
  <c r="M4456" i="2"/>
  <c r="M4455" i="2"/>
  <c r="M4454" i="2"/>
  <c r="M4453" i="2"/>
  <c r="M4452" i="2"/>
  <c r="M4451" i="2"/>
  <c r="M4450" i="2"/>
  <c r="M4449" i="2"/>
  <c r="M4448" i="2"/>
  <c r="M4447" i="2"/>
  <c r="M4446" i="2"/>
  <c r="M4445" i="2"/>
  <c r="M4444" i="2"/>
  <c r="M4443" i="2"/>
  <c r="M4442" i="2"/>
  <c r="M4441" i="2"/>
  <c r="M4440" i="2"/>
  <c r="M4439" i="2"/>
  <c r="M4438" i="2"/>
  <c r="M4437" i="2"/>
  <c r="M4436" i="2"/>
  <c r="M4435" i="2"/>
  <c r="M4434" i="2"/>
  <c r="M4433" i="2"/>
  <c r="M4432" i="2"/>
  <c r="M4431" i="2"/>
  <c r="M4430" i="2"/>
  <c r="M4429" i="2"/>
  <c r="M4428" i="2"/>
  <c r="M4427" i="2"/>
  <c r="M4426" i="2"/>
  <c r="M4425" i="2"/>
  <c r="M4424" i="2"/>
  <c r="M4423" i="2"/>
  <c r="M4422" i="2"/>
  <c r="M4421" i="2"/>
  <c r="M4420" i="2"/>
  <c r="M4419" i="2"/>
  <c r="M4418" i="2"/>
  <c r="M4417" i="2"/>
  <c r="M4416" i="2"/>
  <c r="M4415" i="2"/>
  <c r="M4414" i="2"/>
  <c r="M4413" i="2"/>
  <c r="M4412" i="2"/>
  <c r="M4411" i="2"/>
  <c r="M4410" i="2"/>
  <c r="M4409" i="2"/>
  <c r="M4408" i="2"/>
  <c r="M4407" i="2"/>
  <c r="M4406" i="2"/>
  <c r="M4405" i="2"/>
  <c r="M4404" i="2"/>
  <c r="M4403" i="2"/>
  <c r="M4402" i="2"/>
  <c r="M4401" i="2"/>
  <c r="M4400" i="2"/>
  <c r="M4399" i="2"/>
  <c r="M4398" i="2"/>
  <c r="M4397" i="2"/>
  <c r="M4396" i="2"/>
  <c r="M4395" i="2"/>
  <c r="M4394" i="2"/>
  <c r="M4393" i="2"/>
  <c r="M4392" i="2"/>
  <c r="M4391" i="2"/>
  <c r="M4390" i="2"/>
  <c r="M4389" i="2"/>
  <c r="M4388" i="2"/>
  <c r="M4387" i="2"/>
  <c r="M4386" i="2"/>
  <c r="M4385" i="2"/>
  <c r="M4384" i="2"/>
  <c r="M4383" i="2"/>
  <c r="M4382" i="2"/>
  <c r="M4381" i="2"/>
  <c r="M4380" i="2"/>
  <c r="M4379" i="2"/>
  <c r="M4378" i="2"/>
  <c r="M4377" i="2"/>
  <c r="M4376" i="2"/>
  <c r="M4375" i="2"/>
  <c r="M4374" i="2"/>
  <c r="M4373" i="2"/>
  <c r="M4372" i="2"/>
  <c r="M4371" i="2"/>
  <c r="M4370" i="2"/>
  <c r="M4369" i="2"/>
  <c r="M4368" i="2"/>
  <c r="M4367" i="2"/>
  <c r="M4366" i="2"/>
  <c r="M4365" i="2"/>
  <c r="M4364" i="2"/>
  <c r="M4363" i="2"/>
  <c r="M4362" i="2"/>
  <c r="M4361" i="2"/>
  <c r="M4360" i="2"/>
  <c r="M4359" i="2"/>
  <c r="M4358" i="2"/>
  <c r="M4357" i="2"/>
  <c r="M4356" i="2"/>
  <c r="M4355" i="2"/>
  <c r="M4354" i="2"/>
  <c r="M4353" i="2"/>
  <c r="M4352" i="2"/>
  <c r="M4351" i="2"/>
  <c r="M4350" i="2"/>
  <c r="M4349" i="2"/>
  <c r="M4348" i="2"/>
  <c r="M4347" i="2"/>
  <c r="M4346" i="2"/>
  <c r="M4345" i="2"/>
  <c r="M4344" i="2"/>
  <c r="M4343" i="2"/>
  <c r="M4342" i="2"/>
  <c r="M4341" i="2"/>
  <c r="M4340" i="2"/>
  <c r="M4339" i="2"/>
  <c r="M4338" i="2"/>
  <c r="M4337" i="2"/>
  <c r="M4336" i="2"/>
  <c r="M4335" i="2"/>
  <c r="M4334" i="2"/>
  <c r="M4333" i="2"/>
  <c r="M4332" i="2"/>
  <c r="M4331" i="2"/>
  <c r="M4330" i="2"/>
  <c r="M4329" i="2"/>
  <c r="M4328" i="2"/>
  <c r="M4327" i="2"/>
  <c r="M4326" i="2"/>
  <c r="M4325" i="2"/>
  <c r="M4324" i="2"/>
  <c r="M4323" i="2"/>
  <c r="M4322" i="2"/>
  <c r="M4321" i="2"/>
  <c r="M4320" i="2"/>
  <c r="M4319" i="2"/>
  <c r="M4318" i="2"/>
  <c r="M4317" i="2"/>
  <c r="M4316" i="2"/>
  <c r="M4315" i="2"/>
  <c r="M4314" i="2"/>
  <c r="M4313" i="2"/>
  <c r="M4312" i="2"/>
  <c r="M4311" i="2"/>
  <c r="M4310" i="2"/>
  <c r="M4309" i="2"/>
  <c r="M4308" i="2"/>
  <c r="M4307" i="2"/>
  <c r="M4306" i="2"/>
  <c r="M4305" i="2"/>
  <c r="M4304" i="2"/>
  <c r="M4303" i="2"/>
  <c r="M4302" i="2"/>
  <c r="M4301" i="2"/>
  <c r="M4300" i="2"/>
  <c r="M4299" i="2"/>
  <c r="M4298" i="2"/>
  <c r="M4297" i="2"/>
  <c r="M4296" i="2"/>
  <c r="M4295" i="2"/>
  <c r="M4294" i="2"/>
  <c r="M4293" i="2"/>
  <c r="M4292" i="2"/>
  <c r="M4291" i="2"/>
  <c r="M4290" i="2"/>
  <c r="M4289" i="2"/>
  <c r="M4288" i="2"/>
  <c r="M4287" i="2"/>
  <c r="M4286" i="2"/>
  <c r="M4285" i="2"/>
  <c r="M4284" i="2"/>
  <c r="M4283" i="2"/>
  <c r="M4282" i="2"/>
  <c r="M4281" i="2"/>
  <c r="M4280" i="2"/>
  <c r="M4279" i="2"/>
  <c r="M4278" i="2"/>
  <c r="M4277" i="2"/>
  <c r="M4276" i="2"/>
  <c r="M4275" i="2"/>
  <c r="M4274" i="2"/>
  <c r="M4273" i="2"/>
  <c r="M4272" i="2"/>
  <c r="M4271" i="2"/>
  <c r="M4270" i="2"/>
  <c r="M4269" i="2"/>
  <c r="M4268" i="2"/>
  <c r="M4267" i="2"/>
  <c r="M4266" i="2"/>
  <c r="M4265" i="2"/>
  <c r="M4264" i="2"/>
  <c r="M4263" i="2"/>
  <c r="M4262" i="2"/>
  <c r="M4261" i="2"/>
  <c r="M4260" i="2"/>
  <c r="M4259" i="2"/>
  <c r="M4258" i="2"/>
  <c r="M4257" i="2"/>
  <c r="M4256" i="2"/>
  <c r="M4255" i="2"/>
  <c r="M4254" i="2"/>
  <c r="M4253" i="2"/>
  <c r="M4252" i="2"/>
  <c r="M4251" i="2"/>
  <c r="M4250" i="2"/>
  <c r="M4249" i="2"/>
  <c r="M4248" i="2"/>
  <c r="M4247" i="2"/>
  <c r="M4246" i="2"/>
  <c r="M4245" i="2"/>
  <c r="M4244" i="2"/>
  <c r="M4243" i="2"/>
  <c r="M4242" i="2"/>
  <c r="M4241" i="2"/>
  <c r="M4240" i="2"/>
  <c r="M4239" i="2"/>
  <c r="M4238" i="2"/>
  <c r="M4237" i="2"/>
  <c r="M4236" i="2"/>
  <c r="M4235" i="2"/>
  <c r="M4234" i="2"/>
  <c r="M4233" i="2"/>
  <c r="M4232" i="2"/>
  <c r="M4231" i="2"/>
  <c r="M4230" i="2"/>
  <c r="M4229" i="2"/>
  <c r="M4228" i="2"/>
  <c r="M4227" i="2"/>
  <c r="M4226" i="2"/>
  <c r="M4225" i="2"/>
  <c r="M4224" i="2"/>
  <c r="M4223" i="2"/>
  <c r="M4222" i="2"/>
  <c r="M4221" i="2"/>
  <c r="M4220" i="2"/>
  <c r="M4219" i="2"/>
  <c r="M4218" i="2"/>
  <c r="M4217" i="2"/>
  <c r="M4216" i="2"/>
  <c r="M4215" i="2"/>
  <c r="M4214" i="2"/>
  <c r="M4213" i="2"/>
  <c r="M4212" i="2"/>
  <c r="M4211" i="2"/>
  <c r="M4210" i="2"/>
  <c r="M4209" i="2"/>
  <c r="M4208" i="2"/>
  <c r="M4207" i="2"/>
  <c r="M4206" i="2"/>
  <c r="M4205" i="2"/>
  <c r="M4204" i="2"/>
  <c r="M4203" i="2"/>
  <c r="M4202" i="2"/>
  <c r="M4201" i="2"/>
  <c r="M4200" i="2"/>
  <c r="M4199" i="2"/>
  <c r="M4198" i="2"/>
  <c r="M4197" i="2"/>
  <c r="M4196" i="2"/>
  <c r="M4195" i="2"/>
  <c r="M4194" i="2"/>
  <c r="M4193" i="2"/>
  <c r="M4192" i="2"/>
  <c r="M4191" i="2"/>
  <c r="M4190" i="2"/>
  <c r="M4189" i="2"/>
  <c r="M4188" i="2"/>
  <c r="M4187" i="2"/>
  <c r="M4186" i="2"/>
  <c r="M4185" i="2"/>
  <c r="M4184" i="2"/>
  <c r="M4183" i="2"/>
  <c r="M4182" i="2"/>
  <c r="M4181" i="2"/>
  <c r="M4180" i="2"/>
  <c r="M4179" i="2"/>
  <c r="M4178" i="2"/>
  <c r="M4177" i="2"/>
  <c r="M4176" i="2"/>
  <c r="M4175" i="2"/>
  <c r="M4174" i="2"/>
  <c r="M4173" i="2"/>
  <c r="M4172" i="2"/>
  <c r="M4171" i="2"/>
  <c r="M4170" i="2"/>
  <c r="M4169" i="2"/>
  <c r="M4168" i="2"/>
  <c r="M4167" i="2"/>
  <c r="M4166" i="2"/>
  <c r="M4165" i="2"/>
  <c r="M4164" i="2"/>
  <c r="M4163" i="2"/>
  <c r="M4162" i="2"/>
  <c r="M4161" i="2"/>
  <c r="M4160" i="2"/>
  <c r="M4159" i="2"/>
  <c r="M4158" i="2"/>
  <c r="M4157" i="2"/>
  <c r="M4156" i="2"/>
  <c r="M4155" i="2"/>
  <c r="M4154" i="2"/>
  <c r="M4153" i="2"/>
  <c r="M4152" i="2"/>
  <c r="M4151" i="2"/>
  <c r="M4150" i="2"/>
  <c r="M4149" i="2"/>
  <c r="M4148" i="2"/>
  <c r="M4147" i="2"/>
  <c r="M4146" i="2"/>
  <c r="M4145" i="2"/>
  <c r="M4144" i="2"/>
  <c r="M4143" i="2"/>
  <c r="M4142" i="2"/>
  <c r="M4141" i="2"/>
  <c r="M4140" i="2"/>
  <c r="M4139" i="2"/>
  <c r="M4138" i="2"/>
  <c r="M4137" i="2"/>
  <c r="M4136" i="2"/>
  <c r="M4135" i="2"/>
  <c r="M4134" i="2"/>
  <c r="M4133" i="2"/>
  <c r="M4132" i="2"/>
  <c r="M4131" i="2"/>
  <c r="M4130" i="2"/>
  <c r="M4129" i="2"/>
  <c r="M4128" i="2"/>
  <c r="M4127" i="2"/>
  <c r="M4126" i="2"/>
  <c r="M4125" i="2"/>
  <c r="M4124" i="2"/>
  <c r="M4123" i="2"/>
  <c r="M4122" i="2"/>
  <c r="M4121" i="2"/>
  <c r="M4120" i="2"/>
  <c r="M4119" i="2"/>
  <c r="M4118" i="2"/>
  <c r="M4117" i="2"/>
  <c r="M4116" i="2"/>
  <c r="M4115" i="2"/>
  <c r="M4114" i="2"/>
  <c r="M4113" i="2"/>
  <c r="M4112" i="2"/>
  <c r="M4111" i="2"/>
  <c r="M4110" i="2"/>
  <c r="M4109" i="2"/>
  <c r="M4108" i="2"/>
  <c r="M4107" i="2"/>
  <c r="M4106" i="2"/>
  <c r="M4105" i="2"/>
  <c r="M4104" i="2"/>
  <c r="M4103" i="2"/>
  <c r="M4102" i="2"/>
  <c r="M4101" i="2"/>
  <c r="M4100" i="2"/>
  <c r="M4099" i="2"/>
  <c r="M4098" i="2"/>
  <c r="M4097" i="2"/>
  <c r="M4096" i="2"/>
  <c r="M4095" i="2"/>
  <c r="M4094" i="2"/>
  <c r="M4093" i="2"/>
  <c r="M4092" i="2"/>
  <c r="M4091" i="2"/>
  <c r="M4090" i="2"/>
  <c r="M4089" i="2"/>
  <c r="M4088" i="2"/>
  <c r="M4087" i="2"/>
  <c r="M4086" i="2"/>
  <c r="M4085" i="2"/>
  <c r="M4084" i="2"/>
  <c r="M4083" i="2"/>
  <c r="M4082" i="2"/>
  <c r="M4081" i="2"/>
  <c r="M4080" i="2"/>
  <c r="M4079" i="2"/>
  <c r="M4078" i="2"/>
  <c r="M4077" i="2"/>
  <c r="M4076" i="2"/>
  <c r="M4075" i="2"/>
  <c r="M4074" i="2"/>
  <c r="M4073" i="2"/>
  <c r="M4072" i="2"/>
  <c r="M4071" i="2"/>
  <c r="M4070" i="2"/>
  <c r="M4069" i="2"/>
  <c r="M4068" i="2"/>
  <c r="M4067" i="2"/>
  <c r="M4066" i="2"/>
  <c r="M4065" i="2"/>
  <c r="M4064" i="2"/>
  <c r="M4063" i="2"/>
  <c r="M4062" i="2"/>
  <c r="M4061" i="2"/>
  <c r="M4060" i="2"/>
  <c r="M4059" i="2"/>
  <c r="M4058" i="2"/>
  <c r="M4057" i="2"/>
  <c r="M4056" i="2"/>
  <c r="M4055" i="2"/>
  <c r="M4054" i="2"/>
  <c r="M4053" i="2"/>
  <c r="M4052" i="2"/>
  <c r="M4051" i="2"/>
  <c r="M4050" i="2"/>
  <c r="M4049" i="2"/>
  <c r="M4048" i="2"/>
  <c r="M4047" i="2"/>
  <c r="M4046" i="2"/>
  <c r="M4045" i="2"/>
  <c r="M4044" i="2"/>
  <c r="M4043" i="2"/>
  <c r="M4042" i="2"/>
  <c r="M4041" i="2"/>
  <c r="M4040" i="2"/>
  <c r="M4039" i="2"/>
  <c r="M4038" i="2"/>
  <c r="M4037" i="2"/>
  <c r="M4036" i="2"/>
  <c r="M4035" i="2"/>
  <c r="M4034" i="2"/>
  <c r="M4033" i="2"/>
  <c r="M4032" i="2"/>
  <c r="M4031" i="2"/>
  <c r="M4030" i="2"/>
  <c r="M4029" i="2"/>
  <c r="M4028" i="2"/>
  <c r="M4027" i="2"/>
  <c r="M4026" i="2"/>
  <c r="M4025" i="2"/>
  <c r="M4024" i="2"/>
  <c r="M4023" i="2"/>
  <c r="M4022" i="2"/>
  <c r="M4021" i="2"/>
  <c r="M4020" i="2"/>
  <c r="M4019" i="2"/>
  <c r="M4018" i="2"/>
  <c r="M4017" i="2"/>
  <c r="M4016" i="2"/>
  <c r="M4015" i="2"/>
  <c r="M4014" i="2"/>
  <c r="M4013" i="2"/>
  <c r="M4012" i="2"/>
  <c r="M4011" i="2"/>
  <c r="M4010" i="2"/>
  <c r="M4009" i="2"/>
  <c r="M4008" i="2"/>
  <c r="M4007" i="2"/>
  <c r="M4006" i="2"/>
  <c r="M4005" i="2"/>
  <c r="M4004" i="2"/>
  <c r="M4003" i="2"/>
  <c r="M4002" i="2"/>
  <c r="M4001" i="2"/>
  <c r="M4000" i="2"/>
  <c r="M3999" i="2"/>
  <c r="M3998" i="2"/>
  <c r="M3997" i="2"/>
  <c r="M3996" i="2"/>
  <c r="M3995" i="2"/>
  <c r="M3994" i="2"/>
  <c r="M3993" i="2"/>
  <c r="M3992" i="2"/>
  <c r="M3991" i="2"/>
  <c r="M3990" i="2"/>
  <c r="M3989" i="2"/>
  <c r="M3988" i="2"/>
  <c r="M3987" i="2"/>
  <c r="M3986" i="2"/>
  <c r="M3985" i="2"/>
  <c r="M3984" i="2"/>
  <c r="M3983" i="2"/>
  <c r="M3982" i="2"/>
  <c r="M3981" i="2"/>
  <c r="M3980" i="2"/>
  <c r="M3979" i="2"/>
  <c r="M3978" i="2"/>
  <c r="M3977" i="2"/>
  <c r="M3976" i="2"/>
  <c r="M3975" i="2"/>
  <c r="M3974" i="2"/>
  <c r="M3973" i="2"/>
  <c r="M3972" i="2"/>
  <c r="M3971" i="2"/>
  <c r="M3970" i="2"/>
  <c r="M3969" i="2"/>
  <c r="M3968" i="2"/>
  <c r="M3967" i="2"/>
  <c r="M3966" i="2"/>
  <c r="M3965" i="2"/>
  <c r="M3964" i="2"/>
  <c r="M3963" i="2"/>
  <c r="M3962" i="2"/>
  <c r="M3961" i="2"/>
  <c r="M3960" i="2"/>
  <c r="M3959" i="2"/>
  <c r="M3958" i="2"/>
  <c r="M3957" i="2"/>
  <c r="M3956" i="2"/>
  <c r="M3955" i="2"/>
  <c r="M3954" i="2"/>
  <c r="M3953" i="2"/>
  <c r="M3952" i="2"/>
  <c r="M3951" i="2"/>
  <c r="M3950" i="2"/>
  <c r="M3949" i="2"/>
  <c r="M3948" i="2"/>
  <c r="M3947" i="2"/>
  <c r="M3946" i="2"/>
  <c r="M3945" i="2"/>
  <c r="M3944" i="2"/>
  <c r="M3943" i="2"/>
  <c r="M3942" i="2"/>
  <c r="M3941" i="2"/>
  <c r="M3940" i="2"/>
  <c r="M3939" i="2"/>
  <c r="M3938" i="2"/>
  <c r="M3937" i="2"/>
  <c r="M3936" i="2"/>
  <c r="M3935" i="2"/>
  <c r="M3934" i="2"/>
  <c r="M3933" i="2"/>
  <c r="M3932" i="2"/>
  <c r="M3931" i="2"/>
  <c r="M3930" i="2"/>
  <c r="M3929" i="2"/>
  <c r="M3928" i="2"/>
  <c r="M3927" i="2"/>
  <c r="M3926" i="2"/>
  <c r="M3925" i="2"/>
  <c r="M3924" i="2"/>
  <c r="M3923" i="2"/>
  <c r="M3922" i="2"/>
  <c r="M3921" i="2"/>
  <c r="M3920" i="2"/>
  <c r="M3919" i="2"/>
  <c r="M3918" i="2"/>
  <c r="M3917" i="2"/>
  <c r="M3916" i="2"/>
  <c r="M3915" i="2"/>
  <c r="M3914" i="2"/>
  <c r="M3913" i="2"/>
  <c r="M3912" i="2"/>
  <c r="M3911" i="2"/>
  <c r="M3910" i="2"/>
  <c r="M3909" i="2"/>
  <c r="M3908" i="2"/>
  <c r="M3907" i="2"/>
  <c r="M3906" i="2"/>
  <c r="M3905" i="2"/>
  <c r="M3904" i="2"/>
  <c r="M3903" i="2"/>
  <c r="M3902" i="2"/>
  <c r="M3901" i="2"/>
  <c r="M3900" i="2"/>
  <c r="M3899" i="2"/>
  <c r="M3898" i="2"/>
  <c r="M3897" i="2"/>
  <c r="M3896" i="2"/>
  <c r="M3895" i="2"/>
  <c r="M3894" i="2"/>
  <c r="M3893" i="2"/>
  <c r="M3892" i="2"/>
  <c r="M3891" i="2"/>
  <c r="M3890" i="2"/>
  <c r="M3889" i="2"/>
  <c r="M3888" i="2"/>
  <c r="M3887" i="2"/>
  <c r="M3886" i="2"/>
  <c r="M3885" i="2"/>
  <c r="M3884" i="2"/>
  <c r="M3883" i="2"/>
  <c r="M3882" i="2"/>
  <c r="M3881" i="2"/>
  <c r="M3880" i="2"/>
  <c r="M3879" i="2"/>
  <c r="M3878" i="2"/>
  <c r="M3877" i="2"/>
  <c r="M3876" i="2"/>
  <c r="M3875" i="2"/>
  <c r="M3874" i="2"/>
  <c r="M3873" i="2"/>
  <c r="M3872" i="2"/>
  <c r="M3871" i="2"/>
  <c r="M3870" i="2"/>
  <c r="M3869" i="2"/>
  <c r="M3868" i="2"/>
  <c r="M3867" i="2"/>
  <c r="M3866" i="2"/>
  <c r="M3865" i="2"/>
  <c r="M3864" i="2"/>
  <c r="M3863" i="2"/>
  <c r="M3862" i="2"/>
  <c r="M3861" i="2"/>
  <c r="M3860" i="2"/>
  <c r="M3859" i="2"/>
  <c r="M3858" i="2"/>
  <c r="M3857" i="2"/>
  <c r="M3856" i="2"/>
  <c r="M3855" i="2"/>
  <c r="M3854" i="2"/>
  <c r="M3853" i="2"/>
  <c r="M3852" i="2"/>
  <c r="M3851" i="2"/>
  <c r="M3850" i="2"/>
  <c r="M3849" i="2"/>
  <c r="M3848" i="2"/>
  <c r="M3847" i="2"/>
  <c r="M3846" i="2"/>
  <c r="M3845" i="2"/>
  <c r="M3844" i="2"/>
  <c r="M3843" i="2"/>
  <c r="M3842" i="2"/>
  <c r="M3841" i="2"/>
  <c r="M3840" i="2"/>
  <c r="M3839" i="2"/>
  <c r="M3838" i="2"/>
  <c r="M3837" i="2"/>
  <c r="M3836" i="2"/>
  <c r="M3835" i="2"/>
  <c r="M3834" i="2"/>
  <c r="M3833" i="2"/>
  <c r="M3832" i="2"/>
  <c r="M3831" i="2"/>
  <c r="M3830" i="2"/>
  <c r="M3829" i="2"/>
  <c r="M3828" i="2"/>
  <c r="M3827" i="2"/>
  <c r="M3826" i="2"/>
  <c r="M3825" i="2"/>
  <c r="M3824" i="2"/>
  <c r="M3823" i="2"/>
  <c r="M3822" i="2"/>
  <c r="M3821" i="2"/>
  <c r="M3820" i="2"/>
  <c r="M3819" i="2"/>
  <c r="M3818" i="2"/>
  <c r="M3817" i="2"/>
  <c r="M3816" i="2"/>
  <c r="M3815" i="2"/>
  <c r="M3814" i="2"/>
  <c r="M3813" i="2"/>
  <c r="M3812" i="2"/>
  <c r="M3811" i="2"/>
  <c r="M3810" i="2"/>
  <c r="M3809" i="2"/>
  <c r="M3808" i="2"/>
  <c r="M3807" i="2"/>
  <c r="M3806" i="2"/>
  <c r="M3805" i="2"/>
  <c r="M3804" i="2"/>
  <c r="M3803" i="2"/>
  <c r="M3802" i="2"/>
  <c r="M3801" i="2"/>
  <c r="M3800" i="2"/>
  <c r="M3799" i="2"/>
  <c r="M3798" i="2"/>
  <c r="M3797" i="2"/>
  <c r="M3796" i="2"/>
  <c r="M3795" i="2"/>
  <c r="M3794" i="2"/>
  <c r="M3793" i="2"/>
  <c r="M3792" i="2"/>
  <c r="M3791" i="2"/>
  <c r="M3790" i="2"/>
  <c r="M3789" i="2"/>
  <c r="M3788" i="2"/>
  <c r="M3787" i="2"/>
  <c r="M3786" i="2"/>
  <c r="M3785" i="2"/>
  <c r="M3784" i="2"/>
  <c r="M3783" i="2"/>
  <c r="M3782" i="2"/>
  <c r="M3781" i="2"/>
  <c r="M3780" i="2"/>
  <c r="M3779" i="2"/>
  <c r="M3778" i="2"/>
  <c r="M3777" i="2"/>
  <c r="M3776" i="2"/>
  <c r="M3775" i="2"/>
  <c r="M3774" i="2"/>
  <c r="M3773" i="2"/>
  <c r="M3772" i="2"/>
  <c r="M3771" i="2"/>
  <c r="M3770" i="2"/>
  <c r="M3769" i="2"/>
  <c r="M3768" i="2"/>
  <c r="M3767" i="2"/>
  <c r="M3766" i="2"/>
  <c r="M3765" i="2"/>
  <c r="M3764" i="2"/>
  <c r="M3763" i="2"/>
  <c r="M3762" i="2"/>
  <c r="M3761" i="2"/>
  <c r="M3760" i="2"/>
  <c r="M3759" i="2"/>
  <c r="M3758" i="2"/>
  <c r="M3757" i="2"/>
  <c r="M3756" i="2"/>
  <c r="M3755" i="2"/>
  <c r="M3754" i="2"/>
  <c r="M3753" i="2"/>
  <c r="M3752" i="2"/>
  <c r="M3751" i="2"/>
  <c r="M3750" i="2"/>
  <c r="M3749" i="2"/>
  <c r="M3748" i="2"/>
  <c r="M3747" i="2"/>
  <c r="M3746" i="2"/>
  <c r="M3745" i="2"/>
  <c r="M3744" i="2"/>
  <c r="M3743" i="2"/>
  <c r="M3742" i="2"/>
  <c r="M3741" i="2"/>
  <c r="M3740" i="2"/>
  <c r="M3739" i="2"/>
  <c r="M3738" i="2"/>
  <c r="M3737" i="2"/>
  <c r="M3736" i="2"/>
  <c r="M3735" i="2"/>
  <c r="M3734" i="2"/>
  <c r="M3733" i="2"/>
  <c r="M3732" i="2"/>
  <c r="M3731" i="2"/>
  <c r="M3730" i="2"/>
  <c r="M3729" i="2"/>
  <c r="M3728" i="2"/>
  <c r="M3727" i="2"/>
  <c r="M3726" i="2"/>
  <c r="M3725" i="2"/>
  <c r="M3724" i="2"/>
  <c r="M3723" i="2"/>
  <c r="M3722" i="2"/>
  <c r="M3721" i="2"/>
  <c r="M3720" i="2"/>
  <c r="M3719" i="2"/>
  <c r="M3718" i="2"/>
  <c r="M3717" i="2"/>
  <c r="M3716" i="2"/>
  <c r="M3715" i="2"/>
  <c r="M3714" i="2"/>
  <c r="M3713" i="2"/>
  <c r="M3712" i="2"/>
  <c r="M3711" i="2"/>
  <c r="M3710" i="2"/>
  <c r="M3709" i="2"/>
  <c r="M3708" i="2"/>
  <c r="M3707" i="2"/>
  <c r="M3706" i="2"/>
  <c r="M3705" i="2"/>
  <c r="M3704" i="2"/>
  <c r="M3703" i="2"/>
  <c r="M3702" i="2"/>
  <c r="M3701" i="2"/>
  <c r="M3700" i="2"/>
  <c r="M3699" i="2"/>
  <c r="M3698" i="2"/>
  <c r="M3697" i="2"/>
  <c r="M3696" i="2"/>
  <c r="M3695" i="2"/>
  <c r="M3694" i="2"/>
  <c r="M3693" i="2"/>
  <c r="M3692" i="2"/>
  <c r="M3691" i="2"/>
  <c r="M3690" i="2"/>
  <c r="M3689" i="2"/>
  <c r="M3688" i="2"/>
  <c r="M3687" i="2"/>
  <c r="M3686" i="2"/>
  <c r="M3685" i="2"/>
  <c r="M3684" i="2"/>
  <c r="M3683" i="2"/>
  <c r="M3682" i="2"/>
  <c r="M3681" i="2"/>
  <c r="M3680" i="2"/>
  <c r="M3679" i="2"/>
  <c r="M3678" i="2"/>
  <c r="M3677" i="2"/>
  <c r="M3676" i="2"/>
  <c r="M3675" i="2"/>
  <c r="M3674" i="2"/>
  <c r="M3673" i="2"/>
  <c r="M3672" i="2"/>
  <c r="M3671" i="2"/>
  <c r="M3670" i="2"/>
  <c r="M3669" i="2"/>
  <c r="M3668" i="2"/>
  <c r="M3667" i="2"/>
  <c r="M3666" i="2"/>
  <c r="M3665" i="2"/>
  <c r="M3664" i="2"/>
  <c r="M3663" i="2"/>
  <c r="M3662" i="2"/>
  <c r="M3661" i="2"/>
  <c r="M3660" i="2"/>
  <c r="M3659" i="2"/>
  <c r="M3658" i="2"/>
  <c r="M3657" i="2"/>
  <c r="M3656" i="2"/>
  <c r="M3655" i="2"/>
  <c r="M3654" i="2"/>
  <c r="M3653" i="2"/>
  <c r="M3652" i="2"/>
  <c r="M3651" i="2"/>
  <c r="M3650" i="2"/>
  <c r="M3649" i="2"/>
  <c r="M3648" i="2"/>
  <c r="M3647" i="2"/>
  <c r="M3646" i="2"/>
  <c r="M3645" i="2"/>
  <c r="M3644" i="2"/>
  <c r="M3643" i="2"/>
  <c r="M3642" i="2"/>
  <c r="M3641" i="2"/>
  <c r="M3640" i="2"/>
  <c r="M3639" i="2"/>
  <c r="M3638" i="2"/>
  <c r="M3637" i="2"/>
  <c r="M3636" i="2"/>
  <c r="M3635" i="2"/>
  <c r="M3634" i="2"/>
  <c r="M3633" i="2"/>
  <c r="M3632" i="2"/>
  <c r="M3631" i="2"/>
  <c r="M3630" i="2"/>
  <c r="M3629" i="2"/>
  <c r="M3628" i="2"/>
  <c r="M3627" i="2"/>
  <c r="M3626" i="2"/>
  <c r="M3625" i="2"/>
  <c r="M3624" i="2"/>
  <c r="M3623" i="2"/>
  <c r="M3622" i="2"/>
  <c r="M3621" i="2"/>
  <c r="M3620" i="2"/>
  <c r="M3619" i="2"/>
  <c r="M3618" i="2"/>
  <c r="M3617" i="2"/>
  <c r="M3616" i="2"/>
  <c r="M3615" i="2"/>
  <c r="M3614" i="2"/>
  <c r="M3613" i="2"/>
  <c r="M3612" i="2"/>
  <c r="M3611" i="2"/>
  <c r="M3610" i="2"/>
  <c r="M3609" i="2"/>
  <c r="M3608" i="2"/>
  <c r="M3607" i="2"/>
  <c r="M3606" i="2"/>
  <c r="M3605" i="2"/>
  <c r="M3604" i="2"/>
  <c r="M3603" i="2"/>
  <c r="M3602" i="2"/>
  <c r="M3601" i="2"/>
  <c r="M3600" i="2"/>
  <c r="M3599" i="2"/>
  <c r="M3598" i="2"/>
  <c r="M3597" i="2"/>
  <c r="M3596" i="2"/>
  <c r="M3595" i="2"/>
  <c r="M3594" i="2"/>
  <c r="M3593" i="2"/>
  <c r="M3592" i="2"/>
  <c r="M3591" i="2"/>
  <c r="M3590" i="2"/>
  <c r="M3589" i="2"/>
  <c r="M3588" i="2"/>
  <c r="M3587" i="2"/>
  <c r="M3586" i="2"/>
  <c r="M3585" i="2"/>
  <c r="M3584" i="2"/>
  <c r="M3583" i="2"/>
  <c r="M3582" i="2"/>
  <c r="M3581" i="2"/>
  <c r="M3580" i="2"/>
  <c r="M3579" i="2"/>
  <c r="M3578" i="2"/>
  <c r="M3577" i="2"/>
  <c r="M3576" i="2"/>
  <c r="M3575" i="2"/>
  <c r="M3574" i="2"/>
  <c r="M3573" i="2"/>
  <c r="M3572" i="2"/>
  <c r="M3571" i="2"/>
  <c r="M3570" i="2"/>
  <c r="M3569" i="2"/>
  <c r="M3568" i="2"/>
  <c r="M3567" i="2"/>
  <c r="M3566" i="2"/>
  <c r="M3565" i="2"/>
  <c r="M3564" i="2"/>
  <c r="M3563" i="2"/>
  <c r="M3562" i="2"/>
  <c r="M3561" i="2"/>
  <c r="M3560" i="2"/>
  <c r="M3559" i="2"/>
  <c r="M3558" i="2"/>
  <c r="M3557" i="2"/>
  <c r="M3556" i="2"/>
  <c r="M3555" i="2"/>
  <c r="M3554" i="2"/>
  <c r="M3553" i="2"/>
  <c r="M3552" i="2"/>
  <c r="M3551" i="2"/>
  <c r="M3550" i="2"/>
  <c r="M3549" i="2"/>
  <c r="M3548" i="2"/>
  <c r="M3547" i="2"/>
  <c r="M3546" i="2"/>
  <c r="M3545" i="2"/>
  <c r="M3544" i="2"/>
  <c r="M3543" i="2"/>
  <c r="M3542" i="2"/>
  <c r="M3541" i="2"/>
  <c r="M3540" i="2"/>
  <c r="M3539" i="2"/>
  <c r="M3538" i="2"/>
  <c r="M3537" i="2"/>
  <c r="M3536" i="2"/>
  <c r="M3535" i="2"/>
  <c r="M3534" i="2"/>
  <c r="M3533" i="2"/>
  <c r="M3532" i="2"/>
  <c r="M3531" i="2"/>
  <c r="M3530" i="2"/>
  <c r="M3529" i="2"/>
  <c r="M3528" i="2"/>
  <c r="M3527" i="2"/>
  <c r="M3526" i="2"/>
  <c r="M3525" i="2"/>
  <c r="M3524" i="2"/>
  <c r="M3523" i="2"/>
  <c r="M3522" i="2"/>
  <c r="M3521" i="2"/>
  <c r="M3520" i="2"/>
  <c r="M3519" i="2"/>
  <c r="M3518" i="2"/>
  <c r="M3517" i="2"/>
  <c r="M3516" i="2"/>
  <c r="M3515" i="2"/>
  <c r="M3514" i="2"/>
  <c r="M3513" i="2"/>
  <c r="M3512" i="2"/>
  <c r="M3511" i="2"/>
  <c r="M3510" i="2"/>
  <c r="M3509" i="2"/>
  <c r="M3508" i="2"/>
  <c r="M3507" i="2"/>
  <c r="M3506" i="2"/>
  <c r="M3505" i="2"/>
  <c r="M3504" i="2"/>
  <c r="M3503" i="2"/>
  <c r="M3502" i="2"/>
  <c r="M3501" i="2"/>
  <c r="M3500" i="2"/>
  <c r="M3499" i="2"/>
  <c r="M3498" i="2"/>
  <c r="M3497" i="2"/>
  <c r="M3496" i="2"/>
  <c r="M3495" i="2"/>
  <c r="M3494" i="2"/>
  <c r="M3493" i="2"/>
  <c r="M3492" i="2"/>
  <c r="M3491" i="2"/>
  <c r="M3490" i="2"/>
  <c r="M3489" i="2"/>
  <c r="M3488" i="2"/>
  <c r="M3487" i="2"/>
  <c r="M3486" i="2"/>
  <c r="M3485" i="2"/>
  <c r="M3484" i="2"/>
  <c r="M3483" i="2"/>
  <c r="M3482" i="2"/>
  <c r="M3481" i="2"/>
  <c r="M3480" i="2"/>
  <c r="M3479" i="2"/>
  <c r="M3478" i="2"/>
  <c r="M3477" i="2"/>
  <c r="M3476" i="2"/>
  <c r="M3475" i="2"/>
  <c r="M3474" i="2"/>
  <c r="M3473" i="2"/>
  <c r="M3472" i="2"/>
  <c r="M3471" i="2"/>
  <c r="M3470" i="2"/>
  <c r="M3469" i="2"/>
  <c r="M3468" i="2"/>
  <c r="M3467" i="2"/>
  <c r="M3466" i="2"/>
  <c r="M3465" i="2"/>
  <c r="M3464" i="2"/>
  <c r="M3463" i="2"/>
  <c r="M3462" i="2"/>
  <c r="M3461" i="2"/>
  <c r="M3460" i="2"/>
  <c r="M3459" i="2"/>
  <c r="M3458" i="2"/>
  <c r="M3457" i="2"/>
  <c r="M3456" i="2"/>
  <c r="M3455" i="2"/>
  <c r="M3454" i="2"/>
  <c r="M3453" i="2"/>
  <c r="M3452" i="2"/>
  <c r="M3451" i="2"/>
  <c r="M3450" i="2"/>
  <c r="M3449" i="2"/>
  <c r="M3448" i="2"/>
  <c r="M3447" i="2"/>
  <c r="M3446" i="2"/>
  <c r="M3445" i="2"/>
  <c r="M3444" i="2"/>
  <c r="M3443" i="2"/>
  <c r="M3442" i="2"/>
  <c r="M3441" i="2"/>
  <c r="M3440" i="2"/>
  <c r="M3439" i="2"/>
  <c r="M3438" i="2"/>
  <c r="M3437" i="2"/>
  <c r="M3436" i="2"/>
  <c r="M3435" i="2"/>
  <c r="M3434" i="2"/>
  <c r="M3433" i="2"/>
  <c r="M3432" i="2"/>
  <c r="M3431" i="2"/>
  <c r="M3430" i="2"/>
  <c r="M3429" i="2"/>
  <c r="M3428" i="2"/>
  <c r="M3427" i="2"/>
  <c r="M3426" i="2"/>
  <c r="M3425" i="2"/>
  <c r="M3424" i="2"/>
  <c r="M3423" i="2"/>
  <c r="M3422" i="2"/>
  <c r="M3421" i="2"/>
  <c r="M3420" i="2"/>
  <c r="M3419" i="2"/>
  <c r="M3418" i="2"/>
  <c r="M3417" i="2"/>
  <c r="M3416" i="2"/>
  <c r="M3415" i="2"/>
  <c r="M3414" i="2"/>
  <c r="M3413" i="2"/>
  <c r="M3412" i="2"/>
  <c r="M3411" i="2"/>
  <c r="M3410" i="2"/>
  <c r="M3409" i="2"/>
  <c r="M3408" i="2"/>
  <c r="M3407" i="2"/>
  <c r="M3406" i="2"/>
  <c r="M3405" i="2"/>
  <c r="M3404" i="2"/>
  <c r="M3403" i="2"/>
  <c r="M3402" i="2"/>
  <c r="M3401" i="2"/>
  <c r="M3400" i="2"/>
  <c r="M3399" i="2"/>
  <c r="M3398" i="2"/>
  <c r="M3397" i="2"/>
  <c r="M3396" i="2"/>
  <c r="M3395" i="2"/>
  <c r="M3394" i="2"/>
  <c r="M3393" i="2"/>
  <c r="M3392" i="2"/>
  <c r="M3391" i="2"/>
  <c r="M3390" i="2"/>
  <c r="M3389" i="2"/>
  <c r="M3388" i="2"/>
  <c r="M3387" i="2"/>
  <c r="M3386" i="2"/>
  <c r="M3385" i="2"/>
  <c r="M3384" i="2"/>
  <c r="M3383" i="2"/>
  <c r="M3382" i="2"/>
  <c r="M3381" i="2"/>
  <c r="M3380" i="2"/>
  <c r="M3379" i="2"/>
  <c r="M3378" i="2"/>
  <c r="M3377" i="2"/>
  <c r="M3376" i="2"/>
  <c r="M3375" i="2"/>
  <c r="M3374" i="2"/>
  <c r="M3373" i="2"/>
  <c r="M3372" i="2"/>
  <c r="M3371" i="2"/>
  <c r="M3370" i="2"/>
  <c r="M3369" i="2"/>
  <c r="M3368" i="2"/>
  <c r="M3367" i="2"/>
  <c r="M3366" i="2"/>
  <c r="M3365" i="2"/>
  <c r="M3364" i="2"/>
  <c r="M3363" i="2"/>
  <c r="M3362" i="2"/>
  <c r="M3361" i="2"/>
  <c r="M3360" i="2"/>
  <c r="M3359" i="2"/>
  <c r="M3358" i="2"/>
  <c r="M3357" i="2"/>
  <c r="M3356" i="2"/>
  <c r="M3355" i="2"/>
  <c r="M3354" i="2"/>
  <c r="M3353" i="2"/>
  <c r="M3352" i="2"/>
  <c r="M3351" i="2"/>
  <c r="M3350" i="2"/>
  <c r="M3349" i="2"/>
  <c r="M3348" i="2"/>
  <c r="M3347" i="2"/>
  <c r="M3346" i="2"/>
  <c r="M3345" i="2"/>
  <c r="M3344" i="2"/>
  <c r="M3343" i="2"/>
  <c r="M3342" i="2"/>
  <c r="M3341" i="2"/>
  <c r="M3340" i="2"/>
  <c r="M3339" i="2"/>
  <c r="M3338" i="2"/>
  <c r="M3337" i="2"/>
  <c r="M3336" i="2"/>
  <c r="M3335" i="2"/>
  <c r="M3334" i="2"/>
  <c r="M3333" i="2"/>
  <c r="M3332" i="2"/>
  <c r="M3331" i="2"/>
  <c r="M3330" i="2"/>
  <c r="M3329" i="2"/>
  <c r="M3328" i="2"/>
  <c r="M3327" i="2"/>
  <c r="M3326" i="2"/>
  <c r="M3325" i="2"/>
  <c r="M3324" i="2"/>
  <c r="M3323" i="2"/>
  <c r="M3322" i="2"/>
  <c r="M3321" i="2"/>
  <c r="M3320" i="2"/>
  <c r="M3319" i="2"/>
  <c r="M3318" i="2"/>
  <c r="M3317" i="2"/>
  <c r="M3316" i="2"/>
  <c r="M3315" i="2"/>
  <c r="M3314" i="2"/>
  <c r="M3313" i="2"/>
  <c r="M3312" i="2"/>
  <c r="M3311" i="2"/>
  <c r="M3310" i="2"/>
  <c r="M3309" i="2"/>
  <c r="M3308" i="2"/>
  <c r="M3307" i="2"/>
  <c r="M3306" i="2"/>
  <c r="M3305" i="2"/>
  <c r="M3304" i="2"/>
  <c r="M3303" i="2"/>
  <c r="M3302" i="2"/>
  <c r="M3301" i="2"/>
  <c r="M3300" i="2"/>
  <c r="M3299" i="2"/>
  <c r="M3298" i="2"/>
  <c r="M3297" i="2"/>
  <c r="M3296" i="2"/>
  <c r="M3295" i="2"/>
  <c r="M3294" i="2"/>
  <c r="M3293" i="2"/>
  <c r="M3292" i="2"/>
  <c r="M3291" i="2"/>
  <c r="M3290" i="2"/>
  <c r="M3289" i="2"/>
  <c r="M3288" i="2"/>
  <c r="M3287" i="2"/>
  <c r="M3286" i="2"/>
  <c r="M3285" i="2"/>
  <c r="M3284" i="2"/>
  <c r="M3283" i="2"/>
  <c r="M3282" i="2"/>
  <c r="M3281" i="2"/>
  <c r="M3280" i="2"/>
  <c r="M3279" i="2"/>
  <c r="M3278" i="2"/>
  <c r="M3277" i="2"/>
  <c r="M3276" i="2"/>
  <c r="M3275" i="2"/>
  <c r="M3274" i="2"/>
  <c r="M3273" i="2"/>
  <c r="M3272" i="2"/>
  <c r="M3271" i="2"/>
  <c r="M3270" i="2"/>
  <c r="M3269" i="2"/>
  <c r="M3268" i="2"/>
  <c r="M3267" i="2"/>
  <c r="M3266" i="2"/>
  <c r="M3265" i="2"/>
  <c r="M3264" i="2"/>
  <c r="M3263" i="2"/>
  <c r="M3262" i="2"/>
  <c r="M3261" i="2"/>
  <c r="M3260" i="2"/>
  <c r="M3259" i="2"/>
  <c r="M3258" i="2"/>
  <c r="M3257" i="2"/>
  <c r="M3256" i="2"/>
  <c r="M3255" i="2"/>
  <c r="M3254" i="2"/>
  <c r="M3253" i="2"/>
  <c r="M3252" i="2"/>
  <c r="M3251" i="2"/>
  <c r="M3250" i="2"/>
  <c r="M3249" i="2"/>
  <c r="M3248" i="2"/>
  <c r="M3247" i="2"/>
  <c r="M3246" i="2"/>
  <c r="M3245" i="2"/>
  <c r="M3244" i="2"/>
  <c r="M3243" i="2"/>
  <c r="M3242" i="2"/>
  <c r="M3241" i="2"/>
  <c r="M3240" i="2"/>
  <c r="M3239" i="2"/>
  <c r="M3238" i="2"/>
  <c r="M3237" i="2"/>
  <c r="M3236" i="2"/>
  <c r="M3235" i="2"/>
  <c r="M3234" i="2"/>
  <c r="M3233" i="2"/>
  <c r="M3232" i="2"/>
  <c r="M3231" i="2"/>
  <c r="M3230" i="2"/>
  <c r="M3229" i="2"/>
  <c r="M3228" i="2"/>
  <c r="M3227" i="2"/>
  <c r="M3226" i="2"/>
  <c r="M3225" i="2"/>
  <c r="M3224" i="2"/>
  <c r="M3223" i="2"/>
  <c r="M3222" i="2"/>
  <c r="M3221" i="2"/>
  <c r="M3220" i="2"/>
  <c r="M3219" i="2"/>
  <c r="M3218" i="2"/>
  <c r="M3217" i="2"/>
  <c r="M3216" i="2"/>
  <c r="M3215" i="2"/>
  <c r="M3214" i="2"/>
  <c r="M3213" i="2"/>
  <c r="M3212" i="2"/>
  <c r="M3211" i="2"/>
  <c r="M3210" i="2"/>
  <c r="M3209" i="2"/>
  <c r="M3208" i="2"/>
  <c r="M3207" i="2"/>
  <c r="M3206" i="2"/>
  <c r="M3205" i="2"/>
  <c r="M3204" i="2"/>
  <c r="M3203" i="2"/>
  <c r="M3202" i="2"/>
  <c r="M3201" i="2"/>
  <c r="M3200" i="2"/>
  <c r="M3199" i="2"/>
  <c r="M3198" i="2"/>
  <c r="M3197" i="2"/>
  <c r="M3196" i="2"/>
  <c r="M3195" i="2"/>
  <c r="M3194" i="2"/>
  <c r="M3193" i="2"/>
  <c r="M3192" i="2"/>
  <c r="M3191" i="2"/>
  <c r="M3190" i="2"/>
  <c r="M3189" i="2"/>
  <c r="M3188" i="2"/>
  <c r="M3187" i="2"/>
  <c r="M3186" i="2"/>
  <c r="M3185" i="2"/>
  <c r="M3184" i="2"/>
  <c r="M3183" i="2"/>
  <c r="M3182" i="2"/>
  <c r="M3181" i="2"/>
  <c r="M3180" i="2"/>
  <c r="M3179" i="2"/>
  <c r="M3178" i="2"/>
  <c r="M3177" i="2"/>
  <c r="M3176" i="2"/>
  <c r="M3175" i="2"/>
  <c r="M3174" i="2"/>
  <c r="M3173" i="2"/>
  <c r="M3172" i="2"/>
  <c r="M3171" i="2"/>
  <c r="M3170" i="2"/>
  <c r="M3169" i="2"/>
  <c r="M3168" i="2"/>
  <c r="M3167" i="2"/>
  <c r="M3166" i="2"/>
  <c r="M3165" i="2"/>
  <c r="M3164" i="2"/>
  <c r="M3163" i="2"/>
  <c r="M3162" i="2"/>
  <c r="M3161" i="2"/>
  <c r="M3160" i="2"/>
  <c r="M3159" i="2"/>
  <c r="M3158" i="2"/>
  <c r="M3157" i="2"/>
  <c r="M3156" i="2"/>
  <c r="M3155" i="2"/>
  <c r="M3154" i="2"/>
  <c r="M3153" i="2"/>
  <c r="M3152" i="2"/>
  <c r="M3151" i="2"/>
  <c r="M3150" i="2"/>
  <c r="M3149" i="2"/>
  <c r="M3148" i="2"/>
  <c r="M3147" i="2"/>
  <c r="M3146" i="2"/>
  <c r="M3145" i="2"/>
  <c r="M3144" i="2"/>
  <c r="M3143" i="2"/>
  <c r="M3142" i="2"/>
  <c r="M3141" i="2"/>
  <c r="M3140" i="2"/>
  <c r="M3139" i="2"/>
  <c r="M3138" i="2"/>
  <c r="M3137" i="2"/>
  <c r="M3136" i="2"/>
  <c r="M3135" i="2"/>
  <c r="M3134" i="2"/>
  <c r="M3133" i="2"/>
  <c r="M3132" i="2"/>
  <c r="M3131" i="2"/>
  <c r="M3130" i="2"/>
  <c r="M3129" i="2"/>
  <c r="M3128" i="2"/>
  <c r="M3127" i="2"/>
  <c r="M3126" i="2"/>
  <c r="M3125" i="2"/>
  <c r="M3124" i="2"/>
  <c r="M3123" i="2"/>
  <c r="M3122" i="2"/>
  <c r="M3121" i="2"/>
  <c r="M3120" i="2"/>
  <c r="M3119" i="2"/>
  <c r="M3118" i="2"/>
  <c r="M3117" i="2"/>
  <c r="M3116" i="2"/>
  <c r="M3115" i="2"/>
  <c r="M3114" i="2"/>
  <c r="M3113" i="2"/>
  <c r="M3112" i="2"/>
  <c r="M3111" i="2"/>
  <c r="M3110" i="2"/>
  <c r="M3109" i="2"/>
  <c r="M3108" i="2"/>
  <c r="M3107" i="2"/>
  <c r="M3106" i="2"/>
  <c r="M3105" i="2"/>
  <c r="M3104" i="2"/>
  <c r="M3103" i="2"/>
  <c r="M3102" i="2"/>
  <c r="M3101" i="2"/>
  <c r="M3100" i="2"/>
  <c r="M3099" i="2"/>
  <c r="M3098" i="2"/>
  <c r="M3097" i="2"/>
  <c r="M3096" i="2"/>
  <c r="M3095" i="2"/>
  <c r="M3094" i="2"/>
  <c r="M3093" i="2"/>
  <c r="M3092" i="2"/>
  <c r="M3091" i="2"/>
  <c r="M3090" i="2"/>
  <c r="M3089" i="2"/>
  <c r="M3088" i="2"/>
  <c r="M3087" i="2"/>
  <c r="M3086" i="2"/>
  <c r="M3085" i="2"/>
  <c r="M3084" i="2"/>
  <c r="M3083" i="2"/>
  <c r="M3082" i="2"/>
  <c r="M3081" i="2"/>
  <c r="M3080" i="2"/>
  <c r="M3079" i="2"/>
  <c r="M3078" i="2"/>
  <c r="M3077" i="2"/>
  <c r="M3076" i="2"/>
  <c r="M3075" i="2"/>
  <c r="M3074" i="2"/>
  <c r="M3073" i="2"/>
  <c r="M3072" i="2"/>
  <c r="M3071" i="2"/>
  <c r="M3070" i="2"/>
  <c r="M3069" i="2"/>
  <c r="M3068" i="2"/>
  <c r="M3067" i="2"/>
  <c r="M3066" i="2"/>
  <c r="M3065" i="2"/>
  <c r="M3064" i="2"/>
  <c r="M3063" i="2"/>
  <c r="M3062" i="2"/>
  <c r="M3061" i="2"/>
  <c r="M3060" i="2"/>
  <c r="M3059" i="2"/>
  <c r="M3058" i="2"/>
  <c r="M3057" i="2"/>
  <c r="M3056" i="2"/>
  <c r="M3055" i="2"/>
  <c r="M3054" i="2"/>
  <c r="M3053" i="2"/>
  <c r="M3052" i="2"/>
  <c r="M3051" i="2"/>
  <c r="M3050" i="2"/>
  <c r="M3049" i="2"/>
  <c r="M3048" i="2"/>
  <c r="M3047" i="2"/>
  <c r="M3046" i="2"/>
  <c r="M3045" i="2"/>
  <c r="M3044" i="2"/>
  <c r="M3043" i="2"/>
  <c r="M3042" i="2"/>
  <c r="M3041" i="2"/>
  <c r="M3040" i="2"/>
  <c r="M3039" i="2"/>
  <c r="M3038" i="2"/>
  <c r="M3037" i="2"/>
  <c r="M3036" i="2"/>
  <c r="M3035" i="2"/>
  <c r="M3034" i="2"/>
  <c r="M3033" i="2"/>
  <c r="M3032" i="2"/>
  <c r="M3031" i="2"/>
  <c r="M3030" i="2"/>
  <c r="M3029" i="2"/>
  <c r="M3028" i="2"/>
  <c r="M3027" i="2"/>
  <c r="M3026" i="2"/>
  <c r="M3025" i="2"/>
  <c r="M3024" i="2"/>
  <c r="M3023" i="2"/>
  <c r="M3022" i="2"/>
  <c r="M3021" i="2"/>
  <c r="M3020" i="2"/>
  <c r="M3019" i="2"/>
  <c r="M3018" i="2"/>
  <c r="M3017" i="2"/>
  <c r="M3016" i="2"/>
  <c r="M3015" i="2"/>
  <c r="M3014" i="2"/>
  <c r="M3013" i="2"/>
  <c r="M3012" i="2"/>
  <c r="M3011" i="2"/>
  <c r="M3010" i="2"/>
  <c r="M3009" i="2"/>
  <c r="M3008" i="2"/>
  <c r="M3007" i="2"/>
  <c r="M3006" i="2"/>
  <c r="M3005" i="2"/>
  <c r="M3004" i="2"/>
  <c r="M3003" i="2"/>
  <c r="M3002" i="2"/>
  <c r="M3001" i="2"/>
  <c r="M3000" i="2"/>
  <c r="M2999" i="2"/>
  <c r="M2998" i="2"/>
  <c r="M2997" i="2"/>
  <c r="M2996" i="2"/>
  <c r="M2995" i="2"/>
  <c r="M2994" i="2"/>
  <c r="M2993" i="2"/>
  <c r="M2992" i="2"/>
  <c r="M2991" i="2"/>
  <c r="M2990" i="2"/>
  <c r="M2989" i="2"/>
  <c r="M2988" i="2"/>
  <c r="M2987" i="2"/>
  <c r="M2986" i="2"/>
  <c r="M2985" i="2"/>
  <c r="M2984" i="2"/>
  <c r="M2983" i="2"/>
  <c r="M2982" i="2"/>
  <c r="M2981" i="2"/>
  <c r="M2980" i="2"/>
  <c r="M2979" i="2"/>
  <c r="M2978" i="2"/>
  <c r="M2977" i="2"/>
  <c r="M2976" i="2"/>
  <c r="M2975" i="2"/>
  <c r="M2974" i="2"/>
  <c r="M2973" i="2"/>
  <c r="M2972" i="2"/>
  <c r="M2971" i="2"/>
  <c r="M2970" i="2"/>
  <c r="M2969" i="2"/>
  <c r="M2968" i="2"/>
  <c r="M2967" i="2"/>
  <c r="M2966" i="2"/>
  <c r="M2965" i="2"/>
  <c r="M2964" i="2"/>
  <c r="M2963" i="2"/>
  <c r="M2962" i="2"/>
  <c r="M2961" i="2"/>
  <c r="M2960" i="2"/>
  <c r="M2959" i="2"/>
  <c r="M2958" i="2"/>
  <c r="M2957" i="2"/>
  <c r="M2956" i="2"/>
  <c r="M2955" i="2"/>
  <c r="M2954" i="2"/>
  <c r="M2953" i="2"/>
  <c r="M2952" i="2"/>
  <c r="M2951" i="2"/>
  <c r="M2950" i="2"/>
  <c r="M2949" i="2"/>
  <c r="M2948" i="2"/>
  <c r="M2947" i="2"/>
  <c r="M2946" i="2"/>
  <c r="M2945" i="2"/>
  <c r="M2944" i="2"/>
  <c r="M2943" i="2"/>
  <c r="M2942" i="2"/>
  <c r="M2941" i="2"/>
  <c r="M2940" i="2"/>
  <c r="M2939" i="2"/>
  <c r="M2938" i="2"/>
  <c r="M2937" i="2"/>
  <c r="M2936" i="2"/>
  <c r="M2935" i="2"/>
  <c r="M2934" i="2"/>
  <c r="M2933" i="2"/>
  <c r="M2932" i="2"/>
  <c r="M2931" i="2"/>
  <c r="M2930" i="2"/>
  <c r="M2929" i="2"/>
  <c r="M2928" i="2"/>
  <c r="M2927" i="2"/>
  <c r="M2926" i="2"/>
  <c r="M2925" i="2"/>
  <c r="M2924" i="2"/>
  <c r="M2923" i="2"/>
  <c r="M2922" i="2"/>
  <c r="M2921" i="2"/>
  <c r="M2920" i="2"/>
  <c r="M2919" i="2"/>
  <c r="M2918" i="2"/>
  <c r="M2917" i="2"/>
  <c r="M2916" i="2"/>
  <c r="M2915" i="2"/>
  <c r="M2914" i="2"/>
  <c r="M2913" i="2"/>
  <c r="M2912" i="2"/>
  <c r="M2911" i="2"/>
  <c r="M2910" i="2"/>
  <c r="M2909" i="2"/>
  <c r="M2908" i="2"/>
  <c r="M2907" i="2"/>
  <c r="M2906" i="2"/>
  <c r="M2905" i="2"/>
  <c r="M2904" i="2"/>
  <c r="M2903" i="2"/>
  <c r="M2902" i="2"/>
  <c r="M2901" i="2"/>
  <c r="M2900" i="2"/>
  <c r="M2899" i="2"/>
  <c r="M2898" i="2"/>
  <c r="M2897" i="2"/>
  <c r="M2896" i="2"/>
  <c r="M2895" i="2"/>
  <c r="M2894" i="2"/>
  <c r="M2893" i="2"/>
  <c r="M2892" i="2"/>
  <c r="M2891" i="2"/>
  <c r="M2890" i="2"/>
  <c r="M2889" i="2"/>
  <c r="M2888" i="2"/>
  <c r="M2887" i="2"/>
  <c r="M2886" i="2"/>
  <c r="M2885" i="2"/>
  <c r="M2884" i="2"/>
  <c r="M2883" i="2"/>
  <c r="M2882" i="2"/>
  <c r="M2881" i="2"/>
  <c r="M2880" i="2"/>
  <c r="M2879" i="2"/>
  <c r="M2878" i="2"/>
  <c r="M2877" i="2"/>
  <c r="M2876" i="2"/>
  <c r="M2875" i="2"/>
  <c r="M2874" i="2"/>
  <c r="M2873" i="2"/>
  <c r="M2872" i="2"/>
  <c r="M2871" i="2"/>
  <c r="M2870" i="2"/>
  <c r="M2869" i="2"/>
  <c r="M2868" i="2"/>
  <c r="M2867" i="2"/>
  <c r="M2866" i="2"/>
  <c r="M2865" i="2"/>
  <c r="M2864" i="2"/>
  <c r="M2863" i="2"/>
  <c r="M2862" i="2"/>
  <c r="M2861" i="2"/>
  <c r="M2860" i="2"/>
  <c r="M2859" i="2"/>
  <c r="M2858" i="2"/>
  <c r="M2857" i="2"/>
  <c r="M2856" i="2"/>
  <c r="M2855" i="2"/>
  <c r="M2854" i="2"/>
  <c r="M2853" i="2"/>
  <c r="M2852" i="2"/>
  <c r="M2851" i="2"/>
  <c r="M2850" i="2"/>
  <c r="M2849" i="2"/>
  <c r="M2848" i="2"/>
  <c r="M2847" i="2"/>
  <c r="M2846" i="2"/>
  <c r="M2845" i="2"/>
  <c r="M2844" i="2"/>
  <c r="M2843" i="2"/>
  <c r="M2842" i="2"/>
  <c r="M2841" i="2"/>
  <c r="M2840" i="2"/>
  <c r="M2839" i="2"/>
  <c r="M2838" i="2"/>
  <c r="M2837" i="2"/>
  <c r="M2836" i="2"/>
  <c r="M2835" i="2"/>
  <c r="M2834" i="2"/>
  <c r="M2833" i="2"/>
  <c r="M2832" i="2"/>
  <c r="M2831" i="2"/>
  <c r="M2830" i="2"/>
  <c r="M2829" i="2"/>
  <c r="M2828" i="2"/>
  <c r="M2827" i="2"/>
  <c r="M2826" i="2"/>
  <c r="M2825" i="2"/>
  <c r="M2824" i="2"/>
  <c r="M2823" i="2"/>
  <c r="M2822" i="2"/>
  <c r="M2821" i="2"/>
  <c r="M2820" i="2"/>
  <c r="M2819" i="2"/>
  <c r="M2818" i="2"/>
  <c r="M2817" i="2"/>
  <c r="M2816" i="2"/>
  <c r="M2815" i="2"/>
  <c r="M2814" i="2"/>
  <c r="M2813" i="2"/>
  <c r="M2812" i="2"/>
  <c r="M2811" i="2"/>
  <c r="M2810" i="2"/>
  <c r="M2809" i="2"/>
  <c r="M2808" i="2"/>
  <c r="M2807" i="2"/>
  <c r="M2806" i="2"/>
  <c r="M2805" i="2"/>
  <c r="M2804" i="2"/>
  <c r="M2803" i="2"/>
  <c r="M2802" i="2"/>
  <c r="M2801" i="2"/>
  <c r="M2800" i="2"/>
  <c r="M2799" i="2"/>
  <c r="M2798" i="2"/>
  <c r="M2797" i="2"/>
  <c r="M2796" i="2"/>
  <c r="M2795" i="2"/>
  <c r="M2794" i="2"/>
  <c r="M2793" i="2"/>
  <c r="M2792" i="2"/>
  <c r="M2791" i="2"/>
  <c r="M2790" i="2"/>
  <c r="M2789" i="2"/>
  <c r="M2788" i="2"/>
  <c r="M2787" i="2"/>
  <c r="M2786" i="2"/>
  <c r="M2785" i="2"/>
  <c r="M2784" i="2"/>
  <c r="M2783" i="2"/>
  <c r="M2782" i="2"/>
  <c r="M2781" i="2"/>
  <c r="M2780" i="2"/>
  <c r="M2779" i="2"/>
  <c r="M2778" i="2"/>
  <c r="M2777" i="2"/>
  <c r="M2776" i="2"/>
  <c r="M2775" i="2"/>
  <c r="M2774" i="2"/>
  <c r="M2773" i="2"/>
  <c r="M2772" i="2"/>
  <c r="M2771" i="2"/>
  <c r="M2770" i="2"/>
  <c r="M2769" i="2"/>
  <c r="M2768" i="2"/>
  <c r="M2767" i="2"/>
  <c r="M2766" i="2"/>
  <c r="M2765" i="2"/>
  <c r="M2764" i="2"/>
  <c r="M2763" i="2"/>
  <c r="M2762" i="2"/>
  <c r="M2761" i="2"/>
  <c r="M2760" i="2"/>
  <c r="M2759" i="2"/>
  <c r="M2758" i="2"/>
  <c r="M2757" i="2"/>
  <c r="M2756" i="2"/>
  <c r="M2755" i="2"/>
  <c r="M2754" i="2"/>
  <c r="M2753" i="2"/>
  <c r="M2752" i="2"/>
  <c r="M2751" i="2"/>
  <c r="M2750" i="2"/>
  <c r="M2749" i="2"/>
  <c r="M2748" i="2"/>
  <c r="M2747" i="2"/>
  <c r="M2746" i="2"/>
  <c r="M2745" i="2"/>
  <c r="M2744" i="2"/>
  <c r="M2743" i="2"/>
  <c r="M2742" i="2"/>
  <c r="M2741" i="2"/>
  <c r="M2740" i="2"/>
  <c r="M2739" i="2"/>
  <c r="M2738" i="2"/>
  <c r="M2737" i="2"/>
  <c r="M2736" i="2"/>
  <c r="M2735" i="2"/>
  <c r="M2734" i="2"/>
  <c r="M2733" i="2"/>
  <c r="M2732" i="2"/>
  <c r="M2731" i="2"/>
  <c r="M2730" i="2"/>
  <c r="M2729" i="2"/>
  <c r="M2728" i="2"/>
  <c r="M2727" i="2"/>
  <c r="M2726" i="2"/>
  <c r="M2725" i="2"/>
  <c r="M2724" i="2"/>
  <c r="M2723" i="2"/>
  <c r="M2722" i="2"/>
  <c r="M2721" i="2"/>
  <c r="M2720" i="2"/>
  <c r="M2719" i="2"/>
  <c r="M2718" i="2"/>
  <c r="M2717" i="2"/>
  <c r="M2716" i="2"/>
  <c r="M2715" i="2"/>
  <c r="M2714" i="2"/>
  <c r="M2713" i="2"/>
  <c r="M2712" i="2"/>
  <c r="M2711" i="2"/>
  <c r="M2710" i="2"/>
  <c r="M2709" i="2"/>
  <c r="M2708" i="2"/>
  <c r="M2707" i="2"/>
  <c r="M2706" i="2"/>
  <c r="M2705" i="2"/>
  <c r="M2704" i="2"/>
  <c r="M2703" i="2"/>
  <c r="M2702" i="2"/>
  <c r="M2701" i="2"/>
  <c r="M2700" i="2"/>
  <c r="M2699" i="2"/>
  <c r="M2698" i="2"/>
  <c r="M2697" i="2"/>
  <c r="M2696" i="2"/>
  <c r="M2695" i="2"/>
  <c r="M2694" i="2"/>
  <c r="M2693" i="2"/>
  <c r="M2692" i="2"/>
  <c r="M2691" i="2"/>
  <c r="M2690" i="2"/>
  <c r="M2689" i="2"/>
  <c r="M2688" i="2"/>
  <c r="M2687" i="2"/>
  <c r="M2686" i="2"/>
  <c r="M2685" i="2"/>
  <c r="M2684" i="2"/>
  <c r="M2683" i="2"/>
  <c r="M2682" i="2"/>
  <c r="M2681" i="2"/>
  <c r="M2680" i="2"/>
  <c r="M2679" i="2"/>
  <c r="M2678" i="2"/>
  <c r="M2677" i="2"/>
  <c r="M2676" i="2"/>
  <c r="M2675" i="2"/>
  <c r="M2674" i="2"/>
  <c r="M2673" i="2"/>
  <c r="M2672" i="2"/>
  <c r="M2671" i="2"/>
  <c r="M2670" i="2"/>
  <c r="M2669" i="2"/>
  <c r="M2668" i="2"/>
  <c r="M2667" i="2"/>
  <c r="M2666" i="2"/>
  <c r="M2665" i="2"/>
  <c r="M2664" i="2"/>
  <c r="M2663" i="2"/>
  <c r="M2662" i="2"/>
  <c r="M2661" i="2"/>
  <c r="M2660" i="2"/>
  <c r="M2659" i="2"/>
  <c r="M2658" i="2"/>
  <c r="M2657" i="2"/>
  <c r="M2656" i="2"/>
  <c r="M2655" i="2"/>
  <c r="M2654" i="2"/>
  <c r="M2653" i="2"/>
  <c r="M2652" i="2"/>
  <c r="M2651" i="2"/>
  <c r="M2650" i="2"/>
  <c r="M2649" i="2"/>
  <c r="M2648" i="2"/>
  <c r="M2647" i="2"/>
  <c r="M2646" i="2"/>
  <c r="M2645" i="2"/>
  <c r="M2644" i="2"/>
  <c r="M2643" i="2"/>
  <c r="M2642" i="2"/>
  <c r="M2641" i="2"/>
  <c r="M2640" i="2"/>
  <c r="M2639" i="2"/>
  <c r="M2638" i="2"/>
  <c r="M2637" i="2"/>
  <c r="M2636" i="2"/>
  <c r="M2635" i="2"/>
  <c r="M2634" i="2"/>
  <c r="M2633" i="2"/>
  <c r="M2632" i="2"/>
  <c r="M2631" i="2"/>
  <c r="M2630" i="2"/>
  <c r="M2629" i="2"/>
  <c r="M2628" i="2"/>
  <c r="M2627" i="2"/>
  <c r="M2626" i="2"/>
  <c r="M2625" i="2"/>
  <c r="M2624" i="2"/>
  <c r="M2623" i="2"/>
  <c r="M2622" i="2"/>
  <c r="M2621" i="2"/>
  <c r="M2620" i="2"/>
  <c r="M2619" i="2"/>
  <c r="M2618" i="2"/>
  <c r="M2617" i="2"/>
  <c r="M2616" i="2"/>
  <c r="M2615" i="2"/>
  <c r="M2614" i="2"/>
  <c r="M2613" i="2"/>
  <c r="M2612" i="2"/>
  <c r="M2611" i="2"/>
  <c r="M2610" i="2"/>
  <c r="M2609" i="2"/>
  <c r="M2608" i="2"/>
  <c r="M2607" i="2"/>
  <c r="M2606" i="2"/>
  <c r="M2605" i="2"/>
  <c r="M2604" i="2"/>
  <c r="M2603" i="2"/>
  <c r="M2602" i="2"/>
  <c r="M2601" i="2"/>
  <c r="M2600" i="2"/>
  <c r="M2599" i="2"/>
  <c r="M2598" i="2"/>
  <c r="M2597" i="2"/>
  <c r="M2596" i="2"/>
  <c r="M2595" i="2"/>
  <c r="M2594" i="2"/>
  <c r="M2593" i="2"/>
  <c r="M2592" i="2"/>
  <c r="M2591" i="2"/>
  <c r="M2590" i="2"/>
  <c r="M2589" i="2"/>
  <c r="M2588" i="2"/>
  <c r="M2587" i="2"/>
  <c r="M2586" i="2"/>
  <c r="M2585" i="2"/>
  <c r="M2584" i="2"/>
  <c r="M2583" i="2"/>
  <c r="M2582" i="2"/>
  <c r="M2581" i="2"/>
  <c r="M2580" i="2"/>
  <c r="M2579" i="2"/>
  <c r="M2578" i="2"/>
  <c r="M2577" i="2"/>
  <c r="M2576" i="2"/>
  <c r="M2575" i="2"/>
  <c r="M2574" i="2"/>
  <c r="M2573" i="2"/>
  <c r="M2572" i="2"/>
  <c r="M2571" i="2"/>
  <c r="M2570" i="2"/>
  <c r="M2569" i="2"/>
  <c r="M2568" i="2"/>
  <c r="M2567" i="2"/>
  <c r="M2566" i="2"/>
  <c r="M2565" i="2"/>
  <c r="M2564" i="2"/>
  <c r="M2563" i="2"/>
  <c r="M2562" i="2"/>
  <c r="M2561" i="2"/>
  <c r="M2560" i="2"/>
  <c r="M2559" i="2"/>
  <c r="M2558" i="2"/>
  <c r="M2557" i="2"/>
  <c r="M2556" i="2"/>
  <c r="M2555" i="2"/>
  <c r="M2554" i="2"/>
  <c r="M2553" i="2"/>
  <c r="M2552" i="2"/>
  <c r="M2551" i="2"/>
  <c r="M2550" i="2"/>
  <c r="M2549" i="2"/>
  <c r="M2548" i="2"/>
  <c r="M2547" i="2"/>
  <c r="M2546" i="2"/>
  <c r="M2545" i="2"/>
  <c r="M2544" i="2"/>
  <c r="M2543" i="2"/>
  <c r="M2542" i="2"/>
  <c r="M2541" i="2"/>
  <c r="M2540" i="2"/>
  <c r="M2539" i="2"/>
  <c r="M2538" i="2"/>
  <c r="M2537" i="2"/>
  <c r="M2536" i="2"/>
  <c r="M2535" i="2"/>
  <c r="M2534" i="2"/>
  <c r="M2533" i="2"/>
  <c r="M2532" i="2"/>
  <c r="M2531" i="2"/>
  <c r="M2530" i="2"/>
  <c r="M2529" i="2"/>
  <c r="M2528" i="2"/>
  <c r="M2527" i="2"/>
  <c r="M2526" i="2"/>
  <c r="M2525" i="2"/>
  <c r="M2524" i="2"/>
  <c r="M2523" i="2"/>
  <c r="M2522" i="2"/>
  <c r="M2521" i="2"/>
  <c r="M2520" i="2"/>
  <c r="M2519" i="2"/>
  <c r="M2518" i="2"/>
  <c r="M2517" i="2"/>
  <c r="M2516" i="2"/>
  <c r="M2515" i="2"/>
  <c r="M2514" i="2"/>
  <c r="M2513" i="2"/>
  <c r="M2512" i="2"/>
  <c r="M2511" i="2"/>
  <c r="M2510" i="2"/>
  <c r="M2509" i="2"/>
  <c r="M2508" i="2"/>
  <c r="M2507" i="2"/>
  <c r="M2506" i="2"/>
  <c r="M2505" i="2"/>
  <c r="M2504" i="2"/>
  <c r="M2503" i="2"/>
  <c r="M2502" i="2"/>
  <c r="M2501" i="2"/>
  <c r="M2500" i="2"/>
  <c r="M2499" i="2"/>
  <c r="M2498" i="2"/>
  <c r="M2497" i="2"/>
  <c r="M2496" i="2"/>
  <c r="M2495" i="2"/>
  <c r="M2494" i="2"/>
  <c r="M2493" i="2"/>
  <c r="M2492" i="2"/>
  <c r="M2491" i="2"/>
  <c r="M2490" i="2"/>
  <c r="M2489" i="2"/>
  <c r="M2488" i="2"/>
  <c r="M2487" i="2"/>
  <c r="M2486" i="2"/>
  <c r="M2485" i="2"/>
  <c r="M2484" i="2"/>
  <c r="M2483" i="2"/>
  <c r="M2482" i="2"/>
  <c r="M2481" i="2"/>
  <c r="M2480" i="2"/>
  <c r="M2479" i="2"/>
  <c r="M2478" i="2"/>
  <c r="M2477" i="2"/>
  <c r="M2476" i="2"/>
  <c r="M2475" i="2"/>
  <c r="M2474" i="2"/>
  <c r="M2473" i="2"/>
  <c r="M2472" i="2"/>
  <c r="M2471" i="2"/>
  <c r="M2470" i="2"/>
  <c r="M2469" i="2"/>
  <c r="M2468" i="2"/>
  <c r="M2467" i="2"/>
  <c r="M2466" i="2"/>
  <c r="M2465" i="2"/>
  <c r="M2464" i="2"/>
  <c r="M2463" i="2"/>
  <c r="M2462" i="2"/>
  <c r="M2461" i="2"/>
  <c r="M2460" i="2"/>
  <c r="M2459" i="2"/>
  <c r="M2458" i="2"/>
  <c r="M2457" i="2"/>
  <c r="M2456" i="2"/>
  <c r="M2455" i="2"/>
  <c r="M2454" i="2"/>
  <c r="M2453" i="2"/>
  <c r="M2452" i="2"/>
  <c r="M2451" i="2"/>
  <c r="M2450" i="2"/>
  <c r="M2449" i="2"/>
  <c r="M2448" i="2"/>
  <c r="M2447" i="2"/>
  <c r="M2446" i="2"/>
  <c r="M2445" i="2"/>
  <c r="M2444" i="2"/>
  <c r="M2443" i="2"/>
  <c r="M2442" i="2"/>
  <c r="M2441" i="2"/>
  <c r="M2440" i="2"/>
  <c r="M2439" i="2"/>
  <c r="M2438" i="2"/>
  <c r="M2437" i="2"/>
  <c r="M2436" i="2"/>
  <c r="M2435" i="2"/>
  <c r="M2434" i="2"/>
  <c r="M2433" i="2"/>
  <c r="M2432" i="2"/>
  <c r="M2431" i="2"/>
  <c r="M2430" i="2"/>
  <c r="M2429" i="2"/>
  <c r="M2428" i="2"/>
  <c r="M2427" i="2"/>
  <c r="M2426" i="2"/>
  <c r="M2425" i="2"/>
  <c r="M2424" i="2"/>
  <c r="M2423" i="2"/>
  <c r="M2422" i="2"/>
  <c r="M2421" i="2"/>
  <c r="M2420" i="2"/>
  <c r="M2419" i="2"/>
  <c r="M2418" i="2"/>
  <c r="M2417" i="2"/>
  <c r="M2416" i="2"/>
  <c r="M2415" i="2"/>
  <c r="M2414" i="2"/>
  <c r="M2413" i="2"/>
  <c r="M2412" i="2"/>
  <c r="M2411" i="2"/>
  <c r="M2410" i="2"/>
  <c r="M2409" i="2"/>
  <c r="M2408" i="2"/>
  <c r="M2407" i="2"/>
  <c r="M2406" i="2"/>
  <c r="M2405" i="2"/>
  <c r="M2404" i="2"/>
  <c r="M2403" i="2"/>
  <c r="M2402" i="2"/>
  <c r="M2401" i="2"/>
  <c r="M2400" i="2"/>
  <c r="M2399" i="2"/>
  <c r="M2398" i="2"/>
  <c r="M2397" i="2"/>
  <c r="M2396" i="2"/>
  <c r="M2395" i="2"/>
  <c r="M2394" i="2"/>
  <c r="M2393" i="2"/>
  <c r="M2392" i="2"/>
  <c r="M2391" i="2"/>
  <c r="M2390" i="2"/>
  <c r="M2389" i="2"/>
  <c r="M2388" i="2"/>
  <c r="M2387" i="2"/>
  <c r="M2386" i="2"/>
  <c r="M2385" i="2"/>
  <c r="M2384" i="2"/>
  <c r="M2383" i="2"/>
  <c r="M2382" i="2"/>
  <c r="M2381" i="2"/>
  <c r="M2380" i="2"/>
  <c r="M2379" i="2"/>
  <c r="M2378" i="2"/>
  <c r="M2377" i="2"/>
  <c r="M2376" i="2"/>
  <c r="M2375" i="2"/>
  <c r="M2374" i="2"/>
  <c r="M2373" i="2"/>
  <c r="M2372" i="2"/>
  <c r="M2371" i="2"/>
  <c r="M2370" i="2"/>
  <c r="M2369" i="2"/>
  <c r="M2368" i="2"/>
  <c r="M2367" i="2"/>
  <c r="M2366" i="2"/>
  <c r="M2365" i="2"/>
  <c r="M2364" i="2"/>
  <c r="M2363" i="2"/>
  <c r="M2362" i="2"/>
  <c r="M2361" i="2"/>
  <c r="M2360" i="2"/>
  <c r="M2359" i="2"/>
  <c r="M2358" i="2"/>
  <c r="M2357" i="2"/>
  <c r="M2356" i="2"/>
  <c r="M2355" i="2"/>
  <c r="M2354" i="2"/>
  <c r="M2353" i="2"/>
  <c r="M2352" i="2"/>
  <c r="M2351" i="2"/>
  <c r="M2350" i="2"/>
  <c r="M2349" i="2"/>
  <c r="M2348" i="2"/>
  <c r="M2347" i="2"/>
  <c r="M2346" i="2"/>
  <c r="M2345" i="2"/>
  <c r="M2344" i="2"/>
  <c r="M2343" i="2"/>
  <c r="M2342" i="2"/>
  <c r="M2341" i="2"/>
  <c r="M2340" i="2"/>
  <c r="M2339" i="2"/>
  <c r="M2338" i="2"/>
  <c r="M2337" i="2"/>
  <c r="M2336" i="2"/>
  <c r="M2335" i="2"/>
  <c r="M2334" i="2"/>
  <c r="M2333" i="2"/>
  <c r="M2332" i="2"/>
  <c r="M2331" i="2"/>
  <c r="M2330" i="2"/>
  <c r="M2329" i="2"/>
  <c r="M2328" i="2"/>
  <c r="M2327" i="2"/>
  <c r="M2326" i="2"/>
  <c r="M2325" i="2"/>
  <c r="M2324" i="2"/>
  <c r="M2323" i="2"/>
  <c r="M2322" i="2"/>
  <c r="M2321" i="2"/>
  <c r="M2320" i="2"/>
  <c r="M2319" i="2"/>
  <c r="M2318" i="2"/>
  <c r="M2317" i="2"/>
  <c r="M2316" i="2"/>
  <c r="M2315" i="2"/>
  <c r="M2314" i="2"/>
  <c r="M2313" i="2"/>
  <c r="M2312" i="2"/>
  <c r="M2311" i="2"/>
  <c r="M2310" i="2"/>
  <c r="M2309" i="2"/>
  <c r="M2308" i="2"/>
  <c r="M2307" i="2"/>
  <c r="M2306" i="2"/>
  <c r="M2305" i="2"/>
  <c r="M2304" i="2"/>
  <c r="M2303" i="2"/>
  <c r="M2302" i="2"/>
  <c r="M2301" i="2"/>
  <c r="M2300" i="2"/>
  <c r="M2299" i="2"/>
  <c r="M2298" i="2"/>
  <c r="M2297" i="2"/>
  <c r="M2296" i="2"/>
  <c r="M2295" i="2"/>
  <c r="M2294" i="2"/>
  <c r="M2293" i="2"/>
  <c r="M2292" i="2"/>
  <c r="M2291" i="2"/>
  <c r="M2290" i="2"/>
  <c r="M2289" i="2"/>
  <c r="M2288" i="2"/>
  <c r="M2287" i="2"/>
  <c r="M2286" i="2"/>
  <c r="M2285" i="2"/>
  <c r="M2284" i="2"/>
  <c r="M2283" i="2"/>
  <c r="M2282" i="2"/>
  <c r="M2281" i="2"/>
  <c r="M2280" i="2"/>
  <c r="M2279" i="2"/>
  <c r="M2278" i="2"/>
  <c r="M2277" i="2"/>
  <c r="M2276" i="2"/>
  <c r="M2275" i="2"/>
  <c r="M2274" i="2"/>
  <c r="M2273" i="2"/>
  <c r="M2272" i="2"/>
  <c r="M2271" i="2"/>
  <c r="M2270" i="2"/>
  <c r="M2269" i="2"/>
  <c r="M2268" i="2"/>
  <c r="M2267" i="2"/>
  <c r="M2266" i="2"/>
  <c r="M2265" i="2"/>
  <c r="M2264" i="2"/>
  <c r="M2263" i="2"/>
  <c r="M2262" i="2"/>
  <c r="M2261" i="2"/>
  <c r="M2260" i="2"/>
  <c r="M2259" i="2"/>
  <c r="M2258" i="2"/>
  <c r="M2257" i="2"/>
  <c r="M2256" i="2"/>
  <c r="M2255" i="2"/>
  <c r="M2254" i="2"/>
  <c r="M2253" i="2"/>
  <c r="M2252" i="2"/>
  <c r="M2251" i="2"/>
  <c r="M2250" i="2"/>
  <c r="M2249" i="2"/>
  <c r="M2248" i="2"/>
  <c r="M2247" i="2"/>
  <c r="M2246" i="2"/>
  <c r="M2245" i="2"/>
  <c r="M2244" i="2"/>
  <c r="M2243" i="2"/>
  <c r="M2242" i="2"/>
  <c r="M2241" i="2"/>
  <c r="M2240" i="2"/>
  <c r="M2239" i="2"/>
  <c r="M2238" i="2"/>
  <c r="M2237" i="2"/>
  <c r="M2236" i="2"/>
  <c r="M2235" i="2"/>
  <c r="M2234" i="2"/>
  <c r="M2233" i="2"/>
  <c r="M2232" i="2"/>
  <c r="M2231" i="2"/>
  <c r="M2230" i="2"/>
  <c r="M2229" i="2"/>
  <c r="M2228" i="2"/>
  <c r="M2227" i="2"/>
  <c r="M2226" i="2"/>
  <c r="M2225" i="2"/>
  <c r="M2224" i="2"/>
  <c r="M2223" i="2"/>
  <c r="M2222" i="2"/>
  <c r="M2221" i="2"/>
  <c r="M2220" i="2"/>
  <c r="M2219" i="2"/>
  <c r="M2218" i="2"/>
  <c r="M2217" i="2"/>
  <c r="M2216" i="2"/>
  <c r="M2215" i="2"/>
  <c r="M2214" i="2"/>
  <c r="M2213" i="2"/>
  <c r="M2212" i="2"/>
  <c r="M2211" i="2"/>
  <c r="M2210" i="2"/>
  <c r="M2209" i="2"/>
  <c r="M2208" i="2"/>
  <c r="M2207" i="2"/>
  <c r="M2206" i="2"/>
  <c r="M2205" i="2"/>
  <c r="M2204" i="2"/>
  <c r="M2203" i="2"/>
  <c r="M2202" i="2"/>
  <c r="M2201" i="2"/>
  <c r="M2200" i="2"/>
  <c r="M2199" i="2"/>
  <c r="M2198" i="2"/>
  <c r="M2197" i="2"/>
  <c r="M2196" i="2"/>
  <c r="M2195" i="2"/>
  <c r="M2194" i="2"/>
  <c r="M2193" i="2"/>
  <c r="M2192" i="2"/>
  <c r="M2191" i="2"/>
  <c r="M2190" i="2"/>
  <c r="M2189" i="2"/>
  <c r="M2188" i="2"/>
  <c r="M2187" i="2"/>
  <c r="M2186" i="2"/>
  <c r="M2185" i="2"/>
  <c r="M2184" i="2"/>
  <c r="M2183" i="2"/>
  <c r="M2182" i="2"/>
  <c r="M2181" i="2"/>
  <c r="M2180" i="2"/>
  <c r="M2179" i="2"/>
  <c r="M2178" i="2"/>
  <c r="M2177" i="2"/>
  <c r="M2176" i="2"/>
  <c r="M2175" i="2"/>
  <c r="M2174" i="2"/>
  <c r="M2173" i="2"/>
  <c r="M2172" i="2"/>
  <c r="M2171" i="2"/>
  <c r="M2170" i="2"/>
  <c r="M2169" i="2"/>
  <c r="M2168" i="2"/>
  <c r="M2167" i="2"/>
  <c r="M2166" i="2"/>
  <c r="M2165" i="2"/>
  <c r="M2164" i="2"/>
  <c r="M2163" i="2"/>
  <c r="M2162" i="2"/>
  <c r="M2161" i="2"/>
  <c r="M2160" i="2"/>
  <c r="M2159" i="2"/>
  <c r="M2158" i="2"/>
  <c r="M2157" i="2"/>
  <c r="M2156" i="2"/>
  <c r="M2155" i="2"/>
  <c r="M2154" i="2"/>
  <c r="M2153" i="2"/>
  <c r="M2152" i="2"/>
  <c r="M2151" i="2"/>
  <c r="M2150" i="2"/>
  <c r="M2149" i="2"/>
  <c r="M2148" i="2"/>
  <c r="M2147" i="2"/>
  <c r="M2146" i="2"/>
  <c r="M2145" i="2"/>
  <c r="M2144" i="2"/>
  <c r="M2143" i="2"/>
  <c r="M2142" i="2"/>
  <c r="M2141" i="2"/>
  <c r="M2140" i="2"/>
  <c r="M2139" i="2"/>
  <c r="M2138" i="2"/>
  <c r="M2137" i="2"/>
  <c r="M2136" i="2"/>
  <c r="M2135" i="2"/>
  <c r="M2134" i="2"/>
  <c r="M2133" i="2"/>
  <c r="M2132" i="2"/>
  <c r="M2131" i="2"/>
  <c r="M2130" i="2"/>
  <c r="M2129" i="2"/>
  <c r="M2128" i="2"/>
  <c r="M2127" i="2"/>
  <c r="M2126" i="2"/>
  <c r="M2125" i="2"/>
  <c r="M2124" i="2"/>
  <c r="M2123" i="2"/>
  <c r="M2122" i="2"/>
  <c r="M2121" i="2"/>
  <c r="M2120" i="2"/>
  <c r="M2119" i="2"/>
  <c r="M2118" i="2"/>
  <c r="M2117" i="2"/>
  <c r="M2116" i="2"/>
  <c r="M2115" i="2"/>
  <c r="M2114" i="2"/>
  <c r="M2113" i="2"/>
  <c r="M2112" i="2"/>
  <c r="M2111" i="2"/>
  <c r="M2110" i="2"/>
  <c r="M2109" i="2"/>
  <c r="M2108" i="2"/>
  <c r="M2107" i="2"/>
  <c r="M2106" i="2"/>
  <c r="M2105" i="2"/>
  <c r="M2104" i="2"/>
  <c r="M2103" i="2"/>
  <c r="M2102" i="2"/>
  <c r="M2101" i="2"/>
  <c r="M2100" i="2"/>
  <c r="M2099" i="2"/>
  <c r="M2098" i="2"/>
  <c r="M2097" i="2"/>
  <c r="M2096" i="2"/>
  <c r="M2095" i="2"/>
  <c r="M2094" i="2"/>
  <c r="M2093" i="2"/>
  <c r="M2092" i="2"/>
  <c r="M2091" i="2"/>
  <c r="M2090" i="2"/>
  <c r="M2089" i="2"/>
  <c r="M2088" i="2"/>
  <c r="M2087" i="2"/>
  <c r="M2086" i="2"/>
  <c r="M2085" i="2"/>
  <c r="M2084" i="2"/>
  <c r="M2083" i="2"/>
  <c r="M2082" i="2"/>
  <c r="M2081" i="2"/>
  <c r="M2080" i="2"/>
  <c r="M2079" i="2"/>
  <c r="M2078" i="2"/>
  <c r="M2077" i="2"/>
  <c r="M2076" i="2"/>
  <c r="M2075" i="2"/>
  <c r="M2074" i="2"/>
  <c r="M2073" i="2"/>
  <c r="M2072" i="2"/>
  <c r="M2071" i="2"/>
  <c r="M2070" i="2"/>
  <c r="M2069" i="2"/>
  <c r="M2068" i="2"/>
  <c r="M2067" i="2"/>
  <c r="M2066" i="2"/>
  <c r="M2065" i="2"/>
  <c r="M2064" i="2"/>
  <c r="M2063" i="2"/>
  <c r="M2062" i="2"/>
  <c r="M2061" i="2"/>
  <c r="M2060" i="2"/>
  <c r="M2059" i="2"/>
  <c r="M2058" i="2"/>
  <c r="M2057" i="2"/>
  <c r="M2056" i="2"/>
  <c r="M2055" i="2"/>
  <c r="M2054" i="2"/>
  <c r="M2053" i="2"/>
  <c r="M2052" i="2"/>
  <c r="M2051" i="2"/>
  <c r="M2050" i="2"/>
  <c r="M2049" i="2"/>
  <c r="M2048" i="2"/>
  <c r="M2047" i="2"/>
  <c r="M2046" i="2"/>
  <c r="M2045" i="2"/>
  <c r="M2044" i="2"/>
  <c r="M2043" i="2"/>
  <c r="M2042" i="2"/>
  <c r="M2041" i="2"/>
  <c r="M2040" i="2"/>
  <c r="M2039" i="2"/>
  <c r="M2038" i="2"/>
  <c r="M2037" i="2"/>
  <c r="M2036" i="2"/>
  <c r="M2035" i="2"/>
  <c r="M2034" i="2"/>
  <c r="M2033" i="2"/>
  <c r="M2032" i="2"/>
  <c r="M2031" i="2"/>
  <c r="M2030" i="2"/>
  <c r="M2029" i="2"/>
  <c r="M2028" i="2"/>
  <c r="M2027" i="2"/>
  <c r="M2026" i="2"/>
  <c r="M2025" i="2"/>
  <c r="M2024" i="2"/>
  <c r="M2023" i="2"/>
  <c r="M2022" i="2"/>
  <c r="M2021" i="2"/>
  <c r="M2020" i="2"/>
  <c r="M2019" i="2"/>
  <c r="M2018" i="2"/>
  <c r="M2017" i="2"/>
  <c r="M2016" i="2"/>
  <c r="M2015" i="2"/>
  <c r="M2014" i="2"/>
  <c r="M2013" i="2"/>
  <c r="M2012" i="2"/>
  <c r="M2011" i="2"/>
  <c r="M2010" i="2"/>
  <c r="M2009" i="2"/>
  <c r="M2008" i="2"/>
  <c r="M2007" i="2"/>
  <c r="M2006" i="2"/>
  <c r="M2005" i="2"/>
  <c r="M2004" i="2"/>
  <c r="M2003" i="2"/>
  <c r="M2002" i="2"/>
  <c r="M2001" i="2"/>
  <c r="M2000" i="2"/>
  <c r="M1999" i="2"/>
  <c r="M1998" i="2"/>
  <c r="M1997" i="2"/>
  <c r="M1996" i="2"/>
  <c r="M1995" i="2"/>
  <c r="M1994" i="2"/>
  <c r="M1993" i="2"/>
  <c r="M1992" i="2"/>
  <c r="M1991" i="2"/>
  <c r="M1990" i="2"/>
  <c r="M1989" i="2"/>
  <c r="M1988" i="2"/>
  <c r="M1987" i="2"/>
  <c r="M1986" i="2"/>
  <c r="M1985" i="2"/>
  <c r="M1984" i="2"/>
  <c r="M1983" i="2"/>
  <c r="M1982" i="2"/>
  <c r="M1981" i="2"/>
  <c r="M1980" i="2"/>
  <c r="M1979" i="2"/>
  <c r="M1978" i="2"/>
  <c r="M1977" i="2"/>
  <c r="M1976" i="2"/>
  <c r="M1975" i="2"/>
  <c r="M1974" i="2"/>
  <c r="M1973" i="2"/>
  <c r="M1972" i="2"/>
  <c r="M1971" i="2"/>
  <c r="M1970" i="2"/>
  <c r="M1969" i="2"/>
  <c r="M1968" i="2"/>
  <c r="M1967" i="2"/>
  <c r="M1966" i="2"/>
  <c r="M1965" i="2"/>
  <c r="M1964" i="2"/>
  <c r="M1963" i="2"/>
  <c r="M1962" i="2"/>
  <c r="M1961" i="2"/>
  <c r="M1960" i="2"/>
  <c r="M1959" i="2"/>
  <c r="M1958" i="2"/>
  <c r="M1957" i="2"/>
  <c r="M1956" i="2"/>
  <c r="M1955" i="2"/>
  <c r="M1954" i="2"/>
  <c r="M1953" i="2"/>
  <c r="M1952" i="2"/>
  <c r="M1951" i="2"/>
  <c r="M1950" i="2"/>
  <c r="M1949" i="2"/>
  <c r="M1948" i="2"/>
  <c r="M1947" i="2"/>
  <c r="M1946" i="2"/>
  <c r="M1945" i="2"/>
  <c r="M1944" i="2"/>
  <c r="M1943" i="2"/>
  <c r="M1942" i="2"/>
  <c r="M1941" i="2"/>
  <c r="M1940" i="2"/>
  <c r="M1939" i="2"/>
  <c r="M1938" i="2"/>
  <c r="M1937" i="2"/>
  <c r="M1936" i="2"/>
  <c r="M1935" i="2"/>
  <c r="M1934" i="2"/>
  <c r="M1933" i="2"/>
  <c r="M1932" i="2"/>
  <c r="M1931" i="2"/>
  <c r="M1930" i="2"/>
  <c r="M1929" i="2"/>
  <c r="M1928" i="2"/>
  <c r="M1927" i="2"/>
  <c r="M1926" i="2"/>
  <c r="M1925" i="2"/>
  <c r="M1924" i="2"/>
  <c r="M1923" i="2"/>
  <c r="M1922" i="2"/>
  <c r="M1921" i="2"/>
  <c r="M1920" i="2"/>
  <c r="M1919" i="2"/>
  <c r="M1918" i="2"/>
  <c r="M1917" i="2"/>
  <c r="M1916" i="2"/>
  <c r="M1915" i="2"/>
  <c r="M1914" i="2"/>
  <c r="M1913" i="2"/>
  <c r="M1912" i="2"/>
  <c r="M1911" i="2"/>
  <c r="M1910" i="2"/>
  <c r="M1909" i="2"/>
  <c r="M1908" i="2"/>
  <c r="M1907" i="2"/>
  <c r="M1906" i="2"/>
  <c r="M1905" i="2"/>
  <c r="M1904" i="2"/>
  <c r="M1903" i="2"/>
  <c r="M1902" i="2"/>
  <c r="M1901" i="2"/>
  <c r="M1900" i="2"/>
  <c r="M1899" i="2"/>
  <c r="M1898" i="2"/>
  <c r="M1897" i="2"/>
  <c r="M1896" i="2"/>
  <c r="M1895" i="2"/>
  <c r="M1894" i="2"/>
  <c r="M1893" i="2"/>
  <c r="M1892" i="2"/>
  <c r="M1891" i="2"/>
  <c r="M1890" i="2"/>
  <c r="M1889" i="2"/>
  <c r="M1888" i="2"/>
  <c r="M1887" i="2"/>
  <c r="M1886" i="2"/>
  <c r="M1885" i="2"/>
  <c r="M1884" i="2"/>
  <c r="M1883" i="2"/>
  <c r="M1882" i="2"/>
  <c r="M1881" i="2"/>
  <c r="M1880" i="2"/>
  <c r="M1879" i="2"/>
  <c r="M1878" i="2"/>
  <c r="M1877" i="2"/>
  <c r="M1876" i="2"/>
  <c r="M1875" i="2"/>
  <c r="M1874" i="2"/>
  <c r="M1873" i="2"/>
  <c r="M1872" i="2"/>
  <c r="M1871" i="2"/>
  <c r="M1870" i="2"/>
  <c r="M1869" i="2"/>
  <c r="M1868" i="2"/>
  <c r="M1867" i="2"/>
  <c r="M1866" i="2"/>
  <c r="M1865" i="2"/>
  <c r="M1864" i="2"/>
  <c r="M1863" i="2"/>
  <c r="M1862" i="2"/>
  <c r="M1861" i="2"/>
  <c r="M1860" i="2"/>
  <c r="M1859" i="2"/>
  <c r="M1858" i="2"/>
  <c r="M1857" i="2"/>
  <c r="M1856" i="2"/>
  <c r="M1855" i="2"/>
  <c r="M1854" i="2"/>
  <c r="M1853" i="2"/>
  <c r="M1852" i="2"/>
  <c r="M1851" i="2"/>
  <c r="M1850" i="2"/>
  <c r="M1849" i="2"/>
  <c r="M1848" i="2"/>
  <c r="M1847" i="2"/>
  <c r="M1846" i="2"/>
  <c r="M1845" i="2"/>
  <c r="M1844" i="2"/>
  <c r="M1843" i="2"/>
  <c r="M1842" i="2"/>
  <c r="M1841" i="2"/>
  <c r="M1840" i="2"/>
  <c r="M1839" i="2"/>
  <c r="M1838" i="2"/>
  <c r="M1837" i="2"/>
  <c r="M1836" i="2"/>
  <c r="M1835" i="2"/>
  <c r="M1834" i="2"/>
  <c r="M1833" i="2"/>
  <c r="M1832" i="2"/>
  <c r="M1831" i="2"/>
  <c r="M1830" i="2"/>
  <c r="M1829" i="2"/>
  <c r="M1828" i="2"/>
  <c r="M1827" i="2"/>
  <c r="M1826" i="2"/>
  <c r="M1825" i="2"/>
  <c r="M1824" i="2"/>
  <c r="M1823" i="2"/>
  <c r="M1822" i="2"/>
  <c r="M1821" i="2"/>
  <c r="M1820" i="2"/>
  <c r="M1819" i="2"/>
  <c r="M1818" i="2"/>
  <c r="M1817" i="2"/>
  <c r="M1816" i="2"/>
  <c r="M1815" i="2"/>
  <c r="M1814" i="2"/>
  <c r="M1813" i="2"/>
  <c r="M1812" i="2"/>
  <c r="M1811" i="2"/>
  <c r="M1810" i="2"/>
  <c r="M1809" i="2"/>
  <c r="M1808" i="2"/>
  <c r="M1807" i="2"/>
  <c r="M1806" i="2"/>
  <c r="M1805" i="2"/>
  <c r="M1804" i="2"/>
  <c r="M1803" i="2"/>
  <c r="M1802" i="2"/>
  <c r="M1801" i="2"/>
  <c r="M1800" i="2"/>
  <c r="M1799" i="2"/>
  <c r="M1798" i="2"/>
  <c r="M1797" i="2"/>
  <c r="M1796" i="2"/>
  <c r="M1795" i="2"/>
  <c r="M1794" i="2"/>
  <c r="M1793" i="2"/>
  <c r="M1792" i="2"/>
  <c r="M1791" i="2"/>
  <c r="M1790" i="2"/>
  <c r="M1789" i="2"/>
  <c r="M1788" i="2"/>
  <c r="M1787" i="2"/>
  <c r="M1786" i="2"/>
  <c r="M1785" i="2"/>
  <c r="M1784" i="2"/>
  <c r="M1783" i="2"/>
  <c r="M1782" i="2"/>
  <c r="M1781" i="2"/>
  <c r="M1780" i="2"/>
  <c r="M1779" i="2"/>
  <c r="M1778" i="2"/>
  <c r="M1777" i="2"/>
  <c r="M1776" i="2"/>
  <c r="M1775" i="2"/>
  <c r="M1774" i="2"/>
  <c r="M1773" i="2"/>
  <c r="M1772" i="2"/>
  <c r="M1771" i="2"/>
  <c r="M1770" i="2"/>
  <c r="M1769" i="2"/>
  <c r="M1768" i="2"/>
  <c r="M1767" i="2"/>
  <c r="M1766" i="2"/>
  <c r="M1765" i="2"/>
  <c r="M1764" i="2"/>
  <c r="M1763" i="2"/>
  <c r="M1762" i="2"/>
  <c r="M1761" i="2"/>
  <c r="M1760" i="2"/>
  <c r="M1759" i="2"/>
  <c r="M1758" i="2"/>
  <c r="M1757" i="2"/>
  <c r="M1756" i="2"/>
  <c r="M1755" i="2"/>
  <c r="M1754" i="2"/>
  <c r="M1753" i="2"/>
  <c r="M1752" i="2"/>
  <c r="M1751" i="2"/>
  <c r="M1750" i="2"/>
  <c r="M1749" i="2"/>
  <c r="M1748" i="2"/>
  <c r="M1747" i="2"/>
  <c r="M1746" i="2"/>
  <c r="M1745" i="2"/>
  <c r="M1744" i="2"/>
  <c r="M1743" i="2"/>
  <c r="M1742" i="2"/>
  <c r="M1741" i="2"/>
  <c r="M1740" i="2"/>
  <c r="M1739" i="2"/>
  <c r="M1738" i="2"/>
  <c r="M1737" i="2"/>
  <c r="M1736" i="2"/>
  <c r="M1735" i="2"/>
  <c r="M1734" i="2"/>
  <c r="M1733" i="2"/>
  <c r="M1732" i="2"/>
  <c r="M1731" i="2"/>
  <c r="M1730" i="2"/>
  <c r="M1729" i="2"/>
  <c r="M1728" i="2"/>
  <c r="M1727" i="2"/>
  <c r="M1726" i="2"/>
  <c r="M1725" i="2"/>
  <c r="M1724" i="2"/>
  <c r="M1723" i="2"/>
  <c r="M1722" i="2"/>
  <c r="M1721" i="2"/>
  <c r="M1720" i="2"/>
  <c r="M1719" i="2"/>
  <c r="M1718" i="2"/>
  <c r="M1717" i="2"/>
  <c r="M1716" i="2"/>
  <c r="M1715" i="2"/>
  <c r="M1714" i="2"/>
  <c r="M1713" i="2"/>
  <c r="M1712" i="2"/>
  <c r="M1711" i="2"/>
  <c r="M1710" i="2"/>
  <c r="M1709" i="2"/>
  <c r="M1708" i="2"/>
  <c r="M1707" i="2"/>
  <c r="M1706" i="2"/>
  <c r="M1705" i="2"/>
  <c r="M1704" i="2"/>
  <c r="M1703" i="2"/>
  <c r="M1702" i="2"/>
  <c r="M1701" i="2"/>
  <c r="M1700" i="2"/>
  <c r="M1699" i="2"/>
  <c r="M1698" i="2"/>
  <c r="M1697" i="2"/>
  <c r="M1696" i="2"/>
  <c r="M1695" i="2"/>
  <c r="M1694" i="2"/>
  <c r="M1693" i="2"/>
  <c r="M1692" i="2"/>
  <c r="M1691" i="2"/>
  <c r="M1690" i="2"/>
  <c r="M1689" i="2"/>
  <c r="M1688" i="2"/>
  <c r="M1687" i="2"/>
  <c r="M1686" i="2"/>
  <c r="M1685" i="2"/>
  <c r="M1684" i="2"/>
  <c r="M1683" i="2"/>
  <c r="M1682" i="2"/>
  <c r="M1681" i="2"/>
  <c r="M1680" i="2"/>
  <c r="M1679" i="2"/>
  <c r="M1678" i="2"/>
  <c r="M1677" i="2"/>
  <c r="M1676" i="2"/>
  <c r="M1675" i="2"/>
  <c r="M1674" i="2"/>
  <c r="M1673" i="2"/>
  <c r="M1672" i="2"/>
  <c r="M1671" i="2"/>
  <c r="M1670" i="2"/>
  <c r="M1669" i="2"/>
  <c r="M1668" i="2"/>
  <c r="M1667" i="2"/>
  <c r="M1666" i="2"/>
  <c r="M1665" i="2"/>
  <c r="M1664" i="2"/>
  <c r="M1663" i="2"/>
  <c r="M1662" i="2"/>
  <c r="M1661" i="2"/>
  <c r="M1660" i="2"/>
  <c r="M1659" i="2"/>
  <c r="M1658" i="2"/>
  <c r="M1657" i="2"/>
  <c r="M1656" i="2"/>
  <c r="M1655" i="2"/>
  <c r="M1654" i="2"/>
  <c r="M1653" i="2"/>
  <c r="M1652" i="2"/>
  <c r="M1651" i="2"/>
  <c r="M1650" i="2"/>
  <c r="M1649" i="2"/>
  <c r="M1648" i="2"/>
  <c r="M1647" i="2"/>
  <c r="M1646" i="2"/>
  <c r="M1645" i="2"/>
  <c r="M1644" i="2"/>
  <c r="M1643" i="2"/>
  <c r="M1642" i="2"/>
  <c r="M1641" i="2"/>
  <c r="M1640" i="2"/>
  <c r="M1639" i="2"/>
  <c r="M1638" i="2"/>
  <c r="M1637" i="2"/>
  <c r="M1636" i="2"/>
  <c r="M1635" i="2"/>
  <c r="M1634" i="2"/>
  <c r="M1633" i="2"/>
  <c r="M1632" i="2"/>
  <c r="M1631" i="2"/>
  <c r="M1630" i="2"/>
  <c r="M1629" i="2"/>
  <c r="M1628" i="2"/>
  <c r="M1627" i="2"/>
  <c r="M1626" i="2"/>
  <c r="M1625" i="2"/>
  <c r="M1624" i="2"/>
  <c r="M1623" i="2"/>
  <c r="M1622" i="2"/>
  <c r="M1621" i="2"/>
  <c r="M1620" i="2"/>
  <c r="M1619" i="2"/>
  <c r="M1618" i="2"/>
  <c r="M1617" i="2"/>
  <c r="M1616" i="2"/>
  <c r="M1615" i="2"/>
  <c r="M1614" i="2"/>
  <c r="M1613" i="2"/>
  <c r="M1612" i="2"/>
  <c r="M1611" i="2"/>
  <c r="M1610" i="2"/>
  <c r="M1609" i="2"/>
  <c r="M1608" i="2"/>
  <c r="M1607" i="2"/>
  <c r="M1606" i="2"/>
  <c r="M1605" i="2"/>
  <c r="M1604" i="2"/>
  <c r="M1603" i="2"/>
  <c r="M1602" i="2"/>
  <c r="M1601" i="2"/>
  <c r="M1600" i="2"/>
  <c r="M1599" i="2"/>
  <c r="M1598" i="2"/>
  <c r="M1597" i="2"/>
  <c r="M1596" i="2"/>
  <c r="M1595" i="2"/>
  <c r="M1594" i="2"/>
  <c r="M1593" i="2"/>
  <c r="M1592" i="2"/>
  <c r="M1591" i="2"/>
  <c r="M1590" i="2"/>
  <c r="M1589" i="2"/>
  <c r="M1588" i="2"/>
  <c r="M1587" i="2"/>
  <c r="M1586" i="2"/>
  <c r="M1585" i="2"/>
  <c r="M1584" i="2"/>
  <c r="M1583" i="2"/>
  <c r="M1582" i="2"/>
  <c r="M1581" i="2"/>
  <c r="M1580" i="2"/>
  <c r="M1579" i="2"/>
  <c r="M1578" i="2"/>
  <c r="M1577" i="2"/>
  <c r="M1576" i="2"/>
  <c r="M1575" i="2"/>
  <c r="M1574" i="2"/>
  <c r="M1573" i="2"/>
  <c r="M1572" i="2"/>
  <c r="M1571" i="2"/>
  <c r="M1570" i="2"/>
  <c r="M1569" i="2"/>
  <c r="M1568" i="2"/>
  <c r="M1567" i="2"/>
  <c r="M1566" i="2"/>
  <c r="M1565" i="2"/>
  <c r="M1564" i="2"/>
  <c r="M1563" i="2"/>
  <c r="M1562" i="2"/>
  <c r="M1561" i="2"/>
  <c r="M1560" i="2"/>
  <c r="M1559" i="2"/>
  <c r="M1558" i="2"/>
  <c r="M1557" i="2"/>
  <c r="M1556" i="2"/>
  <c r="M1555" i="2"/>
  <c r="M1554" i="2"/>
  <c r="M1553" i="2"/>
  <c r="M1552" i="2"/>
  <c r="M1551" i="2"/>
  <c r="M1550" i="2"/>
  <c r="M1549" i="2"/>
  <c r="M1548" i="2"/>
  <c r="M1547" i="2"/>
  <c r="M1546" i="2"/>
  <c r="M1545" i="2"/>
  <c r="M1544" i="2"/>
  <c r="M1543" i="2"/>
  <c r="M1542" i="2"/>
  <c r="M1541" i="2"/>
  <c r="M1540" i="2"/>
  <c r="M1539" i="2"/>
  <c r="M1538" i="2"/>
  <c r="M1537" i="2"/>
  <c r="M1536" i="2"/>
  <c r="M1535" i="2"/>
  <c r="M1534" i="2"/>
  <c r="M1533" i="2"/>
  <c r="M1532" i="2"/>
  <c r="M1531" i="2"/>
  <c r="M1530" i="2"/>
  <c r="M1529" i="2"/>
  <c r="M1528" i="2"/>
  <c r="M1527" i="2"/>
  <c r="M1526" i="2"/>
  <c r="M1525" i="2"/>
  <c r="M1524" i="2"/>
  <c r="M1523" i="2"/>
  <c r="M1522" i="2"/>
  <c r="M1521" i="2"/>
  <c r="M1520" i="2"/>
  <c r="M1519" i="2"/>
  <c r="M1518" i="2"/>
  <c r="M1517" i="2"/>
  <c r="M1516" i="2"/>
  <c r="M1515" i="2"/>
  <c r="M1514" i="2"/>
  <c r="M1513" i="2"/>
  <c r="M1512" i="2"/>
  <c r="M1511" i="2"/>
  <c r="M1510" i="2"/>
  <c r="M1509" i="2"/>
  <c r="M1508" i="2"/>
  <c r="M1507" i="2"/>
  <c r="M1506" i="2"/>
  <c r="M1505" i="2"/>
  <c r="M1504" i="2"/>
  <c r="M1503" i="2"/>
  <c r="M1502" i="2"/>
  <c r="M1501" i="2"/>
  <c r="M1500" i="2"/>
  <c r="M1499" i="2"/>
  <c r="M1498" i="2"/>
  <c r="M1497" i="2"/>
  <c r="M1496" i="2"/>
  <c r="M1495" i="2"/>
  <c r="M1494" i="2"/>
  <c r="M1493" i="2"/>
  <c r="M1492" i="2"/>
  <c r="M1491" i="2"/>
  <c r="M1490" i="2"/>
  <c r="M1489" i="2"/>
  <c r="M1488" i="2"/>
  <c r="M1487" i="2"/>
  <c r="M1486" i="2"/>
  <c r="M1485" i="2"/>
  <c r="M1484" i="2"/>
  <c r="M1483" i="2"/>
  <c r="M1482" i="2"/>
  <c r="M1481" i="2"/>
  <c r="M1480" i="2"/>
  <c r="M1479" i="2"/>
  <c r="M1478" i="2"/>
  <c r="M1477" i="2"/>
  <c r="M1476" i="2"/>
  <c r="M1475" i="2"/>
  <c r="M1474" i="2"/>
  <c r="M1473" i="2"/>
  <c r="M1472" i="2"/>
  <c r="M1471" i="2"/>
  <c r="M1470" i="2"/>
  <c r="M1469" i="2"/>
  <c r="M1468" i="2"/>
  <c r="M1467" i="2"/>
  <c r="M1466" i="2"/>
  <c r="M1465" i="2"/>
  <c r="M1464" i="2"/>
  <c r="M1463" i="2"/>
  <c r="M1462" i="2"/>
  <c r="M1461" i="2"/>
  <c r="M1460" i="2"/>
  <c r="M1459" i="2"/>
  <c r="M1458" i="2"/>
  <c r="M1457" i="2"/>
  <c r="M1456" i="2"/>
  <c r="M1455" i="2"/>
  <c r="M1454" i="2"/>
  <c r="M1453" i="2"/>
  <c r="M1452" i="2"/>
  <c r="M1451" i="2"/>
  <c r="M1450" i="2"/>
  <c r="M1449" i="2"/>
  <c r="M1448" i="2"/>
  <c r="M1447" i="2"/>
  <c r="M1446" i="2"/>
  <c r="M1445" i="2"/>
  <c r="M1444" i="2"/>
  <c r="M1443" i="2"/>
  <c r="M1442" i="2"/>
  <c r="M1441" i="2"/>
  <c r="M1440" i="2"/>
  <c r="M1439" i="2"/>
  <c r="M1438" i="2"/>
  <c r="M1437" i="2"/>
  <c r="M1436" i="2"/>
  <c r="M1435" i="2"/>
  <c r="M1434" i="2"/>
  <c r="M1433" i="2"/>
  <c r="M1432" i="2"/>
  <c r="M1431" i="2"/>
  <c r="M1430" i="2"/>
  <c r="M1429" i="2"/>
  <c r="M1428" i="2"/>
  <c r="M1427" i="2"/>
  <c r="M1426" i="2"/>
  <c r="M1425" i="2"/>
  <c r="M1424" i="2"/>
  <c r="M1423" i="2"/>
  <c r="M1422" i="2"/>
  <c r="M1421" i="2"/>
  <c r="M1420" i="2"/>
  <c r="M1419" i="2"/>
  <c r="M1418" i="2"/>
  <c r="M1417" i="2"/>
  <c r="M1416" i="2"/>
  <c r="M1415" i="2"/>
  <c r="M1414" i="2"/>
  <c r="M1413" i="2"/>
  <c r="M1412" i="2"/>
  <c r="M1411" i="2"/>
  <c r="M1410" i="2"/>
  <c r="M1409" i="2"/>
  <c r="M1408" i="2"/>
  <c r="M1407" i="2"/>
  <c r="M1406" i="2"/>
  <c r="M1405" i="2"/>
  <c r="M1404" i="2"/>
  <c r="M1403" i="2"/>
  <c r="M1402" i="2"/>
  <c r="M1401" i="2"/>
  <c r="M1400" i="2"/>
  <c r="M1399" i="2"/>
  <c r="M1398" i="2"/>
  <c r="M1397" i="2"/>
  <c r="M1396" i="2"/>
  <c r="M1395" i="2"/>
  <c r="M1394" i="2"/>
  <c r="M1393" i="2"/>
  <c r="M1392" i="2"/>
  <c r="M1391" i="2"/>
  <c r="M1390" i="2"/>
  <c r="M1389" i="2"/>
  <c r="M1388" i="2"/>
  <c r="M1387" i="2"/>
  <c r="M1386" i="2"/>
  <c r="M1385" i="2"/>
  <c r="M1384" i="2"/>
  <c r="M1383" i="2"/>
  <c r="M1382" i="2"/>
  <c r="M1381" i="2"/>
  <c r="M1380" i="2"/>
  <c r="M1379" i="2"/>
  <c r="M1378" i="2"/>
  <c r="M1377" i="2"/>
  <c r="M1376" i="2"/>
  <c r="M1375" i="2"/>
  <c r="M1374" i="2"/>
  <c r="M1373" i="2"/>
  <c r="M1372" i="2"/>
  <c r="M1371" i="2"/>
  <c r="M1370" i="2"/>
  <c r="M1369" i="2"/>
  <c r="M1368" i="2"/>
  <c r="M1367" i="2"/>
  <c r="M1366" i="2"/>
  <c r="M1365" i="2"/>
  <c r="M1364" i="2"/>
  <c r="M1363" i="2"/>
  <c r="M1362" i="2"/>
  <c r="M1361" i="2"/>
  <c r="M1360" i="2"/>
  <c r="M1359" i="2"/>
  <c r="M1358" i="2"/>
  <c r="M1357" i="2"/>
  <c r="M1356" i="2"/>
  <c r="M1355" i="2"/>
  <c r="M1354" i="2"/>
  <c r="M1353" i="2"/>
  <c r="M1352" i="2"/>
  <c r="M1351" i="2"/>
  <c r="M1350" i="2"/>
  <c r="M1349" i="2"/>
  <c r="M1348" i="2"/>
  <c r="M1347" i="2"/>
  <c r="M1346" i="2"/>
  <c r="M1345" i="2"/>
  <c r="M1344" i="2"/>
  <c r="M1343" i="2"/>
  <c r="M1342" i="2"/>
  <c r="M1341" i="2"/>
  <c r="M1340" i="2"/>
  <c r="M1339" i="2"/>
  <c r="M1338" i="2"/>
  <c r="M1337" i="2"/>
  <c r="M1336" i="2"/>
  <c r="M1335" i="2"/>
  <c r="M1334" i="2"/>
  <c r="M1333" i="2"/>
  <c r="M1332" i="2"/>
  <c r="M1331" i="2"/>
  <c r="M1330" i="2"/>
  <c r="M1329" i="2"/>
  <c r="M1328" i="2"/>
  <c r="M1327" i="2"/>
  <c r="M1326" i="2"/>
  <c r="M1325" i="2"/>
  <c r="M1324" i="2"/>
  <c r="M1323" i="2"/>
  <c r="M1322" i="2"/>
  <c r="M1321" i="2"/>
  <c r="M1320" i="2"/>
  <c r="M1319" i="2"/>
  <c r="M1318" i="2"/>
  <c r="M1317" i="2"/>
  <c r="M1316" i="2"/>
  <c r="M1315" i="2"/>
  <c r="M1314" i="2"/>
  <c r="M1313" i="2"/>
  <c r="M1312" i="2"/>
  <c r="M1311" i="2"/>
  <c r="M1310" i="2"/>
  <c r="M1309" i="2"/>
  <c r="M1308" i="2"/>
  <c r="M1307" i="2"/>
  <c r="M1306" i="2"/>
  <c r="M1305" i="2"/>
  <c r="M1304" i="2"/>
  <c r="M1303" i="2"/>
  <c r="M1302" i="2"/>
  <c r="M1301" i="2"/>
  <c r="M1300" i="2"/>
  <c r="M1299" i="2"/>
  <c r="M1298" i="2"/>
  <c r="M1297" i="2"/>
  <c r="M1296" i="2"/>
  <c r="M1295" i="2"/>
  <c r="M1294" i="2"/>
  <c r="M1293" i="2"/>
  <c r="M1292" i="2"/>
  <c r="M1291" i="2"/>
  <c r="M1290" i="2"/>
  <c r="M1289" i="2"/>
  <c r="M1288" i="2"/>
  <c r="M1287" i="2"/>
  <c r="M1286" i="2"/>
  <c r="M1285" i="2"/>
  <c r="M1284" i="2"/>
  <c r="M1283" i="2"/>
  <c r="M1282" i="2"/>
  <c r="M1281" i="2"/>
  <c r="M1280" i="2"/>
  <c r="M1279" i="2"/>
  <c r="M1278" i="2"/>
  <c r="M1277" i="2"/>
  <c r="M1276" i="2"/>
  <c r="M1275" i="2"/>
  <c r="M1274" i="2"/>
  <c r="M1273" i="2"/>
  <c r="M1272" i="2"/>
  <c r="M1271" i="2"/>
  <c r="M1270" i="2"/>
  <c r="M1269" i="2"/>
  <c r="M1268" i="2"/>
  <c r="M1267" i="2"/>
  <c r="M1266" i="2"/>
  <c r="M1265" i="2"/>
  <c r="M1264" i="2"/>
  <c r="M1263" i="2"/>
  <c r="M1262" i="2"/>
  <c r="M1261" i="2"/>
  <c r="M1260" i="2"/>
  <c r="M1259" i="2"/>
  <c r="M1258" i="2"/>
  <c r="M1257" i="2"/>
  <c r="M1256" i="2"/>
  <c r="M1255" i="2"/>
  <c r="M1254" i="2"/>
  <c r="M1253" i="2"/>
  <c r="M1252" i="2"/>
  <c r="M1251" i="2"/>
  <c r="M1250" i="2"/>
  <c r="M1249" i="2"/>
  <c r="M1248" i="2"/>
  <c r="M1247" i="2"/>
  <c r="M1246" i="2"/>
  <c r="M1245" i="2"/>
  <c r="M1244" i="2"/>
  <c r="M1243" i="2"/>
  <c r="M1242" i="2"/>
  <c r="M1241" i="2"/>
  <c r="M1240" i="2"/>
  <c r="M1239" i="2"/>
  <c r="M1238" i="2"/>
  <c r="M1237" i="2"/>
  <c r="M1236" i="2"/>
  <c r="M1235" i="2"/>
  <c r="M1234" i="2"/>
  <c r="M1233" i="2"/>
  <c r="M1232" i="2"/>
  <c r="M1231" i="2"/>
  <c r="M1230" i="2"/>
  <c r="M1229" i="2"/>
  <c r="M1228" i="2"/>
  <c r="M1227" i="2"/>
  <c r="M1226" i="2"/>
  <c r="M1225" i="2"/>
  <c r="M1224" i="2"/>
  <c r="M1223" i="2"/>
  <c r="M1222" i="2"/>
  <c r="M1221" i="2"/>
  <c r="M1220" i="2"/>
  <c r="M1219" i="2"/>
  <c r="M1218" i="2"/>
  <c r="M1217" i="2"/>
  <c r="M1216" i="2"/>
  <c r="M1215" i="2"/>
  <c r="M1214" i="2"/>
  <c r="M1213" i="2"/>
  <c r="M1212" i="2"/>
  <c r="M1211" i="2"/>
  <c r="M1210" i="2"/>
  <c r="M1209" i="2"/>
  <c r="M1208" i="2"/>
  <c r="M1207" i="2"/>
  <c r="M1206" i="2"/>
  <c r="M1205" i="2"/>
  <c r="M1204" i="2"/>
  <c r="M1203" i="2"/>
  <c r="M1202" i="2"/>
  <c r="M1201" i="2"/>
  <c r="M1200" i="2"/>
  <c r="M1199" i="2"/>
  <c r="M1198" i="2"/>
  <c r="M1197" i="2"/>
  <c r="M1196" i="2"/>
  <c r="M1195" i="2"/>
  <c r="M1194" i="2"/>
  <c r="M1193" i="2"/>
  <c r="M1192" i="2"/>
  <c r="M1191" i="2"/>
  <c r="M1190" i="2"/>
  <c r="M1189" i="2"/>
  <c r="M1188" i="2"/>
  <c r="M1187" i="2"/>
  <c r="M1186" i="2"/>
  <c r="M1185" i="2"/>
  <c r="M1184" i="2"/>
  <c r="M1183" i="2"/>
  <c r="M1182" i="2"/>
  <c r="M1181" i="2"/>
  <c r="M1180" i="2"/>
  <c r="M1179" i="2"/>
  <c r="M1178" i="2"/>
  <c r="M1177" i="2"/>
  <c r="M1176" i="2"/>
  <c r="M1175" i="2"/>
  <c r="M1174" i="2"/>
  <c r="M1173" i="2"/>
  <c r="M1172" i="2"/>
  <c r="M1171" i="2"/>
  <c r="M1170" i="2"/>
  <c r="M1169" i="2"/>
  <c r="M1168" i="2"/>
  <c r="M1167" i="2"/>
  <c r="M1166" i="2"/>
  <c r="M1165" i="2"/>
  <c r="M1164" i="2"/>
  <c r="M1163" i="2"/>
  <c r="M1162" i="2"/>
  <c r="M1161" i="2"/>
  <c r="M1160" i="2"/>
  <c r="M1159" i="2"/>
  <c r="M1158" i="2"/>
  <c r="M1157" i="2"/>
  <c r="M1156" i="2"/>
  <c r="M1155" i="2"/>
  <c r="M1154" i="2"/>
  <c r="M1153" i="2"/>
  <c r="M1152" i="2"/>
  <c r="M1151" i="2"/>
  <c r="M1150" i="2"/>
  <c r="M1149" i="2"/>
  <c r="M1148" i="2"/>
  <c r="M1147" i="2"/>
  <c r="M1146" i="2"/>
  <c r="M1145" i="2"/>
  <c r="M1144" i="2"/>
  <c r="M1143" i="2"/>
  <c r="M1142" i="2"/>
  <c r="M1141" i="2"/>
  <c r="M1140" i="2"/>
  <c r="M1139" i="2"/>
  <c r="M1138" i="2"/>
  <c r="M1137" i="2"/>
  <c r="M1136" i="2"/>
  <c r="M1135" i="2"/>
  <c r="M1134" i="2"/>
  <c r="M1133" i="2"/>
  <c r="M1132" i="2"/>
  <c r="M1131" i="2"/>
  <c r="M1130" i="2"/>
  <c r="M1129" i="2"/>
  <c r="M1128" i="2"/>
  <c r="M1127" i="2"/>
  <c r="M1126" i="2"/>
  <c r="M1125" i="2"/>
  <c r="M1124" i="2"/>
  <c r="M1123" i="2"/>
  <c r="M1122" i="2"/>
  <c r="M1121" i="2"/>
  <c r="M1120" i="2"/>
  <c r="M1119" i="2"/>
  <c r="M1118" i="2"/>
  <c r="M1117" i="2"/>
  <c r="M1116" i="2"/>
  <c r="M1115" i="2"/>
  <c r="M1114" i="2"/>
  <c r="M1113" i="2"/>
  <c r="M1112" i="2"/>
  <c r="M1111" i="2"/>
  <c r="M1110" i="2"/>
  <c r="M1109" i="2"/>
  <c r="M1108" i="2"/>
  <c r="M1107" i="2"/>
  <c r="M1106" i="2"/>
  <c r="M1105" i="2"/>
  <c r="M1104" i="2"/>
  <c r="M1103" i="2"/>
  <c r="M1102" i="2"/>
  <c r="M1101" i="2"/>
  <c r="M1100" i="2"/>
  <c r="M1099" i="2"/>
  <c r="M1098" i="2"/>
  <c r="M1097" i="2"/>
  <c r="M1096" i="2"/>
  <c r="M1095" i="2"/>
  <c r="M1094" i="2"/>
  <c r="M1093" i="2"/>
  <c r="M1092" i="2"/>
  <c r="M1091" i="2"/>
  <c r="M1090" i="2"/>
  <c r="M1089" i="2"/>
  <c r="M1088" i="2"/>
  <c r="M1087" i="2"/>
  <c r="M1086" i="2"/>
  <c r="M1085" i="2"/>
  <c r="M1084" i="2"/>
  <c r="M1083" i="2"/>
  <c r="M1082" i="2"/>
  <c r="M1081" i="2"/>
  <c r="M1080" i="2"/>
  <c r="M1079" i="2"/>
  <c r="M1078" i="2"/>
  <c r="M1077" i="2"/>
  <c r="M1076" i="2"/>
  <c r="M1075" i="2"/>
  <c r="M1074" i="2"/>
  <c r="M1073" i="2"/>
  <c r="M1072" i="2"/>
  <c r="M1071" i="2"/>
  <c r="M1070" i="2"/>
  <c r="M1069" i="2"/>
  <c r="M1068" i="2"/>
  <c r="M1067" i="2"/>
  <c r="M1066" i="2"/>
  <c r="M1065" i="2"/>
  <c r="M1064" i="2"/>
  <c r="M1063" i="2"/>
  <c r="M1062" i="2"/>
  <c r="M1061" i="2"/>
  <c r="M1060" i="2"/>
  <c r="M1059" i="2"/>
  <c r="M1058" i="2"/>
  <c r="M1057" i="2"/>
  <c r="M1056" i="2"/>
  <c r="M1055" i="2"/>
  <c r="M1054" i="2"/>
  <c r="M1053" i="2"/>
  <c r="M1052" i="2"/>
  <c r="M1051" i="2"/>
  <c r="M1050" i="2"/>
  <c r="M1049" i="2"/>
  <c r="M1048" i="2"/>
  <c r="M1047" i="2"/>
  <c r="M1046" i="2"/>
  <c r="M1045" i="2"/>
  <c r="M1044" i="2"/>
  <c r="M1043" i="2"/>
  <c r="M1042" i="2"/>
  <c r="M1041" i="2"/>
  <c r="M1040" i="2"/>
  <c r="M1039" i="2"/>
  <c r="M1038" i="2"/>
  <c r="M1037" i="2"/>
  <c r="M1036" i="2"/>
  <c r="M1035" i="2"/>
  <c r="M1034" i="2"/>
  <c r="M1033" i="2"/>
  <c r="M1032" i="2"/>
  <c r="M1031" i="2"/>
  <c r="M1030" i="2"/>
  <c r="M1029" i="2"/>
  <c r="M1028" i="2"/>
  <c r="M1027" i="2"/>
  <c r="M1026" i="2"/>
  <c r="M1025" i="2"/>
  <c r="M1024" i="2"/>
  <c r="M1023" i="2"/>
  <c r="M1022" i="2"/>
  <c r="M1021" i="2"/>
  <c r="M1020" i="2"/>
  <c r="M1019" i="2"/>
  <c r="M1018" i="2"/>
  <c r="M1017" i="2"/>
  <c r="M1016" i="2"/>
  <c r="M1015" i="2"/>
  <c r="M1014" i="2"/>
  <c r="M1013" i="2"/>
  <c r="M1012" i="2"/>
  <c r="M1011" i="2"/>
  <c r="M1010" i="2"/>
  <c r="M1009" i="2"/>
  <c r="M1008" i="2"/>
  <c r="M1007" i="2"/>
  <c r="M1006" i="2"/>
  <c r="M1005" i="2"/>
  <c r="M1004" i="2"/>
  <c r="M1003" i="2"/>
  <c r="M1002" i="2"/>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G23" i="1"/>
  <c r="D23" i="1"/>
  <c r="E23" i="1" s="1"/>
  <c r="C23" i="1"/>
  <c r="F23" i="1" s="1"/>
  <c r="B23" i="1"/>
  <c r="G22" i="1"/>
  <c r="D22" i="1"/>
  <c r="E22" i="1" s="1"/>
  <c r="C22" i="1"/>
  <c r="F22" i="1" s="1"/>
  <c r="B22" i="1"/>
  <c r="G21" i="1"/>
  <c r="D21" i="1"/>
  <c r="E21" i="1" s="1"/>
  <c r="C21" i="1"/>
  <c r="F21" i="1" s="1"/>
  <c r="B21" i="1"/>
  <c r="G20" i="1"/>
  <c r="D20" i="1"/>
  <c r="E20" i="1" s="1"/>
  <c r="C20" i="1"/>
  <c r="F20" i="1" s="1"/>
  <c r="B20" i="1"/>
  <c r="G19" i="1"/>
  <c r="D19" i="1"/>
  <c r="E19" i="1" s="1"/>
  <c r="C19" i="1"/>
  <c r="F19" i="1" s="1"/>
  <c r="B19" i="1"/>
  <c r="G18" i="1"/>
  <c r="D18" i="1"/>
  <c r="E18" i="1" s="1"/>
  <c r="C18" i="1"/>
  <c r="F18" i="1" s="1"/>
  <c r="B18" i="1"/>
  <c r="G17" i="1"/>
  <c r="D17" i="1"/>
  <c r="E17" i="1" s="1"/>
  <c r="C17" i="1"/>
  <c r="F17" i="1" s="1"/>
  <c r="B17" i="1"/>
  <c r="G16" i="1"/>
  <c r="D16" i="1"/>
  <c r="E16" i="1" s="1"/>
  <c r="C16" i="1"/>
  <c r="F16" i="1" s="1"/>
  <c r="B16" i="1"/>
  <c r="G15" i="1"/>
  <c r="D15" i="1"/>
  <c r="E15" i="1" s="1"/>
  <c r="C15" i="1"/>
  <c r="F15" i="1" s="1"/>
  <c r="B15" i="1"/>
  <c r="G14" i="1"/>
  <c r="D14" i="1"/>
  <c r="E14" i="1" s="1"/>
  <c r="C14" i="1"/>
  <c r="F14" i="1" s="1"/>
  <c r="B14" i="1"/>
  <c r="B10" i="1"/>
  <c r="B9" i="1"/>
  <c r="B8" i="1"/>
  <c r="B7" i="1"/>
  <c r="B6" i="1"/>
  <c r="B5" i="1"/>
  <c r="B4" i="1"/>
  <c r="B3" i="1"/>
</calcChain>
</file>

<file path=xl/sharedStrings.xml><?xml version="1.0" encoding="utf-8"?>
<sst xmlns="http://schemas.openxmlformats.org/spreadsheetml/2006/main" count="35201" uniqueCount="5785">
  <si>
    <t>KPI Summary (live formulas on the Orders sheet)</t>
  </si>
  <si>
    <t>Total orders</t>
  </si>
  <si>
    <t>Total revenue</t>
  </si>
  <si>
    <t>Average order value</t>
  </si>
  <si>
    <t>Average delivery days</t>
  </si>
  <si>
    <t>Late delivery %</t>
  </si>
  <si>
    <t>Average review score</t>
  </si>
  <si>
    <t>Avg review - on time</t>
  </si>
  <si>
    <t>Avg review - late</t>
  </si>
  <si>
    <t>State</t>
  </si>
  <si>
    <t>State name</t>
  </si>
  <si>
    <t>Orders</t>
  </si>
  <si>
    <t>Revenue</t>
  </si>
  <si>
    <t>Avg order value</t>
  </si>
  <si>
    <t>Late %</t>
  </si>
  <si>
    <t>Avg review</t>
  </si>
  <si>
    <t>SP</t>
  </si>
  <si>
    <t>RJ</t>
  </si>
  <si>
    <t>MG</t>
  </si>
  <si>
    <t>RS</t>
  </si>
  <si>
    <t>PR</t>
  </si>
  <si>
    <t>SC</t>
  </si>
  <si>
    <t>BA</t>
  </si>
  <si>
    <t>ES</t>
  </si>
  <si>
    <t>DF</t>
  </si>
  <si>
    <t>GO</t>
  </si>
  <si>
    <t>order_id</t>
  </si>
  <si>
    <t>order_date</t>
  </si>
  <si>
    <t>order_month</t>
  </si>
  <si>
    <t>customer_state</t>
  </si>
  <si>
    <t>main_category</t>
  </si>
  <si>
    <t>items</t>
  </si>
  <si>
    <t>order_value</t>
  </si>
  <si>
    <t>freight_value</t>
  </si>
  <si>
    <t>payment_type</t>
  </si>
  <si>
    <t>delivery_days</t>
  </si>
  <si>
    <t>delivery_status</t>
  </si>
  <si>
    <t>review_score</t>
  </si>
  <si>
    <t>state_name</t>
  </si>
  <si>
    <t>2e7a8482f6fb09756ca50c10d7bfc047</t>
  </si>
  <si>
    <t>2016-09-04</t>
  </si>
  <si>
    <t>2016-09</t>
  </si>
  <si>
    <t>RR</t>
  </si>
  <si>
    <t>furniture_decor</t>
  </si>
  <si>
    <t>credit_card</t>
  </si>
  <si>
    <t>Not Delivered</t>
  </si>
  <si>
    <t>a41c8759fbe7aab36ea07e038b2d4465</t>
  </si>
  <si>
    <t>2016-10-03</t>
  </si>
  <si>
    <t>2016-10</t>
  </si>
  <si>
    <t>sports_leisure</t>
  </si>
  <si>
    <t>boleto</t>
  </si>
  <si>
    <t>On Time</t>
  </si>
  <si>
    <t>ae8a60e4b03c5a4ba9ca0672c164b181</t>
  </si>
  <si>
    <t>toys</t>
  </si>
  <si>
    <t>966f96af9d189dc428ff04ebbca821b8</t>
  </si>
  <si>
    <t>2016-10-04</t>
  </si>
  <si>
    <t>5204d67853f827d1ee32810bf8f2d6c2</t>
  </si>
  <si>
    <t>90aea7c4e52538a18cb9bbfd16f09185</t>
  </si>
  <si>
    <t>consoles_games</t>
  </si>
  <si>
    <t>18dad78c0f87f4c45ef196daeaa3ffbb</t>
  </si>
  <si>
    <t>2016-10-05</t>
  </si>
  <si>
    <t>computers_accessories</t>
  </si>
  <si>
    <t>cac247cece621e1bc64748d44331d22d</t>
  </si>
  <si>
    <t>PE</t>
  </si>
  <si>
    <t>perfumery</t>
  </si>
  <si>
    <t>dc5f6cd4492bbffe5bcda9b87856c9a5</t>
  </si>
  <si>
    <t>telephony</t>
  </si>
  <si>
    <t>ed90ba41c41da31da8e891ff43a584d1</t>
  </si>
  <si>
    <t>2016-10-06</t>
  </si>
  <si>
    <t>garden_tools</t>
  </si>
  <si>
    <t>6ece326e25f193d084e3dc092bbdd93b</t>
  </si>
  <si>
    <t>ce9840efc17fbec501472f7c784be1bf</t>
  </si>
  <si>
    <t>770d331c84e5b214bd9dc70a10b829d0</t>
  </si>
  <si>
    <t>2016-10-07</t>
  </si>
  <si>
    <t>6b5e619dedba6d4297fb10dd5886912f</t>
  </si>
  <si>
    <t>2016-10-08</t>
  </si>
  <si>
    <t>industry_commerce_and_business</t>
  </si>
  <si>
    <t>89f586f0cbddc6428831c41c8c333c66</t>
  </si>
  <si>
    <t>2016-10-09</t>
  </si>
  <si>
    <t>health_beauty</t>
  </si>
  <si>
    <t>5c5c9fde60ffb741545cf2608e8c12ca</t>
  </si>
  <si>
    <t>09dd83f72b2516179cd46b81121fad23</t>
  </si>
  <si>
    <t>2016-10-10</t>
  </si>
  <si>
    <t>SE</t>
  </si>
  <si>
    <t>2f9d791088532b218b41f892cc16073b</t>
  </si>
  <si>
    <t>2017-01-05</t>
  </si>
  <si>
    <t>2017-01</t>
  </si>
  <si>
    <t>music</t>
  </si>
  <si>
    <t>b174fa32929e4af3622213e835cfa84a</t>
  </si>
  <si>
    <t>2017-01-09</t>
  </si>
  <si>
    <t>d730d8d0ea3149120703933fdf98b2d4</t>
  </si>
  <si>
    <t>2017-01-13</t>
  </si>
  <si>
    <t>6248b0a9b547366913fb67922a7a2b77</t>
  </si>
  <si>
    <t>2017-01-14</t>
  </si>
  <si>
    <t>3027797ce35841bf74917c0b0ea1a38d</t>
  </si>
  <si>
    <t>2017-01-15</t>
  </si>
  <si>
    <t>d2e9aead95751dd6bd0ce80e7d506c53</t>
  </si>
  <si>
    <t>2017-01-16</t>
  </si>
  <si>
    <t>3c54678edd9d58abadd6af16d0bce506</t>
  </si>
  <si>
    <t>2017-01-17</t>
  </si>
  <si>
    <t>small_appliances</t>
  </si>
  <si>
    <t>71f86189760ff1dec6805f4fc7c6f52f</t>
  </si>
  <si>
    <t>2017-01-18</t>
  </si>
  <si>
    <t>baby</t>
  </si>
  <si>
    <t>c1d4211b3dae76144deccd6c74144a88</t>
  </si>
  <si>
    <t>2017-01-19</t>
  </si>
  <si>
    <t>e5ecfcbdbc07f8edf7ec0df1504a74a6</t>
  </si>
  <si>
    <t>auto</t>
  </si>
  <si>
    <t>debit_card</t>
  </si>
  <si>
    <t>6e4a67f3a94e46e6cc5af48093d14127</t>
  </si>
  <si>
    <t>bed_bath_table</t>
  </si>
  <si>
    <t>bab0a62e41a5f0abc7f04989cdd7a6fd</t>
  </si>
  <si>
    <t>2017-01-20</t>
  </si>
  <si>
    <t>PI</t>
  </si>
  <si>
    <t>032bc75236a1cbaf410bb596a509e774</t>
  </si>
  <si>
    <t>8bef37e0a778afcdf32118f376beb9de</t>
  </si>
  <si>
    <t>f5d54f3d6cc2c7125dc1de8888ce8975</t>
  </si>
  <si>
    <t>66f1a7baf73c12eb3af95058da54b6f8</t>
  </si>
  <si>
    <t>fashion_shoes</t>
  </si>
  <si>
    <t>e9df4254faf2fe70bfbff4c0abe4fb7c</t>
  </si>
  <si>
    <t>2017-01-21</t>
  </si>
  <si>
    <t>73558fe683b9ce228381cf2ca678d322</t>
  </si>
  <si>
    <t>PA</t>
  </si>
  <si>
    <t>fashion_male_clothing</t>
  </si>
  <si>
    <t>81251f18621a822ad5b09593dfee4fc9</t>
  </si>
  <si>
    <t>electronics</t>
  </si>
  <si>
    <t>6cf5d7a6b6eb9cad292da0b65d6c010e</t>
  </si>
  <si>
    <t>2017-01-22</t>
  </si>
  <si>
    <t>CE</t>
  </si>
  <si>
    <t>07d13d352c85dfbfa60dc56dea818335</t>
  </si>
  <si>
    <t>035ab6fc3b7f9d16f714a337ee63b7be</t>
  </si>
  <si>
    <t>2017-01-23</t>
  </si>
  <si>
    <t>fashion_bags_accessories</t>
  </si>
  <si>
    <t>voucher</t>
  </si>
  <si>
    <t>46081612169925ef8882b3bbf1c5011d</t>
  </si>
  <si>
    <t>f30663edef2c5ccbd8ac1901275ecf64</t>
  </si>
  <si>
    <t>2017-01-24</t>
  </si>
  <si>
    <t>8cb07e7e810ad9e5f33062cb4735d488</t>
  </si>
  <si>
    <t>3b64ff25a4610fb5599e4fd09f907501</t>
  </si>
  <si>
    <t>2017-01-25</t>
  </si>
  <si>
    <t>7d86c4aa9e59504b23f16c7ca68954a7</t>
  </si>
  <si>
    <t>MA</t>
  </si>
  <si>
    <t>housewares</t>
  </si>
  <si>
    <t>Late</t>
  </si>
  <si>
    <t>5dccad03ac8016afdcdb7cc0227ec9d7</t>
  </si>
  <si>
    <t>c6be81e3c1e9e15e5893e19d7ce49647</t>
  </si>
  <si>
    <t>2017-01-26</t>
  </si>
  <si>
    <t>2b98d5c9b1969095e65f74308ae2e861</t>
  </si>
  <si>
    <t>cool_stuff</t>
  </si>
  <si>
    <t>2363f4be725c1746c141cfe7e8432910</t>
  </si>
  <si>
    <t>042e247be09aeae88a74e35766aa03ca</t>
  </si>
  <si>
    <t>146bfe4003096bc16316672e59c6fb2e</t>
  </si>
  <si>
    <t>luggage_accessories</t>
  </si>
  <si>
    <t>126da462f642d99483c0691ac474c783</t>
  </si>
  <si>
    <t>2017-01-27</t>
  </si>
  <si>
    <t>5d36e8ca3ccd1262b7641467fdba0b8e</t>
  </si>
  <si>
    <t>775eb0ae1891c8dd8f12c2f8c6850006</t>
  </si>
  <si>
    <t>watches_gifts</t>
  </si>
  <si>
    <t>444ba35537c4a2b24c3bf2e576ee98ac</t>
  </si>
  <si>
    <t>8c10b4712b6c450e49bcfb6b1e48449f</t>
  </si>
  <si>
    <t>c383ab7c64e3ee1503e3574b22e37dab</t>
  </si>
  <si>
    <t>2017-01-28</t>
  </si>
  <si>
    <t>e19721a12bc1caeb2095db14d8d6fc4e</t>
  </si>
  <si>
    <t>2017-01-29</t>
  </si>
  <si>
    <t>9224db86cedf958891e1b1afb4ad570c</t>
  </si>
  <si>
    <t>2017-01-30</t>
  </si>
  <si>
    <t>9843c2a66fe0afda6509bc4274f743de</t>
  </si>
  <si>
    <t>8d25f73f2fe9c225dff2232fd1e7c89b</t>
  </si>
  <si>
    <t>8a903d20555a91edeffd6eab45743f26</t>
  </si>
  <si>
    <t>9e0ca19fb3cd696e318f58f0613ee8b1</t>
  </si>
  <si>
    <t>26ba0c1bad97bbfdcc4419e3ca40d9a8</t>
  </si>
  <si>
    <t>2017-01-31</t>
  </si>
  <si>
    <t>9abb2627b40ff1591e62553894e6b312</t>
  </si>
  <si>
    <t>books_general_interest</t>
  </si>
  <si>
    <t>5f6b520cff06f23c77386b75976256e9</t>
  </si>
  <si>
    <t>faa1515e28c5d45a5bb6fa57bffcfb0b</t>
  </si>
  <si>
    <t>2017-02-01</t>
  </si>
  <si>
    <t>2017-02</t>
  </si>
  <si>
    <t>34605af753e44da907f983de0082faaf</t>
  </si>
  <si>
    <t>db1a3b6bc463c229abf2699244173f49</t>
  </si>
  <si>
    <t>fe9ff842f65047f5a82c48905a18cc98</t>
  </si>
  <si>
    <t>f5147f84d290b6615104539af53179fd</t>
  </si>
  <si>
    <t>a65d4ac927fef29da1b58e60ebdbb1d7</t>
  </si>
  <si>
    <t>fe84ed29d87230c495cd2381857dba8e</t>
  </si>
  <si>
    <t>2017-02-02</t>
  </si>
  <si>
    <t>f349e78f52cb2d25cffd4cc44f168413</t>
  </si>
  <si>
    <t>furniture_living_room</t>
  </si>
  <si>
    <t>d7d8ca5f25aac4f5efce2a0dc6133672</t>
  </si>
  <si>
    <t>2017-02-03</t>
  </si>
  <si>
    <t>ee793c80c58a6de488444dbb4e63374f</t>
  </si>
  <si>
    <t>2017-02-04</t>
  </si>
  <si>
    <t>d5558a097766363b8e76b38c43332e8a</t>
  </si>
  <si>
    <t>pet_shop</t>
  </si>
  <si>
    <t>4d55408f3a98afa1d4f3087d4a24005d</t>
  </si>
  <si>
    <t>MS</t>
  </si>
  <si>
    <t>17eba629ec542978d1ea929d473d4f19</t>
  </si>
  <si>
    <t>e4b5eb77d6eca2730a7ed8e9abaf4db2</t>
  </si>
  <si>
    <t>36f63f07e3c52585c8eb2795c466b3fa</t>
  </si>
  <si>
    <t>2017-02-05</t>
  </si>
  <si>
    <t>unknown</t>
  </si>
  <si>
    <t>5d6a02cac99fa9799762b72352be69df</t>
  </si>
  <si>
    <t>8c46c4b2bbf318ff31368bc87309662e</t>
  </si>
  <si>
    <t>8ca35ef9366e216446621215448b381a</t>
  </si>
  <si>
    <t>31cb8821ab778cd23ebb6ce6f9e2bce0</t>
  </si>
  <si>
    <t>agro_industry_and_commerce</t>
  </si>
  <si>
    <t>88f2acef90e7ca305b8b5db51dd0be27</t>
  </si>
  <si>
    <t>2017-02-06</t>
  </si>
  <si>
    <t>fe590d6e861c13a9b394a9d3775b07d7</t>
  </si>
  <si>
    <t>MT</t>
  </si>
  <si>
    <t>033a79557b0d234035b38da3be948574</t>
  </si>
  <si>
    <t>AM</t>
  </si>
  <si>
    <t>f21167a5141522821d54a766a2a54ce4</t>
  </si>
  <si>
    <t>2017-02-07</t>
  </si>
  <si>
    <t>a6254817fe719457b22250e3cd2eb2ad</t>
  </si>
  <si>
    <t>64682ca1db0a46065072f31a87b390f8</t>
  </si>
  <si>
    <t>3d24c492f9555a79d4d6fd3a22fbee1f</t>
  </si>
  <si>
    <t>7f14c64f7f48c0243c290e47dd51cfeb</t>
  </si>
  <si>
    <t>25e4af6ebff2dfb6213c8cc7e36ecbed</t>
  </si>
  <si>
    <t>18eb75d1fa1fc1168de2bb0c4aa6dfd6</t>
  </si>
  <si>
    <t>RO</t>
  </si>
  <si>
    <t>office_furniture</t>
  </si>
  <si>
    <t>ef923bbb28876cc2a8e00a7ebc1a52f8</t>
  </si>
  <si>
    <t>ca254c5904f6a9a9063eef5239c54197</t>
  </si>
  <si>
    <t>195070d2d0eb1da7d93b958bce36d1ef</t>
  </si>
  <si>
    <t>2017-02-08</t>
  </si>
  <si>
    <t>fb520e46696d1669a96549c252ed177d</t>
  </si>
  <si>
    <t>2140d49aa405c7c344212e78351fef98</t>
  </si>
  <si>
    <t>c7b2b75e4013ba825f8617a06936a014</t>
  </si>
  <si>
    <t>e11dead0c183b7b8da09f6b3039ea730</t>
  </si>
  <si>
    <t>2017-02-09</t>
  </si>
  <si>
    <t>188e8c3184383f5eee9e40255048191b</t>
  </si>
  <si>
    <t>e85c92ee6a3ba1ef47e41c23286314d9</t>
  </si>
  <si>
    <t>2017-02-10</t>
  </si>
  <si>
    <t>768b4cf8bec9afe5a1f39b8e3c3e8cc0</t>
  </si>
  <si>
    <t>bca58807bbe0c11fa3099e2328f62647</t>
  </si>
  <si>
    <t>AC</t>
  </si>
  <si>
    <t>f8ff98a36706c66da3a3f060a0ec3141</t>
  </si>
  <si>
    <t>27863884193fa88ed79c356f4f568fe7</t>
  </si>
  <si>
    <t>f5c948dcc066017d10fd2dd3d01cea6d</t>
  </si>
  <si>
    <t>2017-02-11</t>
  </si>
  <si>
    <t>48275cf565f4ea4f291da07bbbc7d330</t>
  </si>
  <si>
    <t>2017-02-12</t>
  </si>
  <si>
    <t>b58c726e8f5ba3196c593b1837d25744</t>
  </si>
  <si>
    <t>2017-02-13</t>
  </si>
  <si>
    <t>stationery</t>
  </si>
  <si>
    <t>edcae211fcaaccf2cfd426f297ebd700</t>
  </si>
  <si>
    <t>dc81a7a14a9502b15d6e1791eaa4ade6</t>
  </si>
  <si>
    <t>46d2062e8a19cb5473491cf07b5d4629</t>
  </si>
  <si>
    <t>170f94ae030b06759974c36f29faf658</t>
  </si>
  <si>
    <t>TO</t>
  </si>
  <si>
    <t>9574b288490bcda13e1fd8f75a319bc3</t>
  </si>
  <si>
    <t>bbca89624572b1532cc19840d3ad81c8</t>
  </si>
  <si>
    <t>2017-02-14</t>
  </si>
  <si>
    <t>88a385737ede49900eeccbcd1d16fa00</t>
  </si>
  <si>
    <t>2017-02-15</t>
  </si>
  <si>
    <t>c475a9d8286befc2ceecf1bd07f03a25</t>
  </si>
  <si>
    <t>2017-02-16</t>
  </si>
  <si>
    <t>80341e701b91f4e9f068a3ec40fb0440</t>
  </si>
  <si>
    <t>efd2c0c31366671a99bb3eba61b5459a</t>
  </si>
  <si>
    <t>e57564c2c135df8c91da6037bd79e137</t>
  </si>
  <si>
    <t>food</t>
  </si>
  <si>
    <t>c8d355d9b0027d16b4f22804df2bbc2d</t>
  </si>
  <si>
    <t>2017-02-17</t>
  </si>
  <si>
    <t>32b808465502f4cc7e17777151e294ce</t>
  </si>
  <si>
    <t>5dc4353ecb73877d7222007f37958d82</t>
  </si>
  <si>
    <t>e2e85885a15f712ba00eb35cf5be7cfd</t>
  </si>
  <si>
    <t>2017-02-18</t>
  </si>
  <si>
    <t>air_conditioning</t>
  </si>
  <si>
    <t>74016effecaa79d592487f6a4ee47d4b</t>
  </si>
  <si>
    <t>construction_tools_construction</t>
  </si>
  <si>
    <t>8c53283eca3bc0e603a48f2b8725e96f</t>
  </si>
  <si>
    <t>bb5f5dd023eabf15e5d178f887f37cb5</t>
  </si>
  <si>
    <t>d788d36048b59fbe35707de56c2fe939</t>
  </si>
  <si>
    <t>2017-02-19</t>
  </si>
  <si>
    <t>3f35b92ed8249125038852a2742bd514</t>
  </si>
  <si>
    <t>98c927d938727c3ea7afd9a8f96c14bc</t>
  </si>
  <si>
    <t>2017-02-20</t>
  </si>
  <si>
    <t>aceb6154fb83d13825344189f5682606</t>
  </si>
  <si>
    <t>7122fa45d10437278bab815f67002798</t>
  </si>
  <si>
    <t>523d7597c0c82db94fd16b4213e2f0ab</t>
  </si>
  <si>
    <t>d19f9c665eb2f26335e4e69e5965a84f</t>
  </si>
  <si>
    <t>ed81c7d735a856f576d22a5b9717b5c2</t>
  </si>
  <si>
    <t>2017-02-21</t>
  </si>
  <si>
    <t>bd3137fd711a2c0ff1765bafbae489a8</t>
  </si>
  <si>
    <t>5ea599a9a67fae7fd7120b2b9add8a60</t>
  </si>
  <si>
    <t>2017-02-22</t>
  </si>
  <si>
    <t>78cd965d0bc0388d390404eee6490c5b</t>
  </si>
  <si>
    <t>d4bf4c2cae2256d8e92b6ec8f1fd248b</t>
  </si>
  <si>
    <t>d5499e385aef94ea76d2ea5e6a73e60a</t>
  </si>
  <si>
    <t>44851597b52d19f80a0b05ff48be5530</t>
  </si>
  <si>
    <t>2017-02-23</t>
  </si>
  <si>
    <t>fd85297a862adfe046d2d8793daa5647</t>
  </si>
  <si>
    <t>749b689efad761f8c94941fa3adfb702</t>
  </si>
  <si>
    <t>2017-02-24</t>
  </si>
  <si>
    <t>e26f52b2a37b0ce41ba38979221bf39d</t>
  </si>
  <si>
    <t>8f4b23c6040b8a6b6e1621f378e220ee</t>
  </si>
  <si>
    <t>2017-02-25</t>
  </si>
  <si>
    <t>08a9634db941b72179ed30feeaac2541</t>
  </si>
  <si>
    <t>2017-02-27</t>
  </si>
  <si>
    <t>b5e8d13478ad66ec57d480c9e00abb39</t>
  </si>
  <si>
    <t>2017-02-28</t>
  </si>
  <si>
    <t>94e43121a0232434f1ee7c1888f2cce5</t>
  </si>
  <si>
    <t>musical_instruments</t>
  </si>
  <si>
    <t>855e1b20c8aa2964bb871fd9cb5458f5</t>
  </si>
  <si>
    <t>f6ed483455295c6e7544f141244cd981</t>
  </si>
  <si>
    <t>2017-03-01</t>
  </si>
  <si>
    <t>2017-03</t>
  </si>
  <si>
    <t>c881f8c42d20430b008bf5ea6abe4405</t>
  </si>
  <si>
    <t>933a4d6f0739efd8aa68decea5b411c6</t>
  </si>
  <si>
    <t>e9e2effacedebc11741ec26027686fe9</t>
  </si>
  <si>
    <t>c7b0be5584c50efa8a9d95d3eecbece3</t>
  </si>
  <si>
    <t>fb81538ad88f59a4eb26ec0627825830</t>
  </si>
  <si>
    <t>2017-03-02</t>
  </si>
  <si>
    <t>2973501c740d29c4ad13c14b660e2472</t>
  </si>
  <si>
    <t>72da473ce9c065b6b7120da52ad4ac02</t>
  </si>
  <si>
    <t>c7ab73e7c26ff800c76b703fae63c467</t>
  </si>
  <si>
    <t>efd5f6d335841ef212ce657580faf95d</t>
  </si>
  <si>
    <t>2017-03-03</t>
  </si>
  <si>
    <t>c1bffb64e9e46207fa132a9a4f4e1307</t>
  </si>
  <si>
    <t>0493cfcda1fbe4c59f584aeffa96c098</t>
  </si>
  <si>
    <t>6120dca54b9adfd072f8fd9574161063</t>
  </si>
  <si>
    <t>e943e3e10c10f28b98d9f5737793c267</t>
  </si>
  <si>
    <t>2017-03-04</t>
  </si>
  <si>
    <t>3241db830366645e6a88f6384ee36cc7</t>
  </si>
  <si>
    <t>0cfb04a3e59f3ce319891d208135885b</t>
  </si>
  <si>
    <t>c216922ad3d667fb17d7c7b6843efaab</t>
  </si>
  <si>
    <t>2017-03-05</t>
  </si>
  <si>
    <t>fd766da8b074a9d9399eee9b28525f83</t>
  </si>
  <si>
    <t>205214f7f27b2cea7e82fb18e87a9369</t>
  </si>
  <si>
    <t>91415c7eb3a9313812484623efc7ee27</t>
  </si>
  <si>
    <t>0cb617c8bf1a34cf77947ac7d8b393f0</t>
  </si>
  <si>
    <t>2017-03-06</t>
  </si>
  <si>
    <t>6c592894a10d4bab518bf4aad80515d8</t>
  </si>
  <si>
    <t>ead0bec6842006b655fed967de837883</t>
  </si>
  <si>
    <t>840a77e5812e6cb838f4957339f5aa2c</t>
  </si>
  <si>
    <t>a4d541965fdf41f59fcbdd53630627b9</t>
  </si>
  <si>
    <t>74fd22110fce99b893b31cada7e2c3e8</t>
  </si>
  <si>
    <t>77f8ac5734b5b2f8c1572102f854d329</t>
  </si>
  <si>
    <t>2017-03-08</t>
  </si>
  <si>
    <t>68d1c970d581919895404c1e68e0bf3b</t>
  </si>
  <si>
    <t>kitchen_dining_laundry_garden_furniture</t>
  </si>
  <si>
    <t>7983542b1539fd0eb5c18d062ee04e34</t>
  </si>
  <si>
    <t>e18d0e097ef9cdd7894ed1b82a2b7479</t>
  </si>
  <si>
    <t>2017-03-09</t>
  </si>
  <si>
    <t>2f7b0d36ffcaf0277583329ded34c97d</t>
  </si>
  <si>
    <t>b65a9099b9f6617410e0f5fb0b9e1fdc</t>
  </si>
  <si>
    <t>a07b30a459f83015fb2927d732e20943</t>
  </si>
  <si>
    <t>89ee991b2ae330d7b2d7b4d81006765e</t>
  </si>
  <si>
    <t>cf2ae7f823490d9b4ec3d33f889609e4</t>
  </si>
  <si>
    <t>d7defcb8f59419ce565959f595bbb988</t>
  </si>
  <si>
    <t>2017-03-10</t>
  </si>
  <si>
    <t>a811f33c743a891f34de752bba733292</t>
  </si>
  <si>
    <t>c07db2ecf8530bd60659764d866467cf</t>
  </si>
  <si>
    <t>cb2ad554e5c2af7151fa9b324750df29</t>
  </si>
  <si>
    <t>026d2c7c84b97eb8854ca3fbdc6ab840</t>
  </si>
  <si>
    <t>2017-03-11</t>
  </si>
  <si>
    <t>82ff294d1970490323910cdd6c463977</t>
  </si>
  <si>
    <t>3a1c434d917a8b25f7862cfa17972aae</t>
  </si>
  <si>
    <t>768351bcdb7630b77da379eb5a54e9b3</t>
  </si>
  <si>
    <t>9903b060ffcaca9244088e1f834fde2e</t>
  </si>
  <si>
    <t>2017-03-12</t>
  </si>
  <si>
    <t>dvds_blu_ray</t>
  </si>
  <si>
    <t>cc295a32e72e4ebe54030c6ae3f75066</t>
  </si>
  <si>
    <t>063a0b076f63cb908176d8c1cc6ec049</t>
  </si>
  <si>
    <t>2017-03-13</t>
  </si>
  <si>
    <t>1479096c26c6fa5150e7b39fde03d5d4</t>
  </si>
  <si>
    <t>home_appliances</t>
  </si>
  <si>
    <t>ee1099f5139597ef759566fd91767968</t>
  </si>
  <si>
    <t>4babf11400453218f9ec503eb43d60cb</t>
  </si>
  <si>
    <t>55aea3ae93b247a771d01bc39ae5ec45</t>
  </si>
  <si>
    <t>474565221e00d78e3862cac801247772</t>
  </si>
  <si>
    <t>c76b8b4f31097feb8351e62691177012</t>
  </si>
  <si>
    <t>3eae45e1345a16673017c7c36f18ee34</t>
  </si>
  <si>
    <t>0d9132dcd087abbb6771db9371e1f951</t>
  </si>
  <si>
    <t>2017-03-14</t>
  </si>
  <si>
    <t>4cc5e60f36ca3bdbb07ab8a3c490e15d</t>
  </si>
  <si>
    <t>a1dadce0e5cbb1b1205017166f6ce7ce</t>
  </si>
  <si>
    <t>abddcf171f361ed313e1f191d71d046a</t>
  </si>
  <si>
    <t>58300b00ad189113ddb608765a954301</t>
  </si>
  <si>
    <t>fde57015e8a551f04dac99621c01678b</t>
  </si>
  <si>
    <t>2017-03-15</t>
  </si>
  <si>
    <t>236d21060f892e44cfdfb2846ea93133</t>
  </si>
  <si>
    <t>9d1f30c30b178f88dc63a40f36298ee3</t>
  </si>
  <si>
    <t>058350ebe1e9c9b426d1331b4b6063d1</t>
  </si>
  <si>
    <t>543a9bf05657bd3c5099de23d13139a1</t>
  </si>
  <si>
    <t>025c72e88fbf2358be05c594d4ad5091</t>
  </si>
  <si>
    <t>05608987284e4c496bec56c52fdb0a6c</t>
  </si>
  <si>
    <t>4f7e7115e9774e0a45e016fa2cbe4b75</t>
  </si>
  <si>
    <t>1613193aa6cbc8820d6b5c12536722a0</t>
  </si>
  <si>
    <t>8ccca2b704c41f41ce4d2f2602031691</t>
  </si>
  <si>
    <t>2017-03-16</t>
  </si>
  <si>
    <t>c290cb2817cca2e8d2656617d17acfad</t>
  </si>
  <si>
    <t>9475f5241a5ee6260ce4aee70f4e7ca5</t>
  </si>
  <si>
    <t>9c1b3da77c4477dc54252547b9f93312</t>
  </si>
  <si>
    <t>e45adf5c3dac199c3e6db68dc225d2cd</t>
  </si>
  <si>
    <t>3514fd00653caace61ea8ad6cd20c017</t>
  </si>
  <si>
    <t>87e1feb622e373e4f0d2cceb1f610886</t>
  </si>
  <si>
    <t>cee0d3db23e58081262faf1ee22ded6d</t>
  </si>
  <si>
    <t>2017-03-17</t>
  </si>
  <si>
    <t>1ec8ab9b7dc304ec05a9e96f6a25217c</t>
  </si>
  <si>
    <t>b924118c3a34d6bc9287362a7dc8fbc6</t>
  </si>
  <si>
    <t>031cf625cad56f5761e51c2675f0c0ae</t>
  </si>
  <si>
    <t>2017-03-18</t>
  </si>
  <si>
    <t>3c415210065a46fd831a05ef3fec9639</t>
  </si>
  <si>
    <t>93dbcae5a986d0f7103a0bc2929e7f18</t>
  </si>
  <si>
    <t>af7ae6bafcf0885e40e8c5fd1ef4c745</t>
  </si>
  <si>
    <t>2017-03-19</t>
  </si>
  <si>
    <t>95a08547138ca5fa14fae54639939af6</t>
  </si>
  <si>
    <t>76d449452dff60240f1b694b46d44bdb</t>
  </si>
  <si>
    <t>7cd12f82d867bf5cda813ec60b7c4db8</t>
  </si>
  <si>
    <t>e57b0e7770a5b0018b9825dd05fd48c7</t>
  </si>
  <si>
    <t>2017-03-20</t>
  </si>
  <si>
    <t>b2728d138cc3cebb796105eedbb4784a</t>
  </si>
  <si>
    <t>7a29d9cef76355b4b32321cc4c9e58fa</t>
  </si>
  <si>
    <t>9fb5f1c3d876e2a9360c12be18be8f85</t>
  </si>
  <si>
    <t>2017-03-21</t>
  </si>
  <si>
    <t>b36a230278dc6eacfc8ac950d38e9a2b</t>
  </si>
  <si>
    <t>ec2a8c52ab5037c04553f10bcaccd971</t>
  </si>
  <si>
    <t>443bc8cc2feef50a6b416a0645dbf7b5</t>
  </si>
  <si>
    <t>d974773494a37afcdf96ac5a0e86b557</t>
  </si>
  <si>
    <t>a99bed70b800227cc293174945a645e0</t>
  </si>
  <si>
    <t>2edc2a8fcbfceea30b10f1a27c5e4b10</t>
  </si>
  <si>
    <t>44fe2f7e994f6df61f74b01b2f440169</t>
  </si>
  <si>
    <t>2017-03-22</t>
  </si>
  <si>
    <t>0977997b1c07196d7d76a0d79c50117d</t>
  </si>
  <si>
    <t>d3cc6a0be5a659e6c515010d99e9c335</t>
  </si>
  <si>
    <t>d3814caaf7587391515f5ec329ecda07</t>
  </si>
  <si>
    <t>86c0e519ffee48220503670fac236e1b</t>
  </si>
  <si>
    <t>db64a5b6724f1501323cc11154cbaf39</t>
  </si>
  <si>
    <t>2017-03-23</t>
  </si>
  <si>
    <t>76efb2fbb5b0e732ba6c77c63d263b59</t>
  </si>
  <si>
    <t>f67dfbaeb6d5c6188f0aa52aa1634a7e</t>
  </si>
  <si>
    <t>b200a7390795d73d9b7afed1d6dce327</t>
  </si>
  <si>
    <t>b8e5479aa8fa4ce67ffdd5bdd92c2303</t>
  </si>
  <si>
    <t>c3ca08e9565423d33c78e028dbb1ab65</t>
  </si>
  <si>
    <t>f1f920036ae5e94e294eeb5bf898b9d6</t>
  </si>
  <si>
    <t>a1238d801729f0d9e4e905696a213eb8</t>
  </si>
  <si>
    <t>a67f2f8a8a684916bd58ae4f6f2a4507</t>
  </si>
  <si>
    <t>c2acb9513a47b95007e5cd45e3516765</t>
  </si>
  <si>
    <t>2017-03-24</t>
  </si>
  <si>
    <t>707641763cb64b52140f74e1389d0f10</t>
  </si>
  <si>
    <t>19ee33bc4d781b94196719ab012adc42</t>
  </si>
  <si>
    <t>eac9691979b0aac3f3061abaff2f4f8a</t>
  </si>
  <si>
    <t>0eb43791d78d71f1098d5cb2b46e4c7b</t>
  </si>
  <si>
    <t>2017-03-25</t>
  </si>
  <si>
    <t>fe5d946bb1d5891792a436f46f3618a3</t>
  </si>
  <si>
    <t>c7be34133b7857a83dec6494df176713</t>
  </si>
  <si>
    <t>e8ad0b1713c8caae74f6da945c60d9e8</t>
  </si>
  <si>
    <t>2017-03-26</t>
  </si>
  <si>
    <t>d3a20ccc02c906dea8bd172dbfa1d31d</t>
  </si>
  <si>
    <t>2017-03-27</t>
  </si>
  <si>
    <t>65a97703da34703e54cac329ad6a41b0</t>
  </si>
  <si>
    <t>2017-03-28</t>
  </si>
  <si>
    <t>3d2478c1c4d6e772d9221bbacac64cd1</t>
  </si>
  <si>
    <t>c583699ad331158897d9bf20f1a60004</t>
  </si>
  <si>
    <t>dd94f2867bcd2be2229f44d7a0df4e5b</t>
  </si>
  <si>
    <t>4b0a33a52d3bdc952ebd0a2c5df9775b</t>
  </si>
  <si>
    <t>4461758febf28f20a599646b502ddbec</t>
  </si>
  <si>
    <t>2017-03-29</t>
  </si>
  <si>
    <t>6dff5f464df4049f98419b19d120c5f2</t>
  </si>
  <si>
    <t>e303201d86cda5183986a56d5ae1b084</t>
  </si>
  <si>
    <t>72bc9911258ab2d985943cde67ce4883</t>
  </si>
  <si>
    <t>2017-03-30</t>
  </si>
  <si>
    <t>4b59288fdfd1ef916c5bdb63ee33d987</t>
  </si>
  <si>
    <t>f29332f473a6254f4ff3916edf221675</t>
  </si>
  <si>
    <t>5fb2e82d4258afcb90c79e2e6f0ac185</t>
  </si>
  <si>
    <t>8c6dfc3056be4a27212a845d5f2bddc5</t>
  </si>
  <si>
    <t>5bbf247f8a09d52540eac6e2cddd62a7</t>
  </si>
  <si>
    <t>758d844e553488d2af66539369ed624a</t>
  </si>
  <si>
    <t>05c44e3898cc7d836584bfaaa36d0017</t>
  </si>
  <si>
    <t>2017-03-31</t>
  </si>
  <si>
    <t>2d7312746088a0bd8d60f8db6c6fcb46</t>
  </si>
  <si>
    <t>b68feda578fe41870ba7a14082ce03fa</t>
  </si>
  <si>
    <t>e33d8345fd55476c9fc022be9809a8e4</t>
  </si>
  <si>
    <t>6baba4edd521964e1f16b03eff660868</t>
  </si>
  <si>
    <t>2017-04-01</t>
  </si>
  <si>
    <t>2017-04</t>
  </si>
  <si>
    <t>161dba2d39ca4ba1fd1a5f8024de7da4</t>
  </si>
  <si>
    <t>381e1d8755e821c57966725a4c690059</t>
  </si>
  <si>
    <t>36e138bc060bf5e8b34ff5a25cdef48c</t>
  </si>
  <si>
    <t>2017-04-02</t>
  </si>
  <si>
    <t>tablets_printing_image</t>
  </si>
  <si>
    <t>7a541b113a2aad3f0854eed998dc7ee8</t>
  </si>
  <si>
    <t>20b93906f0b1d44ad5e6c166ab370ba7</t>
  </si>
  <si>
    <t>2017-04-03</t>
  </si>
  <si>
    <t>316c1fa727d9048a98c36aefbfd84e19</t>
  </si>
  <si>
    <t>404056a6129e2c8e668b8ea4d5a98297</t>
  </si>
  <si>
    <t>RN</t>
  </si>
  <si>
    <t>77ea41cd71582db7c8dc337bbe28b561</t>
  </si>
  <si>
    <t>2017-04-04</t>
  </si>
  <si>
    <t>b955e1ecda001d15a6f9a0279d06ae5d</t>
  </si>
  <si>
    <t>68c5cb2a721e1c90873c96888b8317da</t>
  </si>
  <si>
    <t>2017-04-05</t>
  </si>
  <si>
    <t>ad6b07be756ec7284a64503ac34f6975</t>
  </si>
  <si>
    <t>e4edd7f42d1e4c150c41533aee5e7a36</t>
  </si>
  <si>
    <t>faaf6a860e3ad876765787c9e1a93464</t>
  </si>
  <si>
    <t>f076e6d4f9afe2b9f866bc0dc20abc6f</t>
  </si>
  <si>
    <t>ae5176160fcc23563149dd28b4137b6d</t>
  </si>
  <si>
    <t>fa5140866cde7c9764922065831a5510</t>
  </si>
  <si>
    <t>2017-04-06</t>
  </si>
  <si>
    <t>abecbd6356fb44255baff524fd60438e</t>
  </si>
  <si>
    <t>0fd8a0c97993a139d5277f2023f93649</t>
  </si>
  <si>
    <t>2017-04-07</t>
  </si>
  <si>
    <t>34d3746ff00ec19dffcf5a7f6761a1eb</t>
  </si>
  <si>
    <t>home_comfort_2</t>
  </si>
  <si>
    <t>c14317bde925bb399cb2a3cf8b07854b</t>
  </si>
  <si>
    <t>620f88e1cad4c60e7f3cc29d682e7eb9</t>
  </si>
  <si>
    <t>276e9ec344d3bf029ff83a161c6b3ce9</t>
  </si>
  <si>
    <t>2017-04-08</t>
  </si>
  <si>
    <t>33ae336da56e5f632a69e131c877815f</t>
  </si>
  <si>
    <t>c0c4abe362862141005289577fa44d0a</t>
  </si>
  <si>
    <t>fdb6e644d463ad142d9ed03c9f6222a6</t>
  </si>
  <si>
    <t>c42fdc1266a0ebdb032e6afaf8320b6a</t>
  </si>
  <si>
    <t>2017-04-09</t>
  </si>
  <si>
    <t>1b0a4a31fc0d7e48066ec01d14ed1b5a</t>
  </si>
  <si>
    <t>e5da6b075bf12389011f8a4ce3c1d1de</t>
  </si>
  <si>
    <t>131ca8643d9f990f2ab26e3a33ec7950</t>
  </si>
  <si>
    <t>e5660f4c411090251a0a154f085bbfe8</t>
  </si>
  <si>
    <t>b33dfa9cb1bd5eb21f0a09da605e1af4</t>
  </si>
  <si>
    <t>014f1e63f9bd4f5578edcf4e5c305a0a</t>
  </si>
  <si>
    <t>ba4630480d9cb693430e8ee1e82b9c7a</t>
  </si>
  <si>
    <t>2017-04-10</t>
  </si>
  <si>
    <t>0d3346ede30fffc33c30740f06709025</t>
  </si>
  <si>
    <t>2017-04-11</t>
  </si>
  <si>
    <t>0b16fcb0e3133c83e8c82ed7bd6ccb1b</t>
  </si>
  <si>
    <t>5eb1569b3a9e174aebf991bfa0fef897</t>
  </si>
  <si>
    <t>86f3eab0f6458fbf53389a14fc8ce71a</t>
  </si>
  <si>
    <t>2017-04-12</t>
  </si>
  <si>
    <t>f75eddeb8fc33239a2211c1a34f6911c</t>
  </si>
  <si>
    <t>dd5ebf00c3d8b88a41ec9c8450ec59db</t>
  </si>
  <si>
    <t>84ad418dcacad799e4a81ac24328d6fd</t>
  </si>
  <si>
    <t>2017-04-14</t>
  </si>
  <si>
    <t>4932f0177140a9a8b32264ac6f41ac5f</t>
  </si>
  <si>
    <t>2053554187588f29cdeb57a88d331e83</t>
  </si>
  <si>
    <t>2017-04-15</t>
  </si>
  <si>
    <t>3bee0a6bb3f8fa5eb8dae9b65fc7944d</t>
  </si>
  <si>
    <t>e3c654307c9b3b9988c35371c5bbf738</t>
  </si>
  <si>
    <t>furniture_bedroom</t>
  </si>
  <si>
    <t>4ff360dbfc89fdc00cd35d99cb3efef6</t>
  </si>
  <si>
    <t>35029df95fa6e0af9bdba562f4fc8fb5</t>
  </si>
  <si>
    <t>2017-04-16</t>
  </si>
  <si>
    <t>e6fdd5628869deef14230ee582a7a4c0</t>
  </si>
  <si>
    <t>7a398cc355d3a1a2d9101b5879b40cc8</t>
  </si>
  <si>
    <t>2017-04-17</t>
  </si>
  <si>
    <t>279eab1ce88064419806859e4575a10e</t>
  </si>
  <si>
    <t>01380d0df5b7dc8bd13f2266a57bd42c</t>
  </si>
  <si>
    <t>9c5387e0f57fcaaf624c791bc5a7d003</t>
  </si>
  <si>
    <t>2017-04-18</t>
  </si>
  <si>
    <t>bb2ac53ccaab4c3c0fcd31fa2d1ddeb1</t>
  </si>
  <si>
    <t>a23d7ad984b39e2cebe34619c1774cd0</t>
  </si>
  <si>
    <t>b70007824303eaad6d7736673b76b17d</t>
  </si>
  <si>
    <t>727412faf7aef5ef3c7e0f03350d80c7</t>
  </si>
  <si>
    <t>2017-04-19</t>
  </si>
  <si>
    <t>ce76b310dfe772acd994570f7fca9a2d</t>
  </si>
  <si>
    <t>9c3d371454ceddff5d8fa8aa86ac7c1e</t>
  </si>
  <si>
    <t>5534625f6d8c8c073046dd7b57310af3</t>
  </si>
  <si>
    <t>81727d69b41f367b7d1e9e305d7eb92b</t>
  </si>
  <si>
    <t>4c3812e7963e6b0932c6142e3d6a6b85</t>
  </si>
  <si>
    <t>7597acfdc4c37d290f854bba148c0e4f</t>
  </si>
  <si>
    <t>eb7efe0b8397cce63c22e0d6bc566dd9</t>
  </si>
  <si>
    <t>212c76a2134c9695982fe8f004a57dc0</t>
  </si>
  <si>
    <t>db5aee77fcd1883e2dd15e342cc42493</t>
  </si>
  <si>
    <t>2017-04-20</t>
  </si>
  <si>
    <t>c60bade0a2a45f8db2535ad71baf5089</t>
  </si>
  <si>
    <t>5a862434f3a367a4727fd219326cc689</t>
  </si>
  <si>
    <t>92e50fc63b89872b2d7aae1c07b64d97</t>
  </si>
  <si>
    <t>e008f3c4303db44b2edc9cff1a6f9f0d</t>
  </si>
  <si>
    <t>2017-04-21</t>
  </si>
  <si>
    <t>5ea2f9d9583d554b47ef191aa66934c2</t>
  </si>
  <si>
    <t>85e710051891004eca4f527adcadd0c3</t>
  </si>
  <si>
    <t>7ff59247bba3cb48642913d4be3bf6ca</t>
  </si>
  <si>
    <t>3c5abfef5fc10bb24f9a77d78a42768a</t>
  </si>
  <si>
    <t>2017-04-22</t>
  </si>
  <si>
    <t>6db9a7ff76608a32f0f526347572046f</t>
  </si>
  <si>
    <t>04b16351c3a70c83b9f8f1fe295cb450</t>
  </si>
  <si>
    <t>f28680bd357c20d3f581f994eaee18e2</t>
  </si>
  <si>
    <t>9b8f6a6ca0b17d35ff480e9a2ad8b7ed</t>
  </si>
  <si>
    <t>b3fd29980d666178c001b895e9c5eed1</t>
  </si>
  <si>
    <t>2017-04-23</t>
  </si>
  <si>
    <t>baacbbe167481d63498184a70336a4b0</t>
  </si>
  <si>
    <t>aebae27f4df9c32304566e5b5b44956c</t>
  </si>
  <si>
    <t>54b44811ad13a8dd03f0792d0f620b75</t>
  </si>
  <si>
    <t>de3be1cacca82247456d8ed36f4f9c63</t>
  </si>
  <si>
    <t>dc17587e6349f0e37fabd902991359f4</t>
  </si>
  <si>
    <t>2017-04-24</t>
  </si>
  <si>
    <t>c624cc88e5e978973852915f3d798c8e</t>
  </si>
  <si>
    <t>4243bef9583d689a9c8fe6f055cef332</t>
  </si>
  <si>
    <t>3b73b197eb4c6d3e501a291eb024fa1c</t>
  </si>
  <si>
    <t>7e722bfc2987b03c9f86dc14857dabba</t>
  </si>
  <si>
    <t>cec04b13070b06e2f7326de94287d60d</t>
  </si>
  <si>
    <t>ddf16d77e858a32f36e10c289a28ef61</t>
  </si>
  <si>
    <t>a1b57552891d32e63b959ed210edad44</t>
  </si>
  <si>
    <t>1bab77281b20f4719d0a9f87f2282fde</t>
  </si>
  <si>
    <t>a9cabf6172d0b9bf7909cd1235499fa0</t>
  </si>
  <si>
    <t>04eef545c54d444825c506ba170a26bd</t>
  </si>
  <si>
    <t>ef9b0fd26c25baaf42b8ebc3417fff01</t>
  </si>
  <si>
    <t>6222f10321c7b098c4d165139993de63</t>
  </si>
  <si>
    <t>2017-04-25</t>
  </si>
  <si>
    <t>market_place</t>
  </si>
  <si>
    <t>e003ef7043c4587ceeedca63a9e06054</t>
  </si>
  <si>
    <t>3eb9297e6fd8ebcad90e3d436f378207</t>
  </si>
  <si>
    <t>51a7d7d26116c0eaee6bb35ea667dfda</t>
  </si>
  <si>
    <t>eb5155f1e2e9054e0ff0e0701ce8f5c8</t>
  </si>
  <si>
    <t>8c64dfe75b003b8f1eddd9721843049a</t>
  </si>
  <si>
    <t>e1e2b559781f43694643d53e2ef681fe</t>
  </si>
  <si>
    <t>2930a715e49bf6193fd54abfb9da0d7b</t>
  </si>
  <si>
    <t>741f2c4e19ea249883b7eab05a4061f6</t>
  </si>
  <si>
    <t>2017-04-26</t>
  </si>
  <si>
    <t>a6f521d5e68e95961ac13d448a960fd7</t>
  </si>
  <si>
    <t>c85ea30e9a24abecb353caa26294c81c</t>
  </si>
  <si>
    <t>91da0c6e7a09dfed94e7cdd19982467b</t>
  </si>
  <si>
    <t>81757cfaa9d5ebd87fd0021a808f4ca9</t>
  </si>
  <si>
    <t>b4545b4fc2de8025a8a42fb23125cc54</t>
  </si>
  <si>
    <t>7c8b338f397fb38ef8936b1dc65f5bc0</t>
  </si>
  <si>
    <t>3ba1f632cf89a08caf9837999bf827ef</t>
  </si>
  <si>
    <t>41fe3abb11743c0c0403af8721d23feb</t>
  </si>
  <si>
    <t>83f24bbc4f76a2730ba9c9cfa32e6d07</t>
  </si>
  <si>
    <t>2017-04-27</t>
  </si>
  <si>
    <t>19c4ca2f9ed38cdc930ad4d520efa2bb</t>
  </si>
  <si>
    <t>2017-04-28</t>
  </si>
  <si>
    <t>24496db5f9de478a647819c7eb075504</t>
  </si>
  <si>
    <t>638a540852799faabe1c7c5647646c4e</t>
  </si>
  <si>
    <t>3462b9aa946649acaf4dbd05d3d61269</t>
  </si>
  <si>
    <t>64e32e79cb2d36bb6c9848e16fba6029</t>
  </si>
  <si>
    <t>4b37519166b98d3938e01162a4e29aca</t>
  </si>
  <si>
    <t>2017-04-29</t>
  </si>
  <si>
    <t>ee7b9fca242afe884ce1daf3f17ae656</t>
  </si>
  <si>
    <t>72b13b37a3e90ebef702948d847e881f</t>
  </si>
  <si>
    <t>7c9b7626c3fcc8aa638ece47810323b2</t>
  </si>
  <si>
    <t>f9c8ce300676bd838f4a85b8e97d2342</t>
  </si>
  <si>
    <t>2017-04-30</t>
  </si>
  <si>
    <t>2e5c056e25f127f8554fa6a2ee1336a9</t>
  </si>
  <si>
    <t>AL</t>
  </si>
  <si>
    <t>7535955a5fee70328e9fe079653e03f1</t>
  </si>
  <si>
    <t>bdd26d22582f5a2f6321493e0d8677ea</t>
  </si>
  <si>
    <t>22ee91c7febb94838b3468761b7dd72c</t>
  </si>
  <si>
    <t>2017-05-01</t>
  </si>
  <si>
    <t>2017-05</t>
  </si>
  <si>
    <t>edc75396403e226e7ac4e42085860602</t>
  </si>
  <si>
    <t>369b845bc7aec357372149df304bd341</t>
  </si>
  <si>
    <t>3902c863a4cc7b325b57a420f8012a0e</t>
  </si>
  <si>
    <t>fd9486ae13f513ac59c3f6c23bb003c7</t>
  </si>
  <si>
    <t>24940d1052df86d8e24f16e5adf2868e</t>
  </si>
  <si>
    <t>aafd191085488777c9d6b1aa8335ddd7</t>
  </si>
  <si>
    <t>2017-05-02</t>
  </si>
  <si>
    <t>e37a0ddb7818d37e517904371d679c74</t>
  </si>
  <si>
    <t>be82da060fda4b85c7fe6ea6512f67e8</t>
  </si>
  <si>
    <t>e0dfe8c4850a7ad0b8e41d3a4290ce49</t>
  </si>
  <si>
    <t>3cedecb4c098aed91d062c54ece4bca4</t>
  </si>
  <si>
    <t>ffdab5e1596138d37793566aa1424d0c</t>
  </si>
  <si>
    <t>f25ef046203c850005cd4200f7f8c190</t>
  </si>
  <si>
    <t>833fbc971cf15276b9fa3a392f73b4e6</t>
  </si>
  <si>
    <t>0dbdc97d32b0efccbdcbdf750aee17b9</t>
  </si>
  <si>
    <t>2017-05-03</t>
  </si>
  <si>
    <t>41223ff2c9f99053ad5379603589764b</t>
  </si>
  <si>
    <t>0394e320572c0048e41267320a28270e</t>
  </si>
  <si>
    <t>AP</t>
  </si>
  <si>
    <t>232ed087a5c59841a1a56af1fe8d797d</t>
  </si>
  <si>
    <t>4e345c55d847fa86f3500c1abfcbdb8b</t>
  </si>
  <si>
    <t>2017-05-04</t>
  </si>
  <si>
    <t>aef9c99ee1272a501f52167fe0c5631a</t>
  </si>
  <si>
    <t>8fc027e2e96d738a4816f043f2c946ba</t>
  </si>
  <si>
    <t>home_confort</t>
  </si>
  <si>
    <t>6d953888a914b67350d5bc4d48f2acab</t>
  </si>
  <si>
    <t>2017-05-05</t>
  </si>
  <si>
    <t>300acffc653419f09eea9de45afa0460</t>
  </si>
  <si>
    <t>dcddaf0d2359e8b282ad24f1d84857bc</t>
  </si>
  <si>
    <t>9cfff951160cff8164e3eb826dd83dd8</t>
  </si>
  <si>
    <t>audio</t>
  </si>
  <si>
    <t>2f124d00fd77d40d0847e9c97db27ce0</t>
  </si>
  <si>
    <t>32e132ee5e808c1933c32c3c9ec17361</t>
  </si>
  <si>
    <t>9f3c15fb0dfc4d3f2d9f5e8e9323a9e5</t>
  </si>
  <si>
    <t>PB</t>
  </si>
  <si>
    <t>17e6035d2c8a3c133174ada65347a2e4</t>
  </si>
  <si>
    <t>2017-05-06</t>
  </si>
  <si>
    <t>84f5e6c0a0e3155e38c00f434ba90ce8</t>
  </si>
  <si>
    <t>d9e44c3fd2ce16086619f299e92e12d8</t>
  </si>
  <si>
    <t>2e90d155b85776a842b3b1c59aa4b340</t>
  </si>
  <si>
    <t>e5c0d192e1f883b21e7673f73cb644b9</t>
  </si>
  <si>
    <t>91342c574ec0463ab295f7591d0fc8ac</t>
  </si>
  <si>
    <t>a26e448f7fe0273a370e603cd60933e0</t>
  </si>
  <si>
    <t>2017-05-07</t>
  </si>
  <si>
    <t>dbf0ef2523a1685c333401eca1edac76</t>
  </si>
  <si>
    <t>5b2b9ac65739f66309f4ca13b999dc19</t>
  </si>
  <si>
    <t>b12e5d725658a4566286153c51727af2</t>
  </si>
  <si>
    <t>3948c2f40e71b2178b6cec0916332ccd</t>
  </si>
  <si>
    <t>a979479c1af57af858b45dfd2d67ee04</t>
  </si>
  <si>
    <t>14772df2ec0499946fb20841a70659e4</t>
  </si>
  <si>
    <t>40b24dab374c01e18e3e6f269f67c8ad</t>
  </si>
  <si>
    <t>2017-05-08</t>
  </si>
  <si>
    <t>481d2cbce45c1d2281aead91bff6dcae</t>
  </si>
  <si>
    <t>9562b424b05978a493db2a5122ecab1f</t>
  </si>
  <si>
    <t>240c0f6bd7e77f416cff9b55d12d10c1</t>
  </si>
  <si>
    <t>4d3c0c9b78aca6355fc67075364b2b05</t>
  </si>
  <si>
    <t>7b3dfd5f6a78e3b430e083bf1a909da0</t>
  </si>
  <si>
    <t>66bb146968e449c413c58a15e510a6f8</t>
  </si>
  <si>
    <t>0b0bf8f9977e22517521efeefa4b7a27</t>
  </si>
  <si>
    <t>2017-05-09</t>
  </si>
  <si>
    <t>0b65284a1a74114ea029b7676fdc1ba3</t>
  </si>
  <si>
    <t>8b9fde773dec0dfd4be4beaa1ada46bf</t>
  </si>
  <si>
    <t>814f83a0c457db5d3220e5e7367a944d</t>
  </si>
  <si>
    <t>e7d84e43b5d477e3b4a6fd6d90db1cac</t>
  </si>
  <si>
    <t>b8817cf40f8cf861cbe022a3b0c61893</t>
  </si>
  <si>
    <t>23dd9b9b8eb4352e2905bf46a41e5ad2</t>
  </si>
  <si>
    <t>cb00f9d32f51bf65823f130e9c146173</t>
  </si>
  <si>
    <t>2017-05-10</t>
  </si>
  <si>
    <t>b0934c7d9368624b044fc218c11776e9</t>
  </si>
  <si>
    <t>177536550949ab384987dfa5e898b1cc</t>
  </si>
  <si>
    <t>2017-05-11</t>
  </si>
  <si>
    <t>c89fd00e1f223872ff105cd5abf2f659</t>
  </si>
  <si>
    <t>c92d9519d152fad30fdcaa7bcbdbc30c</t>
  </si>
  <si>
    <t>8aec3a066f732dd927ec8fef1752415b</t>
  </si>
  <si>
    <t>fa638db0d045b2d04da362622e1f48c9</t>
  </si>
  <si>
    <t>01835ef41c5ac66dd9ec6084fa1d0533</t>
  </si>
  <si>
    <t>fa4a86f6961b73c40db2f5f3199705ad</t>
  </si>
  <si>
    <t>2017-05-12</t>
  </si>
  <si>
    <t>755eebcb667b0fc5148bdcee47fe9f28</t>
  </si>
  <si>
    <t>4b16d0a302a6bd19d22825d08d17d973</t>
  </si>
  <si>
    <t>2017-05-13</t>
  </si>
  <si>
    <t>6ea1fb8b83a7703077033993d1bdc5fc</t>
  </si>
  <si>
    <t>dbe715996d171c4b2877daa01c0d6aca</t>
  </si>
  <si>
    <t>2017-05-14</t>
  </si>
  <si>
    <t>56fe40ecc356cf04f67dc6c69f010ddd</t>
  </si>
  <si>
    <t>2b0ff3c2ec4265091bba2e1e5d9aa762</t>
  </si>
  <si>
    <t>52fbf883cea22e6627c1aa7c49ecd8f8</t>
  </si>
  <si>
    <t>22662a013483e2c073232f69182716db</t>
  </si>
  <si>
    <t>58c4df4904044782bb1361c5cb001538</t>
  </si>
  <si>
    <t>de2d0036fb45333e82bb658ced9a4fd0</t>
  </si>
  <si>
    <t>e6fab5eab715bc4786f1f555aac7b32b</t>
  </si>
  <si>
    <t>2017-05-15</t>
  </si>
  <si>
    <t>2c6df2cdea838bd21bc2dc78dac3029b</t>
  </si>
  <si>
    <t>ca929fa6d3db41b0d698c716875ccd26</t>
  </si>
  <si>
    <t>b83427fcf80fd88d941541011ac876f8</t>
  </si>
  <si>
    <t>b6ec749459197dc03576375a5b65f5a4</t>
  </si>
  <si>
    <t>ae83ac701e482df677985b4dfe2960dc</t>
  </si>
  <si>
    <t>583dfa864ad33b5056f352e0cff6b713</t>
  </si>
  <si>
    <t>8b72765c9ae45dda52e1aeb36d56d0e6</t>
  </si>
  <si>
    <t>25f22c7921c0a8d9aece054f7daab2b8</t>
  </si>
  <si>
    <t>2017-05-16</t>
  </si>
  <si>
    <t>afcc3e09a357bc8f3c1caba3702d1e33</t>
  </si>
  <si>
    <t>65d9b3fd87de7509d12d3cd45c661269</t>
  </si>
  <si>
    <t>27da527c266684c5bfb86fc601060406</t>
  </si>
  <si>
    <t>d33a24a5ea67f8f5a06b0a32e53f3acf</t>
  </si>
  <si>
    <t>eccf3572dd199488a18da264de60e1b0</t>
  </si>
  <si>
    <t>6c2332524797ccf47797e85207250b4a</t>
  </si>
  <si>
    <t>64f475afc29a44f71955d00897cbeac5</t>
  </si>
  <si>
    <t>2017-05-17</t>
  </si>
  <si>
    <t>ee86b68eb9222b0cad7da50f4f758a35</t>
  </si>
  <si>
    <t>fashion_childrens_clothes</t>
  </si>
  <si>
    <t>8b0357c1bad60045f29531041ed96942</t>
  </si>
  <si>
    <t>7b0991b804c1f59ff08aed876cd41c5b</t>
  </si>
  <si>
    <t>4886bdc3d38b4558a42cca69e30e0808</t>
  </si>
  <si>
    <t>5852550cf22fcb9c36345a0b65992ff5</t>
  </si>
  <si>
    <t>83e72081383fc363b9d9b2d509917824</t>
  </si>
  <si>
    <t>2017-05-18</t>
  </si>
  <si>
    <t>d7265f36cbd2814e8be76a4fca48a1d8</t>
  </si>
  <si>
    <t>3b7a97d5bd2789c9087188dbfa105445</t>
  </si>
  <si>
    <t>4d3acbe72723c00c24fdbf452160d13b</t>
  </si>
  <si>
    <t>2017-05-19</t>
  </si>
  <si>
    <t>404840d41d032edfc533e78d6e6ee416</t>
  </si>
  <si>
    <t>7d514be6da81debca0ed96cb31d6ed12</t>
  </si>
  <si>
    <t>3734ef852a0ffc47fd80c97740466f68</t>
  </si>
  <si>
    <t>3749e1bbc7bc1d318446e7c177727a01</t>
  </si>
  <si>
    <t>04d0a4d84d5dc9cc343ca4d0e4120a4d</t>
  </si>
  <si>
    <t>2017-05-20</t>
  </si>
  <si>
    <t>20b6d93cb808407fbfa6438a2582538c</t>
  </si>
  <si>
    <t>93be546e44a3791eed28fb2e62d9c319</t>
  </si>
  <si>
    <t>1ca9b19a39f0b18a4a1470eba6eb5cda</t>
  </si>
  <si>
    <t>cd746016263cf0a8ac68de73ee79506d</t>
  </si>
  <si>
    <t>ee5dbc8989dbc768ce58b68213bfc285</t>
  </si>
  <si>
    <t>90ad1e3d82f91914b8daf79afc7d79a9</t>
  </si>
  <si>
    <t>2017-05-21</t>
  </si>
  <si>
    <t>fa6d6d6a627b660b3cfc54477126473f</t>
  </si>
  <si>
    <t>385949d678cba16e50726d65f1743d7c</t>
  </si>
  <si>
    <t>4ebf1b3adfeef9910d4580cf4feb91b1</t>
  </si>
  <si>
    <t>bf737c2aafd98353171a777c526656df</t>
  </si>
  <si>
    <t>07adb4d17fca01935d0590d775e9569f</t>
  </si>
  <si>
    <t>62d3014a7e5b4f51c5f2bb713775aada</t>
  </si>
  <si>
    <t>f124bd0275e05b559aee8d1271442d1b</t>
  </si>
  <si>
    <t>b4c035ccb21c24eac46fc9298084e1f7</t>
  </si>
  <si>
    <t>cc1fe613e2c3dce712d71a852ee6726f</t>
  </si>
  <si>
    <t>2017-05-22</t>
  </si>
  <si>
    <t>53893bc57fd2d4ff7dc5e76ad4773540</t>
  </si>
  <si>
    <t>cef44224a07647470c1afcdbeaa43c92</t>
  </si>
  <si>
    <t>54ac92ea720b2574ecf18f372f41ea71</t>
  </si>
  <si>
    <t>2e6ca1196243627f2157c673a686ba36</t>
  </si>
  <si>
    <t>d55ece0f3afa9b57b5a78038efddbbbc</t>
  </si>
  <si>
    <t>2740f9d58dd09ee632344af519b499ac</t>
  </si>
  <si>
    <t>bbf2756e70a99d07183bcd6fb9ef80f4</t>
  </si>
  <si>
    <t>ce243573aa83a8e70bb99ca6133a210e</t>
  </si>
  <si>
    <t>2017-05-23</t>
  </si>
  <si>
    <t>973e2efa6a19ac5083691b9deb4c0a51</t>
  </si>
  <si>
    <t>d88817e778e1757d6b7ea060be13a7f3</t>
  </si>
  <si>
    <t>1824231549dc0859a6ce9f7b7ada733a</t>
  </si>
  <si>
    <t>f33aa647f08ec9623c76b6212be92333</t>
  </si>
  <si>
    <t>2f7b0831a3de1c86dfc528f200d7332e</t>
  </si>
  <si>
    <t>04211073930bd30b88b8170431a071ed</t>
  </si>
  <si>
    <t>a7736098008bf1d6c7f3e9e72ca06081</t>
  </si>
  <si>
    <t>a0e6863a821d35dcaeb3eb109f21d443</t>
  </si>
  <si>
    <t>262509218257310f675994ae58ffbfa9</t>
  </si>
  <si>
    <t>2017-05-24</t>
  </si>
  <si>
    <t>5e37bd369f48eb8220fb2d3460f74833</t>
  </si>
  <si>
    <t>3fcef6f64992de28b33bffa27537d868</t>
  </si>
  <si>
    <t>6a5c18ff38627e8e7fd671b499d01426</t>
  </si>
  <si>
    <t>68f990d7575ee4ce6070c8816664910c</t>
  </si>
  <si>
    <t>7a37faa848114c1dfbe6b90f15af98fa</t>
  </si>
  <si>
    <t>bdb7914e757d235eaea872b4c9031509</t>
  </si>
  <si>
    <t>162e41cca84030fa1901010d70ae0bed</t>
  </si>
  <si>
    <t>698c554458e6b44e6f2f1450583c2547</t>
  </si>
  <si>
    <t>2017-05-25</t>
  </si>
  <si>
    <t>c2c0ccad6e89d372981d2f5f6a13f7a6</t>
  </si>
  <si>
    <t>71ca30b49c5b34847a66dd05c3a9f8e4</t>
  </si>
  <si>
    <t>2017-05-26</t>
  </si>
  <si>
    <t>5e62e50d9a6f7899a6d806fc809d99c8</t>
  </si>
  <si>
    <t>b99b9831e4b244971d7fee83d5a69ee0</t>
  </si>
  <si>
    <t>fec19bf476e77a007cf78400a667ad64</t>
  </si>
  <si>
    <t>2017-05-27</t>
  </si>
  <si>
    <t>f979343ab80aa950517b9a9950e516ef</t>
  </si>
  <si>
    <t>0a02d8b1995030c91c63add1acba1fb2</t>
  </si>
  <si>
    <t>facc1205a81ecb0105f0a0c14bd11899</t>
  </si>
  <si>
    <t>7eaee8b80a41b5daabc50e02d1e45120</t>
  </si>
  <si>
    <t>69bd4e4ff1a990052d8ae84b843ee045</t>
  </si>
  <si>
    <t>2017-05-28</t>
  </si>
  <si>
    <t>686d1d45217e96a6db7f27537db7e4b6</t>
  </si>
  <si>
    <t>f37d724af2a6e8663e5de52bc2f7acc3</t>
  </si>
  <si>
    <t>6275bca17b337da53d3df583024784de</t>
  </si>
  <si>
    <t>494df7e03a951e947ea15c177503ef84</t>
  </si>
  <si>
    <t>5857c4471757f3c88440e2f2f405c7c1</t>
  </si>
  <si>
    <t>2f01a66f78b2de411ae9a3ca2eb73c2e</t>
  </si>
  <si>
    <t>2017-05-29</t>
  </si>
  <si>
    <t>2b20baf94a095e002981091891209751</t>
  </si>
  <si>
    <t>37a17c5250faaeed1cd077f903e08994</t>
  </si>
  <si>
    <t>aecfda74ec8e7c93765ba62e09a995d2</t>
  </si>
  <si>
    <t>f4d3a6f8b3c011cb012b39fdfb4817e8</t>
  </si>
  <si>
    <t>2017-05-30</t>
  </si>
  <si>
    <t>9ea29024f36561184f0253cccb1b3fc7</t>
  </si>
  <si>
    <t>9282799a57b0de94393be10a4bcf120b</t>
  </si>
  <si>
    <t>5859370f19fe47ef87a4b0d110e6cf67</t>
  </si>
  <si>
    <t>2dad641c35a02f34b17ed17a7e2c1d0b</t>
  </si>
  <si>
    <t>4c7061e57405537a32f8c9dd0a194d68</t>
  </si>
  <si>
    <t>de9330ec1dd0af0751b5c24b612917d0</t>
  </si>
  <si>
    <t>8aaa6469d7ef4134e807e6b4da146012</t>
  </si>
  <si>
    <t>43d782238f80b75ff6b62c0e535ce34a</t>
  </si>
  <si>
    <t>12e5dd0c975bc753570697dfc4901596</t>
  </si>
  <si>
    <t>1466219eb36318493e16297ec7a2d87a</t>
  </si>
  <si>
    <t>483a06928959b498933c3b7efe98a755</t>
  </si>
  <si>
    <t>2017-05-31</t>
  </si>
  <si>
    <t>5f8692d4a41e2be3cf2a61b57cec915b</t>
  </si>
  <si>
    <t>518e50004c3dded8e8a25b96b47d116a</t>
  </si>
  <si>
    <t>3f4e043996f17e6354c1f004c1ea3fe8</t>
  </si>
  <si>
    <t>9e8de01f2fe105eaf6c6092b1ae4e86c</t>
  </si>
  <si>
    <t>2017-06-01</t>
  </si>
  <si>
    <t>2017-06</t>
  </si>
  <si>
    <t>4ffd6039e12a24d2083cd4a4dda4791d</t>
  </si>
  <si>
    <t>d5bd1d1b6a86a7398fdaf030ab3a6376</t>
  </si>
  <si>
    <t>82e39ebd7b6c4b1949dfa6307fd2f186</t>
  </si>
  <si>
    <t>2af88e292104c45837ffce587530757e</t>
  </si>
  <si>
    <t>242800e82e3e3f0aca252d6e03e4564c</t>
  </si>
  <si>
    <t>2017-06-02</t>
  </si>
  <si>
    <t>27b6bbf4efdd3d4aa75ead8d62a9088c</t>
  </si>
  <si>
    <t>96b796ae5c66cfff926cfe95448f1d85</t>
  </si>
  <si>
    <t>75c3bf5894efc8b022a84404ccd9f603</t>
  </si>
  <si>
    <t>57a382ec5b2ec69093d3bdc7de3ec927</t>
  </si>
  <si>
    <t>3e03b1d83d3900b822663724a388a410</t>
  </si>
  <si>
    <t>e3cabd867d0bc59470f4c3d24a7b2f2b</t>
  </si>
  <si>
    <t>2017-06-03</t>
  </si>
  <si>
    <t>8ee4b4546da4178fb73e677c628a74b9</t>
  </si>
  <si>
    <t>a7cea68c8e5f1086a3267d2972a50646</t>
  </si>
  <si>
    <t>2017-06-04</t>
  </si>
  <si>
    <t>daf8742a55a82df5518ff49094a4829b</t>
  </si>
  <si>
    <t>0108fba93678555ad1cec9c267848187</t>
  </si>
  <si>
    <t>dfc6c80c73f6b324371273bd97e19c3f</t>
  </si>
  <si>
    <t>53b28c9fd34d5fa0747bfc3032b0a8e7</t>
  </si>
  <si>
    <t>dfc2207ff43ff152e5a94f9c580ffe7f</t>
  </si>
  <si>
    <t>2017-06-05</t>
  </si>
  <si>
    <t>590fcec4757400bd9242620948a437b7</t>
  </si>
  <si>
    <t>c6068d7bd43960fb4924a456c897d52a</t>
  </si>
  <si>
    <t>805610c9f9b57b3900d462627b7ce062</t>
  </si>
  <si>
    <t>7dc55217695a2ec178b513fa24188247</t>
  </si>
  <si>
    <t>d2a63eace67f829427a227b535bf9b5c</t>
  </si>
  <si>
    <t>55e62ea5906d028721528c19cdd49bb0</t>
  </si>
  <si>
    <t>df2d910b8b5e5f461f67043489f9569d</t>
  </si>
  <si>
    <t>6967b2016aa2f75c1547e72d299a82d4</t>
  </si>
  <si>
    <t>fc79d61f2a305370fd69ee2c8048d5af</t>
  </si>
  <si>
    <t>a1b3dfb15a60b4a575af043c73f2a3d5</t>
  </si>
  <si>
    <t>2017-06-06</t>
  </si>
  <si>
    <t>c3e808e0aba3cd04567957666cdbe28d</t>
  </si>
  <si>
    <t>d695ec0f70b323de0ce4eda82582faac</t>
  </si>
  <si>
    <t>1c81cddd8cd868c4f95fa77dde1810d7</t>
  </si>
  <si>
    <t>36b65b129c6d1404bbbb77935829a338</t>
  </si>
  <si>
    <t>814b1f69511cfbaa3b54bf7701c7a475</t>
  </si>
  <si>
    <t>bb5a21810a3c7edf1efb45309d98aac9</t>
  </si>
  <si>
    <t>5e3f975c4be17dfadd26987a66fd8061</t>
  </si>
  <si>
    <t>68c3db91b9a3d1ad879db9e54d426f4d</t>
  </si>
  <si>
    <t>2017-06-07</t>
  </si>
  <si>
    <t>c348b5c61b62673ad4d11a8564de5742</t>
  </si>
  <si>
    <t>4527fe780d1facd3191d875fd794b233</t>
  </si>
  <si>
    <t>ce31aa6bc49989f71e4eb6f02f702f51</t>
  </si>
  <si>
    <t>21ff4faf5460988340a9675233bd0d1b</t>
  </si>
  <si>
    <t>bda890cf0f7976e4e2af17ed814336fc</t>
  </si>
  <si>
    <t>74c1ccaaf1d9e3db6f82ed04fc985989</t>
  </si>
  <si>
    <t>8edc3a87d7a72e4350d65c9e1c613089</t>
  </si>
  <si>
    <t>2017-06-08</t>
  </si>
  <si>
    <t>4cd1bfe6723bb2e83a8045cbea275c65</t>
  </si>
  <si>
    <t>1db142fdab73b764609d8a15e7dd5a38</t>
  </si>
  <si>
    <t>1bb50def8a9e13b440ff996070fda0e9</t>
  </si>
  <si>
    <t>1313bcad758bb2cb6766488e4448de3f</t>
  </si>
  <si>
    <t>471203d247e323c6eeb7ddbea92e69f4</t>
  </si>
  <si>
    <t>9cef759af57cfbaf537221a36730209f</t>
  </si>
  <si>
    <t>00dfb074b5c910fbd08e04691c4b712f</t>
  </si>
  <si>
    <t>9f3bb89658a46c809fdd407e86914f94</t>
  </si>
  <si>
    <t>2017-06-09</t>
  </si>
  <si>
    <t>a589a29e4907819c966a0c4840b41ccc</t>
  </si>
  <si>
    <t>669b9b0a3650913de5b761ff980d8c06</t>
  </si>
  <si>
    <t>65e7cb43b74e1b86d2625b6e5b284019</t>
  </si>
  <si>
    <t>0ec6d5153abc64611b4cf42f13b38356</t>
  </si>
  <si>
    <t>4d91816c61cb9557eb207bcbf0929f44</t>
  </si>
  <si>
    <t>2017-06-10</t>
  </si>
  <si>
    <t>92fe548282ee3cbd8eb925bdf97cac9a</t>
  </si>
  <si>
    <t>452053a4ee7ad52552d9102101ff4635</t>
  </si>
  <si>
    <t>2017-06-11</t>
  </si>
  <si>
    <t>e924fd08e03d8ac96fb7bf1291eb7c9f</t>
  </si>
  <si>
    <t>e7a9fabed044b8b1a75e6b95dba9bd92</t>
  </si>
  <si>
    <t>2c36a11b47ea60c4f373b5891a8d8488</t>
  </si>
  <si>
    <t>2017-06-12</t>
  </si>
  <si>
    <t>e4406088398131aed8c21c5a4ec3442b</t>
  </si>
  <si>
    <t>cf294fa94a0447972779fea6fc5516b5</t>
  </si>
  <si>
    <t>bd7951a7bf6dcababde910954ff2316c</t>
  </si>
  <si>
    <t>2017-06-13</t>
  </si>
  <si>
    <t>5038751dab3b14db2b1423edc9e0397e</t>
  </si>
  <si>
    <t>3441775e7c16fbea57b763e6b2e3d049</t>
  </si>
  <si>
    <t>28603c1c1a61da3897ea97a1846b1d22</t>
  </si>
  <si>
    <t>8f3b78080ad48c79fb6172b897c23d37</t>
  </si>
  <si>
    <t>f26991f83957529021b9a4146e870996</t>
  </si>
  <si>
    <t>2017-06-14</t>
  </si>
  <si>
    <t>5412783dbeb40c1f689f31da23f7c38b</t>
  </si>
  <si>
    <t>4a0d967d4e5675eeabeef5ed2d185520</t>
  </si>
  <si>
    <t>ab4db5117e6804bcb57deaafd44cf4c3</t>
  </si>
  <si>
    <t>14a92ecd0503cd0c9f6cfb0aea76dfa7</t>
  </si>
  <si>
    <t>26ac2176dfb7275b81ddf0873db31236</t>
  </si>
  <si>
    <t>d44fc0af1ec0ebbab612f2936147f717</t>
  </si>
  <si>
    <t>2017-06-15</t>
  </si>
  <si>
    <t>574c4ecf7699daffc21fc04eb876b8a8</t>
  </si>
  <si>
    <t>5dbf3bee4c547774bf74d477748dda22</t>
  </si>
  <si>
    <t>ba6e771c39f5c537cf32b54a8d238c08</t>
  </si>
  <si>
    <t>947326b280848dfde976cd7fceaa7d3b</t>
  </si>
  <si>
    <t>14d5f7d2a3755fbd4df406ef4c4b400c</t>
  </si>
  <si>
    <t>2017-06-16</t>
  </si>
  <si>
    <t>d1edb80f6670902ebbb11765b96873da</t>
  </si>
  <si>
    <t>1dd524259037e53865e1fbee3697183b</t>
  </si>
  <si>
    <t>home_appliances_2</t>
  </si>
  <si>
    <t>261894b972bbc843c4c694b4bc74e892</t>
  </si>
  <si>
    <t>4571099e8d87a92750edfddf99e5b56a</t>
  </si>
  <si>
    <t>e20e66069c6d2f4cd62ea63b48bbaf4d</t>
  </si>
  <si>
    <t>1103b5da42ef752c4264d8e1b942aa3f</t>
  </si>
  <si>
    <t>07d3db06b53989748df4ae194f6b0fde</t>
  </si>
  <si>
    <t>2017-06-17</t>
  </si>
  <si>
    <t>f53a7ea7fd8dd95811fd2035733baf9e</t>
  </si>
  <si>
    <t>a151248b1f51c21684d1a9a65a2c04b2</t>
  </si>
  <si>
    <t>8fad1f3654133d30218cd4b6fae827ee</t>
  </si>
  <si>
    <t>2017-06-18</t>
  </si>
  <si>
    <t>de4c308ea3f72fa2d3be68d18a2fedb1</t>
  </si>
  <si>
    <t>5b3a926fc80185c14ef56c6fa3a45b82</t>
  </si>
  <si>
    <t>6160672f31a87bdbafd522f69d9e5d8b</t>
  </si>
  <si>
    <t>609614169498a0a0719e1a47cd02b408</t>
  </si>
  <si>
    <t>4b62f3ef255e276bf8564f8061361886</t>
  </si>
  <si>
    <t>2017-06-19</t>
  </si>
  <si>
    <t>bd7ed28cedb8147c71f09e3ab23c369f</t>
  </si>
  <si>
    <t>1cd399dcea276c15247818674bb83c63</t>
  </si>
  <si>
    <t>3859925b9b809beadf83a70aabfca3ce</t>
  </si>
  <si>
    <t>d21a08b18679aca2a35ed7fe46c513d1</t>
  </si>
  <si>
    <t>ebd0eab2867a20cb181ae2222a511546</t>
  </si>
  <si>
    <t>c52e91d0960446c0624a5a984188ffba</t>
  </si>
  <si>
    <t>8e231eb804b052ee611d6c4a9300e10f</t>
  </si>
  <si>
    <t>74131c82f1f2851457118d475695b53e</t>
  </si>
  <si>
    <t>1b27133663a6ff5c26254c7f8f99a4d4</t>
  </si>
  <si>
    <t>2017-06-20</t>
  </si>
  <si>
    <t>311590adda47f81d35e863654feba9f2</t>
  </si>
  <si>
    <t>4a38745716bb4884b76fd3a12ad5cdd2</t>
  </si>
  <si>
    <t>c4dbc879a0f2bca255b51ca96ef04847</t>
  </si>
  <si>
    <t>91c72081ae9c08e96d0bc952f73e6188</t>
  </si>
  <si>
    <t>18d4e6891576559aeaaef675e25d53ad</t>
  </si>
  <si>
    <t>2017-06-21</t>
  </si>
  <si>
    <t>ae4a905f158c49a81cd20d36a52ccc4b</t>
  </si>
  <si>
    <t>87f83d5d5bb0b9a13ec25c61c4a71361</t>
  </si>
  <si>
    <t>80856e464d96ed6573219f5d65fc7f3e</t>
  </si>
  <si>
    <t>2017-06-22</t>
  </si>
  <si>
    <t>5cfaa2e60887ab4aed7d4e637efe2156</t>
  </si>
  <si>
    <t>7b7aa18c12be9bec06ecb74c33609bcf</t>
  </si>
  <si>
    <t>825ace52d27a25d68c72bcbdd7c66aa0</t>
  </si>
  <si>
    <t>b738a048f0968575318e1a5fc8974fba</t>
  </si>
  <si>
    <t>4ef36d7c9950e291544d3a68d123992c</t>
  </si>
  <si>
    <t>2017-06-23</t>
  </si>
  <si>
    <t>cdaa50d46a294c97f8505c6ac6145e23</t>
  </si>
  <si>
    <t>2c927414e22e9898e9e0958b417f7ef5</t>
  </si>
  <si>
    <t>84d54e2fe6fc76e34d897b32c59dd75d</t>
  </si>
  <si>
    <t>2017-06-24</t>
  </si>
  <si>
    <t>ab5f88ecd8bbfe5386a0b5687ee8beba</t>
  </si>
  <si>
    <t>34e28e181f142ed3b17dc370a9c22d70</t>
  </si>
  <si>
    <t>2017-06-25</t>
  </si>
  <si>
    <t>7eeee20ce93c5e4c8e68984bb116eea0</t>
  </si>
  <si>
    <t>c608c480ac442c0ee8203c097fca5f3c</t>
  </si>
  <si>
    <t>ac8f8a6e0d980aae7905fb9b3480078d</t>
  </si>
  <si>
    <t>752855fec9c8baf507e885780d74c273</t>
  </si>
  <si>
    <t>80384df0c422c9485fe5c3d33e07ac6b</t>
  </si>
  <si>
    <t>2ee09d85df9aae765e175f897b5fb99b</t>
  </si>
  <si>
    <t>2017-06-26</t>
  </si>
  <si>
    <t>acafc483caca0c28cef0ad651d6bb9fc</t>
  </si>
  <si>
    <t>4b594c50ed0279e3677e9580c4cfcfdb</t>
  </si>
  <si>
    <t>725d9a21b91d5ee08aaa56ef88058147</t>
  </si>
  <si>
    <t>a702e68bc7f4b63f299ffe8105a5ac20</t>
  </si>
  <si>
    <t>2017-06-27</t>
  </si>
  <si>
    <t>68cf62098cbe8d4ef838a1b3d63e74ea</t>
  </si>
  <si>
    <t>2af4817f66a5aeb427fc06e41204bc7b</t>
  </si>
  <si>
    <t>a32c1ae6b544c2e27c53db079e2a3af6</t>
  </si>
  <si>
    <t>7a45b93cba1b6ebadb4498f33f110b4e</t>
  </si>
  <si>
    <t>6e8b784db4941b3dbd08146464f9f628</t>
  </si>
  <si>
    <t>2017-06-28</t>
  </si>
  <si>
    <t>f7f27a0b991c58f8f3287801b9b26802</t>
  </si>
  <si>
    <t>632984d58b2a50f588c4a3c559c1f8f3</t>
  </si>
  <si>
    <t>5f92e202714f58d016aa087092c33fe7</t>
  </si>
  <si>
    <t>f327645eb13511d92d672ec03773b2ae</t>
  </si>
  <si>
    <t>2017-06-29</t>
  </si>
  <si>
    <t>962aeb93da677a2ce2fdb8e771e4668e</t>
  </si>
  <si>
    <t>825c221a4e981f278e9c5ec6ead83a3f</t>
  </si>
  <si>
    <t>c26b94aa87e95d1c1eb1b592f43eb223</t>
  </si>
  <si>
    <t>502ffac2e1d978a412b48e2b290bfb4d</t>
  </si>
  <si>
    <t>8c760e278dae85ccf9365fa1653bf04e</t>
  </si>
  <si>
    <t>960470e088ef6e37d9b9dd22f2cfb57e</t>
  </si>
  <si>
    <t>c2a8cb0a8bf007dbb36ed1c3bda6aeae</t>
  </si>
  <si>
    <t>2017-06-30</t>
  </si>
  <si>
    <t>fixed_telephony</t>
  </si>
  <si>
    <t>5b939ecc014a32ab25d16b70ffdb0426</t>
  </si>
  <si>
    <t>7d1195a1ae8175a0713fbeeedb018fca</t>
  </si>
  <si>
    <t>4624ea7637e72baa8c19beb97398173d</t>
  </si>
  <si>
    <t>f100e6de2729471b754facdcdb55b3e4</t>
  </si>
  <si>
    <t>294d16591b8d224412320d2053d48623</t>
  </si>
  <si>
    <t>0581cc006c5d0b4351b5435336828add</t>
  </si>
  <si>
    <t>2017-07-01</t>
  </si>
  <si>
    <t>2017-07</t>
  </si>
  <si>
    <t>5753fab4ca88fe20c5a7e8c843941287</t>
  </si>
  <si>
    <t>7597c7c4c83261b22f9e17126dd703e3</t>
  </si>
  <si>
    <t>c6c503c80e66a33d6e643178cd943e7b</t>
  </si>
  <si>
    <t>2017-07-02</t>
  </si>
  <si>
    <t>ef3b6bd27aca9b9f50e6ad8be5a2b8e5</t>
  </si>
  <si>
    <t>f518949d44e76c5b33a8d2019191acae</t>
  </si>
  <si>
    <t>3f81bec0a9a43000562b9aea4ba6c2af</t>
  </si>
  <si>
    <t>eecc1b7c0a139c574d4f9f7e707bf083</t>
  </si>
  <si>
    <t>0cabc61e5deb17c32904e1b512204efd</t>
  </si>
  <si>
    <t>ab98ae53ea3aa5c0c205452e32cc099b</t>
  </si>
  <si>
    <t>2017-07-03</t>
  </si>
  <si>
    <t>52a3cfb8a44b79a2e8d6e52ea5ff5b13</t>
  </si>
  <si>
    <t>ea048e4dd31fbc0e639a1aade37c7f3e</t>
  </si>
  <si>
    <t>d6f9e75b25f4d86db87bf9c7e6d14a4b</t>
  </si>
  <si>
    <t>0cae0419c5938004fa8b8dba302552d1</t>
  </si>
  <si>
    <t>45cd1a6af2fc3bbb9c5869ace4eef304</t>
  </si>
  <si>
    <t>food_drink</t>
  </si>
  <si>
    <t>543208567174edffa48d4c3262b0343e</t>
  </si>
  <si>
    <t>c5bbc2e1ea510338b16c37d3bd7437cc</t>
  </si>
  <si>
    <t>27d9d312e04f1893b26836442d680000</t>
  </si>
  <si>
    <t>2017-07-04</t>
  </si>
  <si>
    <t>91c743d287fad03a614394bf50338369</t>
  </si>
  <si>
    <t>f7791fd674aa787f1f33ae0fc5bb0e3c</t>
  </si>
  <si>
    <t>118ec9ddef528c64a545169b898e7699</t>
  </si>
  <si>
    <t>e1cce1b92d11a7a2edd0cbcb4de05aa5</t>
  </si>
  <si>
    <t>d65137e8832d68f38fd35e84cbacd4f5</t>
  </si>
  <si>
    <t>7f4fc31e180fd06c1de45a945223f877</t>
  </si>
  <si>
    <t>05c5fe623dddb59ad7462d5adf24885f</t>
  </si>
  <si>
    <t>2017-07-05</t>
  </si>
  <si>
    <t>e52223f2c81fa3a68e1bbd37037abc5c</t>
  </si>
  <si>
    <t>d1a6e1e7cadfe1427229d6a8afc29222</t>
  </si>
  <si>
    <t>3d98c6327fa1c45b931c31e7ca2c97cb</t>
  </si>
  <si>
    <t>16cdedbb1542ddfe411a0b979b43aa64</t>
  </si>
  <si>
    <t>e8f1a30189522698bfce82adf60472e7</t>
  </si>
  <si>
    <t>a037897ffc90e9b89c16d0b6c55e9a0d</t>
  </si>
  <si>
    <t>2017-07-06</t>
  </si>
  <si>
    <t>4bdc72a43c134005e672c71df83dde1e</t>
  </si>
  <si>
    <t>c32cfe30ac8d846c41d6695f9967bd04</t>
  </si>
  <si>
    <t>2e2dd1119ebf597a9c05d80b5d6eeace</t>
  </si>
  <si>
    <t>77959eeab7515802d0b17bd97ca522b7</t>
  </si>
  <si>
    <t>f14ffd28776719a57c5bbf16cce58dd4</t>
  </si>
  <si>
    <t>4f5c54be4162fc29637f7fc1237ba307</t>
  </si>
  <si>
    <t>b8643ed80a2602a3562b8cb0d6f7a3b1</t>
  </si>
  <si>
    <t>2017-07-07</t>
  </si>
  <si>
    <t>1d52ecb64812aade8eda623f0a2f0c79</t>
  </si>
  <si>
    <t>4993ef6ff0e62c90c51232f5164acb56</t>
  </si>
  <si>
    <t>1c8cfd2e1e836008b0ebaa67b1e6e3e9</t>
  </si>
  <si>
    <t>021f26893462ec6a677baba7f06ce4c1</t>
  </si>
  <si>
    <t>a6ae83eedb05638e88dace7706d71c26</t>
  </si>
  <si>
    <t>ba305eaf10df01ecdb8d805b1a46d402</t>
  </si>
  <si>
    <t>5664fde64525f1c1c6a8ef23aa35dc22</t>
  </si>
  <si>
    <t>2017-07-08</t>
  </si>
  <si>
    <t>ae5c6e1388284e38412e62dd4bdbd966</t>
  </si>
  <si>
    <t>81d4e3ab663ca6c51e659ad5b31457e7</t>
  </si>
  <si>
    <t>3b681dd1f8baba1507d1f484f7f289c2</t>
  </si>
  <si>
    <t>f37d444498e3442d5896c6d98a89eb09</t>
  </si>
  <si>
    <t>c577aae17cbefe7f45972f2b2f06a760</t>
  </si>
  <si>
    <t>2017-07-09</t>
  </si>
  <si>
    <t>64c8df7b4890817fdc2023304306f58f</t>
  </si>
  <si>
    <t>352b9aec1e649ed93ea863e41dc39439</t>
  </si>
  <si>
    <t>b78ba2e791199cc6293f8abf411fa386</t>
  </si>
  <si>
    <t>2d82dd44bd4ea2cb852068142568d5ce</t>
  </si>
  <si>
    <t>06ae350afd844b7e1dc14f9322504baf</t>
  </si>
  <si>
    <t>87dbf189fd5e4ff0a6846675d7fe9d0e</t>
  </si>
  <si>
    <t>2e05e404dbee7a30852c84523f222b1e</t>
  </si>
  <si>
    <t>2017-07-10</t>
  </si>
  <si>
    <t>d14713175ab3ff245a441613d7242f3b</t>
  </si>
  <si>
    <t>dfd3b2df64ce5d1f5378d2e211743bbc</t>
  </si>
  <si>
    <t>a824d8daf564c79aa91695c4126d0a06</t>
  </si>
  <si>
    <t>b11a56abf15c11b6a5c248689c6525af</t>
  </si>
  <si>
    <t>6a2979d48eda14bfbe2d632638ae16a2</t>
  </si>
  <si>
    <t>88639fdb042f2080a58a9ed47b6d6a70</t>
  </si>
  <si>
    <t>2017-07-11</t>
  </si>
  <si>
    <t>5097dff6bbed76071da15d650ab36173</t>
  </si>
  <si>
    <t>e7a7c3f23a94a1094f891ae30eeeccd3</t>
  </si>
  <si>
    <t>ee0b134993ab33ad14fbebf2da7e8b59</t>
  </si>
  <si>
    <t>10f34fc8a567488225794fc598c3c9f4</t>
  </si>
  <si>
    <t>efe9a00980989785f6defa2602f5e4cd</t>
  </si>
  <si>
    <t>b29e21660ec21d241b0b2fdb161bf7d8</t>
  </si>
  <si>
    <t>9695b39a3c85c3d4651b63f03864fd38</t>
  </si>
  <si>
    <t>a97107c0b3df262ab4454ad8c3a91d0b</t>
  </si>
  <si>
    <t>804e0b86e8fe8f4b319d850c87dd79bd</t>
  </si>
  <si>
    <t>b5247f083ab1483738dc1a173aac237a</t>
  </si>
  <si>
    <t>f16d36e918e76d6b9afabb3d8189f313</t>
  </si>
  <si>
    <t>2017-07-12</t>
  </si>
  <si>
    <t>1f3128e8dcdc994a80f83cff1c576a35</t>
  </si>
  <si>
    <t>3f5abd933258e53656eb4368f0762fec</t>
  </si>
  <si>
    <t>a173a87bc70963a0ab33b92dd6f193dd</t>
  </si>
  <si>
    <t>d9bc6265a0fd5fd74e4c1db0ee72d753</t>
  </si>
  <si>
    <t>73d34a2bf529090b8e28797f2169823c</t>
  </si>
  <si>
    <t>2017-07-13</t>
  </si>
  <si>
    <t>20bc33ea85750fd7d20d7b72c5c4b36d</t>
  </si>
  <si>
    <t>788981eeae5e313081bd50e623f540f8</t>
  </si>
  <si>
    <t>4140fb83a84c614859497ddf5333334f</t>
  </si>
  <si>
    <t>a867d77ca2a1f66f8ef67750c711d074</t>
  </si>
  <si>
    <t>9f59586295a7d2e6c788a21e6cf5d8a9</t>
  </si>
  <si>
    <t>b4860a5b1e68976794cbe548c4ecf0a7</t>
  </si>
  <si>
    <t>67ff6057a78f38214118680c4a286f2c</t>
  </si>
  <si>
    <t>2017-07-14</t>
  </si>
  <si>
    <t>261f7ff907490323f35d83f257331429</t>
  </si>
  <si>
    <t>483911cb189b99a0f8f7278c240c2975</t>
  </si>
  <si>
    <t>d4f742f7a223add48641c06ac0b96a25</t>
  </si>
  <si>
    <t>35a3fda780d64bcef27e2922fe37b24d</t>
  </si>
  <si>
    <t>2017-07-15</t>
  </si>
  <si>
    <t>7cc511af09f6c0b54385d08aaca28680</t>
  </si>
  <si>
    <t>ab6ccded40dba2056dfa826368b5adf3</t>
  </si>
  <si>
    <t>87a7993a41d542a5b33757b3a453efb0</t>
  </si>
  <si>
    <t>19b9083421d73aac95bbafa1972dbc45</t>
  </si>
  <si>
    <t>ee4d37f7666f4649a942fad1192bb2f4</t>
  </si>
  <si>
    <t>2017-07-16</t>
  </si>
  <si>
    <t>1d24b01e4ad4214409a4cfea16ab3000</t>
  </si>
  <si>
    <t>06a6627d9cc91a04e9d146bf65fee0a2</t>
  </si>
  <si>
    <t>ec75a563a9c1e88a534f34f1280b0c8b</t>
  </si>
  <si>
    <t>2721cdbb603d7ab34553d2e44a6f9ae0</t>
  </si>
  <si>
    <t>b40cc33d658c4e802526de2bf8a56d43</t>
  </si>
  <si>
    <t>2017-07-17</t>
  </si>
  <si>
    <t>79c6130ca63ec6a1dfbf2b33fa9a87c6</t>
  </si>
  <si>
    <t>969845b1c24ed7c5f3d07b64667967f8</t>
  </si>
  <si>
    <t>dfc5a5525471e9341af3ad103adbef79</t>
  </si>
  <si>
    <t>2d5b43766328f55157cae1e85e1dd475</t>
  </si>
  <si>
    <t>090df55d4945ec96f88731875465407d</t>
  </si>
  <si>
    <t>3eb78d52f39f1e6f40814845897b7453</t>
  </si>
  <si>
    <t>b124d85cd6e55467812fa1bab3dce946</t>
  </si>
  <si>
    <t>d2545da4dd93f38a15c5babeef77209e</t>
  </si>
  <si>
    <t>2017-07-18</t>
  </si>
  <si>
    <t>9dc7932b1c116c2d56c1a2c52442d0cb</t>
  </si>
  <si>
    <t>cae1cef56202db2581379f836268bfda</t>
  </si>
  <si>
    <t>76d4ae1832cf14e630c878e83e011442</t>
  </si>
  <si>
    <t>66dd11eed8eb0d72f0acf755122c4a13</t>
  </si>
  <si>
    <t>c63112181863ee049837cf2a0ecbfab7</t>
  </si>
  <si>
    <t>2017-07-19</t>
  </si>
  <si>
    <t>d6f69373bd8e19dddb4c20e6d01ea72e</t>
  </si>
  <si>
    <t>69a2a91fc2f5cf8fd09cf5e9ed2b56ff</t>
  </si>
  <si>
    <t>f8207caf0d0b8d07ebb64c397a72793a</t>
  </si>
  <si>
    <t>ee76c8b8bd42ca7913d033a9dea1383f</t>
  </si>
  <si>
    <t>2017-07-20</t>
  </si>
  <si>
    <t>7d4101163410b1380268da3933e691f1</t>
  </si>
  <si>
    <t>78532828d00531b29b635848828001f9</t>
  </si>
  <si>
    <t>0a8b7ed1fb705a8af99575dc742cd328</t>
  </si>
  <si>
    <t>1427ef2af9580d8d943b1f0ed1f8e050</t>
  </si>
  <si>
    <t>99f48f57d8e3a6f6bcc13902ee0067c7</t>
  </si>
  <si>
    <t>e5bc812e034a9041261c8637e4dc4497</t>
  </si>
  <si>
    <t>1eeff18e275e2d98a4701b328d2214c0</t>
  </si>
  <si>
    <t>59a0b1e1b934789d033dfb98797d9d34</t>
  </si>
  <si>
    <t>788dadfe475fc16d5e7562f1a5fa8e82</t>
  </si>
  <si>
    <t>90168dcfab7b04546b03342f246250e0</t>
  </si>
  <si>
    <t>2017-07-21</t>
  </si>
  <si>
    <t>ca228c2c6dc307c077c98d26bb8de09d</t>
  </si>
  <si>
    <t>bf237ea364c3113c48cb2815b7bbe2c9</t>
  </si>
  <si>
    <t>64f342fec608b8d7ec942b807e01652d</t>
  </si>
  <si>
    <t>12b69999b64f73f3cdfa23512584c8d5</t>
  </si>
  <si>
    <t>2017-07-22</t>
  </si>
  <si>
    <t>332c91ab63b630c1ecd7d5b100ce43bd</t>
  </si>
  <si>
    <t>793c2f0661686b1d7e18efec8c4b43be</t>
  </si>
  <si>
    <t>b172a003a35f407e54bc6d8ba4c5b1fa</t>
  </si>
  <si>
    <t>2dea508202fbd39c677502defdef2d21</t>
  </si>
  <si>
    <t>77cee551ec0bfd054f82bd2495d2fcd6</t>
  </si>
  <si>
    <t>9c77966338b7a4afae520a5723c937a3</t>
  </si>
  <si>
    <t>8e1e84cffb2c5174a4d5d9026c0a5013</t>
  </si>
  <si>
    <t>2017-07-23</t>
  </si>
  <si>
    <t>317e9689b222bc8a5b08dfcb0c91b515</t>
  </si>
  <si>
    <t>d9bd19ff1f9e434a5d633944430a97ec</t>
  </si>
  <si>
    <t>710e2c5ff9a94d1abd06aee65f2ab524</t>
  </si>
  <si>
    <t>b3ba9e96f5d04c8c20e37e9ffd2e79a8</t>
  </si>
  <si>
    <t>2017-07-24</t>
  </si>
  <si>
    <t>0205c3dd6f4d8e348ee72fffd114fec4</t>
  </si>
  <si>
    <t>52b72b336dbd155b3d75bb3fcc799ac3</t>
  </si>
  <si>
    <t>e2f058d7261e0cfb0eea8f8d556269ef</t>
  </si>
  <si>
    <t>6704cecb75359214b2a2c7ddb894b89e</t>
  </si>
  <si>
    <t>1e098529b9705a78dba4c6b24ee2ef35</t>
  </si>
  <si>
    <t>2c8ae71873abf8c37c3dbf4322dc9a24</t>
  </si>
  <si>
    <t>f9697e263e9eec082f1ced4fa81d2faa</t>
  </si>
  <si>
    <t>3e10da3f366b635d6a1e0d380b32da95</t>
  </si>
  <si>
    <t>2017-07-25</t>
  </si>
  <si>
    <t>e7c984c7684388a750178a7187b29cc4</t>
  </si>
  <si>
    <t>d228a9c137a2d23357ac9c661da7285e</t>
  </si>
  <si>
    <t>49a898ddad77a56cfcf158749854222f</t>
  </si>
  <si>
    <t>f081180e44957b00bf43b18a823e8819</t>
  </si>
  <si>
    <t>ef70e4d6b81be0fc423f1b77e4481e44</t>
  </si>
  <si>
    <t>f09f3f77745d7ca1975a8c080123a68a</t>
  </si>
  <si>
    <t>019b8e16e30c8b9ad9bf87e039a27765</t>
  </si>
  <si>
    <t>f28f39649e3b855c1e269fde05f2629f</t>
  </si>
  <si>
    <t>2017-07-26</t>
  </si>
  <si>
    <t>9b7130a90e8f2c23cba417fd1e9be425</t>
  </si>
  <si>
    <t>c02a5571a92c4122218c6471c440567a</t>
  </si>
  <si>
    <t>2d59688444fe2c77837f198bb74f4485</t>
  </si>
  <si>
    <t>871f526d138c30fdbcecbcf72a3588b5</t>
  </si>
  <si>
    <t>cf418da45661447c99c40a5786bca1a8</t>
  </si>
  <si>
    <t>2017-07-27</t>
  </si>
  <si>
    <t>18a4fa1a7c0e324a18cc81cdf6bc577a</t>
  </si>
  <si>
    <t>ba8d16a572292d042403094d3c0fc354</t>
  </si>
  <si>
    <t>1e55ec3322465b5b6dc07d7f5ef45f99</t>
  </si>
  <si>
    <t>7bc2a035233bdec3f84bef1cc364a2bb</t>
  </si>
  <si>
    <t>d41cca426db55a5cffe764e4ebfc5527</t>
  </si>
  <si>
    <t>0ce15b4615f37580142c31f7da6147e3</t>
  </si>
  <si>
    <t>2c36e21ba9c9ffb56e431113b7af7073</t>
  </si>
  <si>
    <t>2017-07-28</t>
  </si>
  <si>
    <t>3303092810c37e9ab22a711ae3afb197</t>
  </si>
  <si>
    <t>31e2d0fd6a89e7bd4d343d5de73a68ea</t>
  </si>
  <si>
    <t>a1e3ae78b2bf6dedf2c6a37f96e17900</t>
  </si>
  <si>
    <t>742a36775534b588ed2a62ba4c2d9cd7</t>
  </si>
  <si>
    <t>cds_dvds_musicals</t>
  </si>
  <si>
    <t>d036b12f69efa48855cbfa30a2db23c6</t>
  </si>
  <si>
    <t>fac313dbb6add2eb12c5dc3cb6e6e807</t>
  </si>
  <si>
    <t>7ddd225286ba5817d36116c8d2300407</t>
  </si>
  <si>
    <t>5d0603425fc99ce2d2f5b3eec417a09c</t>
  </si>
  <si>
    <t>8e0ea21ee6cfe4bbb2269955fb3967cc</t>
  </si>
  <si>
    <t>a1b9f97c297857f45e57da6387381de5</t>
  </si>
  <si>
    <t>2017-07-29</t>
  </si>
  <si>
    <t>24afc354365baea8f460c85b4d78b9e4</t>
  </si>
  <si>
    <t>fashion_underwear_beach</t>
  </si>
  <si>
    <t>152066afaaba08a8a38cb198f0b9b38a</t>
  </si>
  <si>
    <t>38b40f7c313e9e6b08f38e7bce6d93fd</t>
  </si>
  <si>
    <t>58ce513a55c740a3a81e8c8b75e2582a</t>
  </si>
  <si>
    <t>a5be0f3a1b2874d7a949d0234acd688f</t>
  </si>
  <si>
    <t>1ecad0e8ea57760ebd5ea7863ec48b06</t>
  </si>
  <si>
    <t>3282d3194ddf7794d2ac89795ed74cd1</t>
  </si>
  <si>
    <t>12aef789cfc998f5f44ddf27c24e354d</t>
  </si>
  <si>
    <t>a9fa8567c21a5f8e4450af02a87f26cb</t>
  </si>
  <si>
    <t>b029a781059e5676835a903e614e845d</t>
  </si>
  <si>
    <t>bb0053cdec4b5850b4682e029eb3347f</t>
  </si>
  <si>
    <t>2017-07-30</t>
  </si>
  <si>
    <t>d0843f8d9dcf8320e48984dd4a52d652</t>
  </si>
  <si>
    <t>f1d6d7277ac0980ac1b522e9502d87c9</t>
  </si>
  <si>
    <t>cf5e18822d6c886902d93a7a709a8950</t>
  </si>
  <si>
    <t>2017-07-31</t>
  </si>
  <si>
    <t>ee95946f63d71c44f715e74b27adb2cd</t>
  </si>
  <si>
    <t>b5e50b7fddcc5f12ecb97b4d5f455f61</t>
  </si>
  <si>
    <t>0360de67db844d693e3060a8b79eac4b</t>
  </si>
  <si>
    <t>20073b5a4f4e82bae239dda7b336ca5e</t>
  </si>
  <si>
    <t>2017-08-01</t>
  </si>
  <si>
    <t>2017-08</t>
  </si>
  <si>
    <t>2e6d2d54826e3dc0cf96b86f6d029dbf</t>
  </si>
  <si>
    <t>f4ab3840a4f72a98a950099cfcb83502</t>
  </si>
  <si>
    <t>4259e68b0021b91e05471e07a45c813c</t>
  </si>
  <si>
    <t>6b4186f5efd99b748d530675413ef6cb</t>
  </si>
  <si>
    <t>afd3ddd9caf7a0969cc51740136d4a4f</t>
  </si>
  <si>
    <t>58293f63cf0304768ab4811c0f4dbe17</t>
  </si>
  <si>
    <t>9f746b29d9c50effb250e5b99c2c8874</t>
  </si>
  <si>
    <t>15e4f54bacc1f99c567ae071a016fa9b</t>
  </si>
  <si>
    <t>ec1b5ec39466f6bb902936532ae76e6a</t>
  </si>
  <si>
    <t>8a8b616382f617096bdf45e1b3e7e3f5</t>
  </si>
  <si>
    <t>2017-08-02</t>
  </si>
  <si>
    <t>3cd02e6bd648bb14fb1f20e140ee4e15</t>
  </si>
  <si>
    <t>7ce665a17cd6cb68137dc2816937a8a5</t>
  </si>
  <si>
    <t>99444a1ae54c5cdeb0dc5e97b57aa6e5</t>
  </si>
  <si>
    <t>3b5066af438aa1723c4e22290fe8dabd</t>
  </si>
  <si>
    <t>dde56e42843e19685d241a25e192184e</t>
  </si>
  <si>
    <t>2017-08-03</t>
  </si>
  <si>
    <t>32eb9533178668935fffbc324671e9d2</t>
  </si>
  <si>
    <t>186efcd656d8ac4332156f594df02572</t>
  </si>
  <si>
    <t>dc9470b246bc5c83e5e72f1897971fcb</t>
  </si>
  <si>
    <t>f10c009ca3eae0609b1ad632f68dcf67</t>
  </si>
  <si>
    <t>834bdbe2274206828a57e58fef7f4935</t>
  </si>
  <si>
    <t>584bd08b6d0a61391b57b2ac26416887</t>
  </si>
  <si>
    <t>465e8161fdbe4ef42b3b8371bd96100e</t>
  </si>
  <si>
    <t>2017-08-04</t>
  </si>
  <si>
    <t>e31526204c93b55b21e55ef3e5a45f36</t>
  </si>
  <si>
    <t>a3a15a66006f9f79c98af9fce34528c8</t>
  </si>
  <si>
    <t>a7652ffa94af425f684a2d55cc06945e</t>
  </si>
  <si>
    <t>7f2527b00aba2c4ea2631cbf2a1d0f68</t>
  </si>
  <si>
    <t>832079e71d5ee058d10e1ee1abe0e0f9</t>
  </si>
  <si>
    <t>aa3666ac800f7d6ee11840a2d5f74ee6</t>
  </si>
  <si>
    <t>5f7577cc4d04d08a6edae39a0b96e281</t>
  </si>
  <si>
    <t>a316607f76b8992b9ef01d8e7ee6933a</t>
  </si>
  <si>
    <t>660023f633ebbca40bbf5962692b2411</t>
  </si>
  <si>
    <t>2017-08-05</t>
  </si>
  <si>
    <t>b8465ebdeb16d7b97b28e61f894afb70</t>
  </si>
  <si>
    <t>3cef2febcf9500f2509317c92f432e8c</t>
  </si>
  <si>
    <t>01643942766bdec224d5593041f714e6</t>
  </si>
  <si>
    <t>e8d3219c027c07fb152bc267d5e437fc</t>
  </si>
  <si>
    <t>32335927ea896fd9993fa6f6715e1605</t>
  </si>
  <si>
    <t>a880b806f0a6467ea8044335fc629ff9</t>
  </si>
  <si>
    <t>99b5479599753883c7355ca6cb95b2c1</t>
  </si>
  <si>
    <t>2017-08-07</t>
  </si>
  <si>
    <t>64b474e9995eb9740db3190013984b6b</t>
  </si>
  <si>
    <t>90214a4751f75ee8783bed5037f9b0db</t>
  </si>
  <si>
    <t>c3e544a509d5603803d4f6eaedcaf0b8</t>
  </si>
  <si>
    <t>3e64ee45a339ce09c4e27564b45ba09e</t>
  </si>
  <si>
    <t>be06d9f698d7e74899f4cf223ae62995</t>
  </si>
  <si>
    <t>8431f8b44d5d90252e64059e253c308d</t>
  </si>
  <si>
    <t>719312efa72d95b357250140f48b778f</t>
  </si>
  <si>
    <t>5f216fa78a2bb7be5bc7468efd986ed3</t>
  </si>
  <si>
    <t>2017-08-08</t>
  </si>
  <si>
    <t>2b18686c9329e1cd201d6d4015268ca9</t>
  </si>
  <si>
    <t>0c469ff5fde3323c2a8b99387f46bb19</t>
  </si>
  <si>
    <t>dc7be79976943eeae2bd3e4530b511fd</t>
  </si>
  <si>
    <t>0e0cb073422fcdc0645935e23d672736</t>
  </si>
  <si>
    <t>2e71a5c523cd61c4d906ebc8203ef215</t>
  </si>
  <si>
    <t>5d4ef7be8a0a3d0f0991bfc92e6bce32</t>
  </si>
  <si>
    <t>4f08e1d966e9e49ca0677134ce4c2c57</t>
  </si>
  <si>
    <t>0cda3f4a118f3654ee4e487e867fa036</t>
  </si>
  <si>
    <t>2017-08-09</t>
  </si>
  <si>
    <t>7e308fe1aed001a0b8ba1e7f017cafa8</t>
  </si>
  <si>
    <t>ec60b0d63f32dc9f14da8503a72af821</t>
  </si>
  <si>
    <t>e4d70620497883d192090b7a6d48441d</t>
  </si>
  <si>
    <t>b5e0fde1c337ebf2f84dbcddde845156</t>
  </si>
  <si>
    <t>f4b166c60fee8f28f16c05ad386fdc09</t>
  </si>
  <si>
    <t>61cfa60003f1d98a86cc3562f13b2ea0</t>
  </si>
  <si>
    <t>7f21d3ca84edda19b1982865712ca42e</t>
  </si>
  <si>
    <t>3806e97292af7b9430f6981372925843</t>
  </si>
  <si>
    <t>76a144984e527482dad02200366231c1</t>
  </si>
  <si>
    <t>27981b144a3edfc540ff14f416ff7311</t>
  </si>
  <si>
    <t>ef3cef230796c0133556a0a8f013f6fe</t>
  </si>
  <si>
    <t>2017-08-10</t>
  </si>
  <si>
    <t>5802a2af7adc078756b394ca9f492087</t>
  </si>
  <si>
    <t>cd7293cd82a7c818940f97bef67c4d62</t>
  </si>
  <si>
    <t>f98f3e577848e635602f831c276ba700</t>
  </si>
  <si>
    <t>1565c265f6580c91569b142d96aaa19d</t>
  </si>
  <si>
    <t>2b234cbc0fc80ec00c9ab6f0ca1aca88</t>
  </si>
  <si>
    <t>3ce5ed82ae32a886fd55be9b9e7b8405</t>
  </si>
  <si>
    <t>6af8d729a1717c4ba85c7bdc83278656</t>
  </si>
  <si>
    <t>a2271e2c867442b21df827861d9f8ef0</t>
  </si>
  <si>
    <t>b1af0e84814ea77191dddbb863dc896a</t>
  </si>
  <si>
    <t>2017-08-11</t>
  </si>
  <si>
    <t>300e2dfe7d37393693973f78426a0807</t>
  </si>
  <si>
    <t>c94517a93bb24f22495c95eb3f90adc5</t>
  </si>
  <si>
    <t>5256aac1d939c4bbc931cc7c1c78a419</t>
  </si>
  <si>
    <t>2017-08-12</t>
  </si>
  <si>
    <t>e1deab080b7d765ab23ffbbeaf062466</t>
  </si>
  <si>
    <t>d374e958c5246d608c3baeca9ddccb16</t>
  </si>
  <si>
    <t>ab12a70fb1db89901f89c16464249395</t>
  </si>
  <si>
    <t>2017-08-13</t>
  </si>
  <si>
    <t>ec84e555ec0c06ea52e4cd6051f68802</t>
  </si>
  <si>
    <t>3733b36d82377a01ed4386abf60df35d</t>
  </si>
  <si>
    <t>621a8d2076a3738d27d6f6b2ad81a906</t>
  </si>
  <si>
    <t>d0acfe7fdbf94c390d7b20b589fa9bbd</t>
  </si>
  <si>
    <t>0de9e77cb8416394c1d74300fd08213f</t>
  </si>
  <si>
    <t>9b9a7ecc01bac06fcf3c50980c5ed885</t>
  </si>
  <si>
    <t>bb24bc48ede5999f7be893f8d0024291</t>
  </si>
  <si>
    <t>c57cf7b41f793c7c74b7e51f236eb57f</t>
  </si>
  <si>
    <t>beb460eb01804a14aaee60f14c3247b5</t>
  </si>
  <si>
    <t>114e0ad5d9cd8931d7541e1331bdb503</t>
  </si>
  <si>
    <t>2017-08-14</t>
  </si>
  <si>
    <t>c1446140c078144be23c01e9858697b6</t>
  </si>
  <si>
    <t>fbea6a49d91331a6874627ab4aca845f</t>
  </si>
  <si>
    <t>fffe18544ffabc95dfada21779c9644f</t>
  </si>
  <si>
    <t>27ae4a0be8ab218e05e205f6fcacb88b</t>
  </si>
  <si>
    <t>d8bf59eb5386f2c3d82cfa4ced3c6183</t>
  </si>
  <si>
    <t>806d3b5f15557ad3d5288d340271151f</t>
  </si>
  <si>
    <t>85abf987df0b38005eb6c91fb55374c9</t>
  </si>
  <si>
    <t>dee33d9b548acb609e8b6eb6f540f4b3</t>
  </si>
  <si>
    <t>95efc26128229ac33bfc67d4fce8fa28</t>
  </si>
  <si>
    <t>5ea01f5660c8d089b604b2d1ddaab334</t>
  </si>
  <si>
    <t>2c8166a4f7d0752f25e70f45565db8b9</t>
  </si>
  <si>
    <t>1aeb6136411ab7da012863ac27055dcf</t>
  </si>
  <si>
    <t>2017-08-15</t>
  </si>
  <si>
    <t>9b228d02d9abe567855fe2f934772858</t>
  </si>
  <si>
    <t>fd85717bc49c767347b7b46317392d7d</t>
  </si>
  <si>
    <t>461b40d4fc35428f6d7f4df87ae2b5b5</t>
  </si>
  <si>
    <t>25857521bead5be64bf8305c71db1fa2</t>
  </si>
  <si>
    <t>f0a35c83ab3251347b674f0f3e0d01f1</t>
  </si>
  <si>
    <t>e5cba854ed90614d4334d4c5fa4fcbcf</t>
  </si>
  <si>
    <t>2017-08-16</t>
  </si>
  <si>
    <t>b1cd8dc65cf496b0742bc29954dd322d</t>
  </si>
  <si>
    <t>1836232055a6243d56ca67b74cb77aea</t>
  </si>
  <si>
    <t>a2703dddc710908105939e9272116d13</t>
  </si>
  <si>
    <t>5e292fb98b7d86213aea4a9bd5681a42</t>
  </si>
  <si>
    <t>07a97e5f41dfa29925b661eee8e73c26</t>
  </si>
  <si>
    <t>25005bc2e7ea41ec988bdd233a251703</t>
  </si>
  <si>
    <t>2017-08-17</t>
  </si>
  <si>
    <t>adc9f082768884dcb46b8b3d26851ca0</t>
  </si>
  <si>
    <t>e95356181d857128f9a0eb779ad36381</t>
  </si>
  <si>
    <t>846d9f177cd197194d2933fdf0dcc68b</t>
  </si>
  <si>
    <t>5727f102c85ddd314cc3158d4e044e94</t>
  </si>
  <si>
    <t>d43f8d7052d9022a8fe3a804942298ce</t>
  </si>
  <si>
    <t>51031dc347b31f2f5d84655a08e10e9e</t>
  </si>
  <si>
    <t>ecd6c4b673e81e3ba899f65b2135ce70</t>
  </si>
  <si>
    <t>ec9e227f8a374794d57840d65e9a8ace</t>
  </si>
  <si>
    <t>5d9d34ab320a65d476024f1146155415</t>
  </si>
  <si>
    <t>e4b96fef250adf4067371705b2289e3c</t>
  </si>
  <si>
    <t>817e8b5495d2b31da82dfe5a89aacdba</t>
  </si>
  <si>
    <t>0b843f953899d9a1d084c1f5163027c0</t>
  </si>
  <si>
    <t>89d3b46e266c588a70dcac017b613004</t>
  </si>
  <si>
    <t>2017-08-18</t>
  </si>
  <si>
    <t>4aa0a4cc479d198113baae85bbb801c8</t>
  </si>
  <si>
    <t>b93500c13882d8874fa1d03641499551</t>
  </si>
  <si>
    <t>05aac5a18dcd77932007f57de8650622</t>
  </si>
  <si>
    <t>20c87f647466d582c7f188b6dc4c6b14</t>
  </si>
  <si>
    <t>5c5a4d0be78ff48f67dd7f81fd56d905</t>
  </si>
  <si>
    <t>2d063770853ccc944a0eea618c125f82</t>
  </si>
  <si>
    <t>e392e762463125f6436ee6719c03e4ff</t>
  </si>
  <si>
    <t>2017-08-19</t>
  </si>
  <si>
    <t>caf07fcb4e0d35fb5e9f6e3eeb294ada</t>
  </si>
  <si>
    <t>94559fe2283a8ce81e14d3fee1d4e928</t>
  </si>
  <si>
    <t>8306cf8a11247ad0a271068a168cd83d</t>
  </si>
  <si>
    <t>6d238ce1fb32d1ef6e4422764a7f76cc</t>
  </si>
  <si>
    <t>23dc1dae65a022e0f216c057e1ad3b72</t>
  </si>
  <si>
    <t>f1e63d984de289ace77245034ae6cbdb</t>
  </si>
  <si>
    <t>ab96ffdb4db7fa3807bfb7a512f2f519</t>
  </si>
  <si>
    <t>2017-08-20</t>
  </si>
  <si>
    <t>1e7c4d7f10431cde9911c1c659a6e3fd</t>
  </si>
  <si>
    <t>fcfa8ef8103d78c6f2dd57ec67713360</t>
  </si>
  <si>
    <t>4a57c473825a49217f1360b23fce6e65</t>
  </si>
  <si>
    <t>633bd8dd4d19125b69aeee2526f79779</t>
  </si>
  <si>
    <t>8c0badb93d803736320343323266425b</t>
  </si>
  <si>
    <t>e6645cd574bfc71b276a102797036491</t>
  </si>
  <si>
    <t>2017-08-21</t>
  </si>
  <si>
    <t>761d1ebbd0e356d78eb6a1a50cb16662</t>
  </si>
  <si>
    <t>0dad7d1ff2920dfb357bfda892dca601</t>
  </si>
  <si>
    <t>7159e54dc429b82335398dcb355162f1</t>
  </si>
  <si>
    <t>b91c737fed536d40ce17d84edd88fac7</t>
  </si>
  <si>
    <t>0494d7ef89583fcaf33a1cea4bcfeec2</t>
  </si>
  <si>
    <t>bee5bc36d798e3675faa04ac679620dc</t>
  </si>
  <si>
    <t>28d7626c30f05e9a92ae5a3910f6f603</t>
  </si>
  <si>
    <t>3645d00093a926152b82312c5db8984f</t>
  </si>
  <si>
    <t>0b1bd7cdeb2d703ebe602a2989a86f9a</t>
  </si>
  <si>
    <t>4519eb4d4f31920150447454d2a0b560</t>
  </si>
  <si>
    <t>books_imported</t>
  </si>
  <si>
    <t>73d31477d79e7d244fe031d4b2c9c58d</t>
  </si>
  <si>
    <t>b92fc3d1e14e2ff2051230fda1012db2</t>
  </si>
  <si>
    <t>431fe12f4d24d8f61a0947c0bc842a04</t>
  </si>
  <si>
    <t>2017-08-22</t>
  </si>
  <si>
    <t>3bc85ea22011e6a4c0677bd7a985f76b</t>
  </si>
  <si>
    <t>9b80fe8a497834eb67892e43db08b915</t>
  </si>
  <si>
    <t>6956c7a7b6e1be46fa34926ef6aea60f</t>
  </si>
  <si>
    <t>3503ca07647fc40291e999ca3e3ea490</t>
  </si>
  <si>
    <t>661db6fa562954c6c672ee765c51a014</t>
  </si>
  <si>
    <t>c870ed0988202f0b857a393392831d06</t>
  </si>
  <si>
    <t>2cf60e81bd122e58c99e87fa99fd24cb</t>
  </si>
  <si>
    <t>046ce63db7db8b9160b6231429c8ea66</t>
  </si>
  <si>
    <t>2017-08-23</t>
  </si>
  <si>
    <t>5f71bc83356f39cf9e9b8004f39a989a</t>
  </si>
  <si>
    <t>80b0bd0c8f8cb86ae0c2dddb11693b07</t>
  </si>
  <si>
    <t>aa32183a575c0f3e9a0f2cfae712d030</t>
  </si>
  <si>
    <t>bb23ee96defc419b4137ae66d0c0e44e</t>
  </si>
  <si>
    <t>27d7ae4ad298e3686566ac8e9ff928e5</t>
  </si>
  <si>
    <t>2017-08-24</t>
  </si>
  <si>
    <t>7c018c94d1f3d9ac7affec4cde6e111f</t>
  </si>
  <si>
    <t>6149716112b7db1b76332e704d944cbb</t>
  </si>
  <si>
    <t>bc46a904b86fbf6c3d2f49a74fab7e66</t>
  </si>
  <si>
    <t>42769a5163a34297f4458dbccf206b36</t>
  </si>
  <si>
    <t>2fc8432d4f906403e2bf04d81163b220</t>
  </si>
  <si>
    <t>5f49f31e537f8f1a496454b48edbe34d</t>
  </si>
  <si>
    <t>ca860fbc7c3132b89e9e134a00652215</t>
  </si>
  <si>
    <t>2017-08-25</t>
  </si>
  <si>
    <t>4e7994addb0e4622199601af5b9c9ed3</t>
  </si>
  <si>
    <t>18dd3f41a84cc95b6106008449cba262</t>
  </si>
  <si>
    <t>aadd5a22c7d1dd16b1fe905a302d70e2</t>
  </si>
  <si>
    <t>397e13bec7fab1213075383e4cdd11f7</t>
  </si>
  <si>
    <t>74d77b51e4f28bc2b7a17ec496e2dff6</t>
  </si>
  <si>
    <t>139dbedc84f28f9d9da423fb52a57f80</t>
  </si>
  <si>
    <t>2017-08-26</t>
  </si>
  <si>
    <t>371f13dd168ce30a881e0db8cf3929fb</t>
  </si>
  <si>
    <t>7d4bd3fbe5a300f9dc51aa3c63ad011e</t>
  </si>
  <si>
    <t>b132b4c680aad57c36a5686db90d88d5</t>
  </si>
  <si>
    <t>13506ea47f50a6c01fa3dce68138ee1f</t>
  </si>
  <si>
    <t>568e71250d146ee4bf4b6f85617c6843</t>
  </si>
  <si>
    <t>2017-08-27</t>
  </si>
  <si>
    <t>db869ac5d1058a4b8528b9006d73ad06</t>
  </si>
  <si>
    <t>241592e5920372dd08fcb5c8c6fbac75</t>
  </si>
  <si>
    <t>c52d67553f681ea84724bf36d9fb13c8</t>
  </si>
  <si>
    <t>15fc22aad8d1b227891ce61eff4128cd</t>
  </si>
  <si>
    <t>b8cfc70398c982df76df0917f55d96b9</t>
  </si>
  <si>
    <t>60639cf6e21b03e84ac060960347b628</t>
  </si>
  <si>
    <t>9cd88e173978b7414b46e60ddc882ae2</t>
  </si>
  <si>
    <t>26e05207defbabc549b477ecdd135e06</t>
  </si>
  <si>
    <t>2017-08-28</t>
  </si>
  <si>
    <t>e22a3e8048469ea68906f666d446c25c</t>
  </si>
  <si>
    <t>la_cuisine</t>
  </si>
  <si>
    <t>bf61fe4ac0f160dc7067f5d0eb8e3bdb</t>
  </si>
  <si>
    <t>e1f36f0422520d149a51a3e55d98b066</t>
  </si>
  <si>
    <t>15054f27c8947786f3ca73a3b74f33ad</t>
  </si>
  <si>
    <t>1a496064ceafeee379d9a37e8010e7e5</t>
  </si>
  <si>
    <t>0b127810f86631fa896fd74a421045f8</t>
  </si>
  <si>
    <t>c42e30b51c34dbcb30e27a10e1ab33bd</t>
  </si>
  <si>
    <t>6490b668b6a0a9e14980564181095055</t>
  </si>
  <si>
    <t>7272b5bc978cef58523fad8731e5a12b</t>
  </si>
  <si>
    <t>9fae83d9b8b2e49831f7017a29632728</t>
  </si>
  <si>
    <t>273f82958d907705dde15be4062c6888</t>
  </si>
  <si>
    <t>84163f7d458a14345eac02a371e544de</t>
  </si>
  <si>
    <t>5ad7d897998f9bab0176a1c82b7437ea</t>
  </si>
  <si>
    <t>b8585b755e4a6d296c78133909d74022</t>
  </si>
  <si>
    <t>34636c8ebf156ff646392967b52f97af</t>
  </si>
  <si>
    <t>25df55b3cb298807a64158bf3b4d26d1</t>
  </si>
  <si>
    <t>2017-08-29</t>
  </si>
  <si>
    <t>a75d4b7463897480462a9e3f3f9ad8d2</t>
  </si>
  <si>
    <t>03952349aca310eeba691019501388de</t>
  </si>
  <si>
    <t>63773910895f35751c9a1eb0ba5530c9</t>
  </si>
  <si>
    <t>0121cfa7c946e6589f50d7012d3eb5eb</t>
  </si>
  <si>
    <t>2017-08-30</t>
  </si>
  <si>
    <t>703028d4e0b49bc9632bb3b92150adb2</t>
  </si>
  <si>
    <t>56f46fb5630f80cde51dfe4f07de78bb</t>
  </si>
  <si>
    <t>b7b6e52282e462db3a8fd56c2d27389c</t>
  </si>
  <si>
    <t>0899b756a6357ed330e0620ad548d70d</t>
  </si>
  <si>
    <t>8756f67f8fca03ed9d9f098a2148c32d</t>
  </si>
  <si>
    <t>1e1bb536916a9964978ee59e6d6d0cca</t>
  </si>
  <si>
    <t>5d667669da71ab257891582b76d37194</t>
  </si>
  <si>
    <t>63abb9284ecee60580728402681f03eb</t>
  </si>
  <si>
    <t>2017-08-31</t>
  </si>
  <si>
    <t>a8b34e4d3af0e20aff71bb5392bf8953</t>
  </si>
  <si>
    <t>b5199c66306c07a949f9a9069f7fda57</t>
  </si>
  <si>
    <t>a3c476831ccceb4aace3b6e6e60a2f50</t>
  </si>
  <si>
    <t>889d953454eb01607e1ded9e6c9e1657</t>
  </si>
  <si>
    <t>ed1a38eb0ec41e0051d7efc7552388dd</t>
  </si>
  <si>
    <t>334e118f51cc0e200822d5f117db5f19</t>
  </si>
  <si>
    <t>7e7854ea93e1ac916da1c6a44feef201</t>
  </si>
  <si>
    <t>cf72398d0690f841271b695bbfda82d2</t>
  </si>
  <si>
    <t>2017-09-01</t>
  </si>
  <si>
    <t>2017-09</t>
  </si>
  <si>
    <t>2b37d2f506ce5ca2dfa10f9ba271e609</t>
  </si>
  <si>
    <t>1fab4ac9d85079b3da72a11475ae1685</t>
  </si>
  <si>
    <t>5a211401338dee5fa1388f6b4b70b456</t>
  </si>
  <si>
    <t>2346e1104a4b18a23e6dc6a87c2d1b8c</t>
  </si>
  <si>
    <t>db9458d0bbfff27cf6ff5b9342087fd0</t>
  </si>
  <si>
    <t>17ece7ee59d823d55795a356168275e4</t>
  </si>
  <si>
    <t>2017-09-02</t>
  </si>
  <si>
    <t>14433250d2268548a917e1a0bdfd19c1</t>
  </si>
  <si>
    <t>6d7bfd3551f91299c7e4b7f0922e9e75</t>
  </si>
  <si>
    <t>47420d7f7e141ae9974351d8a438f759</t>
  </si>
  <si>
    <t>8bf12a5b441bd86a1edbccb6137c9b0b</t>
  </si>
  <si>
    <t>d99e6849f7676dade195f20c26f0eb4f</t>
  </si>
  <si>
    <t>5b87678fe5651f0c1e5ee9bb16108947</t>
  </si>
  <si>
    <t>2017-09-03</t>
  </si>
  <si>
    <t>b708a78d59d407b8733f3f3e9b11596e</t>
  </si>
  <si>
    <t>ff50008f24df5da8799bd7804c77686c</t>
  </si>
  <si>
    <t>d891fcff7f5720b6a87ecd0a3dbf0c27</t>
  </si>
  <si>
    <t>33481c8e76159f5a3318911105d58475</t>
  </si>
  <si>
    <t>98dc9b1a84fd406155ed39ab4027c61e</t>
  </si>
  <si>
    <t>eb79e3366c1e8ef5a331f96b5c73995f</t>
  </si>
  <si>
    <t>2017-09-04</t>
  </si>
  <si>
    <t>c465b4dc1929898adffb867fb70fbadd</t>
  </si>
  <si>
    <t>79ecc3e68b2d54e056223964de8bca98</t>
  </si>
  <si>
    <t>e0409d7f1bbf560cbc2472a046339c3c</t>
  </si>
  <si>
    <t>41a207671f292d00ffea01b171f2a30b</t>
  </si>
  <si>
    <t>281f470497aa1a0af6a1d6024b3eba93</t>
  </si>
  <si>
    <t>2017-09-05</t>
  </si>
  <si>
    <t>0334c2700a7e8ac0f3efeb36b4a91e68</t>
  </si>
  <si>
    <t>2017-09-06</t>
  </si>
  <si>
    <t>3517c4c24184e3c518a1c8319dc60765</t>
  </si>
  <si>
    <t>e5c4134a422573e560cba643f9318bc1</t>
  </si>
  <si>
    <t>6eec08eba397611760a7ccd3cd4aa98b</t>
  </si>
  <si>
    <t>6c77310ef232ed3cc83889e26f3b5159</t>
  </si>
  <si>
    <t>09e3a74fe474342885a70d1b2452c1e2</t>
  </si>
  <si>
    <t>56d8f7fb6d7398024039c2b7dff3fd0d</t>
  </si>
  <si>
    <t>7672a59c69b073e25dba933ef431d182</t>
  </si>
  <si>
    <t>4638df545f7ab35cb2e4ed4bcb490e17</t>
  </si>
  <si>
    <t>2017-09-07</t>
  </si>
  <si>
    <t>7ed7d32f98587cf0d5aee4ccec43e11e</t>
  </si>
  <si>
    <t>71400888e53ed1698734799716d213f8</t>
  </si>
  <si>
    <t>81e4c4d7594a8111a17da1f1b399ba07</t>
  </si>
  <si>
    <t>eeee28417bb0a24c511c9b96a03fb29b</t>
  </si>
  <si>
    <t>bc23a8b8a743eb2f2b66eb86a77f8740</t>
  </si>
  <si>
    <t>a2a3400730e376777caa534221041eff</t>
  </si>
  <si>
    <t>a9514842c946fff73632509db47cc683</t>
  </si>
  <si>
    <t>11c601407b62dd629716ee3ff3efa95b</t>
  </si>
  <si>
    <t>2017-09-08</t>
  </si>
  <si>
    <t>ee72cc3828a08dc0672d88d212db3452</t>
  </si>
  <si>
    <t>2d41f565da57c810b338c40361477c5f</t>
  </si>
  <si>
    <t>adcb2eeef370c9bf98f5d1e975397950</t>
  </si>
  <si>
    <t>81d6162a00e7332a42e9f26375953d74</t>
  </si>
  <si>
    <t>f6974499820661b92dd1922750d6f0d0</t>
  </si>
  <si>
    <t>2017-09-09</t>
  </si>
  <si>
    <t>6779036ed0ba358b53a569a733f3e408</t>
  </si>
  <si>
    <t>59ff850287c170ca0c5844a659a456a0</t>
  </si>
  <si>
    <t>23923af7b4df1da5db096c921e728325</t>
  </si>
  <si>
    <t>0e905ed8f17c6568a12cad104c041e34</t>
  </si>
  <si>
    <t>b9222683e55758e925b1931565b4f343</t>
  </si>
  <si>
    <t>d01892cabdc79c6a7592dbe80c5d7192</t>
  </si>
  <si>
    <t>2017-09-10</t>
  </si>
  <si>
    <t>9b1d71b20edcf15ab15e0bb4a932f23f</t>
  </si>
  <si>
    <t>5251ac9886fbf2953b24c9f45364837e</t>
  </si>
  <si>
    <t>0cda834be88c6e549a9895efe5e0b49f</t>
  </si>
  <si>
    <t>c2376b3688a7b2bad91daeccb5097ffc</t>
  </si>
  <si>
    <t>06a07c0ad4e1811f48e86d2c56c7b705</t>
  </si>
  <si>
    <t>a23760b9274db6304cc3cc0085583693</t>
  </si>
  <si>
    <t>810c5451b24e7565d14608ed85dd3624</t>
  </si>
  <si>
    <t>81c277d38bfc8beca560a53fac3646f5</t>
  </si>
  <si>
    <t>2017-09-11</t>
  </si>
  <si>
    <t>3ca5fa29d024e3690f532e492d590cc1</t>
  </si>
  <si>
    <t>91a3c41404860e70eb6fbca545645af0</t>
  </si>
  <si>
    <t>a92334f188d0def0f230671c7dec9b0e</t>
  </si>
  <si>
    <t>5e9b8f318db11da788bebae8b16069f0</t>
  </si>
  <si>
    <t>2017-09-12</t>
  </si>
  <si>
    <t>260ae6dba7f42f9c5e74b4e76a922f08</t>
  </si>
  <si>
    <t>0a18d00cb652fc5698d4e3c3e01e7da0</t>
  </si>
  <si>
    <t>acec051085be2d0f06efc5fd2f9037c9</t>
  </si>
  <si>
    <t>f80549a97eb203e1566e026ab66f045b</t>
  </si>
  <si>
    <t>7989e2c3bb311324f824d365b87fa0cf</t>
  </si>
  <si>
    <t>633f4fc75774571fccaef584dfce5a7b</t>
  </si>
  <si>
    <t>3d782e9c655f398bd57fc44d3f02b515</t>
  </si>
  <si>
    <t>fc34a24a0463d8668b0c6e270eb71358</t>
  </si>
  <si>
    <t>4ba950df08c74788b24c665c7e40d4ae</t>
  </si>
  <si>
    <t>d9eb574d9db751d3a86c7bf179ec2853</t>
  </si>
  <si>
    <t>4574345c7d99730212061b6152f81928</t>
  </si>
  <si>
    <t>6d781e62fc99f1af77ad37974cb0a1b4</t>
  </si>
  <si>
    <t>9c983856364a24ce56bf39aea9bb118a</t>
  </si>
  <si>
    <t>2017-09-13</t>
  </si>
  <si>
    <t>e1c58cc2bf1f241d4ab2e557f7ab52a6</t>
  </si>
  <si>
    <t>a6aeb116d2cb5013eb8a94585b71ffef</t>
  </si>
  <si>
    <t>0aeb0613e8d42e1a7f122908bee18eca</t>
  </si>
  <si>
    <t>ba6e041bd3e8e33cf1c2f2db99db6673</t>
  </si>
  <si>
    <t>6fc329fc5cf04756f90764baf31daa17</t>
  </si>
  <si>
    <t>2017-09-14</t>
  </si>
  <si>
    <t>fdc4c75dff7c1545dd19c597436d6f1e</t>
  </si>
  <si>
    <t>31a8fcbeaa65f2a7dec1abee188ffcc9</t>
  </si>
  <si>
    <t>a8f60b9282c2f8e193d23d668bb74fa3</t>
  </si>
  <si>
    <t>christmas_supplies</t>
  </si>
  <si>
    <t>d1a10e07647c7845b8590cec57d589c1</t>
  </si>
  <si>
    <t>edde00d72b1354fd951171a2c702f5ae</t>
  </si>
  <si>
    <t>c6c26ee904fd7f85a965423bec883fe6</t>
  </si>
  <si>
    <t>2017-09-15</t>
  </si>
  <si>
    <t>057e5b8975ad03882989369de7b803ff</t>
  </si>
  <si>
    <t>7cf741fd7bc734654dac45dbc67a998e</t>
  </si>
  <si>
    <t>9afd9ae98cb2fcc3bc5b893594ccf663</t>
  </si>
  <si>
    <t>4cca039d4d51fb8f0e1e302327c30de5</t>
  </si>
  <si>
    <t>12788af294f51dd5ba2aaed208a45969</t>
  </si>
  <si>
    <t>a9eff8f70def39eb9133c1861c49ee76</t>
  </si>
  <si>
    <t>cine_photo</t>
  </si>
  <si>
    <t>09f8cd8a102b3f3fa2d5db0c6aee489a</t>
  </si>
  <si>
    <t>computers</t>
  </si>
  <si>
    <t>e2b405ccb5839931cae6f89767eada9b</t>
  </si>
  <si>
    <t>3e83b4493a5781b84799b5516cb2667c</t>
  </si>
  <si>
    <t>8a9da308d726841021141d81dea615b1</t>
  </si>
  <si>
    <t>441e21387d52f5f2e85249669881fc79</t>
  </si>
  <si>
    <t>2017-09-16</t>
  </si>
  <si>
    <t>aac15589b232e9722429d3a06a547b6d</t>
  </si>
  <si>
    <t>225f6489f45108e98290969c71097baf</t>
  </si>
  <si>
    <t>6b5a2cfa488fc5324f22cafe995bd8eb</t>
  </si>
  <si>
    <t>cc5a504c7761122bceafca452e63c2de</t>
  </si>
  <si>
    <t>a1567768e86bf73e0df3f99f8c570017</t>
  </si>
  <si>
    <t>c3514a3dc150acbbf0ab547f1cdc1fe4</t>
  </si>
  <si>
    <t>01e1617e546dc1fd372e089ab515ae34</t>
  </si>
  <si>
    <t>2017-09-17</t>
  </si>
  <si>
    <t>0ff1419cb5d96f6355fc067f02c8936a</t>
  </si>
  <si>
    <t>d27c9535dfd56cfe107bc9eac1ac3e31</t>
  </si>
  <si>
    <t>39ab7695b7b3ea8282b3e9b10f0dae4f</t>
  </si>
  <si>
    <t>2017-09-18</t>
  </si>
  <si>
    <t>5644acc16afa3e61aae7f559e573ccbe</t>
  </si>
  <si>
    <t>983d1042c129f87546062d2d27f73020</t>
  </si>
  <si>
    <t>a6a167269a035bae64d9f5a38172c5c7</t>
  </si>
  <si>
    <t>652e317bb6d649095346bf24ba207c15</t>
  </si>
  <si>
    <t>ed0b6f8c8617370e53735a5d963bb5b6</t>
  </si>
  <si>
    <t>5b7f6445ca01d94adfe256eaa9a37ada</t>
  </si>
  <si>
    <t>2017-09-19</t>
  </si>
  <si>
    <t>319d398b7ec933febdefe3104dcb8679</t>
  </si>
  <si>
    <t>8748f09f5b3de56a89acecb0b56618ae</t>
  </si>
  <si>
    <t>eb7469eb92114d9ad0fec862b33ed95d</t>
  </si>
  <si>
    <t>5290363ff55b49b6310cf80238d88572</t>
  </si>
  <si>
    <t>8dc2ffdf42cced0aea6a7e723bda3942</t>
  </si>
  <si>
    <t>0098dbda25722a3f019fe252a0cd10b3</t>
  </si>
  <si>
    <t>762e43a4ec270117f892451cad4a1bb7</t>
  </si>
  <si>
    <t>b8e9df924b8a1dca22c4920e9d6b33bc</t>
  </si>
  <si>
    <t>906e820b85dd6c8ef9a4aa5581aa277b</t>
  </si>
  <si>
    <t>1c95c0aa3b0fc5495c09cbba1793b9d8</t>
  </si>
  <si>
    <t>25e08e5a23ab24f86595aadbe50bc739</t>
  </si>
  <si>
    <t>174c83fcd9eb7abaaba69d49ea92ba96</t>
  </si>
  <si>
    <t>2017-09-20</t>
  </si>
  <si>
    <t>cd1c9899cfb848c241d0b93fdfc10df9</t>
  </si>
  <si>
    <t>a95424d8e778a0353400a1215b82210d</t>
  </si>
  <si>
    <t>2fb6a72b0a07a304bba3ff03e02728e5</t>
  </si>
  <si>
    <t>d905856c062516e1bd43377034e5c615</t>
  </si>
  <si>
    <t>19530a2973e25dffb52a39210f27ebb0</t>
  </si>
  <si>
    <t>25aa51228f73fcd38cfebfe6e20edf6f</t>
  </si>
  <si>
    <t>5e0140671ad91ce830fb2b33a3210d1b</t>
  </si>
  <si>
    <t>1a1aa9714d0f88e8a2b20b0c7c037d0b</t>
  </si>
  <si>
    <t>2017-09-21</t>
  </si>
  <si>
    <t>c6eb7d8978a0d7a7e592ef611e4daf04</t>
  </si>
  <si>
    <t>37ce508071e29f853c9a6af4fb9be089</t>
  </si>
  <si>
    <t>5ea8db638f6283a19f2554c746ab4496</t>
  </si>
  <si>
    <t>6efae6c7b38cde4c5833376accaedb02</t>
  </si>
  <si>
    <t>27cd425460b501230b37206f151711a6</t>
  </si>
  <si>
    <t>baf84f7968a36e1c25ec1794330d5cbf</t>
  </si>
  <si>
    <t>bbdf47a1093584db5d4cd4e557c07183</t>
  </si>
  <si>
    <t>84d27863cf4593bdc358f6b17240a3c5</t>
  </si>
  <si>
    <t>2017-09-22</t>
  </si>
  <si>
    <t>25913c4e9f83eb27225747d956516af8</t>
  </si>
  <si>
    <t>e2b182ec1154718a19aaa02dfd8c4722</t>
  </si>
  <si>
    <t>7828ebfebc66999cec37ddc06c63870f</t>
  </si>
  <si>
    <t>8981058485651cba8b7d9c332fd47047</t>
  </si>
  <si>
    <t>acf63fc70f653d6bd063dafc3701eafe</t>
  </si>
  <si>
    <t>4b50640b1e15eabd0db5c82c7c1d8037</t>
  </si>
  <si>
    <t>e5ddbd23174123100cd4e3eb36be5b2b</t>
  </si>
  <si>
    <t>2017-09-23</t>
  </si>
  <si>
    <t>9c9b21a2db3ef4c7109f69f7f3614d71</t>
  </si>
  <si>
    <t>13ec45fa1c7f7faeb411e7b318ea9b44</t>
  </si>
  <si>
    <t>799bc9658260598f040a6a7943b73415</t>
  </si>
  <si>
    <t>2fe8db5111a36b97b092a2daa4771e74</t>
  </si>
  <si>
    <t>2017-09-24</t>
  </si>
  <si>
    <t>047d317db3c34ff477eee816660e44f0</t>
  </si>
  <si>
    <t>d4b9a0a5998cc96610a91b5de647f440</t>
  </si>
  <si>
    <t>bd47e5f8eaab83d29f99b4079683de37</t>
  </si>
  <si>
    <t>776ee45444a92a50bfafdbc1054ec316</t>
  </si>
  <si>
    <t>2017-09-25</t>
  </si>
  <si>
    <t>dd8895e91847869a1317a8ef7313e241</t>
  </si>
  <si>
    <t>52a1973044aa5f46769841ea77ffc2ed</t>
  </si>
  <si>
    <t>865877542f1840626ccdfc88e0b74684</t>
  </si>
  <si>
    <t>17c552e9739b1fd0c1385b93eeb07953</t>
  </si>
  <si>
    <t>7b9d78f5bc4b271094f1e7c107c3142d</t>
  </si>
  <si>
    <t>eab0944c40c304c769e5c24309caa8cc</t>
  </si>
  <si>
    <t>2017-09-26</t>
  </si>
  <si>
    <t>00fed9e582d5a3e38566872eec164ac6</t>
  </si>
  <si>
    <t>3c34298915dda196e053873162f24bf4</t>
  </si>
  <si>
    <t>fd856e3b03eb3e97aff228fc3914ae39</t>
  </si>
  <si>
    <t>c0a5ad81be45e1a04365870aab5cfb4f</t>
  </si>
  <si>
    <t>05c63e6b53127320a7768d19898ac320</t>
  </si>
  <si>
    <t>28bc142035cc9a8ee9aa0288221ee056</t>
  </si>
  <si>
    <t>00d29386638bbfd1331a2cd7ab91b5b5</t>
  </si>
  <si>
    <t>7ad292313f72d59700c72169ba543021</t>
  </si>
  <si>
    <t>8a0ff8191c4dd240e18114ec66889ec5</t>
  </si>
  <si>
    <t>de983bdf0e92645dd32e0ba39d8e7dd8</t>
  </si>
  <si>
    <t>5f82563eed1525084af012688a78398a</t>
  </si>
  <si>
    <t>d5027313478d5f0f54b719e6f96d095f</t>
  </si>
  <si>
    <t>2017-09-27</t>
  </si>
  <si>
    <t>f09126bf1e12e8ed060f26f510be949f</t>
  </si>
  <si>
    <t>df3166e4db1badb2414e9e95790a1771</t>
  </si>
  <si>
    <t>6dcdbb1cc784cdf5844882a1f99e8d59</t>
  </si>
  <si>
    <t>d9971834a50b8fc323aa7f527978169d</t>
  </si>
  <si>
    <t>7388afc4743da7d6e532b7fd086b4357</t>
  </si>
  <si>
    <t>2017-09-28</t>
  </si>
  <si>
    <t>aac66aa37e3c8d0fcc9571062fabb261</t>
  </si>
  <si>
    <t>987b7884b5b6e23a2b4d35d8213815a2</t>
  </si>
  <si>
    <t>0b1651a280049a50402bc56d50785c3c</t>
  </si>
  <si>
    <t>a701b3fe16d0e0734d666d1872df2ca4</t>
  </si>
  <si>
    <t>2036e90fc219932b90e4da6211a01758</t>
  </si>
  <si>
    <t>a5d3d2b978722a86e82f2b7bd0567840</t>
  </si>
  <si>
    <t>38feb0b0bd51324506094a2c9f8bbc6f</t>
  </si>
  <si>
    <t>2017-09-29</t>
  </si>
  <si>
    <t>12f55fbb20dd8ff71113349776b5642a</t>
  </si>
  <si>
    <t>7d39dfbe41d0fcf4a1bf8a09cfd50a31</t>
  </si>
  <si>
    <t>bf941d5fc1bc7b644937b66246ad2150</t>
  </si>
  <si>
    <t>b910a2d8eecd9eded28fdfc3cbb94880</t>
  </si>
  <si>
    <t>96e5b56d000b07dd7bb1972eb42a0e79</t>
  </si>
  <si>
    <t>03caa2c082116e1d31e67e9ae3700499</t>
  </si>
  <si>
    <t>05b6dcf764ce18df76138d88dba0aa7d</t>
  </si>
  <si>
    <t>2017-09-30</t>
  </si>
  <si>
    <t>d8fdddcd258b88c4919c52ce44756a39</t>
  </si>
  <si>
    <t>61d9e1e95fdfd5f0732643e5dbc1634d</t>
  </si>
  <si>
    <t>f4da7d0ac805794a8e666416f2c20f60</t>
  </si>
  <si>
    <t>38ab0898b5328ea3498a9a8c5bbf977e</t>
  </si>
  <si>
    <t>0a62a2ee479a419db8aebf78129b2f5e</t>
  </si>
  <si>
    <t>2017-10-01</t>
  </si>
  <si>
    <t>2017-10</t>
  </si>
  <si>
    <t>5fce8f6bc4ab72e0f367e21d181bf6d2</t>
  </si>
  <si>
    <t>a32f136cacf2a9b45eaeb507057b33f2</t>
  </si>
  <si>
    <t>492d9d1a1eb3b5a079dff6d1eb3f4b67</t>
  </si>
  <si>
    <t>2017-10-02</t>
  </si>
  <si>
    <t>140d5c0a692987d62971b1e5f8c02397</t>
  </si>
  <si>
    <t>4b5bd8e6ef37808d82dab7b2a81b18d4</t>
  </si>
  <si>
    <t>8f6467bcaef44e076b48a04fa38557f3</t>
  </si>
  <si>
    <t>9706023383737a509d67fdd3eaf88e54</t>
  </si>
  <si>
    <t>c768b1d3a1541f992ff2a94488a364d7</t>
  </si>
  <si>
    <t>2017-10-03</t>
  </si>
  <si>
    <t>e4223b96432f4984fc69390438d80861</t>
  </si>
  <si>
    <t>496fbba28bbf72d2b8a2a55cb32b1935</t>
  </si>
  <si>
    <t>32a125a6a8216eaa745d0e33eabc4218</t>
  </si>
  <si>
    <t>2e8d9e986f6497677962424952e47f48</t>
  </si>
  <si>
    <t>5df3e4bdf3b11255c6c73bd401826bae</t>
  </si>
  <si>
    <t>110d11411569c88d2745d55180027f3e</t>
  </si>
  <si>
    <t>894ad6777d752962423e37b3d4e8a83a</t>
  </si>
  <si>
    <t>2017-10-04</t>
  </si>
  <si>
    <t>870262a84754d5ee151a8be2554a5bc6</t>
  </si>
  <si>
    <t>6ab8dac189301e155d1ff9208d98db3f</t>
  </si>
  <si>
    <t>94a6ebbfa1179d1c4fcc0eef4e3f423c</t>
  </si>
  <si>
    <t>04132c02a610a19773963143ba1b5bb4</t>
  </si>
  <si>
    <t>3ab974ac744bd19a111d5e19f0a90649</t>
  </si>
  <si>
    <t>d4304f4104fca54e2a93b03e5b04962b</t>
  </si>
  <si>
    <t>ad9d381a3928b29277b01f1a357a7d2d</t>
  </si>
  <si>
    <t>165db2f7901b38055fe76db6894683d2</t>
  </si>
  <si>
    <t>8aa5b35619d1aeb3068187d868c9aa41</t>
  </si>
  <si>
    <t>c3fd670b03599718895218d479f660b6</t>
  </si>
  <si>
    <t>2301a0f5629f3d66f880849265f50515</t>
  </si>
  <si>
    <t>363aa2fb205fb8cc8568919310f793aa</t>
  </si>
  <si>
    <t>1f4c55439dfb0750759521284d322815</t>
  </si>
  <si>
    <t>2017-10-05</t>
  </si>
  <si>
    <t>aa6f6f661c3e88e007c6cb03ca1e55e3</t>
  </si>
  <si>
    <t>ed77ae1d4803934a1131cadffb78b41b</t>
  </si>
  <si>
    <t>46a960198503941a98246a108f151e0b</t>
  </si>
  <si>
    <t>431edc9c63424518da8f273659cafa77</t>
  </si>
  <si>
    <t>a6bf292dae65f520a1f47f4df440654a</t>
  </si>
  <si>
    <t>472da07b7704c63a67ef872b922ab5c3</t>
  </si>
  <si>
    <t>6aa12b7bccdfe9396d5feb50030e1b3f</t>
  </si>
  <si>
    <t>2017-10-06</t>
  </si>
  <si>
    <t>166848a10d57ced4d9e4b34c593b5627</t>
  </si>
  <si>
    <t>90558ff73a60e332ae75a7eef8d36b83</t>
  </si>
  <si>
    <t>ee491eb103d02acce80f7c5950def51d</t>
  </si>
  <si>
    <t>72fcaaf6f276ca11244c4a82bb009eaf</t>
  </si>
  <si>
    <t>2017-10-07</t>
  </si>
  <si>
    <t>a82e51ce2f7042d9be38b0cee1764b46</t>
  </si>
  <si>
    <t>28c3c716d01cc934376d3bebea04da92</t>
  </si>
  <si>
    <t>d4a07b48835f3637cdf8baeab13c8a9a</t>
  </si>
  <si>
    <t>6d2fc09d62a66a0e432cb3d6e98a504e</t>
  </si>
  <si>
    <t>64aa2d5878fc863f40dc4698a4feff6e</t>
  </si>
  <si>
    <t>2017-10-08</t>
  </si>
  <si>
    <t>65a94ea3c1392f150ad232c92d64c3f8</t>
  </si>
  <si>
    <t>e213ae13799e8736ebbc653d21a441e5</t>
  </si>
  <si>
    <t>f67ed27c364607b4afba7d4d7b32f524</t>
  </si>
  <si>
    <t>39686ff32951169c125d4f2bf5666774</t>
  </si>
  <si>
    <t>bf3f150adb6cc38e1f3e6517534b24f6</t>
  </si>
  <si>
    <t>956fa289d4963732b9c806fcc3eb3d57</t>
  </si>
  <si>
    <t>93bf5323e2c3624fdc56fc6083bc71d4</t>
  </si>
  <si>
    <t>a486dfd6ae353f3b1b11f8670c57f60d</t>
  </si>
  <si>
    <t>71a378f8b8ef5f17a1518d5bf92f57c4</t>
  </si>
  <si>
    <t>2017-10-09</t>
  </si>
  <si>
    <t>fd4bcae925b879102eb780d2bfc495a8</t>
  </si>
  <si>
    <t>561d2ce55a3b6c040a6ba77fa5428056</t>
  </si>
  <si>
    <t>be92e1caeb7ca0fd9ec8a0db83c1c7cc</t>
  </si>
  <si>
    <t>30eb68f1adec947261593a874308f991</t>
  </si>
  <si>
    <t>f7b820ea870eadff426970af299e9384</t>
  </si>
  <si>
    <t>home_construction</t>
  </si>
  <si>
    <t>da00a701a6b06de5995ee998ae82ce43</t>
  </si>
  <si>
    <t>ed9f2f1d49ae779e0d1953d6197fbe43</t>
  </si>
  <si>
    <t>8ab12616ff9cf79ce869bcfd0c7dec3f</t>
  </si>
  <si>
    <t>232a2ccad012f3cb2ebe4ea479e0b1af</t>
  </si>
  <si>
    <t>e8e5d972d73d38807a474519f2f23658</t>
  </si>
  <si>
    <t>2017-10-10</t>
  </si>
  <si>
    <t>680d7235e89a19239f2562d940e7c86d</t>
  </si>
  <si>
    <t>f71548efb94082ec81596149dba6bc12</t>
  </si>
  <si>
    <t>e23115216f6b79bda05036f94744a2dd</t>
  </si>
  <si>
    <t>3aa7ede1b23edf1284d91439d5ccaadc</t>
  </si>
  <si>
    <t>2017-10-11</t>
  </si>
  <si>
    <t>84e18f4b5b541150af97e94f3cc0b2a7</t>
  </si>
  <si>
    <t>91501d5292dbe67f25d3c8867cd67f44</t>
  </si>
  <si>
    <t>0b98d69e5b550f6727dc0beb88d1694b</t>
  </si>
  <si>
    <t>d2edbdf7b05aec925d270f089e79443e</t>
  </si>
  <si>
    <t>2cc93fd6f68e6cfcb968814de8a14296</t>
  </si>
  <si>
    <t>848a8ddc7852a84bc58017be865b58f4</t>
  </si>
  <si>
    <t>c79a29817509b8122a3b3c3a24414866</t>
  </si>
  <si>
    <t>d6b77bc6a9aaaf549d60d3f5ae45fef7</t>
  </si>
  <si>
    <t>2017-10-12</t>
  </si>
  <si>
    <t>b21f839962bbc030f2dbab44e96b92bb</t>
  </si>
  <si>
    <t>e8608de908926d0a19ad92ae1af61175</t>
  </si>
  <si>
    <t>6404e2bea6a36a8fd5bf64660a5e5187</t>
  </si>
  <si>
    <t>f19584f0d2c7cbccc05621c23dee5cb3</t>
  </si>
  <si>
    <t>4187736882d8e8b4e374d201151c0fa2</t>
  </si>
  <si>
    <t>46347dc54e84dc7863cb5c90cf57a9d3</t>
  </si>
  <si>
    <t>7e47240215d1672082248c49887b245a</t>
  </si>
  <si>
    <t>2017-10-13</t>
  </si>
  <si>
    <t>9e7b4dc19aadc8298e2984986d3bf014</t>
  </si>
  <si>
    <t>dd21beb23190fb08c8532bb31cd28b34</t>
  </si>
  <si>
    <t>c5132855100a12d63ed4e8ae05f9594d</t>
  </si>
  <si>
    <t>50bc1ac9db5f38b0982adba11e35b948</t>
  </si>
  <si>
    <t>e07d09400c3676a4f529453627ed9460</t>
  </si>
  <si>
    <t>2017-10-14</t>
  </si>
  <si>
    <t>62fb68c86804042f32e43982f71ebb1d</t>
  </si>
  <si>
    <t>fb8691657006882157a1c0c0f380a585</t>
  </si>
  <si>
    <t>c26f6a2ea3a573319aa40ffebdc1a43a</t>
  </si>
  <si>
    <t>065be848b8cc9a907f12d443b2e4df7f</t>
  </si>
  <si>
    <t>2017-10-15</t>
  </si>
  <si>
    <t>aaff8afa47c8426e414a6d908a97713c</t>
  </si>
  <si>
    <t>b59ded0e2e4eb91f0a599b177a267f30</t>
  </si>
  <si>
    <t>2124d1e1d8114cf8b7637b46d40ce9c2</t>
  </si>
  <si>
    <t>9b808cd87ad1f00034b9059946ce0e57</t>
  </si>
  <si>
    <t>4798ef2f0de08baa8ddd97ceee3f7c60</t>
  </si>
  <si>
    <t>047d7bce997c4e73c6efe724711fd3b8</t>
  </si>
  <si>
    <t>916f6a4c3dcd2f31f59a340a281e888e</t>
  </si>
  <si>
    <t>61cbfd453bec6d149c4607df0632496f</t>
  </si>
  <si>
    <t>fd4ebf52ca607b4487b38826f0c78adf</t>
  </si>
  <si>
    <t>2017-10-16</t>
  </si>
  <si>
    <t>b5a7d68509ebd7effa2445cff7eca791</t>
  </si>
  <si>
    <t>b2270b13a48230d3898b0e5a2abcac01</t>
  </si>
  <si>
    <t>e72e22dce48aaee824371b8e02641f15</t>
  </si>
  <si>
    <t>fb415a86a28d4698a9be26d2e871d31c</t>
  </si>
  <si>
    <t>1313a242a48f98101da4d48b310bf517</t>
  </si>
  <si>
    <t>06ebe0964f3c6ad099d9117fb1e66980</t>
  </si>
  <si>
    <t>8d45ba0ad212829bdc547dacea18c3a2</t>
  </si>
  <si>
    <t>e4803f41016244f8ce3dca5bb8b37aee</t>
  </si>
  <si>
    <t>2017-10-17</t>
  </si>
  <si>
    <t>570b8c11496979f54bf5bb027e86fcd2</t>
  </si>
  <si>
    <t>f2fecc6e386231f071a5ec6438b7ede4</t>
  </si>
  <si>
    <t>costruction_tools_garden</t>
  </si>
  <si>
    <t>791b4a44bd8319b5598f703141db400f</t>
  </si>
  <si>
    <t>474eb7e66d3c88d69883090e5d308390</t>
  </si>
  <si>
    <t>drinks</t>
  </si>
  <si>
    <t>6c6e45db63667bd55633d47a10d77607</t>
  </si>
  <si>
    <t>e6aa8f1226387a88bdcb5b2f0a9f95eb</t>
  </si>
  <si>
    <t>2017-10-18</t>
  </si>
  <si>
    <t>9d74929fefd45dd3ebce40cc681596b3</t>
  </si>
  <si>
    <t>dcbc872c5cda84c5d6373c44570b4889</t>
  </si>
  <si>
    <t>eeb2e664debf2c0bd41c970e2122858a</t>
  </si>
  <si>
    <t>7a5ff6680378afabf6b6a1e75bff8b8c</t>
  </si>
  <si>
    <t>98a613c82d389a76b358d963e0390e33</t>
  </si>
  <si>
    <t>35e5585976ac906f5b04e7f491ec300c</t>
  </si>
  <si>
    <t>80ed095971ca276965730f312de98fcf</t>
  </si>
  <si>
    <t>50b043a46bc9296628ad3ea3e0ca01b8</t>
  </si>
  <si>
    <t>21e28426bf49f15032c93153c7a3e206</t>
  </si>
  <si>
    <t>02e6bcccce2e88560389846400e74e50</t>
  </si>
  <si>
    <t>a669137c06cc23b7962d63be3a2ad6d1</t>
  </si>
  <si>
    <t>d5f9f12e76db82f85d145c5c5e5b9af6</t>
  </si>
  <si>
    <t>eef277f1b21da736aeb8b4dbcdeb36bd</t>
  </si>
  <si>
    <t>bf5e4ec5374a3d9097193f671a74b42c</t>
  </si>
  <si>
    <t>2017-10-19</t>
  </si>
  <si>
    <t>b4d23e6126fce26562cf8bb6b5ae876f</t>
  </si>
  <si>
    <t>7fda376286b806cee8955685bf02fc4f</t>
  </si>
  <si>
    <t>1fe7be398f57b2c40691376b673de1bb</t>
  </si>
  <si>
    <t>a5a76b3c38acb63a4d867b5f3f59f941</t>
  </si>
  <si>
    <t>9d6dce9148e0eb3c4c1700f477b113b6</t>
  </si>
  <si>
    <t>9c0edf679ee9524c3cded05020212ca3</t>
  </si>
  <si>
    <t>889d204697bec781401132649cffa867</t>
  </si>
  <si>
    <t>bbcde37a6b3008557c47e31e37523380</t>
  </si>
  <si>
    <t>761d39ded287ade72b1e8bdd95fe0253</t>
  </si>
  <si>
    <t>2017-10-20</t>
  </si>
  <si>
    <t>5040757d4e06a4be96d3827b860b4e7c</t>
  </si>
  <si>
    <t>fece1a5c7d5e72767ad76c233788b414</t>
  </si>
  <si>
    <t>851b8de268e532c930dc8f315d1434d0</t>
  </si>
  <si>
    <t>books_technical</t>
  </si>
  <si>
    <t>8b982020bb9eb478d9cacb4d7e7f4a05</t>
  </si>
  <si>
    <t>ccfa13cff25aa5ad005e434ac68acaaa</t>
  </si>
  <si>
    <t>2017-10-21</t>
  </si>
  <si>
    <t>beece9368912132712839b6b9194180d</t>
  </si>
  <si>
    <t>739b9020863344c26e8215b55208591e</t>
  </si>
  <si>
    <t>17c6fca3637ae29093221f080840ff9e</t>
  </si>
  <si>
    <t>c40dde193e5c66baefaaace305961861</t>
  </si>
  <si>
    <t>3cf35e66383eac0fa651e99728d09c8c</t>
  </si>
  <si>
    <t>7b38728b3f2fb3b9c622306b2ddcbe96</t>
  </si>
  <si>
    <t>2017-10-22</t>
  </si>
  <si>
    <t>42560dfc8d7863a190293678f01f6bbd</t>
  </si>
  <si>
    <t>775dfb31da346e5cf77c2fda51ae7bd4</t>
  </si>
  <si>
    <t>c1b87c671fed6c43d7d20e5142646cee</t>
  </si>
  <si>
    <t>31148380343ee0a6d9c87f7e80e574ec</t>
  </si>
  <si>
    <t>d6d672062a715f1a2bd844d2797c1dcd</t>
  </si>
  <si>
    <t>b662bdadd70714c6b51d0d66049c6afb</t>
  </si>
  <si>
    <t>6d6491e68b2e416f68ec6e23e004d3a3</t>
  </si>
  <si>
    <t>affd57fb0daa6ba18e47cb9f31c2bc65</t>
  </si>
  <si>
    <t>2017-10-23</t>
  </si>
  <si>
    <t>cefe510f726c2a8d6a5f0a8a515ebf50</t>
  </si>
  <si>
    <t>a24c341da692fe0a57ba6140bf33e1a5</t>
  </si>
  <si>
    <t>045b7b7bf230ace5044f87ad5de18dd0</t>
  </si>
  <si>
    <t>2121cb62043eb2269ab8bc218100c2e4</t>
  </si>
  <si>
    <t>4c4dfbd9dceafac8eb2e502352559f18</t>
  </si>
  <si>
    <t>70623d7ff2e126f3688dba1042ec9531</t>
  </si>
  <si>
    <t>83a0a5e31aac098fd9926b97e3b15459</t>
  </si>
  <si>
    <t>00c405bd71187154a7846862f585a9d4</t>
  </si>
  <si>
    <t>e5610cab06772aed838e6db4d682722a</t>
  </si>
  <si>
    <t>2017-10-24</t>
  </si>
  <si>
    <t>c2deaee5e0fe626293e81bcfb557932e</t>
  </si>
  <si>
    <t>2728209b1b0553533bce4afc52716b60</t>
  </si>
  <si>
    <t>8774dccac317f54e3e9b3c6096a9b2c6</t>
  </si>
  <si>
    <t>0c0c250234e385578b31a38b198cf900</t>
  </si>
  <si>
    <t>d8921ec6a676e398ec918a0cc755af21</t>
  </si>
  <si>
    <t>db681ddec887abf991bac122d6c6d4e9</t>
  </si>
  <si>
    <t>1662d64304e6e02a627e29b14898060c</t>
  </si>
  <si>
    <t>d2926e7840bb47e67fc52b79646cc2bb</t>
  </si>
  <si>
    <t>4a3848a973c57b3f244f9a2433b43a0f</t>
  </si>
  <si>
    <t>90d36c9ade58b86290e2b48ca7348cc2</t>
  </si>
  <si>
    <t>2017-10-25</t>
  </si>
  <si>
    <t>4ab7de78c72f664992f3171d28974c87</t>
  </si>
  <si>
    <t>3303a91e8a879bd0c64fe750485298b0</t>
  </si>
  <si>
    <t>3cc744d9a46682c354778726d30e384f</t>
  </si>
  <si>
    <t>02b9a87c19eb57b9ebaebb3a6850de9f</t>
  </si>
  <si>
    <t>01908071e35fdc75bc0d7764f153abc2</t>
  </si>
  <si>
    <t>3a02bd4d9f710f7720c8e36d15bbc6d1</t>
  </si>
  <si>
    <t>2017-10-26</t>
  </si>
  <si>
    <t>71865a55cb13d1685ed2ea7db1cb24d6</t>
  </si>
  <si>
    <t>c8c13c8c58d62b12f9df992a5fb5710c</t>
  </si>
  <si>
    <t>46cfd37753bbd00f768165cf4cb7ace1</t>
  </si>
  <si>
    <t>07bebda8aee4b9a600d9c2c1a73f93a5</t>
  </si>
  <si>
    <t>780865d48893bd12dd23eb85abed0c6e</t>
  </si>
  <si>
    <t>4542fb157f4694bfdef42f42edbd28aa</t>
  </si>
  <si>
    <t>6cb2e47e3a5794ff1a6157838c9e32e5</t>
  </si>
  <si>
    <t>2017-10-27</t>
  </si>
  <si>
    <t>84e898dd83ad8b720859ce93c97509ba</t>
  </si>
  <si>
    <t>c0e6116a3c6c2d732ec1b43bb7b5f307</t>
  </si>
  <si>
    <t>8abc120199358d4e0a7d5902c0d62fd4</t>
  </si>
  <si>
    <t>79c786a94283e846deec8681219bc144</t>
  </si>
  <si>
    <t>cdcbc6b851b5053b23ca73bc17d2ba50</t>
  </si>
  <si>
    <t>22d58ab98a59a304fd61d116c625ec4a</t>
  </si>
  <si>
    <t>19fb3160f1bdded8463061ab9385fbfc</t>
  </si>
  <si>
    <t>6e19c0ff384b7d4685333ee0a9342f21</t>
  </si>
  <si>
    <t>2017-10-28</t>
  </si>
  <si>
    <t>7978aa5d3192f689ad92bcb96ae2fef0</t>
  </si>
  <si>
    <t>6af6633de36925111b10a688783d004b</t>
  </si>
  <si>
    <t>7bbb2b4fd60b56329b20353470ec4080</t>
  </si>
  <si>
    <t>19e2f4888f56504ec0f7e0765c9e36dc</t>
  </si>
  <si>
    <t>686167f2fe956e81a6bbf02cf8885516</t>
  </si>
  <si>
    <t>5fd9a69139ba87e71880fd5936171fe9</t>
  </si>
  <si>
    <t>bfccbf3f4c803a60b641433bc8affe01</t>
  </si>
  <si>
    <t>2017-10-29</t>
  </si>
  <si>
    <t>641260b6b13348c1853886a738a7f9b0</t>
  </si>
  <si>
    <t>6d987387b063e94301514187b362d3f2</t>
  </si>
  <si>
    <t>b68c27cf94ce13113c69bd86e640c41f</t>
  </si>
  <si>
    <t>77b27c29ab339345ecc7678db3e23049</t>
  </si>
  <si>
    <t>cf942f6450b43eb334f0e34e792d12a7</t>
  </si>
  <si>
    <t>2017-10-30</t>
  </si>
  <si>
    <t>4c09b402a17b72a4a9338d51a8759b4a</t>
  </si>
  <si>
    <t>393654d81daf611630ac2068a7c9b12b</t>
  </si>
  <si>
    <t>86f92f9e6f7eecaf30f643b1c6c3be84</t>
  </si>
  <si>
    <t>fc297415452e5dc0d06afcd16e864ca8</t>
  </si>
  <si>
    <t>05be03ef1c99159686f59d8a51dd17f9</t>
  </si>
  <si>
    <t>bb0bb419d930e4bc8c823fc4379347fb</t>
  </si>
  <si>
    <t>e4ee5415a0143c9daddc7d4bc0fa0389</t>
  </si>
  <si>
    <t>2017-10-31</t>
  </si>
  <si>
    <t>483c0f7f44eec6fd0fbd90914d187226</t>
  </si>
  <si>
    <t>21f024b91cfeb5f135ceef69fe99fa50</t>
  </si>
  <si>
    <t>88981e5b92eb0fc6291a66ce7b892029</t>
  </si>
  <si>
    <t>2017-11-01</t>
  </si>
  <si>
    <t>2017-11</t>
  </si>
  <si>
    <t>e840776569b2a5eff2a4ca6bc5be8ad0</t>
  </si>
  <si>
    <t>682332c2474e425ea23c40848faa25e2</t>
  </si>
  <si>
    <t>2017-11-02</t>
  </si>
  <si>
    <t>517bd49d869100558362e70c45f13dd5</t>
  </si>
  <si>
    <t>648a268c494bbf8c97c03ec64c2ff4d3</t>
  </si>
  <si>
    <t>526043f9d39d510f7a79547410cd3318</t>
  </si>
  <si>
    <t>cb1ef5be56747ab6c5ef7271ecf4e12c</t>
  </si>
  <si>
    <t>5f82d80fc04ae3521ac4cdad135aa9b1</t>
  </si>
  <si>
    <t>f5972017f8fc7597e9a878118ca8c19a</t>
  </si>
  <si>
    <t>59ffc24bc635a0a0f190bf021df20508</t>
  </si>
  <si>
    <t>42b3efddacc3779b9fc72dcdb430e00a</t>
  </si>
  <si>
    <t>2017-11-03</t>
  </si>
  <si>
    <t>90afb8151d6aca71ae7b52a029ebc165</t>
  </si>
  <si>
    <t>9115302ab0ba4c1f3499709b47bd00a1</t>
  </si>
  <si>
    <t>d7b4654d3ca41a3b97437da02dff3df0</t>
  </si>
  <si>
    <t>2017-11-04</t>
  </si>
  <si>
    <t>0886b681f437971243d241ece6cf21d9</t>
  </si>
  <si>
    <t>d3c5d59ee5c6bd9cbb3230d8bfebfffb</t>
  </si>
  <si>
    <t>db3b94ddef8837c5c780836f80da86c7</t>
  </si>
  <si>
    <t>08a72c88fa7ee3652a339070245b9f1e</t>
  </si>
  <si>
    <t>5f21071bb4421ccceaf3ae565558f63f</t>
  </si>
  <si>
    <t>e3598a5fc9a765a5269c084646faf00f</t>
  </si>
  <si>
    <t>2017-11-05</t>
  </si>
  <si>
    <t>c000c9de28e2436553f200d0faf8eb97</t>
  </si>
  <si>
    <t>d2caf57c35ba2c5bea24ab9b08aba4f7</t>
  </si>
  <si>
    <t>077abb7d4f87719b0a5cce22295eb775</t>
  </si>
  <si>
    <t>465bf2bd806ec5b47ff89a62e4c44071</t>
  </si>
  <si>
    <t>b6d7bc72070db9ad2c50a38490b993ca</t>
  </si>
  <si>
    <t>2017-11-06</t>
  </si>
  <si>
    <t>a9750e3434088f124fafaf2cb0109fc9</t>
  </si>
  <si>
    <t>e697685891b55205f61d598d64db1c1f</t>
  </si>
  <si>
    <t>1b60d2efd91abb75b6a78ba9041a3f15</t>
  </si>
  <si>
    <t>a28d2fd8b59565ab9973b930eac2596e</t>
  </si>
  <si>
    <t>ced9efa04f0d7b0543fa0d8ab9472a6c</t>
  </si>
  <si>
    <t>93cd78e1b92970d2a7e7251057f85153</t>
  </si>
  <si>
    <t>d3cefa3b994d2662eba354f826cd64a7</t>
  </si>
  <si>
    <t>bebd5d5cd84828e1958bb698ebb58665</t>
  </si>
  <si>
    <t>2017-11-07</t>
  </si>
  <si>
    <t>a59a8fa1ef4546339d5f68967925864e</t>
  </si>
  <si>
    <t>e7fed674bb29ac98193d392f363cfcf1</t>
  </si>
  <si>
    <t>8de424d1353fe39adcd2d41a7d222369</t>
  </si>
  <si>
    <t>d759e07b69f482e6ce8efea035901b4d</t>
  </si>
  <si>
    <t>5b4e981913377d776f83cb4ffd82ad31</t>
  </si>
  <si>
    <t>3eda68d81b3be569f9e35651a18c8215</t>
  </si>
  <si>
    <t>abb76549f54fa02e04e1d3da5e8f3cce</t>
  </si>
  <si>
    <t>0b8223a2d582ee50740baba714b65256</t>
  </si>
  <si>
    <t>2bf0bf5cbf38b387798a9143e05d4c2c</t>
  </si>
  <si>
    <t>00c842d0ae6462afc1d38fc055b02c75</t>
  </si>
  <si>
    <t>2017-11-08</t>
  </si>
  <si>
    <t>541a54e2a8381eb2797b40e7b1b255f0</t>
  </si>
  <si>
    <t>2d2d4e2aa4df8b00e751162c05be40e7</t>
  </si>
  <si>
    <t>945edc9b56f1a08b87560bf946945f20</t>
  </si>
  <si>
    <t>construction_tools_lights</t>
  </si>
  <si>
    <t>952241c48f34d58c23ca57964d413834</t>
  </si>
  <si>
    <t>c4b6e7386225d1998cf863991ed1e47f</t>
  </si>
  <si>
    <t>2017-11-09</t>
  </si>
  <si>
    <t>3bb9b0ab151de6d32543f721e301d58b</t>
  </si>
  <si>
    <t>6ef5dc1efc95e43b6418e91ebc700210</t>
  </si>
  <si>
    <t>f12ff2a4932dcfb02448431710f346f9</t>
  </si>
  <si>
    <t>08688e50bd932bdbd480bb25e55c70de</t>
  </si>
  <si>
    <t>53b8913fe5c632a9aa10069a33aaceb0</t>
  </si>
  <si>
    <t>1854fd6df68c9fb96e79379e229929dc</t>
  </si>
  <si>
    <t>b999bcbc5dcb6e24a831378739f69e88</t>
  </si>
  <si>
    <t>a4b320bb74cd579c4f58521b47a4e538</t>
  </si>
  <si>
    <t>a3021cb38ee69a87a0cb9cda57f7d72e</t>
  </si>
  <si>
    <t>61fbc5899c21d17064fe3d17911738b2</t>
  </si>
  <si>
    <t>d6bfbcba448fc051ce09f23976bee3ab</t>
  </si>
  <si>
    <t>055148178e6fef1a7c02a3a04b6ef6e2</t>
  </si>
  <si>
    <t>2017-11-10</t>
  </si>
  <si>
    <t>a54f35a6dfb350a13c6410aa276e52d8</t>
  </si>
  <si>
    <t>13d840efe9026dc20ab05e59663dff7f</t>
  </si>
  <si>
    <t>6e9e60623cf73b485aee48dc4b45c98d</t>
  </si>
  <si>
    <t>82bf720ca63002cfa62c7910ad811079</t>
  </si>
  <si>
    <t>17a4db677e57484f24eb68217b8de4c1</t>
  </si>
  <si>
    <t>afef48d3c8a0b1b7c9b7f8f922fb5674</t>
  </si>
  <si>
    <t>3a3b0394c09dbf1c3f658c1fbe9adc31</t>
  </si>
  <si>
    <t>7da8b207db3f7231fb1d741fad7dce3a</t>
  </si>
  <si>
    <t>34713a7c57fc2cc3f40a0ed057046b70</t>
  </si>
  <si>
    <t>1abe7fd5dfa459b6d9ffcf465d5e39b1</t>
  </si>
  <si>
    <t>2017-11-11</t>
  </si>
  <si>
    <t>dca570055f40d024d88a2d48de7e502e</t>
  </si>
  <si>
    <t>c855d7dabfd631a4aa54cdeefab7dc3a</t>
  </si>
  <si>
    <t>ed836a8fccba401754e0b283c9b32f09</t>
  </si>
  <si>
    <t>d8d344285c3eb8fe24478102c93f6e94</t>
  </si>
  <si>
    <t>d9a932befd90783805fe255151f656a5</t>
  </si>
  <si>
    <t>4093f51e15660b0278941a5b38e694c8</t>
  </si>
  <si>
    <t>67642a6b87ab5c8cdfffd5b81da8a501</t>
  </si>
  <si>
    <t>4c7ced0f699389f760f6bee7e99f7b35</t>
  </si>
  <si>
    <t>d02b1845a40a0f3f58d0fbf2e04fb0d2</t>
  </si>
  <si>
    <t>fc42f37778b223b55f8ccbd5f274b9aa</t>
  </si>
  <si>
    <t>2017-11-12</t>
  </si>
  <si>
    <t>970faa2fc574e975f2badf8b2783c112</t>
  </si>
  <si>
    <t>08a2bc9386ffb58b6637add8a8e7d4fc</t>
  </si>
  <si>
    <t>8d5b464d16741c376da6aa92e4b09a81</t>
  </si>
  <si>
    <t>2a6fcdee30bb4fda09190b53b4e9ffee</t>
  </si>
  <si>
    <t>21bffa9bb2f8540013b0eb048699805d</t>
  </si>
  <si>
    <t>db3c88b2458388bddcd3b2a99f0b8b99</t>
  </si>
  <si>
    <t>d9064a51ed213dcd0cfe59a9039ec458</t>
  </si>
  <si>
    <t>f3753df1e0c5a22ca7c2ff5722387739</t>
  </si>
  <si>
    <t>2017-11-13</t>
  </si>
  <si>
    <t>5e5b80a664dfaad7f64dafff8e8d018a</t>
  </si>
  <si>
    <t>05fb9a42b233b4fb63dcaec6fac364a1</t>
  </si>
  <si>
    <t>dcaeb1396857c15c0cba7456fb469c3e</t>
  </si>
  <si>
    <t>1ac9d38dde347ffac03bdb653003682b</t>
  </si>
  <si>
    <t>4d34eb469920ba37e6cab956395a5265</t>
  </si>
  <si>
    <t>300a0fb67e14c56475f361381f629060</t>
  </si>
  <si>
    <t>dd6871ac691db075bd6f8e6c70576648</t>
  </si>
  <si>
    <t>d9673e96478769083775f81525768734</t>
  </si>
  <si>
    <t>a7da4c5d1aa10f5bd43694601bea7057</t>
  </si>
  <si>
    <t>2017-11-14</t>
  </si>
  <si>
    <t>79ad173ce97ec1e564c9819eff96628e</t>
  </si>
  <si>
    <t>d73a3a52a8b9b8430deede6d0491ae54</t>
  </si>
  <si>
    <t>4ab6fc6c373a975bb90e462b81260198</t>
  </si>
  <si>
    <t>56a91c78a7764f270b44113386c34866</t>
  </si>
  <si>
    <t>1997b62c6e07059b2059f0b871aeda1f</t>
  </si>
  <si>
    <t>7e1d7adfaf4e026419cedeaed88f3a4b</t>
  </si>
  <si>
    <t>f49a4845f6b824e13d9a0e15ad9e599c</t>
  </si>
  <si>
    <t>d47929036b8c504537b7a458185913da</t>
  </si>
  <si>
    <t>9a4127f371426e180aaf7e0f4bf1b4fb</t>
  </si>
  <si>
    <t>45030898b4361255cbd03efa424707bc</t>
  </si>
  <si>
    <t>dacd45999c3175778f90426dc0dfbebc</t>
  </si>
  <si>
    <t>3e1616d48a50cea07cdf8ca77e8eb0f8</t>
  </si>
  <si>
    <t>b1255ece61a04beee71a3dd933220a22</t>
  </si>
  <si>
    <t>2017-11-15</t>
  </si>
  <si>
    <t>ddee206e57fa8a88cb37d640dbd73477</t>
  </si>
  <si>
    <t>fa642a520fa06e31dd5b64808e1fa92d</t>
  </si>
  <si>
    <t>47177614899397fe8f3f95ee78904220</t>
  </si>
  <si>
    <t>3905a00bbf19b69bc9875bd40c6fcf5c</t>
  </si>
  <si>
    <t>8c40ac9725c892399870b555b8d45978</t>
  </si>
  <si>
    <t>87f3e0c786f2e675979bd0d0778cd9dc</t>
  </si>
  <si>
    <t>a640d10af396f0aa5f1c751f1f976bdc</t>
  </si>
  <si>
    <t>886cadc098626f2e17d54f76b7bac8bd</t>
  </si>
  <si>
    <t>5a5a4a1319679a5e560257abd2fa1273</t>
  </si>
  <si>
    <t>e1e968a372e80f44b16ab1dabcbca579</t>
  </si>
  <si>
    <t>17c765461652f9154943bd66875b0686</t>
  </si>
  <si>
    <t>0eae0847dbceff8611d706710c724ee2</t>
  </si>
  <si>
    <t>2017-11-16</t>
  </si>
  <si>
    <t>7bbb6edafc3614ad57fb17a6ae04a502</t>
  </si>
  <si>
    <t>086f8f18f98299e22931d762c63db2b8</t>
  </si>
  <si>
    <t>7827425b5eac9f9df63f65d9bb7f6a25</t>
  </si>
  <si>
    <t>2d3ee63d21894eb0e7c3879fa3f9b0d1</t>
  </si>
  <si>
    <t>088a21dbb29d74a07738fb93a96b507a</t>
  </si>
  <si>
    <t>32c18d30cd806e094dffaa4a7c4c0c7e</t>
  </si>
  <si>
    <t>dff7f8766eb0c26b8cfbc2147c33e1e4</t>
  </si>
  <si>
    <t>a2f9ff7df829bc4345e5cf8b5bab2e85</t>
  </si>
  <si>
    <t>a1fa8465f15178a62e2429d53c230d99</t>
  </si>
  <si>
    <t>8a4902db3aa7fdf0a39bf75a14697e2d</t>
  </si>
  <si>
    <t>afbb859246fee92c1850a6e8bf1a9854</t>
  </si>
  <si>
    <t>e38994925b350c88bd9b885f0b726439</t>
  </si>
  <si>
    <t>2017-11-17</t>
  </si>
  <si>
    <t>b591d108e5c3f485635223ddaf07dc36</t>
  </si>
  <si>
    <t>6fb0ec015d5b4e5f4031a61d1a6e1f64</t>
  </si>
  <si>
    <t>08523d94685d7c7efc1381136873cab3</t>
  </si>
  <si>
    <t>7bd0fa93f3aecfd0f0cd772c59c848e6</t>
  </si>
  <si>
    <t>8fb9e44943fd93ec9a5eed36cce925c5</t>
  </si>
  <si>
    <t>60eeb6cfb0da0d3db8ccd8a0ca15f272</t>
  </si>
  <si>
    <t>c4746ccd04aef8864a52efd2b5fa6c1f</t>
  </si>
  <si>
    <t>2017-11-18</t>
  </si>
  <si>
    <t>f4bfb8dea9ecdb8ecff6f92691e8f45d</t>
  </si>
  <si>
    <t>3ba9c7e03e16689f18c77e2f5efd2af4</t>
  </si>
  <si>
    <t>7a818012b467239b762232ca1644c096</t>
  </si>
  <si>
    <t>bb112b59b8f03e372acab987c036fbf3</t>
  </si>
  <si>
    <t>ece8853f47b1069c213415c8b64ad6b3</t>
  </si>
  <si>
    <t>e55981b5cea8072097093592652571ca</t>
  </si>
  <si>
    <t>991bb9cfd54d9ab89b563df31d3ed95d</t>
  </si>
  <si>
    <t>f7203d9ccdf6519081031222d1f49788</t>
  </si>
  <si>
    <t>cd1ddd0a998b40f3335a4b6d9af53e7f</t>
  </si>
  <si>
    <t>70537c8a3dfbbe79f0d078a43a815d97</t>
  </si>
  <si>
    <t>a29ff9ad73114cca7be0859ec0cddd74</t>
  </si>
  <si>
    <t>2017-11-19</t>
  </si>
  <si>
    <t>bf11d6d45abb67220dbfb9b1f8c09efe</t>
  </si>
  <si>
    <t>f939f0226d610aad8bc41cb7433e5f70</t>
  </si>
  <si>
    <t>82f67231caceb165dadf21bcc8f0ee72</t>
  </si>
  <si>
    <t>f12da93bfc1ee01030cea1345a142abb</t>
  </si>
  <si>
    <t>bb0c66e312ff8cb97698f012cd92553c</t>
  </si>
  <si>
    <t>f7f4ddbedac13a064aeb2fe0d513cabd</t>
  </si>
  <si>
    <t>d1bae3aba9294d4d0cb1141637b50f07</t>
  </si>
  <si>
    <t>2017-11-20</t>
  </si>
  <si>
    <t>fec5a30841300e1ebf3aa37f9023f345</t>
  </si>
  <si>
    <t>59f20ac0aae46d0940018c589d3571f4</t>
  </si>
  <si>
    <t>2a680095a7549ad07085fb6863f91316</t>
  </si>
  <si>
    <t>338fbd3c36de682efeb03bf89d62ae95</t>
  </si>
  <si>
    <t>21e532e1fe87c6d6f72b17543a12af1a</t>
  </si>
  <si>
    <t>884ddcd0965c8f4d41006f07efa3c32b</t>
  </si>
  <si>
    <t>5ee31cacb02c4f421f938c50e446185b</t>
  </si>
  <si>
    <t>b0200fb90c91c50e3310f7f78f68fdfc</t>
  </si>
  <si>
    <t>3296617b0f860015465b3259c42115b2</t>
  </si>
  <si>
    <t>077700dcf4e3bb4128459fc825a4056c</t>
  </si>
  <si>
    <t>19802314932831a78e4f0e3dead30f83</t>
  </si>
  <si>
    <t>b95698cb2b294e6656ad89f313fab791</t>
  </si>
  <si>
    <t>81d7555ffbde7261c34dca2bc0c03a06</t>
  </si>
  <si>
    <t>e1c810cb179481ffaa80d2cb9585933d</t>
  </si>
  <si>
    <t>2017-11-21</t>
  </si>
  <si>
    <t>6aa2fc0ec99ae145158d9f9f790ada82</t>
  </si>
  <si>
    <t>a7b2dea846384ba7e7e9577dc8c5bd54</t>
  </si>
  <si>
    <t>c8cc1b9b063cd184da9dd5293346a11a</t>
  </si>
  <si>
    <t>7d1ce7457c6de5e26ff0d58b395befb6</t>
  </si>
  <si>
    <t>46c820acb13d40759d9cf3941fb7a47d</t>
  </si>
  <si>
    <t>61ef5e0982e79d6bdb7d3734b7ed8df7</t>
  </si>
  <si>
    <t>a9b4d68c2c9921f6475ffb650b6c41bd</t>
  </si>
  <si>
    <t>52ed4ea43ae701531f7a3a18b16783f8</t>
  </si>
  <si>
    <t>82905f4b411a687464762216db4424b2</t>
  </si>
  <si>
    <t>182b04723eb5306a7d96bdec43fbd51e</t>
  </si>
  <si>
    <t>13430fd38aeb09240481e4aade4a19fc</t>
  </si>
  <si>
    <t>2ef02afb7f805f2864894d1477e29443</t>
  </si>
  <si>
    <t>4fee0b89c704a8bb6a4431a63025b6da</t>
  </si>
  <si>
    <t>f4e085544efde9d6743c281b3454a482</t>
  </si>
  <si>
    <t>3a70ea20517224ef5bcb72742f0cc439</t>
  </si>
  <si>
    <t>47a53fe6f92821c8b0ecd40dedee5d6a</t>
  </si>
  <si>
    <t>2017-11-22</t>
  </si>
  <si>
    <t>e8c9b0d66cadc26a3f329d777f0eff7f</t>
  </si>
  <si>
    <t>bbd1b9ebbc5a09d51caaa2d10e0f93b5</t>
  </si>
  <si>
    <t>e801a93b3904ca9e8350f176a037047b</t>
  </si>
  <si>
    <t>a92733241b636a8ffddd05c56714d32d</t>
  </si>
  <si>
    <t>994486484c66c852cd60fed6ff0da2f9</t>
  </si>
  <si>
    <t>4c1fd23882ba19dd4163989a484ad75c</t>
  </si>
  <si>
    <t>6a0a8bfbbe700284feb0845d95e0867f</t>
  </si>
  <si>
    <t>e21f5c7662bfd911118d391867417f49</t>
  </si>
  <si>
    <t>4382b2408a28f4f8ab2a7012590b6287</t>
  </si>
  <si>
    <t>96130f6fd199488da9de47d29027d10c</t>
  </si>
  <si>
    <t>788688f686c6ef04e7eb60e4ba103ffd</t>
  </si>
  <si>
    <t>6ed3f553337457d7804e8c39b580ce89</t>
  </si>
  <si>
    <t>871785b214cc8a90e501c4a4200f25e4</t>
  </si>
  <si>
    <t>53619dd8d4a6a651b7e864560eb84fa6</t>
  </si>
  <si>
    <t>2017-11-23</t>
  </si>
  <si>
    <t>0953ccb40a8fb30d5fd5ce0c06bbf4ad</t>
  </si>
  <si>
    <t>3a50c763032329859ffb4b2812960c7d</t>
  </si>
  <si>
    <t>dbdd3beb8869ae263445924f3f08a695</t>
  </si>
  <si>
    <t>cf8e0bf248046a2be2b5ed74b01f98b2</t>
  </si>
  <si>
    <t>c8e35783a2527cdf286c54e2ae9727db</t>
  </si>
  <si>
    <t>5afac0b7cff137da6d13251afc7329c9</t>
  </si>
  <si>
    <t>7f2810de522b451a990407ada69ff9d0</t>
  </si>
  <si>
    <t>f5e8dd6f3cfc89bc152991875437aaa2</t>
  </si>
  <si>
    <t>568360f5a6800365ddcbe2fcf69fdbbe</t>
  </si>
  <si>
    <t>1d8f8ed077e12bbaeb0ee6675167d40f</t>
  </si>
  <si>
    <t>45dcb58c5c287e7fdf32ba72e75bc177</t>
  </si>
  <si>
    <t>86d0ef425e0811afd544b52543fb4152</t>
  </si>
  <si>
    <t>0c7ccdb239bd524a31dc66094fa59626</t>
  </si>
  <si>
    <t>52cafd5349b83c44cef90c267012a0d2</t>
  </si>
  <si>
    <t>b8b6924f004e191923963e8ab1655ed9</t>
  </si>
  <si>
    <t>5c748cfa838e65b06c230b1f917ec95e</t>
  </si>
  <si>
    <t>37e87d7b071633ba92f5ef06491b781a</t>
  </si>
  <si>
    <t>6a7509b21939697564bb0b5aac2c8187</t>
  </si>
  <si>
    <t>2017-11-24</t>
  </si>
  <si>
    <t>5ff620977c1907f6694bbbbc716cf0d3</t>
  </si>
  <si>
    <t>b2976bc0899d6eb3fbaa0255ee3a000b</t>
  </si>
  <si>
    <t>2aabb4d8714e26a76aef91c6f0d5c329</t>
  </si>
  <si>
    <t>f19fb77bae3d3b3d2394eee444ad0e54</t>
  </si>
  <si>
    <t>0f769c3e8665e800faa37fd711fee252</t>
  </si>
  <si>
    <t>cf9b4a50fa5f421075dbe48dc3a1e30f</t>
  </si>
  <si>
    <t>1a0da2935bfb1baa0def0327be1a7563</t>
  </si>
  <si>
    <t>6cd91ba388e06035714e1776db85ec11</t>
  </si>
  <si>
    <t>fb9b2930f4a30f96c7cc98eaaa85e5f0</t>
  </si>
  <si>
    <t>17c1ae37e6e096d8059b53c96a21ea9d</t>
  </si>
  <si>
    <t>dd1848be19cde4db26876697683f8373</t>
  </si>
  <si>
    <t>7e8a488126f108bf5841a1bc1dd2c762</t>
  </si>
  <si>
    <t>4de5beb49e4389e91971200bacf4e024</t>
  </si>
  <si>
    <t>cb4e5fca9b25bcc00d9d7d7ba9f4eac3</t>
  </si>
  <si>
    <t>6d4dd79bee1e2a93f09c9501c2ff87e7</t>
  </si>
  <si>
    <t>de8a2818f7fe963e53d394e7848bc9b2</t>
  </si>
  <si>
    <t>074241ce500ccb810dc2a36222167798</t>
  </si>
  <si>
    <t>e29802498c81638fb4377d7c7137031e</t>
  </si>
  <si>
    <t>277de059a7365a4f74aa03167d68bcfd</t>
  </si>
  <si>
    <t>47607b002b56d0c23e24d91a519b0856</t>
  </si>
  <si>
    <t>db92c37a984bfe99f6cc7cda7839c86b</t>
  </si>
  <si>
    <t>48a043c45028f3caaabe84abb2316c51</t>
  </si>
  <si>
    <t>189ce876121fdc47b810933fb0b4f4bd</t>
  </si>
  <si>
    <t>3d2d939521e7bcf1be4b407ff2690e5f</t>
  </si>
  <si>
    <t>854135793f7e0c5c07d4f72b32125b92</t>
  </si>
  <si>
    <t>a557a0d8ff0129cd241d2bca612b3d6f</t>
  </si>
  <si>
    <t>26d6ab35f3c0f7b157fc147026e1ebbc</t>
  </si>
  <si>
    <t>c0e184ce4df1d9df3ef40938ab7ee173</t>
  </si>
  <si>
    <t>e95de39b06926e7e123cb18e3a99dbf7</t>
  </si>
  <si>
    <t>b048658d074ad2c4863ea7021ddfe990</t>
  </si>
  <si>
    <t>c8ebc5287c1e130db3ef5c6d50dc24eb</t>
  </si>
  <si>
    <t>13ff6c4c055b81a28af3b21f157f4255</t>
  </si>
  <si>
    <t>341fd75c5d23b024ba2c98c53b491adb</t>
  </si>
  <si>
    <t>4a9535cd904e916ca0286823298d30ed</t>
  </si>
  <si>
    <t>56ce64b53ec3bb5b0525f21506619f8e</t>
  </si>
  <si>
    <t>0659ee4a8b8b8da8337c94d35e423c74</t>
  </si>
  <si>
    <t>2c84b2577e246ed9aa8ad68b0dee5be6</t>
  </si>
  <si>
    <t>3cabe471faa982a15a1e8a9e4b71559e</t>
  </si>
  <si>
    <t>343214a6de71b79c0166799ba08e148f</t>
  </si>
  <si>
    <t>f07ac180675b94d4fe8f697eb2f87d12</t>
  </si>
  <si>
    <t>5f3855c579e82a703b52d837e9b0688b</t>
  </si>
  <si>
    <t>266d1afe42f1f376499cdd8e6df164d9</t>
  </si>
  <si>
    <t>c48c006cc34f94c1fb2aa8afd2c1cc9f</t>
  </si>
  <si>
    <t>5ca576efef06ad46cc98cb34e358ba42</t>
  </si>
  <si>
    <t>90acf5654782a289ffd89f1759287595</t>
  </si>
  <si>
    <t>0d597bde3929912cb11ba2fe571a4267</t>
  </si>
  <si>
    <t>484216e35682c86df2d5548a94d08cbb</t>
  </si>
  <si>
    <t>d688d29e40c2038d1ed9dff624fc9490</t>
  </si>
  <si>
    <t>dc8ffb2856b34d44541032dff3d0eb5c</t>
  </si>
  <si>
    <t>7937987ff13bd22aa39304d525e1eafe</t>
  </si>
  <si>
    <t>ca759ab8f22c84329b8dbcb5192ef923</t>
  </si>
  <si>
    <t>6b4fe75bdf8d4a467678bc8f2132c06a</t>
  </si>
  <si>
    <t>18fbfa7be165a2404fcf5ab2d071d80e</t>
  </si>
  <si>
    <t>82a7cba8d70a10e7e0e44e41a30772f7</t>
  </si>
  <si>
    <t>87992a0761a3c7c023b54a5e2ce752cf</t>
  </si>
  <si>
    <t>f6bacd0dbc1aa8e5256c4bd6e4b08b03</t>
  </si>
  <si>
    <t>8f1d6980e5537dd52cdd222e0794fdf4</t>
  </si>
  <si>
    <t>7b8ae8132da20b7b6f709b2d5fcd78c5</t>
  </si>
  <si>
    <t>80012b4a007a0b502a4dd3c0d6224abd</t>
  </si>
  <si>
    <t>a6fa6ddceedb5ea6477c3660ccc379d8</t>
  </si>
  <si>
    <t>4e08e93c7e89957e02292b0bffbf8065</t>
  </si>
  <si>
    <t>443927ed7bbf7df399ca64efdb0b684c</t>
  </si>
  <si>
    <t>2017-11-25</t>
  </si>
  <si>
    <t>08904f6557108c451821501ca9e6aa4a</t>
  </si>
  <si>
    <t>38f95affd04d115a3cf2c655d000581f</t>
  </si>
  <si>
    <t>2d4795e6f5375a02fac5626d3b94d407</t>
  </si>
  <si>
    <t>4d0fce2314e3a88cb7371a111cf69f41</t>
  </si>
  <si>
    <t>467f3d18f63e2f01ade50df74d40457b</t>
  </si>
  <si>
    <t>59ad806bb1a82c19e0feadc488939a89</t>
  </si>
  <si>
    <t>e86d50789574a28a92e27efcdc90bd8e</t>
  </si>
  <si>
    <t>0c01eb5638db2110eb5a7d1c0581aa09</t>
  </si>
  <si>
    <t>e0258e674c59ea50961e9ec45f97b08e</t>
  </si>
  <si>
    <t>42e5f73161b3e88fdadd792613be1da9</t>
  </si>
  <si>
    <t>e84aab6af2a71fdd57e937740dc5a3dc</t>
  </si>
  <si>
    <t>05580ea6005bac590a3f143473c9b296</t>
  </si>
  <si>
    <t>c54856ceaaaf3a273f3921da4faf1e8f</t>
  </si>
  <si>
    <t>223a155e5dad113ba43fff75ecbb3d06</t>
  </si>
  <si>
    <t>1d496c62bf852e069018c2b038064949</t>
  </si>
  <si>
    <t>c9397dbfd867734646abb1df12a5f625</t>
  </si>
  <si>
    <t>5e0de5e6b42042ea6e00e3d07d4aef84</t>
  </si>
  <si>
    <t>4ae0a4ebc7224b287836fc665b499b69</t>
  </si>
  <si>
    <t>9841304c5432e46d9cfd508835b743b1</t>
  </si>
  <si>
    <t>89e84cfb3387746e060d4a9146511c9e</t>
  </si>
  <si>
    <t>29fbef181a9fb4263222cb6a7cc9938d</t>
  </si>
  <si>
    <t>c5fb461f4d5a4b5457fd3029e1d1543a</t>
  </si>
  <si>
    <t>42faea0e8fde3945ae5c85e245ea9726</t>
  </si>
  <si>
    <t>dd4ca62b4abb4a5fe11f24d45b63eb79</t>
  </si>
  <si>
    <t>00ea690fe8c5eba029a3884243a02352</t>
  </si>
  <si>
    <t>67c8fda9d347535e923f93614f2b44e0</t>
  </si>
  <si>
    <t>696e3f4fca4491245f7b9425055cda4d</t>
  </si>
  <si>
    <t>49e548b7ec1f515816b62230c96e8f74</t>
  </si>
  <si>
    <t>8a375e54dcadd25fe7578ad54311a746</t>
  </si>
  <si>
    <t>9c6aefa5cff43aaa6ab742a0dfc5c1cd</t>
  </si>
  <si>
    <t>b3786fe1fdaf726bc9e7a5a9138f4cb6</t>
  </si>
  <si>
    <t>ccecb43e46d11aa9ed8c92440657995a</t>
  </si>
  <si>
    <t>adc9c192fa551c7973ee32d217816b89</t>
  </si>
  <si>
    <t>617dba85b5a384d32d348f3a8cb4ce80</t>
  </si>
  <si>
    <t>1041d437bb0a4bcfeb3a107426f2d5f5</t>
  </si>
  <si>
    <t>1a4ce6e380dae0771ca218753b0739a1</t>
  </si>
  <si>
    <t>2017-11-26</t>
  </si>
  <si>
    <t>c05cb9c2c6907494337ded1d059cbc7d</t>
  </si>
  <si>
    <t>767b76997bafc4391a3018711fd833a9</t>
  </si>
  <si>
    <t>d59990b8113b909332b7eb63d417c86a</t>
  </si>
  <si>
    <t>f5a46e0d0f766ca0dd73ed331959ce00</t>
  </si>
  <si>
    <t>55c22802abda3dda5ccb0d14c0123915</t>
  </si>
  <si>
    <t>04a59fe46fc5aa341da5378c195ed53c</t>
  </si>
  <si>
    <t>f42de7e48a0daaa613b8aa877942800f</t>
  </si>
  <si>
    <t>0b8f73a9816cb775a1bf1492c3bca4e7</t>
  </si>
  <si>
    <t>cb26769d014df1d16ffd4de9098e95d7</t>
  </si>
  <si>
    <t>db2471b04ede0dfe4af0853853885267</t>
  </si>
  <si>
    <t>a2f4f3306fea53180f55b6bb37d63647</t>
  </si>
  <si>
    <t>cdcdd974adb1606df89687f10cf130eb</t>
  </si>
  <si>
    <t>ef00af19f3e4667ac596baf6656e0ee4</t>
  </si>
  <si>
    <t>3a25cded45c3f7fe9dee01dceed4a97a</t>
  </si>
  <si>
    <t>551cf988ddc636bfcd08d383c5c371fd</t>
  </si>
  <si>
    <t>5f69f6bf68dce110479aa0bb515b47c8</t>
  </si>
  <si>
    <t>c2d2c80fb18401b6b761d887e378676f</t>
  </si>
  <si>
    <t>d26844690f17c5d19b50a5862b8d2a45</t>
  </si>
  <si>
    <t>49f3ca1235b168529decb2072cc26da8</t>
  </si>
  <si>
    <t>941ebebbc2c3685498a892e2a29237c9</t>
  </si>
  <si>
    <t>71b3bbe3087a538b8019ec4e1b8abf56</t>
  </si>
  <si>
    <t>6646811f070a6e46f85c938eb20b1842</t>
  </si>
  <si>
    <t>2eb519d713a6e605650dd4bd730c17d0</t>
  </si>
  <si>
    <t>148ffca6d6b46bd5f71a7b22154baae6</t>
  </si>
  <si>
    <t>eb61a98487395d9b7a135acd3d6905a5</t>
  </si>
  <si>
    <t>9e906dcb08be5abcfe04f3e3a9bbb8bb</t>
  </si>
  <si>
    <t>d6a90d67310c500286671d1aab32079f</t>
  </si>
  <si>
    <t>2017-11-27</t>
  </si>
  <si>
    <t>f1eb378be592a06b8c3c6006b7d7102e</t>
  </si>
  <si>
    <t>3d7ee397cbe71826e767837af0d81c2a</t>
  </si>
  <si>
    <t>31001a77165dd554fcc32640defe98a1</t>
  </si>
  <si>
    <t>bdb1554633e5b5bf1a3b47940263c00b</t>
  </si>
  <si>
    <t>6e63dcc83ec280b72783617737ce886d</t>
  </si>
  <si>
    <t>9f9b0cf9d794e40cdf1c4cf909d65ca4</t>
  </si>
  <si>
    <t>1800f4a4362310d7eb38281634f6dfd1</t>
  </si>
  <si>
    <t>1a8479315924a0909a29ab6a0cc3cc20</t>
  </si>
  <si>
    <t>bea0db83582bcb99461f9795968b7928</t>
  </si>
  <si>
    <t>66da8b55fb5d6393b4ec50e8fd8c9781</t>
  </si>
  <si>
    <t>d56ddc412e7725060f044aa15d7073d3</t>
  </si>
  <si>
    <t>5e21c6f2e0e0007bd16ba2839c9628b2</t>
  </si>
  <si>
    <t>74c7716ab7523de71a5bab869d6a0055</t>
  </si>
  <si>
    <t>35d89cb00c04825ece90d7a205c0347f</t>
  </si>
  <si>
    <t>c3664571c21d82f7d8ada5770af419f9</t>
  </si>
  <si>
    <t>5cc09f9c0de29bf3a52fb5f7108c4cbf</t>
  </si>
  <si>
    <t>771596702a2e0245fb67b093182acb03</t>
  </si>
  <si>
    <t>503ede67b27bbb1c7dca67c00af403a5</t>
  </si>
  <si>
    <t>77ad790bc77b40f61485833a46bb6968</t>
  </si>
  <si>
    <t>bbdac08bddebc79ee2654423b9ad63c3</t>
  </si>
  <si>
    <t>2017-11-28</t>
  </si>
  <si>
    <t>df86f734aa38ba760f6b627af3870974</t>
  </si>
  <si>
    <t>bbe5ef975154a7473c4c595fa3385edc</t>
  </si>
  <si>
    <t>2e1b235d488deb88fb0f9282e48e9ddf</t>
  </si>
  <si>
    <t>62505127063f51deaf665f237ee748c2</t>
  </si>
  <si>
    <t>eeca9f5d045896f3545298cf7a55f101</t>
  </si>
  <si>
    <t>32064cd340eabfc585488b852e90efaf</t>
  </si>
  <si>
    <t>111fce057987458292c1deff2a05d6ff</t>
  </si>
  <si>
    <t>d0caf7e56d00688a96b150cee9afc889</t>
  </si>
  <si>
    <t>37681095e51224168a55b7a4ed598359</t>
  </si>
  <si>
    <t>4682ccc1cc6188dda05e841ad72bc5e8</t>
  </si>
  <si>
    <t>ca0400dec2c292340c373e63b1c2c597</t>
  </si>
  <si>
    <t>f4a613f13687a59ba108a5ad756d73e6</t>
  </si>
  <si>
    <t>861491497ec50d96ed67fcc3b12fdd87</t>
  </si>
  <si>
    <t>99642f7c1549b12bcc0ddc010075030a</t>
  </si>
  <si>
    <t>bc4dd1342d6f1b0881391f55ce6de89c</t>
  </si>
  <si>
    <t>efcb1e3ac5e7826d0395156ddcce513d</t>
  </si>
  <si>
    <t>5fbaa35725c08e8527b1bcae123d2490</t>
  </si>
  <si>
    <t>d828bfc73f08a09b4d5e7fc4671917ab</t>
  </si>
  <si>
    <t>7af8ed2339bcf2d146c8ac50309f9555</t>
  </si>
  <si>
    <t>2017-11-29</t>
  </si>
  <si>
    <t>5400e2987acb955ee428c73ca8f28a76</t>
  </si>
  <si>
    <t>185e9cacef8c11db7ae713ba0ac68895</t>
  </si>
  <si>
    <t>30686c06dbe287c1eed625281774a98c</t>
  </si>
  <si>
    <t>47c9687751ccee4ea76cf6386b30336d</t>
  </si>
  <si>
    <t>9855d762d535fda66aa7f273116aa77d</t>
  </si>
  <si>
    <t>b4cf18f6e47d64387501e0dc77b1ac82</t>
  </si>
  <si>
    <t>8bf14f24c8e8641850e22e01ca1fd3bd</t>
  </si>
  <si>
    <t>01b241fa1421c8284e8c1029a503360f</t>
  </si>
  <si>
    <t>4054f3a02c9191a518601fba04f06742</t>
  </si>
  <si>
    <t>18bf6d7136b7e8ac817dc22f36ecbbd5</t>
  </si>
  <si>
    <t>6113734f28c4dd1490de62945a9adf43</t>
  </si>
  <si>
    <t>f95795398c6d7c5e32c51629aa345fdf</t>
  </si>
  <si>
    <t>64b5f5bed476f1c9f84b2fddb945ca48</t>
  </si>
  <si>
    <t>0901f97cdb91762c043d2330c81919a4</t>
  </si>
  <si>
    <t>e1d9e9bb816ce0bdfaf1cd02b96c6d10</t>
  </si>
  <si>
    <t>06d7e8cde0488b6d0b67852d2295368e</t>
  </si>
  <si>
    <t>2017-11-30</t>
  </si>
  <si>
    <t>2fa74b22c65ece27ba1edf1f40354e19</t>
  </si>
  <si>
    <t>8fc5d9ce2b81773eab28cea379428e6c</t>
  </si>
  <si>
    <t>8277c9870ca20fd07d7d1a77992dc20d</t>
  </si>
  <si>
    <t>554e0040525310e842d969553ab5b594</t>
  </si>
  <si>
    <t>29d0a6fb5e4342bc5bd0cd7ac3bb98f3</t>
  </si>
  <si>
    <t>c2b1c0fcdd5d03ed47f2b02494cdbc63</t>
  </si>
  <si>
    <t>25e460c20f54821a96f7570fe5b22934</t>
  </si>
  <si>
    <t>afe207b8795179c5b29bc4c2f0052178</t>
  </si>
  <si>
    <t>81c625b19905554b5b5fd2277f4e5a0a</t>
  </si>
  <si>
    <t>8b0f296c3900fc6945e8536812a789c0</t>
  </si>
  <si>
    <t>construction_tools_safety</t>
  </si>
  <si>
    <t>eabb26aeb1ce1147b26952c40f719f0f</t>
  </si>
  <si>
    <t>80b430d0029bb33110ac31d60e87e0b8</t>
  </si>
  <si>
    <t>c1742783834afde8109d74422e9a4bca</t>
  </si>
  <si>
    <t>c73c7b94754de2363ea55ba35902321d</t>
  </si>
  <si>
    <t>c9db7e953006c9303b92dea9d91878bc</t>
  </si>
  <si>
    <t>54369f1e37831273ce26f463ca306881</t>
  </si>
  <si>
    <t>2bdb1ceae8421ac97f2d12683e1bd495</t>
  </si>
  <si>
    <t>33862e8df33c7f4ce5d1c0142de3cf0e</t>
  </si>
  <si>
    <t>15e2d9eb38b0fecf6c2bb792d11bfb93</t>
  </si>
  <si>
    <t>7ea79c5a0a141e742e9369fba0899043</t>
  </si>
  <si>
    <t>50b254ace467cbdb9e5181a487f569dd</t>
  </si>
  <si>
    <t>3bc383f96dded5aa5e75309ecab074c5</t>
  </si>
  <si>
    <t>6c068d7c483fb0d3386092cb50b4efcb</t>
  </si>
  <si>
    <t>c4f4e4d627be7a7e0ca6af0fe3dd08af</t>
  </si>
  <si>
    <t>99b1cf2d12de43d084557a08d0c448e4</t>
  </si>
  <si>
    <t>bcf9b1ea597cf15ce7c93eebfd3a915a</t>
  </si>
  <si>
    <t>7f2646b3858bd8c12613670a0da91593</t>
  </si>
  <si>
    <t>281312c1f75aca1051527291272b4b46</t>
  </si>
  <si>
    <t>2017-12-01</t>
  </si>
  <si>
    <t>2017-12</t>
  </si>
  <si>
    <t>5278f92718cd6d3de89da59a99515b34</t>
  </si>
  <si>
    <t>a5d81ef92239f2dfe3b2aef1416077aa</t>
  </si>
  <si>
    <t>58a18ff759db7b6e8f84744c86b9b461</t>
  </si>
  <si>
    <t>b28f406dacca37ff27d85f7982344d2f</t>
  </si>
  <si>
    <t>52993856cd387ab5a4dd553e66dbdc6c</t>
  </si>
  <si>
    <t>50c561609b802ec8d508a9f48c669918</t>
  </si>
  <si>
    <t>cf27162439419d0179b62ebc5a6dccd1</t>
  </si>
  <si>
    <t>6fa1dd5611d4b380144fbe44fa788ad9</t>
  </si>
  <si>
    <t>6251915eca989de65a0d5bd949bb98fd</t>
  </si>
  <si>
    <t>c7792e68d2b059a30e1393cf164f9adf</t>
  </si>
  <si>
    <t>2017-12-02</t>
  </si>
  <si>
    <t>d664b2039deb4f567ef5367877766cf6</t>
  </si>
  <si>
    <t>67118db7c6bb624924e2d3f7d1db78d9</t>
  </si>
  <si>
    <t>17aee91466443df022e04e60326597b7</t>
  </si>
  <si>
    <t>1a15666c4d5cfc217337ceebd70c3884</t>
  </si>
  <si>
    <t>62a084114b1d8e549fbf1e0d9ebf4da6</t>
  </si>
  <si>
    <t>ed6a309651e25df1caf213ebeaf1067b</t>
  </si>
  <si>
    <t>6f0c6747db38e540068010194f8249e5</t>
  </si>
  <si>
    <t>f0dbbeed3a0b658b884893bcdde5e4d4</t>
  </si>
  <si>
    <t>e9fecd900cce6b52424121bf98911932</t>
  </si>
  <si>
    <t>99564fb7290396571ca59529ad9e71f3</t>
  </si>
  <si>
    <t>2017-12-03</t>
  </si>
  <si>
    <t>4a34ebaf9dad918de4b5201d02bd7289</t>
  </si>
  <si>
    <t>fa0705d5bfc72c07badff6fcffd697f6</t>
  </si>
  <si>
    <t>3335f13449d5b75804a0a49611cf11a4</t>
  </si>
  <si>
    <t>e2fbbd87fea5a8b236b00e5b274b143d</t>
  </si>
  <si>
    <t>13b18839db628ad38aab7490078a213e</t>
  </si>
  <si>
    <t>6653d3fc131c01e7e7fa96daf4aea451</t>
  </si>
  <si>
    <t>23f0043c61ae2348a350f3cc20762914</t>
  </si>
  <si>
    <t>8fdc42676c9c6c74c4f8f062b53ebafa</t>
  </si>
  <si>
    <t>de0076b42a023f53b398ce9ab0d9009c</t>
  </si>
  <si>
    <t>2017-12-04</t>
  </si>
  <si>
    <t>db37f3a504d63cd9e2fb6133c80e0219</t>
  </si>
  <si>
    <t>a2774eabce91067c32cfb2813ac902ad</t>
  </si>
  <si>
    <t>7da78752e9ddd817f22933c2763db33c</t>
  </si>
  <si>
    <t>0ec373cccbb9d0a08243467c9d81a0c5</t>
  </si>
  <si>
    <t>8c535ee262be59eb38411054b7365ca2</t>
  </si>
  <si>
    <t>adc51b6b60ec7fe71a757fdf57f0e3b2</t>
  </si>
  <si>
    <t>06ba91cdc30ac6c7181e933cf2135932</t>
  </si>
  <si>
    <t>396ca10a49401efb99c1e55716800936</t>
  </si>
  <si>
    <t>fdce8dd7bb4b3a3424b42b3dd0e844da</t>
  </si>
  <si>
    <t>cfe5649887c20d8a27d7a9a2302a9d9b</t>
  </si>
  <si>
    <t>da2473475b308a32775353337f5c3c6d</t>
  </si>
  <si>
    <t>fa464e66c13ab4ea69b7fb3c7888ea0c</t>
  </si>
  <si>
    <t>4e9ff1cf3de62fe0f78482fb03f190f1</t>
  </si>
  <si>
    <t>b0a3fa56d2d1b7e51873562656c0a796</t>
  </si>
  <si>
    <t>03d5b9a74ff46435640f8bd737ac2237</t>
  </si>
  <si>
    <t>0f4ace47be2863cb7e7e547f32afbe2a</t>
  </si>
  <si>
    <t>12ddc48a9deaa5607f5fe6dacbb1e436</t>
  </si>
  <si>
    <t>1cfb210fdaf81f98065605323fe31fa3</t>
  </si>
  <si>
    <t>977f75be9ecd1050220bf0c1ee226bda</t>
  </si>
  <si>
    <t>8d0104be66d2f2828b6dd123117d7c22</t>
  </si>
  <si>
    <t>5e3729322319aad9409e9ca36aac26da</t>
  </si>
  <si>
    <t>95b1f6f56e1831a87c509debb79f3c52</t>
  </si>
  <si>
    <t>2017-12-05</t>
  </si>
  <si>
    <t>924b9944de552a095cc8e4978ac8a518</t>
  </si>
  <si>
    <t>321117f0a62b449963231d318a6320d2</t>
  </si>
  <si>
    <t>0bcc4cc85c24f23e22013fd22f99728f</t>
  </si>
  <si>
    <t>c724a4299403a06db6a91f12801f845a</t>
  </si>
  <si>
    <t>07424cae1deed4169c2b56d1d150acf8</t>
  </si>
  <si>
    <t>7e40398e4b930885edc608594647816d</t>
  </si>
  <si>
    <t>13d37da7780bd1fb1eca0512a3e75f00</t>
  </si>
  <si>
    <t>ad192211a3b7e6018ffdea3e5fef1444</t>
  </si>
  <si>
    <t>9d3496ddb05aea6b6b9a675bfa89e5ad</t>
  </si>
  <si>
    <t>eb270c4cbf3671961f3883e8b888571b</t>
  </si>
  <si>
    <t>2017-12-06</t>
  </si>
  <si>
    <t>a698eb7ffd8072c3664a4950b259ff0b</t>
  </si>
  <si>
    <t>70607d8252a17da1eece85cc656be12f</t>
  </si>
  <si>
    <t>969d261a3f4c639b3acdc0ba090fc039</t>
  </si>
  <si>
    <t>9526afac09af0c00e87b74eb7290b6ec</t>
  </si>
  <si>
    <t>dd04e5bf2ed0f48d340eb1b2820dcb7b</t>
  </si>
  <si>
    <t>5b7906a5a90957b0020ae90b2d7caf1b</t>
  </si>
  <si>
    <t>58be29292eff76e98cd5063f83ed7c51</t>
  </si>
  <si>
    <t>c4d21595038e045af516cfd9f1496c2d</t>
  </si>
  <si>
    <t>bd68fa144029a95327200fd368b4f4bb</t>
  </si>
  <si>
    <t>a8aeb93e160470d999c4ead1c7702124</t>
  </si>
  <si>
    <t>68b12ff83359aac4ddb4bcf1244b3a66</t>
  </si>
  <si>
    <t>a57e5933aecc63699d3d4657af21b9ad</t>
  </si>
  <si>
    <t>2017-12-07</t>
  </si>
  <si>
    <t>196c08d79ccead358a5de691d9e86ffc</t>
  </si>
  <si>
    <t>413570abe3d3b2e99c63f5d9ceadb6b3</t>
  </si>
  <si>
    <t>d931bcdb789d6460815d187628a45ea0</t>
  </si>
  <si>
    <t>bca67f1d036be009d17824489da2f178</t>
  </si>
  <si>
    <t>80b77c666e1dab43571417e42bc149e5</t>
  </si>
  <si>
    <t>857699cd8c2658e12a5870b9b54eadfb</t>
  </si>
  <si>
    <t>df30936d84a3371e34e3180c4fa953e3</t>
  </si>
  <si>
    <t>5f944775bd47e27388f34caaac31649a</t>
  </si>
  <si>
    <t>66aa339665e1726ddd709618f3caf4ef</t>
  </si>
  <si>
    <t>06c2f55902daa48386515225a766e7d1</t>
  </si>
  <si>
    <t>2017-12-08</t>
  </si>
  <si>
    <t>7d111bfefec4ae36c7554a594fea3afa</t>
  </si>
  <si>
    <t>aa45e41799067f67755e2e4e41925aa3</t>
  </si>
  <si>
    <t>38b7ab73ffe50166a40179ecf80bfdc9</t>
  </si>
  <si>
    <t>1f19e6ce9fb04dda9ce82b2172a84d82</t>
  </si>
  <si>
    <t>6c20d70e7c720f7895651a703e320b86</t>
  </si>
  <si>
    <t>71ffbe37a2e7ac438c81adb916832bba</t>
  </si>
  <si>
    <t>70ed97390f0c32ee36ebfb8a421ee1d5</t>
  </si>
  <si>
    <t>898a25f87470b8e064878de16c52f6bc</t>
  </si>
  <si>
    <t>b9189dcba2f5219bc348356dce47d124</t>
  </si>
  <si>
    <t>02dec5fbe189e3c2ccd9ba071c6bb78d</t>
  </si>
  <si>
    <t>9b7a83861460257909d451bdab55a720</t>
  </si>
  <si>
    <t>1eeef7bced6c37a113b31c503ba1cdc4</t>
  </si>
  <si>
    <t>90ff532c672099e61c781421d7e8593f</t>
  </si>
  <si>
    <t>14385cf799c6efba6a9a6d51ea9a1a36</t>
  </si>
  <si>
    <t>d0c7cbf522cc8fd33f0eede7f124db41</t>
  </si>
  <si>
    <t>02905bba6aafd777542dacbfa8f4bc2d</t>
  </si>
  <si>
    <t>2017-12-09</t>
  </si>
  <si>
    <t>023af4b88d12c9f3f56bcb55da0450c5</t>
  </si>
  <si>
    <t>e257fe6c043babc3b737247f4f2a88c9</t>
  </si>
  <si>
    <t>f3100bed66fcc67bf69111059a3aa4ac</t>
  </si>
  <si>
    <t>9ecc7884797c901042fe3114f1e59f5f</t>
  </si>
  <si>
    <t>8ba268235fbb748f118500dc2f8f9781</t>
  </si>
  <si>
    <t>1b2da30f37813b73fff52c5d5f6cbcac</t>
  </si>
  <si>
    <t>c11daae957ee4447f2aa894fcdf28cac</t>
  </si>
  <si>
    <t>b96a1d2c7e7e18ae3bfbdfc43366a42d</t>
  </si>
  <si>
    <t>2017-12-10</t>
  </si>
  <si>
    <t>d68f3a6decbb8a868a1a87c33c9f50cd</t>
  </si>
  <si>
    <t>ec3537b6b3607220dc74b6ca4f505e03</t>
  </si>
  <si>
    <t>6811f439ad8873c28f8e1138e02229a5</t>
  </si>
  <si>
    <t>a2ec8ff90a5ffced9e2d1853bf3cf609</t>
  </si>
  <si>
    <t>4a7daecdbb69d275f72866f7f8d00448</t>
  </si>
  <si>
    <t>c8bf388d81617b961b598bc9b8b30811</t>
  </si>
  <si>
    <t>223b2b4c06ffe3ced7307cad0ebd5e44</t>
  </si>
  <si>
    <t>2017-12-11</t>
  </si>
  <si>
    <t>b6bc67fe4d4fbc4307eafa56be5e4fdd</t>
  </si>
  <si>
    <t>c7b1a19d2ae06ca24586ea3d67fb4f38</t>
  </si>
  <si>
    <t>beee47428ec6a6984d07930d75eb3c17</t>
  </si>
  <si>
    <t>529c6a63825f705864c027436f173560</t>
  </si>
  <si>
    <t>3169ea0ca9e7b527454873b4aa6e6583</t>
  </si>
  <si>
    <t>698b838e230eef7b304ba798ecc3ac1c</t>
  </si>
  <si>
    <t>dc034558fc2acd4a0d55733dd55b3b9c</t>
  </si>
  <si>
    <t>e277f0c1ac75d1659d13888efd4ff042</t>
  </si>
  <si>
    <t>9da6e3bacbae9dfb6f886b2fcdd80bcd</t>
  </si>
  <si>
    <t>2017-12-12</t>
  </si>
  <si>
    <t>b64f09a4cf903c5767f9f537158c24ee</t>
  </si>
  <si>
    <t>0e457aee274ec7e2e18d25ab6d212921</t>
  </si>
  <si>
    <t>b47fa5a498bfce5bc5658eda28570768</t>
  </si>
  <si>
    <t>b1501234c007ae50246518bde6945cf6</t>
  </si>
  <si>
    <t>2affd5996127141118380e30fdd8964a</t>
  </si>
  <si>
    <t>75d2d598319b1d4228d4ee4b82e61ff3</t>
  </si>
  <si>
    <t>e47bfd40dd32463a27120cccaaf5aad9</t>
  </si>
  <si>
    <t>683bf306149bb869980b68d48a1bd6ab</t>
  </si>
  <si>
    <t>657c1689361cce2eeaabea76ced5e30f</t>
  </si>
  <si>
    <t>ea967d0366237c813c6b152725ad11da</t>
  </si>
  <si>
    <t>38d1046513a150583e3f00f86212d3c9</t>
  </si>
  <si>
    <t>2480f727e869fdeb397244a21b721b67</t>
  </si>
  <si>
    <t>2017-12-13</t>
  </si>
  <si>
    <t>0d4a6a514fd319d11eda911eda30da6a</t>
  </si>
  <si>
    <t>356108ac93685d12f65fe827e25bb138</t>
  </si>
  <si>
    <t>a8698bce49d9222fa1a1b4cfb3cba3ef</t>
  </si>
  <si>
    <t>e5535466d23681cc97013097a0644150</t>
  </si>
  <si>
    <t>376e3ec5ba640fed451c34c6828c852e</t>
  </si>
  <si>
    <t>2017-12-14</t>
  </si>
  <si>
    <t>52c8fe0f0dc37807e452b5f695c2eb77</t>
  </si>
  <si>
    <t>d2b733c929342acefcd33572f8a1e3da</t>
  </si>
  <si>
    <t>0221d784b11a24077b3531e860b73434</t>
  </si>
  <si>
    <t>b6785f62f47a35b971f1353294849dff</t>
  </si>
  <si>
    <t>252aabc5aca2bc51672fb4ded077dcd7</t>
  </si>
  <si>
    <t>829105b927ac0fb2b0b47fdd3ea440ac</t>
  </si>
  <si>
    <t>0ad0006728103ff08cda112f7940bcd1</t>
  </si>
  <si>
    <t>bf794141e731463e42c59aac15cc5cd9</t>
  </si>
  <si>
    <t>8ecd4e086e06a6e3b98920c11b565fc8</t>
  </si>
  <si>
    <t>51526aa307cfd9cd8d3e9d4fa0c26121</t>
  </si>
  <si>
    <t>a26bfd667ba8c2433195ee30be0fd1d6</t>
  </si>
  <si>
    <t>2017-12-15</t>
  </si>
  <si>
    <t>cf76c6e04bd586a2cf526c57144cbede</t>
  </si>
  <si>
    <t>b808172914c4ad1d4c3b7917097b33ea</t>
  </si>
  <si>
    <t>809cadee53cde56e54180cf5d6631443</t>
  </si>
  <si>
    <t>6e282f45b4785012970c523ef10737b2</t>
  </si>
  <si>
    <t>ede4ebbb6e36cbd377eabcc7f5229575</t>
  </si>
  <si>
    <t>1ddb26b7e0414dad836e1a828c8ecfde</t>
  </si>
  <si>
    <t>641fb0752bf5b5940c376b3a8bb9dc52</t>
  </si>
  <si>
    <t>7146225dc080fb528c5c9571a11feca5</t>
  </si>
  <si>
    <t>7532f61a8fc7649fe822d89af2ff0a76</t>
  </si>
  <si>
    <t>2017-12-16</t>
  </si>
  <si>
    <t>cb2471f3b559b61183698ec6eb8694ba</t>
  </si>
  <si>
    <t>1a46043f18f483b119bbeebb563aa77a</t>
  </si>
  <si>
    <t>2c04e9500d7402e891b3c1213847febb</t>
  </si>
  <si>
    <t>ae7ef564bd3b4c6b260aae6169c141f7</t>
  </si>
  <si>
    <t>ef9a0c980b0d1cee2cb97b8ffe3fa64a</t>
  </si>
  <si>
    <t>44ffd19b3bd3915642db0231344b8b0f</t>
  </si>
  <si>
    <t>2017-12-17</t>
  </si>
  <si>
    <t>c046beae50286dc9ce99a36e02cb894a</t>
  </si>
  <si>
    <t>ce5420f8e3e7e46d19de72c08c690ffc</t>
  </si>
  <si>
    <t>b5256081b888baa655b51fd3a8446242</t>
  </si>
  <si>
    <t>3d98513a866612491197796c741dd71e</t>
  </si>
  <si>
    <t>c608468eb1bf28d4f4e70d4f38157357</t>
  </si>
  <si>
    <t>d572a6599cdf43e5635e73d8b71efc65</t>
  </si>
  <si>
    <t>33701411446fda95a2c013c5e38596ba</t>
  </si>
  <si>
    <t>6640f59de104f0d99080a84abb0a9bbe</t>
  </si>
  <si>
    <t>2017-12-18</t>
  </si>
  <si>
    <t>d20cc478dbe8fa50221ece6ddf0641b3</t>
  </si>
  <si>
    <t>fe51b08eff082393ace3cbc822e4d33b</t>
  </si>
  <si>
    <t>b2bcc44cd738d425393e6268c29f096d</t>
  </si>
  <si>
    <t>8eb3ea8875ea46e1d2631a59a278e059</t>
  </si>
  <si>
    <t>19cfcf45fc399af9d3e9d1d98638997b</t>
  </si>
  <si>
    <t>7ddca388c2366f7f22d6908a12601a6b</t>
  </si>
  <si>
    <t>d48ccff01a1b3e35b69d6b6ed81a352a</t>
  </si>
  <si>
    <t>5fac67d3be074030a8dba9d398fa14ef</t>
  </si>
  <si>
    <t>bda4a979b6d9a0a3993ea2ef51a41497</t>
  </si>
  <si>
    <t>f6a62f93fc38410844863ed6a061f425</t>
  </si>
  <si>
    <t>1d25367a9fef6c8938bc5e747e3a73b9</t>
  </si>
  <si>
    <t>2017-12-19</t>
  </si>
  <si>
    <t>6b901164a6a34cde6b892a1a3c549294</t>
  </si>
  <si>
    <t>3affb32917f79ab66f26546e066fe5db</t>
  </si>
  <si>
    <t>9274443a23faa8fd9d5805fc0bd68c5e</t>
  </si>
  <si>
    <t>250dcd1c3cc5c78b8c8f1c6da5ee4933</t>
  </si>
  <si>
    <t>dfb753bfb675436ca257d189c5377417</t>
  </si>
  <si>
    <t>3681bab4effe9b62e6ad70e65a7637de</t>
  </si>
  <si>
    <t>2017-12-20</t>
  </si>
  <si>
    <t>a113213b73eab23b8cc9744a43f7f65c</t>
  </si>
  <si>
    <t>2e798d923f1fa1373bef8fb916af50d2</t>
  </si>
  <si>
    <t>3cf7d2f50fc31d36d208c46a30855d22</t>
  </si>
  <si>
    <t>4fd754f42b2d84fcafd63991c1680329</t>
  </si>
  <si>
    <t>74aacfe89f7715e9d6655dd55c86da46</t>
  </si>
  <si>
    <t>505efa2eaeb145cfa984edf0efc092f2</t>
  </si>
  <si>
    <t>2017-12-21</t>
  </si>
  <si>
    <t>5e49f5d6df788d49b16273923cfcf7e2</t>
  </si>
  <si>
    <t>c26761f0a70b2b7e0bb437aef502ffc1</t>
  </si>
  <si>
    <t>0197cb265e2c84b9f89dfd784095d2f6</t>
  </si>
  <si>
    <t>bc53c8f21c0b72e517882835cd767c69</t>
  </si>
  <si>
    <t>fe752108fc4e35deba17eca323635246</t>
  </si>
  <si>
    <t>ef58b71f4ad3a17f606417f1737c9d13</t>
  </si>
  <si>
    <t>1def7af24cb7182497acfd953f6dd88b</t>
  </si>
  <si>
    <t>6806f0c7951cb006052a1c2c8e305057</t>
  </si>
  <si>
    <t>47af229bbf080cd988ee4be19bb5c888</t>
  </si>
  <si>
    <t>8236871cb131f90f8cea6a9f84140b42</t>
  </si>
  <si>
    <t>109e073454b94ec80ff968765bb1bffe</t>
  </si>
  <si>
    <t>b37e66984bc386101154f129feee1830</t>
  </si>
  <si>
    <t>2017-12-22</t>
  </si>
  <si>
    <t>76b8258d41352cf46d8f0a57404d9c03</t>
  </si>
  <si>
    <t>fbfa10bf164dfe834823b4a02cd0ae1c</t>
  </si>
  <si>
    <t>8bde999dc4ad8ff2e39ca01c02a81119</t>
  </si>
  <si>
    <t>3789e9b1be0db55442c1ae8b24ab51ec</t>
  </si>
  <si>
    <t>f11877a328215697cb35c93e04e7780a</t>
  </si>
  <si>
    <t>2017-12-23</t>
  </si>
  <si>
    <t>a2773e1bc198e397853da179908a5724</t>
  </si>
  <si>
    <t>ca2d86fb163d5e6c45cd1eeaf6c76a43</t>
  </si>
  <si>
    <t>e1c236043073a6a483972402917e8cc6</t>
  </si>
  <si>
    <t>2017-12-24</t>
  </si>
  <si>
    <t>5c94707bab626971391f6a6a31ea75d2</t>
  </si>
  <si>
    <t>64f65d9b37717ef40554badd2b22d6f8</t>
  </si>
  <si>
    <t>5357520c35cc3e6341658161b67151b1</t>
  </si>
  <si>
    <t>2017-12-25</t>
  </si>
  <si>
    <t>1b5c359c2188ceeab2777c0d27e7c343</t>
  </si>
  <si>
    <t>87f652e7b494335099f630e05edcf3b9</t>
  </si>
  <si>
    <t>43ac8d91a0749b176f9c311545881aa7</t>
  </si>
  <si>
    <t>9d3ec17c877b8a749b1f9523a47773c8</t>
  </si>
  <si>
    <t>6c673e7f0e59af3f88e62db4bde6b126</t>
  </si>
  <si>
    <t>2017-12-26</t>
  </si>
  <si>
    <t>e2078bdcaaa9e81bb8bab8641489dcd8</t>
  </si>
  <si>
    <t>98515e643e7cc228244834ea1b21a345</t>
  </si>
  <si>
    <t>55cab049972ffdc89fd0f17ab75ee52d</t>
  </si>
  <si>
    <t>aef74ec8efdbc859026336c7110b4886</t>
  </si>
  <si>
    <t>c6ddeb6ecc91ffa34944150d8bfe960a</t>
  </si>
  <si>
    <t>801f0faf13878ee42788d7bd0e4c72fe</t>
  </si>
  <si>
    <t>ef0dcf520a0a4634713a5ef4806433c2</t>
  </si>
  <si>
    <t>2017-12-27</t>
  </si>
  <si>
    <t>58f43661df7f4ebc6182ed467729a405</t>
  </si>
  <si>
    <t>316495342fc714e50303c6cf4feea79f</t>
  </si>
  <si>
    <t>eb6c151662d92e0f9c6b1c3f30122348</t>
  </si>
  <si>
    <t>5dc5e6edeb0fc2cc0b95d21e149d996a</t>
  </si>
  <si>
    <t>7b564c50e97389bff9754fc6f189fef2</t>
  </si>
  <si>
    <t>2017-12-28</t>
  </si>
  <si>
    <t>4677f9438ab0c129fd625699019e160f</t>
  </si>
  <si>
    <t>919a615149354b4e074eff65adaeae81</t>
  </si>
  <si>
    <t>203a651bc28694f332b40c3e61bf8e04</t>
  </si>
  <si>
    <t>ef631f2168b86a6efd53a9fdfb9d4699</t>
  </si>
  <si>
    <t>cdab4d92ae28f85057ae6c55246c8049</t>
  </si>
  <si>
    <t>74dacb2dfb8eb52a7a5130854cb9d58e</t>
  </si>
  <si>
    <t>d742edc736f4fa6a173ee4a049322e45</t>
  </si>
  <si>
    <t>a4ff93cafe11fd211ea627c3cd253480</t>
  </si>
  <si>
    <t>2017-12-29</t>
  </si>
  <si>
    <t>dcc9db54a4861b6fad2db082fbcdbffc</t>
  </si>
  <si>
    <t>47d4cec8efbcb39b6dad3398a957ae67</t>
  </si>
  <si>
    <t>eaa327106ae5437fcdfca397f45beca9</t>
  </si>
  <si>
    <t>18bab9568c4898babcda154767606442</t>
  </si>
  <si>
    <t>2017-12-30</t>
  </si>
  <si>
    <t>4de6d713d9ceeaea4bc2e26389fd8c66</t>
  </si>
  <si>
    <t>c2df028c86d4158c1bae5a4028860656</t>
  </si>
  <si>
    <t>cfc558750a7ad84d94c1348dfd89543c</t>
  </si>
  <si>
    <t>1449e2bfe7a48a4534cd242f0d60e414</t>
  </si>
  <si>
    <t>bf4ad1a5f0eccfffdad0fa4efd493d2a</t>
  </si>
  <si>
    <t>4027aaf151a408af313fee7a5af64c5a</t>
  </si>
  <si>
    <t>2017-12-31</t>
  </si>
  <si>
    <t>db640157e1dcec75f26ab07653111cf2</t>
  </si>
  <si>
    <t>89ed06112208a473f65e0f9f40fc5af5</t>
  </si>
  <si>
    <t>2ae1a1178ebaf2ed27989112cf9f4a2d</t>
  </si>
  <si>
    <t>2018-01-01</t>
  </si>
  <si>
    <t>2018-01</t>
  </si>
  <si>
    <t>7bbf4d89a154102fdd36ae71da6e0326</t>
  </si>
  <si>
    <t>1537883594710d72e0f3e96f796fcd27</t>
  </si>
  <si>
    <t>559115c14f48d999adcc027b4a702c8b</t>
  </si>
  <si>
    <t>af74091f111e705ab46de44f0f46aee0</t>
  </si>
  <si>
    <t>7efedf2c0bfaa6cae462a2d447584503</t>
  </si>
  <si>
    <t>2018-01-02</t>
  </si>
  <si>
    <t>dd3d73f70b77e2a07f64360620621ca4</t>
  </si>
  <si>
    <t>bf0f1a792476855668552e27ec7d263f</t>
  </si>
  <si>
    <t>a34caabc66a97d7d5228c0c98789ea62</t>
  </si>
  <si>
    <t>25f1a44846759c52334309da493877c6</t>
  </si>
  <si>
    <t>0378193927bcea58a229c432fa102ba9</t>
  </si>
  <si>
    <t>b29d96922098efb8c23532318576dffc</t>
  </si>
  <si>
    <t>173cd9df6006351e8e5151ea0f400bd3</t>
  </si>
  <si>
    <t>3829f15c6412e72045f01b63e798d413</t>
  </si>
  <si>
    <t>23e9d59ee7ad86ca85f8fc571420345e</t>
  </si>
  <si>
    <t>4b16b807a377f833778fc8b96f6d9ac4</t>
  </si>
  <si>
    <t>19c2ba00be4e129ae7890ad07836befb</t>
  </si>
  <si>
    <t>09914aa3bf0c742de9a4819692ec756b</t>
  </si>
  <si>
    <t>2018-01-03</t>
  </si>
  <si>
    <t>d2cb7c100806e87a227d413e9157cb76</t>
  </si>
  <si>
    <t>fashion_sport</t>
  </si>
  <si>
    <t>7c65caaf993acf13ce6a8c0aba410801</t>
  </si>
  <si>
    <t>67648ec95026605e68918a83edf5f13a</t>
  </si>
  <si>
    <t>37e1d9b8fc877b2c60bf51d2c4d8dbc6</t>
  </si>
  <si>
    <t>d16d1d91feaf7e5d293ea1ebb0a60b7f</t>
  </si>
  <si>
    <t>e98fdad1f9ba500a9aecfaa90e1662cd</t>
  </si>
  <si>
    <t>bf7c6e08d475b7f505065edf5357ba16</t>
  </si>
  <si>
    <t>9d80c772b0c65884e80514abb626b94d</t>
  </si>
  <si>
    <t>e83d7904c216c3a03eb6c215d82b7fec</t>
  </si>
  <si>
    <t>ca801e184e659bcf7b7e4f4995d30ba8</t>
  </si>
  <si>
    <t>652436e8f3a1ba0f1eb9798fedb75426</t>
  </si>
  <si>
    <t>17b18aa0bfdcebddefdf2d7da5718181</t>
  </si>
  <si>
    <t>b00122d54463704c33f4768470c6db03</t>
  </si>
  <si>
    <t>638ef1788b79081e63829d44a8f15e0c</t>
  </si>
  <si>
    <t>5f38b72f814e9f46ed3792fed53fa221</t>
  </si>
  <si>
    <t>2018-01-04</t>
  </si>
  <si>
    <t>3da7a532b6ae989967fda8b6e790f2da</t>
  </si>
  <si>
    <t>489d362ded79f4394b61b6e58453ab18</t>
  </si>
  <si>
    <t>2939b6d48c2488e276205bc547c56aac</t>
  </si>
  <si>
    <t>e809c167a9cfd31aee1293abe8995065</t>
  </si>
  <si>
    <t>ff08fd76861967a9d7cf3b5443efb8d7</t>
  </si>
  <si>
    <t>e58ed0440e44bc5b5e5cba33106e3f66</t>
  </si>
  <si>
    <t>aec77276e0dacfea29f58e0908b46e21</t>
  </si>
  <si>
    <t>b0ba58e96fcf1892b604e398e472af5e</t>
  </si>
  <si>
    <t>55898410e4c5e6aff68607cf55c05847</t>
  </si>
  <si>
    <t>672bf50de46d0642f77ef0d01a96bf06</t>
  </si>
  <si>
    <t>dbfa3d8c05cc5d84083fc259a9feb5bc</t>
  </si>
  <si>
    <t>9abcbe39820292dab15332cef33e7a3c</t>
  </si>
  <si>
    <t>c9b8a39ed5297ea28a01944f413d6636</t>
  </si>
  <si>
    <t>2018-01-05</t>
  </si>
  <si>
    <t>5eca24d683e367960eb71efa3fbad661</t>
  </si>
  <si>
    <t>6f0c925fc5d548afcddeea046d4e30d1</t>
  </si>
  <si>
    <t>ad926ae0ce086bc0ae23f92128253ede</t>
  </si>
  <si>
    <t>6e6fe7a46410884d0ad0f30ac48f7c4b</t>
  </si>
  <si>
    <t>e713fb4142ff3dd5799a73faf546c9cb</t>
  </si>
  <si>
    <t>43150008aa4569cfef4be756bd7dbdd3</t>
  </si>
  <si>
    <t>47c93dc8a83b7fcf68ce05de387fa24a</t>
  </si>
  <si>
    <t>6c8fdc6f1b35e5126442a74c3bcc36d5</t>
  </si>
  <si>
    <t>fed058642b519335c834d73b851e20d0</t>
  </si>
  <si>
    <t>225d8e0b99ff5a086559a0ec1b21f7c5</t>
  </si>
  <si>
    <t>2018-01-06</t>
  </si>
  <si>
    <t>bbe32ce108f0fa16e209fbaee6005f2b</t>
  </si>
  <si>
    <t>47d5c4cb8aba6b76371169d9c9f8089b</t>
  </si>
  <si>
    <t>37fc96845277017406e269d41347fb37</t>
  </si>
  <si>
    <t>7538c7b3219a1c960b4a0561e2099cae</t>
  </si>
  <si>
    <t>f7bb1808de8fcbb7b751fd8f7687f14d</t>
  </si>
  <si>
    <t>1b0b1c71db83d610e4cb483d0481a6eb</t>
  </si>
  <si>
    <t>6df2cfb6624c3e0b13775087f1cda182</t>
  </si>
  <si>
    <t>43439c4b45b39d5a7d27a31d6cebe43c</t>
  </si>
  <si>
    <t>19f60164db6130153f77c00960387648</t>
  </si>
  <si>
    <t>af18dcad5c76de4eec9a63dfc1672296</t>
  </si>
  <si>
    <t>2018-01-07</t>
  </si>
  <si>
    <t>41ed8506413669db4dc723ccad490421</t>
  </si>
  <si>
    <t>f1f595bed1ee64a492e47dfdd7306983</t>
  </si>
  <si>
    <t>110002a2f7cc77699dcd81a24423cfc1</t>
  </si>
  <si>
    <t>ef690426d84aff4f5560cb63d1092557</t>
  </si>
  <si>
    <t>785c89d4e249aa8f0ec838dded807fd1</t>
  </si>
  <si>
    <t>e94db86cfc0247d6bb6ae5f1307b4805</t>
  </si>
  <si>
    <t>1c0eb7262ceb60db69b3825f1fb1deb8</t>
  </si>
  <si>
    <t>35a6518f311840d6bbc5998c7201db80</t>
  </si>
  <si>
    <t>2018-01-08</t>
  </si>
  <si>
    <t>d28b75209a5e2bb2ef86b7eb3b81dd55</t>
  </si>
  <si>
    <t>d7ac124b50e54544b4cb85315b5f2793</t>
  </si>
  <si>
    <t>4cbc42107122bbbbd5abe620ff9b9115</t>
  </si>
  <si>
    <t>0e62b7f0d74e42edd997cf3dfaac54c2</t>
  </si>
  <si>
    <t>682a34b810b30b9d81683fa8ad2113d5</t>
  </si>
  <si>
    <t>ed09706e867828c762e46ad418d064d7</t>
  </si>
  <si>
    <t>79736d8897b41dc2f3b2096def7a5f7e</t>
  </si>
  <si>
    <t>840d0fe65e307594f2f5fcd49d6898d7</t>
  </si>
  <si>
    <t>193dce17420e5a1662145bdba0605cd6</t>
  </si>
  <si>
    <t>95266dbfb7e20354baba07964dac78d5</t>
  </si>
  <si>
    <t>68b73b2773ff90dc774d217f5a554680</t>
  </si>
  <si>
    <t>5e0f498aef45e2d62d0c983110ef0892</t>
  </si>
  <si>
    <t>2018-01-09</t>
  </si>
  <si>
    <t>2522de34f8d922703d83ac636084a756</t>
  </si>
  <si>
    <t>9bcc43446a687456408f7c92cf486f48</t>
  </si>
  <si>
    <t>2f184c1f767b1dab8ce9aefda0db5b33</t>
  </si>
  <si>
    <t>d70e8cbc1daa0295b64e9d465b8835a5</t>
  </si>
  <si>
    <t>b0b54e4c452d66681d67e588398ecf7c</t>
  </si>
  <si>
    <t>c23b694adb7d7d7438e6d33f3d6c8ce8</t>
  </si>
  <si>
    <t>37ef684ef56e80eac9ebcf864d5989b3</t>
  </si>
  <si>
    <t>38c61d1bbf5143a8c347ebaa490e234b</t>
  </si>
  <si>
    <t>a393492a87f42dc60b9b63b4ec2f6480</t>
  </si>
  <si>
    <t>b740e269153085cde628edc64b3ef029</t>
  </si>
  <si>
    <t>65709b9620e3ef6f575918b8348a8ece</t>
  </si>
  <si>
    <t>0d778ab2a536db4175fd9e51f7022c91</t>
  </si>
  <si>
    <t>41cee5026118f211f95963f5638bcbe2</t>
  </si>
  <si>
    <t>b77ffad8b6c7bb5dedfb6a61f8e7cf57</t>
  </si>
  <si>
    <t>e567001ce77d68566b016e7929c11bfa</t>
  </si>
  <si>
    <t>e6190dea235662449d160357e46eaec8</t>
  </si>
  <si>
    <t>98b71d23b2914a171ca5c5824a1d38b1</t>
  </si>
  <si>
    <t>8b75efcac52e6144df576321437f12eb</t>
  </si>
  <si>
    <t>6cb0e1664e861687126a22bcb14e9def</t>
  </si>
  <si>
    <t>a6d26cc151cf55506e5fa88970b09edf</t>
  </si>
  <si>
    <t>b8fba4dc6ff421731ed01f46c701084a</t>
  </si>
  <si>
    <t>d8c70ddb5b67b5e92df691abb6bafd01</t>
  </si>
  <si>
    <t>c99da7a5a4c3328c4d6494f061c4c3d2</t>
  </si>
  <si>
    <t>eb7ad8aef38707da6cf8a476dd47198e</t>
  </si>
  <si>
    <t>659ce33e2ba9b51a83056aaaf3fc92a1</t>
  </si>
  <si>
    <t>2018-01-10</t>
  </si>
  <si>
    <t>64f8d43fc9ba9110bc3142d2f7a1f40a</t>
  </si>
  <si>
    <t>da48ff98ca6bec2aa39f5cce1db9f04b</t>
  </si>
  <si>
    <t>de859e22b1ba2980cdd352637fb1ab0a</t>
  </si>
  <si>
    <t>219889e4dae6af086c47d02b538f0589</t>
  </si>
  <si>
    <t>4d9974c8797599512e8216eeb315817d</t>
  </si>
  <si>
    <t>1461dd5a43608d03158f13131d6fa3a8</t>
  </si>
  <si>
    <t>1446390485bfa8ea593dbd273d725218</t>
  </si>
  <si>
    <t>46e5628ac4a223fe4ecb24dab9d6b26a</t>
  </si>
  <si>
    <t>ed9e4b8509d37b7dd87c23fb4cc69452</t>
  </si>
  <si>
    <t>55e437ea6e09474dfdddee9b983aa798</t>
  </si>
  <si>
    <t>dc6d833bfea9fd5fbb4336fbc918b39b</t>
  </si>
  <si>
    <t>d93a43bb061ed0512c59729ff759da67</t>
  </si>
  <si>
    <t>af70a5f50d99c3d85f9cc17bf5a854f3</t>
  </si>
  <si>
    <t>b9f31e3a32f182587fd629c681118d79</t>
  </si>
  <si>
    <t>2018-01-11</t>
  </si>
  <si>
    <t>1e7daa50f3b5b4b0325e1467947249f1</t>
  </si>
  <si>
    <t>0653cf037de0812e8ba775b4a0ea9c2f</t>
  </si>
  <si>
    <t>9be2582f6092606b2b3e9607581df63e</t>
  </si>
  <si>
    <t>e1dbf5fa2a0830e4f3464b2d7aeb1ed5</t>
  </si>
  <si>
    <t>e34289f949f822de6f3a2f6a8402e5cb</t>
  </si>
  <si>
    <t>3f72ea1795b17aa187fb729bd33b4f6f</t>
  </si>
  <si>
    <t>38936627aa1233ea6b3f8046c93cd207</t>
  </si>
  <si>
    <t>3f220b15c7ba9352cf87f6c869c55314</t>
  </si>
  <si>
    <t>6f433e1b5764eb255869aedbee1b9d72</t>
  </si>
  <si>
    <t>60f2ddc8d4430b5d01a1b3aa873d2d03</t>
  </si>
  <si>
    <t>3a213fcdfe7d98be74ea0dc05a8b31ae</t>
  </si>
  <si>
    <t>5c3353d0e879379685e40fcfee970725</t>
  </si>
  <si>
    <t>79552be7b4863907fb19aa3c8bba9692</t>
  </si>
  <si>
    <t>furniture_mattress_and_upholstery</t>
  </si>
  <si>
    <t>82d3f649aa623394cf7ad9432dd748d4</t>
  </si>
  <si>
    <t>c7334d7e05d30a59be01b74a71a53b9a</t>
  </si>
  <si>
    <t>ee853ac1586ba81c396f4612daa1553f</t>
  </si>
  <si>
    <t>2018-01-12</t>
  </si>
  <si>
    <t>4f709a231b1d99a9e12f4f86f458dbcb</t>
  </si>
  <si>
    <t>5982f7ae2a7fe7f609c44a33a9780ffd</t>
  </si>
  <si>
    <t>2b857e133a619f873130ee050ffa17a1</t>
  </si>
  <si>
    <t>6d0ee01ab8a73e07883af627b8cbdff5</t>
  </si>
  <si>
    <t>4ba61a173049b183dab04f266855be13</t>
  </si>
  <si>
    <t>99439b0756d8f30273d1a49e1ad02baa</t>
  </si>
  <si>
    <t>2f93e05c16a3539594b2bd00bf46027b</t>
  </si>
  <si>
    <t>3fa59277573f0fe06ece044ebec2eb02</t>
  </si>
  <si>
    <t>045fdf416ed4db7ae710009397448586</t>
  </si>
  <si>
    <t>491f5fabbd1c4d86ab4ae7a2024d7368</t>
  </si>
  <si>
    <t>084e6aea84bfcc0627bf4da8d657938e</t>
  </si>
  <si>
    <t>f1084769a9d3a8c88ae9aa1ceb9c63f6</t>
  </si>
  <si>
    <t>a9539f1fbe0e0a9eed2c492f6ac40852</t>
  </si>
  <si>
    <t>045d5f2b9ec233c262c0ba79867e37fb</t>
  </si>
  <si>
    <t>2018-01-13</t>
  </si>
  <si>
    <t>f8813be969dfa2d97ee44b025c9bcaf3</t>
  </si>
  <si>
    <t>72a794bae5b6c1f19b1f2fee83e94e85</t>
  </si>
  <si>
    <t>12958a97a4e26a4e7dd8bce7de8955b9</t>
  </si>
  <si>
    <t>8c49b48367363f2894bccea3248be15d</t>
  </si>
  <si>
    <t>361454f6abef97fcf00c67ec27a32e6f</t>
  </si>
  <si>
    <t>2a301a7ce18d62a743d2cdf9555c15c9</t>
  </si>
  <si>
    <t>49afe75c3c09b9e94e1456ffa5e67ff4</t>
  </si>
  <si>
    <t>ecbfdf489fbd7cfdb3598186d8891670</t>
  </si>
  <si>
    <t>79186d3a09b1799222f2860be082e832</t>
  </si>
  <si>
    <t>028aa7c930356788f861ed1b7f984819</t>
  </si>
  <si>
    <t>18b0e5ee71617b58ca825b6ea8d94255</t>
  </si>
  <si>
    <t>4bd03dd6a8e45ca2f88013cf71bd22f8</t>
  </si>
  <si>
    <t>3e94e8193697342790ce0f1f8876fdc7</t>
  </si>
  <si>
    <t>103e18e9325ee41d8cfa4902f8abc16f</t>
  </si>
  <si>
    <t>2018-01-14</t>
  </si>
  <si>
    <t>c5169d427c5a1a403a3eab0ca8d375fe</t>
  </si>
  <si>
    <t>d8616719eeea1779ffc680fea646f9a3</t>
  </si>
  <si>
    <t>cc1b834e8d019a8c71e3c3b1a23edc61</t>
  </si>
  <si>
    <t>34e6d418f368f8079ae152bc178bc66a</t>
  </si>
  <si>
    <t>e3e2ca5afeb7f8dc5e95b1633d8cd6b1</t>
  </si>
  <si>
    <t>c1218efc92c0cfa49a96b164b6bc49c7</t>
  </si>
  <si>
    <t>d6af9770d6d713b4c3a4cd6267e9d2ea</t>
  </si>
  <si>
    <t>c7bd1a3c1d8c727292184ef4f919c9ca</t>
  </si>
  <si>
    <t>d1588d441c1e70c5a7997c91a6e1ca37</t>
  </si>
  <si>
    <t>deb65bf7b9297aaa6cb47853deed4e0b</t>
  </si>
  <si>
    <t>883fdce7fa0a4c3f8cbee2c10f7cfc08</t>
  </si>
  <si>
    <t>2018-01-15</t>
  </si>
  <si>
    <t>138154e59536bfac1cccbc4198385c08</t>
  </si>
  <si>
    <t>b17efd627b5a3689ab418e47f824cc3f</t>
  </si>
  <si>
    <t>6beca98b92f3be5d6cd909faa28b0d98</t>
  </si>
  <si>
    <t>bd6dce6c4936210f8fd197e2ba523fae</t>
  </si>
  <si>
    <t>1894d82dee0829455132dc62056cd7da</t>
  </si>
  <si>
    <t>bda372c8f4f99cac883f9f8462f5fdfd</t>
  </si>
  <si>
    <t>393f9b061ec569fc6025870b559afdb0</t>
  </si>
  <si>
    <t>16647da0639fd5db20f1e8de9305bc5c</t>
  </si>
  <si>
    <t>524373cdfe081410364850a83583b23f</t>
  </si>
  <si>
    <t>c00ec2c5d2f145b694e4f478c71c5711</t>
  </si>
  <si>
    <t>20f6d173df627e8c6f72650504ddfa7c</t>
  </si>
  <si>
    <t>09e1adca3506ecf15eefdb37196f2515</t>
  </si>
  <si>
    <t>e06a1ec7a71b079fca2cd43d67dbed30</t>
  </si>
  <si>
    <t>c1e057b24816b20c350825a55dcfb11b</t>
  </si>
  <si>
    <t>f9af701b20215d529fbc24a4884ccf73</t>
  </si>
  <si>
    <t>3aea5a83ca5bc41e6ecd21afd19bbd81</t>
  </si>
  <si>
    <t>4c44a8ec249fe349a7e4edb44665bdd4</t>
  </si>
  <si>
    <t>39d83b95ee59584c2232febd3336f1e5</t>
  </si>
  <si>
    <t>33e5224f58fe2ca5d11f07b36f3fb6ec</t>
  </si>
  <si>
    <t>08ccf73c206d15fd2668cdb6f32b5e04</t>
  </si>
  <si>
    <t>96eb3b1e9be34336c89369e6efa182f5</t>
  </si>
  <si>
    <t>2018-01-16</t>
  </si>
  <si>
    <t>f512eafa07f2352dec6a35497bccfc65</t>
  </si>
  <si>
    <t>418018cd21bcca5f7cc37f9f17ac1466</t>
  </si>
  <si>
    <t>2484292effef815afca81d5c348d769b</t>
  </si>
  <si>
    <t>a8e925972920153be4f6c40a5bcd630f</t>
  </si>
  <si>
    <t>0d800c3800fa49e84cbcbd26b1dcd510</t>
  </si>
  <si>
    <t>7a00da9515dc144e302458e696d61943</t>
  </si>
  <si>
    <t>df23ed2daa7af696a5334c284dbc13ba</t>
  </si>
  <si>
    <t>6ed043d494d076830babf38c25630d86</t>
  </si>
  <si>
    <t>570bfe053ed74671bd9bd9505fa1c785</t>
  </si>
  <si>
    <t>7801e6c26c480c6f6d6b878d20000f89</t>
  </si>
  <si>
    <t>f1462fd2d8a35339426c88472ba32354</t>
  </si>
  <si>
    <t>e550243ca45f5dc1f8c1ee12ff4a267a</t>
  </si>
  <si>
    <t>a96a09a27673f20f77e888e9cb0b864b</t>
  </si>
  <si>
    <t>8f649220cbd4ddee3bb61401b5c230a7</t>
  </si>
  <si>
    <t>657d6c967a9b233cc5213fdc0434d8b2</t>
  </si>
  <si>
    <t>827d8ae687faef2e9c2bc79196b26f6e</t>
  </si>
  <si>
    <t>352624ca0ead1f999686becd48b614c8</t>
  </si>
  <si>
    <t>2018-01-17</t>
  </si>
  <si>
    <t>db18d072fff5f67b311bf00d7ebd1d64</t>
  </si>
  <si>
    <t>e138f0eeabd6890e100c82b9f2925272</t>
  </si>
  <si>
    <t>f58228001d45c09c8447ef1f2fa6a2df</t>
  </si>
  <si>
    <t>45942e54bf1edb4b2c481b77f7f8486c</t>
  </si>
  <si>
    <t>ecc7442000366925655497d9dc353f50</t>
  </si>
  <si>
    <t>d28b5d86a3eed220a736db5a42815270</t>
  </si>
  <si>
    <t>b9a9e9876a24264089b78553266b219f</t>
  </si>
  <si>
    <t>ae61611405fa179462dd33ca793d75a3</t>
  </si>
  <si>
    <t>art</t>
  </si>
  <si>
    <t>2edf4dbc4da7d9813d86079ebd0b7e7b</t>
  </si>
  <si>
    <t>218ed7d83ada6c7163efb96ca0cbd210</t>
  </si>
  <si>
    <t>2018-01-18</t>
  </si>
  <si>
    <t>1125c81efc6a16e16349a678434feac0</t>
  </si>
  <si>
    <t>fcabe539367ad08049d814361278560b</t>
  </si>
  <si>
    <t>440fd902b617080eeb9463a65ffae07a</t>
  </si>
  <si>
    <t>09df1b5edd28f22201dd19d1acccd5f3</t>
  </si>
  <si>
    <t>a3a09d0a201027720550355df943b598</t>
  </si>
  <si>
    <t>e03f2a110a3c771d1e0e126f139503d9</t>
  </si>
  <si>
    <t>dcd9b00fff62919c208f9e424f8b2c13</t>
  </si>
  <si>
    <t>d71bc96c14d72c5f5b76bd286d6304f9</t>
  </si>
  <si>
    <t>2018-01-19</t>
  </si>
  <si>
    <t>d7a02af9805cff844c09f3fcf61a73b2</t>
  </si>
  <si>
    <t>dd17bd5a29df3e2c3ce7e66feaa2a323</t>
  </si>
  <si>
    <t>9bc75a6264272c1cb4cffbd286cf39e4</t>
  </si>
  <si>
    <t>35aba7f433d46b2f03caae475720adb0</t>
  </si>
  <si>
    <t>c94380d457c5b733057185e23d14b4ed</t>
  </si>
  <si>
    <t>cecd9c6ae9fe969cdedf8c252eeaac73</t>
  </si>
  <si>
    <t>b8bfa12431142333a0c84802f9529d87</t>
  </si>
  <si>
    <t>491fc1fb624207b2123368e6b0ea4df1</t>
  </si>
  <si>
    <t>b116148f0b8c4d1a5f8aeba7204a50c0</t>
  </si>
  <si>
    <t>f5ef1b1dc8aed14279eeb0f4b745d887</t>
  </si>
  <si>
    <t>61417f74f6caf083ff60fa4dc315f050</t>
  </si>
  <si>
    <t>fec76d3c7d37a989bdd3a22911340c75</t>
  </si>
  <si>
    <t>146479aaf9d2856e1d613691b0d0b049</t>
  </si>
  <si>
    <t>2018-01-20</t>
  </si>
  <si>
    <t>cf41661584eda445aed5c0534bb31275</t>
  </si>
  <si>
    <t>e418e6620e03b70aed56a90a2b92db5d</t>
  </si>
  <si>
    <t>0719c4577b69cf807be736608c144bc8</t>
  </si>
  <si>
    <t>6113788590e7bcc9aa5b824b6ddad202</t>
  </si>
  <si>
    <t>f0e01d6f2b6f8e6d1284230a837c26c1</t>
  </si>
  <si>
    <t>7911b64405b6667c48cb3f1334f85432</t>
  </si>
  <si>
    <t>2018-01-21</t>
  </si>
  <si>
    <t>db3fd10393c002f66ac4556352012620</t>
  </si>
  <si>
    <t>a5376eacc65c47eeceb1e796b6c2600d</t>
  </si>
  <si>
    <t>110e8ac89d295b26aff6fc751c94dbec</t>
  </si>
  <si>
    <t>ed130f481df6a3d6729bee8371261e93</t>
  </si>
  <si>
    <t>99cf9baabb2f8e480c047c45957fd0aa</t>
  </si>
  <si>
    <t>3a594497943c5d46c735d2b2417f43b6</t>
  </si>
  <si>
    <t>da5839ce50528e73a7b48bd91613d715</t>
  </si>
  <si>
    <t>aabd0efcccfbadac5e162e9ba42b1f28</t>
  </si>
  <si>
    <t>3e22c141d2861860889375c6fd7b89b3</t>
  </si>
  <si>
    <t>89b343512f0ecef64745c4e3bf856efc</t>
  </si>
  <si>
    <t>b2c3a55ae550dfe8fea2cdca7df095cf</t>
  </si>
  <si>
    <t>688904e4bf47962bfa787f67c04ec8ce</t>
  </si>
  <si>
    <t>f2fe1323701bf698117de51d28425ee2</t>
  </si>
  <si>
    <t>fc0d78109239dcb41dc110f375f1b397</t>
  </si>
  <si>
    <t>0e43d3e03f2ae293fc9e34a0ef9a24eb</t>
  </si>
  <si>
    <t>357699224271146ddda4a57375993805</t>
  </si>
  <si>
    <t>2018-01-22</t>
  </si>
  <si>
    <t>0b517c01a5b46fd3e16b389ea6f4ad3a</t>
  </si>
  <si>
    <t>83d4cdc8d1407f164545f19c29fda95f</t>
  </si>
  <si>
    <t>60bfb63930f066b16ee32b640d38c501</t>
  </si>
  <si>
    <t>e3457b638ebc9288bdb7aeaf57d6847a</t>
  </si>
  <si>
    <t>938cf86c22cfbcdef5e04f4038fad081</t>
  </si>
  <si>
    <t>ade2cfaa99535244a44133b4116c7f05</t>
  </si>
  <si>
    <t>00b9e0f8f588d0406a3de447eb606970</t>
  </si>
  <si>
    <t>d75cb3755738c4ae466303358f97bc55</t>
  </si>
  <si>
    <t>31d9a6982f9690f7618f0a5d647504b0</t>
  </si>
  <si>
    <t>89dfa3424af84d352b23e927753fcc2a</t>
  </si>
  <si>
    <t>13b405c01103fcb4ab199d6a8f7825ef</t>
  </si>
  <si>
    <t>8fda82d5d041f776798e037d6628bd89</t>
  </si>
  <si>
    <t>551c21a415e6d07ce3dfc85e627f8aaf</t>
  </si>
  <si>
    <t>ddad987b1ab585281640b4b7e7261ede</t>
  </si>
  <si>
    <t>45b0a671da62d1c868294b22b4837dca</t>
  </si>
  <si>
    <t>ea244f8057c5a9f042e1bd9c70a7895d</t>
  </si>
  <si>
    <t>bbd63ef30a5e6276e5353d5736b8bd21</t>
  </si>
  <si>
    <t>00f8fc0cb9d9b7813f1f54fbd75426f1</t>
  </si>
  <si>
    <t>e56d88cbec1f6fa11c71a07941433b0c</t>
  </si>
  <si>
    <t>2018-01-23</t>
  </si>
  <si>
    <t>31026c762ccd760199ad552ea17e0269</t>
  </si>
  <si>
    <t>6551aa5197870cea53e483f92d3a75df</t>
  </si>
  <si>
    <t>aba440032be16b32505c6e14bb755b0c</t>
  </si>
  <si>
    <t>33bfe472174712c99483919c79e837cd</t>
  </si>
  <si>
    <t>69bfec47c3230907ad9552f2f1e0c690</t>
  </si>
  <si>
    <t>98e94d121fb6444de93e426ceeb1e0e0</t>
  </si>
  <si>
    <t>609fffa13438b14471bd24446e84bf3d</t>
  </si>
  <si>
    <t>96c284fea37bf65abad9c4c8847a869c</t>
  </si>
  <si>
    <t>4b3b2a4d7cfb8d3ffdc5d92337550ae9</t>
  </si>
  <si>
    <t>c08d66a6714c940c505deae9b3916bcf</t>
  </si>
  <si>
    <t>34b630a20e82d7e009b8fd8347596cac</t>
  </si>
  <si>
    <t>e457a2de930926d39e56a93d5d53627e</t>
  </si>
  <si>
    <t>cdb1c73916a0078aba40629cf9f26cff</t>
  </si>
  <si>
    <t>5e092cf7a8c77ef8b4592a9c656c498f</t>
  </si>
  <si>
    <t>03d0e68d9f396f3c4e69dbbb0abc3564</t>
  </si>
  <si>
    <t>2018-01-24</t>
  </si>
  <si>
    <t>3a830ecb5338f0ff69822d388b64822e</t>
  </si>
  <si>
    <t>4600963d4b12ee01d7393b723a34516f</t>
  </si>
  <si>
    <t>0762fe35b71987563f8771eb6d14938f</t>
  </si>
  <si>
    <t>b86ec88f5bffbf1f61fb5daed332e355</t>
  </si>
  <si>
    <t>53c13f6010b84ebe8ee418785dd62890</t>
  </si>
  <si>
    <t>3e6bf80e5361b0fd113b9185bf09d8d0</t>
  </si>
  <si>
    <t>8125fe0b0c7e59423a24402d9cb3ad85</t>
  </si>
  <si>
    <t>d8e60d045809e16f66fdc3f775d0e870</t>
  </si>
  <si>
    <t>c9fc6a8e6b1fe646f9358b9ea7b1a446</t>
  </si>
  <si>
    <t>91fbe60f1b4b1e79c0f577bb6ac24502</t>
  </si>
  <si>
    <t>9f0e70e8d046d9e0626bbdaf1aff88c4</t>
  </si>
  <si>
    <t>02e20d5cc0d1df880e43ab3ed50a238b</t>
  </si>
  <si>
    <t>905cf34043925642f36abb99eea3f3d6</t>
  </si>
  <si>
    <t>ba2e16aeb4e0a8e7f3d8eaf0ed7589e2</t>
  </si>
  <si>
    <t>adf281b98295b5c27f37e402ed781595</t>
  </si>
  <si>
    <t>2018-01-25</t>
  </si>
  <si>
    <t>f59f19205098bc544feb263fcdc667d9</t>
  </si>
  <si>
    <t>46b6741ad3894b35c9345747e8a326a3</t>
  </si>
  <si>
    <t>06fef7fd666bfeff415e544f1648a7de</t>
  </si>
  <si>
    <t>8f50817faced9fa9f4c8807f6fc4548a</t>
  </si>
  <si>
    <t>3c79ec251c0c9e0831dcc2cf541c5dda</t>
  </si>
  <si>
    <t>1762d5c6c1f5efce31b1d21339212730</t>
  </si>
  <si>
    <t>cb6257603930f3618def090a02e57d92</t>
  </si>
  <si>
    <t>3a129877493c8189c59c60eb71d97c29</t>
  </si>
  <si>
    <t>4211e9c52967c6118ba50e4efde875a5</t>
  </si>
  <si>
    <t>884e5d3456c8de94634174aa2fa4cb5e</t>
  </si>
  <si>
    <t>2018-01-26</t>
  </si>
  <si>
    <t>dc49dbbb4fdb62c17557f79ebfed0225</t>
  </si>
  <si>
    <t>75d64d83a9bbe69f614a590930b789f0</t>
  </si>
  <si>
    <t>8b4116b3c788f8fc49c7d5089ad2450d</t>
  </si>
  <si>
    <t>e352ff9f2e0ad057b6ce41cc5a662991</t>
  </si>
  <si>
    <t>12ba6eb5ae5bb52161567bf261f9339e</t>
  </si>
  <si>
    <t>3a7f40eab12e1d0bbd77a6cbb0e9f4e0</t>
  </si>
  <si>
    <t>aeae8ce86f335790a6beccae2f8c5092</t>
  </si>
  <si>
    <t>611e352f93ae51674ed15e44ec53f99e</t>
  </si>
  <si>
    <t>2b44f8afc9f2df6a6090d45db68f9162</t>
  </si>
  <si>
    <t>2018-01-27</t>
  </si>
  <si>
    <t>37ce40447807e0d3e58cc474ce549881</t>
  </si>
  <si>
    <t>6afe56a58c8b67e87e2abd3e88c4f41d</t>
  </si>
  <si>
    <t>cb5856e20e27928c1e437683b9c0c9ec</t>
  </si>
  <si>
    <t>88c8805f126160713535daf5badbd485</t>
  </si>
  <si>
    <t>2018-01-28</t>
  </si>
  <si>
    <t>128874d639055ad5609b5269defad1c3</t>
  </si>
  <si>
    <t>cc9c27c90afa88462b4d852d81b367fc</t>
  </si>
  <si>
    <t>2286b145b395497c04386640eb5cb5cb</t>
  </si>
  <si>
    <t>320830bbdec047e0eb59a44965450195</t>
  </si>
  <si>
    <t>293bc7dd9611917b0037860893adb256</t>
  </si>
  <si>
    <t>6362a7fa249232a216ff4ed1cec9f7b3</t>
  </si>
  <si>
    <t>ccdbdaee1f24ce882d752fe79410cfef</t>
  </si>
  <si>
    <t>eadd6e0947c9e1304fecc4a1d4b04da9</t>
  </si>
  <si>
    <t>4930f37130adb20a3c7d0b02b07050ca</t>
  </si>
  <si>
    <t>e3d24d79c3175a6511519e3c4cd64c14</t>
  </si>
  <si>
    <t>2018-01-29</t>
  </si>
  <si>
    <t>8631a3dfd0bd0c5d450e5219edb4e506</t>
  </si>
  <si>
    <t>a7b10e487b0ab6b5e6f059a7fd2e79bc</t>
  </si>
  <si>
    <t>a1d1fd8981cd1da55c3dc58cef2ecd8c</t>
  </si>
  <si>
    <t>893a4c6dd6508b5e0db4f76986f77a3c</t>
  </si>
  <si>
    <t>12231ecac809d329ff8a11fe2264697a</t>
  </si>
  <si>
    <t>6eb2a690131ac9952365adf622793a1e</t>
  </si>
  <si>
    <t>24a36fdfb713ce43bf2b074fdc339995</t>
  </si>
  <si>
    <t>0f7f0f5f679b32fd80e1535ca33a7c30</t>
  </si>
  <si>
    <t>2148d1d6458e2aed4af9ddd978c48ac3</t>
  </si>
  <si>
    <t>fe4275936c291c453f09fad434e6b3d2</t>
  </si>
  <si>
    <t>e0be387e4482cc1e135c5ffe3d896885</t>
  </si>
  <si>
    <t>4575195c5ca6f5a5e4b623b45e865a6e</t>
  </si>
  <si>
    <t>44eebc94f0d68e1da78cc8e088db945a</t>
  </si>
  <si>
    <t>152a293b457051eb0d7673c27bba44c7</t>
  </si>
  <si>
    <t>2018-01-30</t>
  </si>
  <si>
    <t>5990719adf4d9d93dd602a9e14879bc3</t>
  </si>
  <si>
    <t>5f22a7ee1c317c6e6f25ebe122f66bdd</t>
  </si>
  <si>
    <t>27d40c905fcf5d681df561eb736986e2</t>
  </si>
  <si>
    <t>0d88c1807ea23596e9a3222c2aad549d</t>
  </si>
  <si>
    <t>3e23457628bb06cc3328814e58a4f889</t>
  </si>
  <si>
    <t>a8efa4edb9c660aab65cfeb8c5375d81</t>
  </si>
  <si>
    <t>13580847458b662c5919901d5d9eae94</t>
  </si>
  <si>
    <t>18d86dc05e56e4fe15bf2d5570ba8c4c</t>
  </si>
  <si>
    <t>5b9983c12367a47fae641c25ac8877f4</t>
  </si>
  <si>
    <t>6b24fdfdcbca62d19e7fa83f37af2fb7</t>
  </si>
  <si>
    <t>b9e02f2f3a6648709578cdd17f31976d</t>
  </si>
  <si>
    <t>a632507614b292ff5f60b5282ba78df1</t>
  </si>
  <si>
    <t>77a2e7c36ffbd077e377bba2f76eec9f</t>
  </si>
  <si>
    <t>6890a2ccd47e0016c365c4e1a240cbfb</t>
  </si>
  <si>
    <t>2018-01-31</t>
  </si>
  <si>
    <t>414cadf0b930cce31271e8d9d6c1da64</t>
  </si>
  <si>
    <t>aaeb62cc323c2669aa1d7f2b7bf0b02a</t>
  </si>
  <si>
    <t>1e9808b58869f4edf92ce918b62efb74</t>
  </si>
  <si>
    <t>1580aa3360c01bdd268dd1665a8ff929</t>
  </si>
  <si>
    <t>0f6665a373c36216e96163b3162404b0</t>
  </si>
  <si>
    <t>6460cc80249f46f8289b2a8d55d61dbd</t>
  </si>
  <si>
    <t>8ebf7a16041c5ed735384020269ae2b6</t>
  </si>
  <si>
    <t>5236307716393b7114b53ee991f36956</t>
  </si>
  <si>
    <t>a0ed4ee4837f4807030d5ebbe2ea16e2</t>
  </si>
  <si>
    <t>bc54c3719175670ad9effca0e152ec38</t>
  </si>
  <si>
    <t>0ee315717889c709f2cd864a34eb3ded</t>
  </si>
  <si>
    <t>29210b1d48462ce1f12d87ed7ccd6397</t>
  </si>
  <si>
    <t>9827d07ad9392a9fff10d7b9f6c05f7e</t>
  </si>
  <si>
    <t>72661cd9e4da775b13011b9afff1969e</t>
  </si>
  <si>
    <t>2018-02-01</t>
  </si>
  <si>
    <t>2018-02</t>
  </si>
  <si>
    <t>c40e2f36cb82dc5413567d994a7add93</t>
  </si>
  <si>
    <t>770df021424ca2a0552fb73c4583e2da</t>
  </si>
  <si>
    <t>98200dd99e0bfe78c2d1378ad05fe51c</t>
  </si>
  <si>
    <t>423000c9a3d2d87b594ab701c1c9b944</t>
  </si>
  <si>
    <t>182fb1824c0cd548ce120c6108630e37</t>
  </si>
  <si>
    <t>183ee0e3ebd4c1c995e5f9ac2d950ee8</t>
  </si>
  <si>
    <t>a7d6661622ba254f0be9fa2c51d97253</t>
  </si>
  <si>
    <t>897fd799ba00cbe2a0d8f726dd211231</t>
  </si>
  <si>
    <t>417d2c0b5fb1f2aacd28ed66e8b9c194</t>
  </si>
  <si>
    <t>012248555cb0bf51df99199cef81d562</t>
  </si>
  <si>
    <t>62fffe3cf205e0deb385d92481d3cb40</t>
  </si>
  <si>
    <t>2018-02-02</t>
  </si>
  <si>
    <t>9156ebc5786466511701db24f06c5daf</t>
  </si>
  <si>
    <t>49bd41f48c18196e903f49c327dc57f6</t>
  </si>
  <si>
    <t>98c9c5c7df242bfccd1ad3510eff89f2</t>
  </si>
  <si>
    <t>ba42c755d2fd20af5e6ccc193942e46d</t>
  </si>
  <si>
    <t>8237087537c881d90057c801bfbbeb83</t>
  </si>
  <si>
    <t>b7248875eca77a299fa182dc16258c77</t>
  </si>
  <si>
    <t>6b751a27edaaa33537b2e893d7fd18ce</t>
  </si>
  <si>
    <t>5429402f55e24651d38a030602f4b50c</t>
  </si>
  <si>
    <t>d5bb9d038d2a63cbd482acc8b1e5941f</t>
  </si>
  <si>
    <t>ad1c49d96d60ad32cea5220dbe6aafda</t>
  </si>
  <si>
    <t>ea84037149fffac865af31b750615c96</t>
  </si>
  <si>
    <t>566919db57e507da7ace615456eeba3a</t>
  </si>
  <si>
    <t>e1cf4f3524c63c7e9c134666f89e722d</t>
  </si>
  <si>
    <t>30da20eacd71a5e8cac16c775ef72984</t>
  </si>
  <si>
    <t>7620a7f338b6eb9b633cbf1d73e906f5</t>
  </si>
  <si>
    <t>13990518755c419d33e4fb67c28e843f</t>
  </si>
  <si>
    <t>2018-02-03</t>
  </si>
  <si>
    <t>4ecdf69ae9b28aba772d5f21e8c9b1ff</t>
  </si>
  <si>
    <t>2996e4479715a9de3500ce7837eefde4</t>
  </si>
  <si>
    <t>3f7aea4e3cecef996bd62713fbf8712b</t>
  </si>
  <si>
    <t>837227f97fa1b842e41273e07cf3e350</t>
  </si>
  <si>
    <t>aab3b583efdded9a5a8214c4edfc387b</t>
  </si>
  <si>
    <t>f83cde9bf6f9593a8466b50ffc0507fa</t>
  </si>
  <si>
    <t>4f1482e926881ff58f7384a6e6bd0771</t>
  </si>
  <si>
    <t>bcd05b48176dab8d00672b325de126de</t>
  </si>
  <si>
    <t>3f678ace108ecc7c2ffd70470390817b</t>
  </si>
  <si>
    <t>167d05678f810589a854d30460ae62f0</t>
  </si>
  <si>
    <t>2c0a28ce4971f66f2def8542ef0b6c18</t>
  </si>
  <si>
    <t>e05a09fdfa909b44bbe0d68635a0f585</t>
  </si>
  <si>
    <t>f3cd1b70420f1d1a3cbac5acce1a5b3d</t>
  </si>
  <si>
    <t>0aea5ed8df108f7cb387c099ddec65c2</t>
  </si>
  <si>
    <t>2018-02-04</t>
  </si>
  <si>
    <t>de5c6352db0b15363de90c22e79d322c</t>
  </si>
  <si>
    <t>17158b7ebb079668a6f21a5660ec6e83</t>
  </si>
  <si>
    <t>2f0d70560615459213d3ea85549554a6</t>
  </si>
  <si>
    <t>ce5fa76be23d99133bb5c88b56ee3a79</t>
  </si>
  <si>
    <t>84529952b44a7b19788d9398f07b6eea</t>
  </si>
  <si>
    <t>8ca8fb2c57d4fbfbb9f7a363c95cdad5</t>
  </si>
  <si>
    <t>06efe66e043ee5d43f8d6edcba44d653</t>
  </si>
  <si>
    <t>5dd63219d314ee0914d93920e6f091c3</t>
  </si>
  <si>
    <t>2018-02-05</t>
  </si>
  <si>
    <t>bf5a0b2281067192ee4215a039245d05</t>
  </si>
  <si>
    <t>2208f3a59d7067fe62c900692f5fdcaf</t>
  </si>
  <si>
    <t>1f63547f5743b270843ccf840f00108a</t>
  </si>
  <si>
    <t>51e8b1751420d0520256aee3f5c81b9e</t>
  </si>
  <si>
    <t>46a354ecffd29742e985db9b49cae302</t>
  </si>
  <si>
    <t>7d52cc13ad48508237527a8681689106</t>
  </si>
  <si>
    <t>76d8b3b6bdf825ebc88bd1b2aa81f65c</t>
  </si>
  <si>
    <t>fdd8197e350ed073eeb591a6dc3e74c8</t>
  </si>
  <si>
    <t>0822275bffed889280029c0c32b003e6</t>
  </si>
  <si>
    <t>dc4e9e7d17fec4c4ded41724619a1b10</t>
  </si>
  <si>
    <t>7af48c3262020f1e61fed763bbe80920</t>
  </si>
  <si>
    <t>76b4763b4e176f7859739182dcf5ff2f</t>
  </si>
  <si>
    <t>ba57eec47403f7ec083e0283b0dbf50c</t>
  </si>
  <si>
    <t>2018-02-06</t>
  </si>
  <si>
    <t>55bd4049f3befad7afcead7894b3a0e1</t>
  </si>
  <si>
    <t>ad075cd488e1c655afdbd461e1946cda</t>
  </si>
  <si>
    <t>c7077af9c2e19b516a79690cab23a96d</t>
  </si>
  <si>
    <t>c3789b2ed8f91ea1e56451bc6387454e</t>
  </si>
  <si>
    <t>c6f24de5c976bfafc4a340b805c70fe7</t>
  </si>
  <si>
    <t>807e1137296f0952dc5038aadf9d1f76</t>
  </si>
  <si>
    <t>6ded0b6cf54a34efba0b47373230a63b</t>
  </si>
  <si>
    <t>0f77d110146ab4471e3492fa504f6377</t>
  </si>
  <si>
    <t>ba8a2682e4b170d1b0f4f3507c2dddc5</t>
  </si>
  <si>
    <t>1e76a4cb16c7849cd980f748e3d8dbed</t>
  </si>
  <si>
    <t>fa0609cc7f74568f4f0b2fe9b286e76c</t>
  </si>
  <si>
    <t>11752bcab98894b1c72fac988ed11392</t>
  </si>
  <si>
    <t>76947ee86f94611940effa93c62ccdc0</t>
  </si>
  <si>
    <t>726578ea1b027b33080a7a807e97941a</t>
  </si>
  <si>
    <t>2c0032906c603dcc21cd954828fa77d0</t>
  </si>
  <si>
    <t>c4cf72ea58abebc4b3fa344363bb750a</t>
  </si>
  <si>
    <t>2018-02-07</t>
  </si>
  <si>
    <t>c32cd20b02f7a00f57fc945e5ff41a6f</t>
  </si>
  <si>
    <t>65f881933f86384f769adf62da94be22</t>
  </si>
  <si>
    <t>3dfb50022bb703d781966370133ed7a5</t>
  </si>
  <si>
    <t>4e71292813192531d46de4a94b8ba881</t>
  </si>
  <si>
    <t>c9a973cfedbc212cd02b06b4fd11c3cd</t>
  </si>
  <si>
    <t>fcd173d025d9960fde973eb391a98e0b</t>
  </si>
  <si>
    <t>0758aeea44cefb9c7f59333c7c691714</t>
  </si>
  <si>
    <t>cadea13175cc1434c96265941592ab7b</t>
  </si>
  <si>
    <t>3f9cdc88397ce0308a37483fb2f146c1</t>
  </si>
  <si>
    <t>8cafeef132aa9cfe9a86b1162012e14b</t>
  </si>
  <si>
    <t>ab6c2b531e877fad84a31aa845bc9345</t>
  </si>
  <si>
    <t>8d2a68ca0ac61329c56e0b74695b04b4</t>
  </si>
  <si>
    <t>8f0dcae3e35bc2577f2ee00a4b016029</t>
  </si>
  <si>
    <t>0ce50541293dbe475fde11c04962e953</t>
  </si>
  <si>
    <t>8ef1c4b42bd6dd16b4793c1442342076</t>
  </si>
  <si>
    <t>a79c3cd45ec537f2601568523049fde2</t>
  </si>
  <si>
    <t>2018-02-08</t>
  </si>
  <si>
    <t>b269f9c95ab6ee9fbc0a887627851d9d</t>
  </si>
  <si>
    <t>03eba6d9fef8f5b3e811d4b5a7cca9cd</t>
  </si>
  <si>
    <t>444a494f39275142d9c75bd7307cdde1</t>
  </si>
  <si>
    <t>44d1b486970419d4e0ed66e154ece21f</t>
  </si>
  <si>
    <t>10c3c7fea20a1ed15c6e55e90b3fb084</t>
  </si>
  <si>
    <t>f0a3681de8bc46b204500087357b2a89</t>
  </si>
  <si>
    <t>b438ae3323566a4e25ebef7b8b3e50e4</t>
  </si>
  <si>
    <t>fcaa22948cf53b9b3ff7de0c67b6391c</t>
  </si>
  <si>
    <t>small_appliances_home_oven_and_coffee</t>
  </si>
  <si>
    <t>78d08dbbd210373254dc4730f3aa25a0</t>
  </si>
  <si>
    <t>d2f5633625bc4755a073b638481e8dcf</t>
  </si>
  <si>
    <t>fe52554f43fb82f60254abfca92f8c55</t>
  </si>
  <si>
    <t>dc65d81323bb8febba04644a959a6fc6</t>
  </si>
  <si>
    <t>6d6c3ad8291ffb9fd855faa127500137</t>
  </si>
  <si>
    <t>86ed94eb351cf5bd2ec4389a2ca92680</t>
  </si>
  <si>
    <t>50109a6c720b998320449ebdf2c0798b</t>
  </si>
  <si>
    <t>13755e9cd8234edd7750fb497caf403e</t>
  </si>
  <si>
    <t>2018-02-09</t>
  </si>
  <si>
    <t>c75dfb74f7e634744d13799759233b78</t>
  </si>
  <si>
    <t>2a3e60ce1465b6fd5a3702e28871fd70</t>
  </si>
  <si>
    <t>7578d16f248e3eb69ec30d3fb27a7a38</t>
  </si>
  <si>
    <t>83962168dce2d06a69a7e27082962069</t>
  </si>
  <si>
    <t>11d1d2c41d418db52862561ad533739a</t>
  </si>
  <si>
    <t>9c90fbe071e26ccef32878449010af00</t>
  </si>
  <si>
    <t>d99bb25e168c15db3113f5d5db1ee1b4</t>
  </si>
  <si>
    <t>2c283d6fe3628e20caec652ad3703c7e</t>
  </si>
  <si>
    <t>8efa32589faa9ab3d9fb06ab4f2bceb7</t>
  </si>
  <si>
    <t>4f6d5b0656f4701bba88a3351199cb14</t>
  </si>
  <si>
    <t>87d3fcab78e748d404ae59a9e90e7834</t>
  </si>
  <si>
    <t>1d3a68238096f9cec486437166e57716</t>
  </si>
  <si>
    <t>cb269e12d603437a1a1a1bf4c27c3716</t>
  </si>
  <si>
    <t>30995c2450c43a071181b6f0c3602296</t>
  </si>
  <si>
    <t>2018-02-10</t>
  </si>
  <si>
    <t>87353bde98ae9505ac21bf4bc21b5d74</t>
  </si>
  <si>
    <t>ffae83c600bcc82f84437a9248825b80</t>
  </si>
  <si>
    <t>a731b7db34fa6e6897216789ec1543bd</t>
  </si>
  <si>
    <t>8e6bfb81e283fa7e4f11123a3fb894f1</t>
  </si>
  <si>
    <t>fd814f791bd23e12edad7656f27a8310</t>
  </si>
  <si>
    <t>0fafef9491abc81f2975be1c75036a86</t>
  </si>
  <si>
    <t>7be469d9b115e2a08cf56be2d9250b8c</t>
  </si>
  <si>
    <t>721f02a8125f571ecbe34cb7073ff732</t>
  </si>
  <si>
    <t>ec816a2c8c072f4907171e81a58bed46</t>
  </si>
  <si>
    <t>6c041b8ad01f470b60c65c7d424fa0ae</t>
  </si>
  <si>
    <t>1d84d00f6d2334d63f35ba528cd0d99d</t>
  </si>
  <si>
    <t>eb6fb95e3c0248ad7f1e3b668ac3f8b8</t>
  </si>
  <si>
    <t>2018-02-11</t>
  </si>
  <si>
    <t>4a4c236dd0a477add66133368e7fcde8</t>
  </si>
  <si>
    <t>8531a53599c482d78f5eab067187c7fd</t>
  </si>
  <si>
    <t>09c29dc1d814f755a8183dc859945531</t>
  </si>
  <si>
    <t>9e14ba3a25712a0716d84a955940f200</t>
  </si>
  <si>
    <t>00eef7fe9e315a85d1a61a50cccb2494</t>
  </si>
  <si>
    <t>997cd0cc21c4cc23cf4b07c4f53834db</t>
  </si>
  <si>
    <t>189b3afbf782ff8ab44477e006153155</t>
  </si>
  <si>
    <t>9ac0defdd7d48e7dd9ed02a4e3e8a15f</t>
  </si>
  <si>
    <t>cf89399a034c96945092cc819f31801d</t>
  </si>
  <si>
    <t>eedfdd1e4ef97bae3bc2a49f06e3016b</t>
  </si>
  <si>
    <t>2018-02-12</t>
  </si>
  <si>
    <t>092e3282c11e71ea0c568efc2a92f91a</t>
  </si>
  <si>
    <t>47e488415ce9fda6fee06ab849f35ec0</t>
  </si>
  <si>
    <t>bccf051dcbdb40d7aa00e84a00b169e6</t>
  </si>
  <si>
    <t>ee97923b6c1439e110fab51fb70c78b9</t>
  </si>
  <si>
    <t>9cdbb1c345ba349adba6b394300770d1</t>
  </si>
  <si>
    <t>839cdf42ef00fb4f5d66e449058b4d61</t>
  </si>
  <si>
    <t>e0ef0c2437f6730f46ebb869c34c0656</t>
  </si>
  <si>
    <t>77e4da3755c479aac3d6f7f2a5e94516</t>
  </si>
  <si>
    <t>2018-02-13</t>
  </si>
  <si>
    <t>41c4425628d692f2d1b59c3c6702429e</t>
  </si>
  <si>
    <t>f9987d1807253fd86a6152d06bcc46a3</t>
  </si>
  <si>
    <t>b41f51ebf23530b00f69e5602f81a653</t>
  </si>
  <si>
    <t>40ef39d72e573867de1282d22b03b6be</t>
  </si>
  <si>
    <t>dee78f5da82e27d7d397d61769012fe9</t>
  </si>
  <si>
    <t>74482752946085825e5c3270eec7d3a4</t>
  </si>
  <si>
    <t>b743373d6701f25279252a6f98a14977</t>
  </si>
  <si>
    <t>119db78602ec4f8cdb8aa475c1fbf655</t>
  </si>
  <si>
    <t>b143da68f7399622e44dc8229e039413</t>
  </si>
  <si>
    <t>c0364ee18a0b18e6da5e7754cf4f4e8a</t>
  </si>
  <si>
    <t>00276d5c3491fbf55305e26891040df9</t>
  </si>
  <si>
    <t>f9b9c3c69ef08b6eda32ed086133abb6</t>
  </si>
  <si>
    <t>2018-02-14</t>
  </si>
  <si>
    <t>e358b1e356a4242ef1e60c1a8e8068a8</t>
  </si>
  <si>
    <t>79b7eb93349ff756b079e5cb0195cd1f</t>
  </si>
  <si>
    <t>87500eb4c129524a989447f3fb4d5c8d</t>
  </si>
  <si>
    <t>bf9550703d5af230399ad5d1080d6683</t>
  </si>
  <si>
    <t>79164f97a0f684659f0881551ed73a2e</t>
  </si>
  <si>
    <t>46b6b021ac3c927cdf04d4d7533e8759</t>
  </si>
  <si>
    <t>2792c2657bcaae781c8261d93fda4937</t>
  </si>
  <si>
    <t>746327966e37217c499ecfb3caedf658</t>
  </si>
  <si>
    <t>abe5ab54fe457eecba0ede09db8fa0ef</t>
  </si>
  <si>
    <t>49fa096844c2241fc5db183cc11bd550</t>
  </si>
  <si>
    <t>2018-02-15</t>
  </si>
  <si>
    <t>21fc1ff2a7ed8b2ec6ff62ac18d7a1b7</t>
  </si>
  <si>
    <t>076ae5516316ecf9f17dc3cc78437eac</t>
  </si>
  <si>
    <t>46bdbe48b6f5daa3dcc38e41599d0403</t>
  </si>
  <si>
    <t>b6dd6ea76331ce0249dae4167d1ca9d9</t>
  </si>
  <si>
    <t>424082e645209b3418f1b60266c28976</t>
  </si>
  <si>
    <t>784a19dd0d5ab3f6d2c970c3d5210215</t>
  </si>
  <si>
    <t>845a41eded3c6992c0d8ac505c7475fb</t>
  </si>
  <si>
    <t>02c8875e5351540e76019fb7429e163f</t>
  </si>
  <si>
    <t>63099b1ba1729612750a8903f7be76d5</t>
  </si>
  <si>
    <t>2018-02-16</t>
  </si>
  <si>
    <t>cdeec5de39a62045ad7edd0f00cc8858</t>
  </si>
  <si>
    <t>db7a9e1d2cbac54cc7ead44f1ae8535c</t>
  </si>
  <si>
    <t>ceb9cfd5bb1caf536006196e9469e396</t>
  </si>
  <si>
    <t>0275c0ac1928093069b95bb67cba52d8</t>
  </si>
  <si>
    <t>202e894238874491c6d7ab51da37d94c</t>
  </si>
  <si>
    <t>a2f1b733d3d3cb7185e9661387534161</t>
  </si>
  <si>
    <t>bd8de0e9e67e7b99e86ed5f18b600577</t>
  </si>
  <si>
    <t>d73caf75e86f5410db52767cb6784b5a</t>
  </si>
  <si>
    <t>462f9cc53b515876d85050cb79dabf3c</t>
  </si>
  <si>
    <t>60f57fe756bf90250589634133afea3a</t>
  </si>
  <si>
    <t>9293a0b9f66eb89c45d984173b2f3999</t>
  </si>
  <si>
    <t>2fe3cac4410271c6297a141898af28f0</t>
  </si>
  <si>
    <t>2018-02-17</t>
  </si>
  <si>
    <t>53cc826fc95813b674969ef042406273</t>
  </si>
  <si>
    <t>636cdd02667dc8d76d9296bf20a6890a</t>
  </si>
  <si>
    <t>2af0498329b50fd808f047d738bf0f39</t>
  </si>
  <si>
    <t>a7d6efcf25cbcbce23dbef446eb827d6</t>
  </si>
  <si>
    <t>4f0a2c058df62bfe77f0e0e1e1ca66eb</t>
  </si>
  <si>
    <t>3ff79cc8f927df012dd6b1b823632745</t>
  </si>
  <si>
    <t>fbab2f1499ada7711dc92e28e8e2cee9</t>
  </si>
  <si>
    <t>9b0ea51a8dddc4af77a94448e58d332f</t>
  </si>
  <si>
    <t>bf5a9e57fbe689b1b85de15b792b1d21</t>
  </si>
  <si>
    <t>2018-02-18</t>
  </si>
  <si>
    <t>de667b5fad55b8d18285f1d32a4f5e49</t>
  </si>
  <si>
    <t>9b402354813f3cab904867d9ca2dfc92</t>
  </si>
  <si>
    <t>8d29abe41d9157240194d0210b529771</t>
  </si>
  <si>
    <t>52fbc14060ffe1b2c4ab8657fa248084</t>
  </si>
  <si>
    <t>178e15ed751c7d56dfba347c28d50b06</t>
  </si>
  <si>
    <t>cc03c9ec9bb354486404b1df587bfc8f</t>
  </si>
  <si>
    <t>a5f747164d57e9cdaf58787ec8158e9c</t>
  </si>
  <si>
    <t>0e767a1aa94def2bf5f3520ddb1dbe96</t>
  </si>
  <si>
    <t>2018-02-19</t>
  </si>
  <si>
    <t>a7eddde56d5836e33a95adc2e8586cf6</t>
  </si>
  <si>
    <t>bf5099786cc9dcd17a4961c9406fb3f3</t>
  </si>
  <si>
    <t>9bfcc088220bc74e76f4341292d16d76</t>
  </si>
  <si>
    <t>b12e6c26723c864922c152d097c3e87e</t>
  </si>
  <si>
    <t>9ec74bf72142ae60bcda0241adf1b4d8</t>
  </si>
  <si>
    <t>0055b77cca3186676c147f532dd2547b</t>
  </si>
  <si>
    <t>3b7a0831b87f721284d340cd1b55fb91</t>
  </si>
  <si>
    <t>7ad98754c4b268d09d188885ab8145ef</t>
  </si>
  <si>
    <t>0d2ab5712ce82b9059da04a32ded871c</t>
  </si>
  <si>
    <t>cafe1030b50f6fbe232a1532e95c89a6</t>
  </si>
  <si>
    <t>9c0e8894e1007783cb1b4922e9e46aef</t>
  </si>
  <si>
    <t>2161b956d146a9bfd00fd463b69c6ba1</t>
  </si>
  <si>
    <t>9a768a8d504ada830b38d678f12d972e</t>
  </si>
  <si>
    <t>d1b78e9aa448923bc97828d395174fb6</t>
  </si>
  <si>
    <t>1a69d5fdff0003d4571dffa1a9a10967</t>
  </si>
  <si>
    <t>46a9fa5d713a569777fb30562505588f</t>
  </si>
  <si>
    <t>2018-02-20</t>
  </si>
  <si>
    <t>fddb3d597fc61e3f11ce9e3e8e7a3706</t>
  </si>
  <si>
    <t>adaab7718f21c04f40290e5afb01486b</t>
  </si>
  <si>
    <t>438d21eed7b8ea0654acee9b08bdd5ce</t>
  </si>
  <si>
    <t>b3b79c755af727f1f4f48351296842c6</t>
  </si>
  <si>
    <t>23af56e201b15091e86aebe6bde84b2b</t>
  </si>
  <si>
    <t>03fefb6f166efd081e05a842f7def973</t>
  </si>
  <si>
    <t>1ec979be6088053a577e364179b5526b</t>
  </si>
  <si>
    <t>759daf685e390bf00ca48c53b132205b</t>
  </si>
  <si>
    <t>f24bbebc2c8ba687b65f1be751dd8982</t>
  </si>
  <si>
    <t>372be5fecee4c918be0eb2a2053a3203</t>
  </si>
  <si>
    <t>8d00e06d3fa925f408fd286f9805a765</t>
  </si>
  <si>
    <t>22e899657e64cb7c60e18c2dba129498</t>
  </si>
  <si>
    <t>74fabba2032e7c6ce81eddebe5c4a368</t>
  </si>
  <si>
    <t>costruction_tools_tools</t>
  </si>
  <si>
    <t>9a900606a9398af4cfd33ef935bb00ed</t>
  </si>
  <si>
    <t>fcc5a62afff48fe81c286fba58b2fa08</t>
  </si>
  <si>
    <t>2018-02-21</t>
  </si>
  <si>
    <t>bb8fe9bf968acfff626cedabf06d766d</t>
  </si>
  <si>
    <t>a0fb1c238c7bcff487ee3095d577be86</t>
  </si>
  <si>
    <t>26047a1aef2518e6b2d19aaac4cc1520</t>
  </si>
  <si>
    <t>c0cb4eb4f8b433eb1d73091276e12ebd</t>
  </si>
  <si>
    <t>45d401cfadade31e1b461e030548b712</t>
  </si>
  <si>
    <t>fde8ba9ac93d634f0221d048bae1dcf3</t>
  </si>
  <si>
    <t>8d684f38cd1edd267da04f1d65ec5eff</t>
  </si>
  <si>
    <t>871ea4c791e2d977d094700806eef385</t>
  </si>
  <si>
    <t>dea1e695f08ba5ff543ac1f0132f6db3</t>
  </si>
  <si>
    <t>2b6f54b1e447bf7916396c36596c4e9e</t>
  </si>
  <si>
    <t>635b1de13b56852d3dca9d359b7ed8dd</t>
  </si>
  <si>
    <t>2018-02-22</t>
  </si>
  <si>
    <t>100e8cf23e7518027376ac07ca0ec96b</t>
  </si>
  <si>
    <t>f3e2f155986b15b3fc25a97303ab4440</t>
  </si>
  <si>
    <t>d1292ab43d93a1211d5e3f6589be78af</t>
  </si>
  <si>
    <t>c26c0e4d81f8dabd04bd61f7545ece54</t>
  </si>
  <si>
    <t>97abdc70b137f4f0934fb120debe3b58</t>
  </si>
  <si>
    <t>fa5e15141bbda711d3cf04222db75d2b</t>
  </si>
  <si>
    <t>5168f4f478a3ad3d61e81119fc158910</t>
  </si>
  <si>
    <t>01bc343311e5b8090b64d6ab287a5cf0</t>
  </si>
  <si>
    <t>7bd6f884504774c544ac34655eb8953a</t>
  </si>
  <si>
    <t>1b15974a0141d54e36626dca3fdc731a</t>
  </si>
  <si>
    <t>0ccad283af81aa4910d7cd1e092326d1</t>
  </si>
  <si>
    <t>cfcb538b0e3d703532d8676f72674a66</t>
  </si>
  <si>
    <t>149d32ba42826835e09c375b8a1fa923</t>
  </si>
  <si>
    <t>ded4e6e4d721200bd599d81e5b29901f</t>
  </si>
  <si>
    <t>2018-02-23</t>
  </si>
  <si>
    <t>c206348085f589eaf3bcd60a005bb15c</t>
  </si>
  <si>
    <t>c59585ab4509d02f4685423c12357ed6</t>
  </si>
  <si>
    <t>3a445f42bc5c0d6f94bba006b7de2a85</t>
  </si>
  <si>
    <t>2c326cc8b2ff60f30ceb556f4581d7a4</t>
  </si>
  <si>
    <t>cc178cb47677a3eae9282800d609ffb4</t>
  </si>
  <si>
    <t>ac710ab76d5651200cb6082f2c294d29</t>
  </si>
  <si>
    <t>35774167bb17537229f8ffb6e662981c</t>
  </si>
  <si>
    <t>a9c2ab2568ed61706babd520ef82b9b2</t>
  </si>
  <si>
    <t>2018-02-24</t>
  </si>
  <si>
    <t>f93bcee6c5595d8b07ad4f799fe5b590</t>
  </si>
  <si>
    <t>469693e7d8d566a64be410892965da82</t>
  </si>
  <si>
    <t>0552997d7a7283a7761acc3a5f9bcefd</t>
  </si>
  <si>
    <t>6966b21d5a0ca10f795dc14508c1b7bf</t>
  </si>
  <si>
    <t>6170d8a92e5cd9a59e1f17ffdd5bf6ec</t>
  </si>
  <si>
    <t>1ae207d919424c0be708422e3f833170</t>
  </si>
  <si>
    <t>a18250c6b3610d91743d63ac9c8a1477</t>
  </si>
  <si>
    <t>f4e69e26765d66772006b9885e1dc6f5</t>
  </si>
  <si>
    <t>be7a773222d5a7d8b12e75ed2320037a</t>
  </si>
  <si>
    <t>7cae50310da9b9ad218aa7ca236e41ad</t>
  </si>
  <si>
    <t>db9184ca76c81f6e6f102cda2b30e12f</t>
  </si>
  <si>
    <t>64e3321a3a685e5fc72f768029201519</t>
  </si>
  <si>
    <t>2c9f9957886293ce9bc43dee12fa1adb</t>
  </si>
  <si>
    <t>3d205e6a3bde8bd5a480aba4d26dd315</t>
  </si>
  <si>
    <t>3ee2cb486f75ff2899da20d9bec72017</t>
  </si>
  <si>
    <t>b33f9582323f5ebe1c82f0ab04b03734</t>
  </si>
  <si>
    <t>2018-02-25</t>
  </si>
  <si>
    <t>af392de2586db1645a4044ef1e84c47a</t>
  </si>
  <si>
    <t>de71166519878c2eefa30e4203d31c92</t>
  </si>
  <si>
    <t>08c7b46d1dfd29f3200c439119cfe4ac</t>
  </si>
  <si>
    <t>ef1d282a121e2bee046bbab7f9f88331</t>
  </si>
  <si>
    <t>1acffcfbb35247b9d15611ce0fe50460</t>
  </si>
  <si>
    <t>fa8eced9ca9993bda37ff154b012998c</t>
  </si>
  <si>
    <t>0cadc06392b4f42042d688c35d6a1c16</t>
  </si>
  <si>
    <t>9bbc9e86ec19f512983335c5af110810</t>
  </si>
  <si>
    <t>2018-02-26</t>
  </si>
  <si>
    <t>7ac766e40565c0fcc2a226dfc3f6d89b</t>
  </si>
  <si>
    <t>f55968a2a9ef74f95cf02a0541aecf8c</t>
  </si>
  <si>
    <t>c34f00bf4a9abf925efebbc3b2484c24</t>
  </si>
  <si>
    <t>19c54d85fa291d4193fe838cbde71403</t>
  </si>
  <si>
    <t>fc15e290afaa09174a26e6ee704a9219</t>
  </si>
  <si>
    <t>f3a9c397a2fa5a2366b4b96bc15737f6</t>
  </si>
  <si>
    <t>d3bc8a8aaa147ade29961c9693ff1e94</t>
  </si>
  <si>
    <t>6139a798f92b14ad667f3a8fb8f78c4c</t>
  </si>
  <si>
    <t>dcef4484357754fc205095e165e01504</t>
  </si>
  <si>
    <t>21b395301d11765dc88d8eca4c75d0ff</t>
  </si>
  <si>
    <t>119e67c344bd250bb9d6a6f1028fd678</t>
  </si>
  <si>
    <t>101280a25cfcd2e133000129f24d17d7</t>
  </si>
  <si>
    <t>0db053a048333680c09114ac4f231a79</t>
  </si>
  <si>
    <t>d1f4276166cee5a37d01beb15e2426fc</t>
  </si>
  <si>
    <t>10c84b04dccc6d66380a1e734f6a654e</t>
  </si>
  <si>
    <t>5f37c7c9cfd25572ee87b69b77f27b8c</t>
  </si>
  <si>
    <t>9870255ce4fd27e8b651ee15e606d903</t>
  </si>
  <si>
    <t>961f2f24951560987b91c89816b10cae</t>
  </si>
  <si>
    <t>d04f155dd04722bb1691263ccbe5eec0</t>
  </si>
  <si>
    <t>1439b7c45e6b3497e1d86582382ec326</t>
  </si>
  <si>
    <t>2018-02-27</t>
  </si>
  <si>
    <t>cdd88fe2cf9ac965891c9fc6b17c9c9c</t>
  </si>
  <si>
    <t>a17ad45b2b8e8e73cdcc323bd9b90b49</t>
  </si>
  <si>
    <t>5c07b7c36b41a0b6a841fa9a8bd26ca7</t>
  </si>
  <si>
    <t>c7ffb347c8b6adfd234f93bf03ee2e2f</t>
  </si>
  <si>
    <t>435f2daeb635ed643b734989e51553c6</t>
  </si>
  <si>
    <t>ab05474196376ffce748cccc5d257c1b</t>
  </si>
  <si>
    <t>a3958d69eb857cd9af63d8f40948e64d</t>
  </si>
  <si>
    <t>b7a13b515d99de69fe4db49507b7c1ec</t>
  </si>
  <si>
    <t>0a6c8aa5c12b86c6f96308839eb7417b</t>
  </si>
  <si>
    <t>719b6b76d11e7e6f6e8113bbd4565b84</t>
  </si>
  <si>
    <t>4ec6e451a636b410f15897c0a67582b1</t>
  </si>
  <si>
    <t>de5a2930a7d61f2dbf75078d7bfde0d4</t>
  </si>
  <si>
    <t>3e084693979a8a6e556cf26d97e542fe</t>
  </si>
  <si>
    <t>2018-02-28</t>
  </si>
  <si>
    <t>7f4419f7c94db80e542d82717e3c6528</t>
  </si>
  <si>
    <t>0c3722131f9ebd9c4949a2dd31fb2402</t>
  </si>
  <si>
    <t>04ffe5a8a70cc5dd6a00b68fd6c905e7</t>
  </si>
  <si>
    <t>0930c651c82aaf68df7e69eed1816170</t>
  </si>
  <si>
    <t>b210a0936a3dd8fe4428863f8e352693</t>
  </si>
  <si>
    <t>45946efb64c679365ecd3938a0771220</t>
  </si>
  <si>
    <t>f2fdb2c26514430fe5fc50af581e9d2c</t>
  </si>
  <si>
    <t>bc35b4f344e409ecc7c8d728f065d590</t>
  </si>
  <si>
    <t>d2ce3fa6247aeec43a75906e36600045</t>
  </si>
  <si>
    <t>6f33b28ba717ec41a3d1e1901d492e05</t>
  </si>
  <si>
    <t>48392c118a56906cb754da6de7a6bf38</t>
  </si>
  <si>
    <t>72096fec7f0a5c65db72ae549c086803</t>
  </si>
  <si>
    <t>134adb681cd5dbe4cd4de155abf4b9e8</t>
  </si>
  <si>
    <t>f31b8a3ba0d40cba425c9bd89c69a3e7</t>
  </si>
  <si>
    <t>db21eaa63f7c06553ad9d2d4f25e41d4</t>
  </si>
  <si>
    <t>0cc53a27cb4eec43723454e212e469cc</t>
  </si>
  <si>
    <t>ed10ac24a1a673552fcceb839887e8fd</t>
  </si>
  <si>
    <t>0888cf8a7f975f34f13e851049b35dd6</t>
  </si>
  <si>
    <t>2df86a1fe8ce1dbff076f3eef50a664e</t>
  </si>
  <si>
    <t>d2029f1813972cb83dd49c3c27fcd304</t>
  </si>
  <si>
    <t>d8691426e29a4206ab5076fcdbc1736d</t>
  </si>
  <si>
    <t>2018-03-01</t>
  </si>
  <si>
    <t>2018-03</t>
  </si>
  <si>
    <t>21bdc97768bc2e7a3e428d0ede7deb85</t>
  </si>
  <si>
    <t>37caa1552193248f7147f1298b4cd3c1</t>
  </si>
  <si>
    <t>79f921d80b92e48b9ed5c549c94b745f</t>
  </si>
  <si>
    <t>7d7db898e5eaa10aac6c7fb616d9d7dc</t>
  </si>
  <si>
    <t>f162b72aa92d8ecf9cdb69e84fb2277c</t>
  </si>
  <si>
    <t>3ff5709e1eed2f4bf1cfdccaf65c6337</t>
  </si>
  <si>
    <t>c6ceea8c10c1521a2f993bc956800cf5</t>
  </si>
  <si>
    <t>0b39d78b430d574a6eafefe82c11b4a3</t>
  </si>
  <si>
    <t>410f656a6bd0dbfa2878c0c237eed2f3</t>
  </si>
  <si>
    <t>a5739097eb2ca76c5777ee5c16b5d3c0</t>
  </si>
  <si>
    <t>31ee3947c87114eb0673d72864775bf3</t>
  </si>
  <si>
    <t>cd472c4843f0157551fb2c99b21d3786</t>
  </si>
  <si>
    <t>4c3302743a4cdbc7c65bb027ea156c35</t>
  </si>
  <si>
    <t>e0be013981866fa58c41c93cab57594a</t>
  </si>
  <si>
    <t>c9c090d55d074c5b0d0effca2b928d4c</t>
  </si>
  <si>
    <t>2018-03-02</t>
  </si>
  <si>
    <t>a88ebb416476bb5c50111622847afcf8</t>
  </si>
  <si>
    <t>1bcee4703d916a7dead99492b946773e</t>
  </si>
  <si>
    <t>4325abb4e925f2765e6874e9788392f4</t>
  </si>
  <si>
    <t>89fa4e94189a9acfa88b8d22f4513035</t>
  </si>
  <si>
    <t>f5218a2401f92542f87b1de5bc3f92ff</t>
  </si>
  <si>
    <t>cd664e197521a82f89b34d1af4af7aa0</t>
  </si>
  <si>
    <t>13e5cf1e067d58500141bfb2a638ba6b</t>
  </si>
  <si>
    <t>17b33c457230992a193f0e7179fbf104</t>
  </si>
  <si>
    <t>2018-03-03</t>
  </si>
  <si>
    <t>e2fbbc5e799749941a23275230ee1d8b</t>
  </si>
  <si>
    <t>92332bfe0b5269414ff8497677a10d5f</t>
  </si>
  <si>
    <t>7818864c8604b6c6114235d245908ad6</t>
  </si>
  <si>
    <t>b7d04f39e98c5fc85abf2652d719385c</t>
  </si>
  <si>
    <t>6d56dcd34118baee5c013a25cd6caa97</t>
  </si>
  <si>
    <t>edf98874f1448a7630f57febbfa39852</t>
  </si>
  <si>
    <t>261f486a198b17b0fefad4813130cd99</t>
  </si>
  <si>
    <t>ff358345576214cc9e08488188973c84</t>
  </si>
  <si>
    <t>afa2c425be2efd14c19b4a0aa62f9b59</t>
  </si>
  <si>
    <t>2018-03-04</t>
  </si>
  <si>
    <t>69eb4e39c354fbaad34489675c55608a</t>
  </si>
  <si>
    <t>77e0e2f3250d4f0ce9ec0e9b5c151355</t>
  </si>
  <si>
    <t>8c23f60e51f9e3aec7d9e0c07fa3d8f1</t>
  </si>
  <si>
    <t>caa15e1aa25a513739966e10636def94</t>
  </si>
  <si>
    <t>f3bf8da6fd4b735f85852c38ca15e90e</t>
  </si>
  <si>
    <t>3018245b4917c2d6e6ad5deb7a5cc600</t>
  </si>
  <si>
    <t>bc0e143be142c22547b69235dd63a5ad</t>
  </si>
  <si>
    <t>747af114bbea56ac1e6841d66553b0bc</t>
  </si>
  <si>
    <t>cc8389c87998ef48d592285b08d5106d</t>
  </si>
  <si>
    <t>e1c8b1502b402a1284350d261a89cb9a</t>
  </si>
  <si>
    <t>47ee6fec7ba2a39c23a7c84127e1fac9</t>
  </si>
  <si>
    <t>59bccab4e9193a9229f7d1b73fcb47c3</t>
  </si>
  <si>
    <t>eb16480bd94a5fbe4e96614791306ec6</t>
  </si>
  <si>
    <t>9c8168f2783f0165c272ee971a47e916</t>
  </si>
  <si>
    <t>6dedf40fe422e8f0ae38641d2ed11f22</t>
  </si>
  <si>
    <t>2018-03-05</t>
  </si>
  <si>
    <t>4992400f9fded5aade587f7043a954a0</t>
  </si>
  <si>
    <t>3f72f100dae2b5099ad6e5a486e95ec0</t>
  </si>
  <si>
    <t>c617d0b68da07a11637ca641f467fb9e</t>
  </si>
  <si>
    <t>47d99e35914d6194a685f9903e8ae293</t>
  </si>
  <si>
    <t>1d26b193d715a5362a2ce64676a9e0a0</t>
  </si>
  <si>
    <t>487102a0e698d9e4d4c20a484739489b</t>
  </si>
  <si>
    <t>d6352e09945d985e2d2ef82baed4cec0</t>
  </si>
  <si>
    <t>c3a026aa647c5f58bfd25a10d326ec42</t>
  </si>
  <si>
    <t>8020de83277d40d6ed1bc2f2e0ae8a1e</t>
  </si>
  <si>
    <t>32f7089f715424548bd5307fded896d3</t>
  </si>
  <si>
    <t>85dbef7e8d4c780110b5900a73b43556</t>
  </si>
  <si>
    <t>1dc0b2e5397cff8b103ba38a2a147869</t>
  </si>
  <si>
    <t>0ef8970186aa8eab14d04be4eda9407a</t>
  </si>
  <si>
    <t>1d01166814be7e95f72a3c85357fca45</t>
  </si>
  <si>
    <t>7d021c7feafd7a1903f66a05481eafa8</t>
  </si>
  <si>
    <t>251777a5426d33b7fd9f124cd2d18972</t>
  </si>
  <si>
    <t>2018-03-06</t>
  </si>
  <si>
    <t>fb22db4615517f44f8312846412a25bf</t>
  </si>
  <si>
    <t>78b0551ae57e69c46a4e611580a87758</t>
  </si>
  <si>
    <t>7d11acc91c9f1986270f23fbf9c93e4d</t>
  </si>
  <si>
    <t>e006d85a5a918d5695190c08c923eadb</t>
  </si>
  <si>
    <t>d6e2b70c5dd291b6a91fa86497fd9221</t>
  </si>
  <si>
    <t>e11e49042dd9e24863991a081fd4bf19</t>
  </si>
  <si>
    <t>c5fd1f4a2b25ac86cd7e1312875ff12a</t>
  </si>
  <si>
    <t>a6f21373862ef61c2aba41794c9caf3b</t>
  </si>
  <si>
    <t>a91cd0ab480b37e19e1f6910d623d54c</t>
  </si>
  <si>
    <t>7f94f1618e029449c3041113289cc240</t>
  </si>
  <si>
    <t>febcb6742e4652312e996b6bc7fbcdd8</t>
  </si>
  <si>
    <t>b622754849d8831e9fd50f34f6b9a88b</t>
  </si>
  <si>
    <t>554439efcd602dbfd71bbae1658f4ff0</t>
  </si>
  <si>
    <t>4b47ca7c3201379f99ee4c1f4d0c80b0</t>
  </si>
  <si>
    <t>3a7796fe71a79bf9d4b0f0da69362ce0</t>
  </si>
  <si>
    <t>30a022caf1ba5b86f28124ed216c859f</t>
  </si>
  <si>
    <t>7bab5bb38c4ba852d6ec1fd273fc9446</t>
  </si>
  <si>
    <t>44112fd5bb8ad2e4ce496e28c8c4258e</t>
  </si>
  <si>
    <t>6785389081b96dc1acd26dc72ad54080</t>
  </si>
  <si>
    <t>2018-03-07</t>
  </si>
  <si>
    <t>4de19bb1b286e84a06c1d2eb2954b222</t>
  </si>
  <si>
    <t>0656252be8b31ab4b264a730f9e600cb</t>
  </si>
  <si>
    <t>cb83b3b35a2362f3a560b69d959b6732</t>
  </si>
  <si>
    <t>5046ecbc1ce636485cc146ddd706a55b</t>
  </si>
  <si>
    <t>ddb9e8975cd9123fd5336811c747faa2</t>
  </si>
  <si>
    <t>24dcf58639c7253fdb1a060a4f875558</t>
  </si>
  <si>
    <t>d7299ed1ce267fef299fca83511a0e17</t>
  </si>
  <si>
    <t>af1eb996572603fd366f5a1a862e0540</t>
  </si>
  <si>
    <t>de745e34eb24d2c0c2b46c6e86659127</t>
  </si>
  <si>
    <t>8c404744f757953fce7d97630970d045</t>
  </si>
  <si>
    <t>a70b9ff516da648dcee359a50611fe6d</t>
  </si>
  <si>
    <t>c462577fbdd44f40d9ded05b2ebd6096</t>
  </si>
  <si>
    <t>507884ae55f4e205891f59bf60e22b71</t>
  </si>
  <si>
    <t>a46673a644bf3ee145a6afe288ed3e92</t>
  </si>
  <si>
    <t>32fef9bb0f0402350b640eb6f13dbe09</t>
  </si>
  <si>
    <t>71189364ca3c13bb110177b4d8e949df</t>
  </si>
  <si>
    <t>9099e5808d892fd34523293254ddb621</t>
  </si>
  <si>
    <t>2018-03-08</t>
  </si>
  <si>
    <t>d828baeaa3a4bf3f9f4e239432e1987b</t>
  </si>
  <si>
    <t>a4d9bb727014ddee359b4bdd5c9791e7</t>
  </si>
  <si>
    <t>582037320d4b45790340d0ceedac58a3</t>
  </si>
  <si>
    <t>66dea50a8b16d9b4dee7af250b4be1a5</t>
  </si>
  <si>
    <t>43aeddd1834ad7f991a3653e797d7132</t>
  </si>
  <si>
    <t>be39a554924306abfee91a4f38ac55bb</t>
  </si>
  <si>
    <t>f5e9edb4041a4f6ddaac3851ae7992ee</t>
  </si>
  <si>
    <t>2018-03-09</t>
  </si>
  <si>
    <t>a859c431ae458dee74fe2e549bd8e287</t>
  </si>
  <si>
    <t>3e87545e66b02b3858e6e252413b1b8f</t>
  </si>
  <si>
    <t>061e6ce7ec63fcace40d4ae11584763c</t>
  </si>
  <si>
    <t>93a5d882408bb90dde6eaf5159ac5adb</t>
  </si>
  <si>
    <t>ca7176941d0e15c620cebcdcf36af650</t>
  </si>
  <si>
    <t>0fcf164859b203af4b0811ccf70d1454</t>
  </si>
  <si>
    <t>0af905b4a536b95528b4eb5dd2c192da</t>
  </si>
  <si>
    <t>dd70a35befb65bab7a91010576b94951</t>
  </si>
  <si>
    <t>7a5d02d36c3933952297e3c01daa2e20</t>
  </si>
  <si>
    <t>7533fbd27a9bfcacc9cb7d7e1b95c30b</t>
  </si>
  <si>
    <t>bfd2ea548fb820f759a902c9b04415e3</t>
  </si>
  <si>
    <t>19482dab7e55b687df4b2aec7bf23f55</t>
  </si>
  <si>
    <t>2018-03-10</t>
  </si>
  <si>
    <t>f28cf65c040ec0031234f04085debe30</t>
  </si>
  <si>
    <t>b3e86749e6dd7b4df4f345abbd329912</t>
  </si>
  <si>
    <t>3b3b650dac6b46fefb61189bb2e3c4e1</t>
  </si>
  <si>
    <t>c9e3ce22e44e7fcdb3bbd8acff17c3a6</t>
  </si>
  <si>
    <t>81b6015857004cedcfbc04ae95d7bfe5</t>
  </si>
  <si>
    <t>324bba1a05579faca9bea05049eda757</t>
  </si>
  <si>
    <t>de1f63780a06d4800d094e9875c89ac5</t>
  </si>
  <si>
    <t>c5b29432f1377aa97a3b0cbf9f62f960</t>
  </si>
  <si>
    <t>f1462e755e6dad34d26392c0715bfdab</t>
  </si>
  <si>
    <t>888dc2fb617ecbaa3f82d5ba4294a0d6</t>
  </si>
  <si>
    <t>2018-03-11</t>
  </si>
  <si>
    <t>33caef2ad890ad9d024fb272d1b14bc5</t>
  </si>
  <si>
    <t>9c89421a3099d6b66cb2df1d2f1d3dab</t>
  </si>
  <si>
    <t>e6f96e33b5d31862c79ab7b0eea58d25</t>
  </si>
  <si>
    <t>0f9cc7808799d149c260814488be8e26</t>
  </si>
  <si>
    <t>8acf6bb5ec0d534f95eb4048e9270f6e</t>
  </si>
  <si>
    <t>26844c5a3b10d4ae5366ac6bfc55680a</t>
  </si>
  <si>
    <t>21f596bcb5e3700e518ed8ac55bb2766</t>
  </si>
  <si>
    <t>973ca2839f11804b5118ce7368f188a3</t>
  </si>
  <si>
    <t>8ef3801f58da6b652a3082e1fa5b6589</t>
  </si>
  <si>
    <t>b456629690b371c6797ae5ff45d343b6</t>
  </si>
  <si>
    <t>2018-03-12</t>
  </si>
  <si>
    <t>b001d1893d61b0d3b035e0a05253eb43</t>
  </si>
  <si>
    <t>45e5d1e609ed1cbc67ab89e5f817849c</t>
  </si>
  <si>
    <t>a92c33e0fb8e030045104ef9853b1d7c</t>
  </si>
  <si>
    <t>b97ba48cd74f9ae244f54338636046b3</t>
  </si>
  <si>
    <t>329e18d5b045ab9481f0cfda10bece3a</t>
  </si>
  <si>
    <t>773f515d33d86f596ef646f6864670c0</t>
  </si>
  <si>
    <t>b85cdbd154ac1e60a0e2228705294c54</t>
  </si>
  <si>
    <t>e0a50ed7a5ce30e34da29ca222748a5c</t>
  </si>
  <si>
    <t>32c49c2531dd2c94af0c74906c13abcd</t>
  </si>
  <si>
    <t>660cb47a0b4b671c86901a47f7dbc91c</t>
  </si>
  <si>
    <t>3cb3f6f3260322db164ba9b44b6a07af</t>
  </si>
  <si>
    <t>3e1a73eb054c586cb259149ffdfd13ba</t>
  </si>
  <si>
    <t>f0fd20d755f9483ae15892625f3e603d</t>
  </si>
  <si>
    <t>bdeeea2fc303da3546a2ed06740d57f9</t>
  </si>
  <si>
    <t>2018-03-13</t>
  </si>
  <si>
    <t>630d50b3a0f69b6ee270ae91d0594969</t>
  </si>
  <si>
    <t>515c252d5e8d998ccbabee187e40d8ce</t>
  </si>
  <si>
    <t>0fa1fab1d7c1211c824596ed5e111e3c</t>
  </si>
  <si>
    <t>3786374eb6f56d00e96bf7511002cd00</t>
  </si>
  <si>
    <t>84b9c4e0d6fa518c27bacb0b602b028c</t>
  </si>
  <si>
    <t>e3306fba117e962347dff8dfd6887ca3</t>
  </si>
  <si>
    <t>4d7d8049db0c317e48f8e971de737dac</t>
  </si>
  <si>
    <t>8796f3e2ab6a3baee74225a78c550c0a</t>
  </si>
  <si>
    <t>0fb3b7bbfc3693b115aa62a83fad2714</t>
  </si>
  <si>
    <t>0ec73995908cf00519d1da725119d114</t>
  </si>
  <si>
    <t>183e1cca7e6e1aa97b65598a1b2fe6ea</t>
  </si>
  <si>
    <t>2018-03-14</t>
  </si>
  <si>
    <t>3181b28c176033ffaf02f2dc62b1db89</t>
  </si>
  <si>
    <t>e0b5327e615585edf5ac1051a466172d</t>
  </si>
  <si>
    <t>a60d97427c94f3cf9e9c338ac3e9aa14</t>
  </si>
  <si>
    <t>ced0e946ad5799158b4bebd93c91a100</t>
  </si>
  <si>
    <t>bdd49e833a618b2e10096e4bd5725977</t>
  </si>
  <si>
    <t>0fee1078d20817986a6a94360d415a37</t>
  </si>
  <si>
    <t>9abd4434524a2140bc9418988f93b4c8</t>
  </si>
  <si>
    <t>8aad27637248090b933a0697be57c443</t>
  </si>
  <si>
    <t>2018-03-15</t>
  </si>
  <si>
    <t>6d20c5b5d74d900b45b27fd6e6e01089</t>
  </si>
  <si>
    <t>00d1289d5125017a90e528b5a7cee91f</t>
  </si>
  <si>
    <t>5b57f1611ce8186213ff0f850df43fc3</t>
  </si>
  <si>
    <t>19d3baace748a12b60b7c0901b11a285</t>
  </si>
  <si>
    <t>5140caed9ffab688aa2e67074d65befd</t>
  </si>
  <si>
    <t>c96bb2323dfac3672b0a52e5add6b1f8</t>
  </si>
  <si>
    <t>5fd0d1844c46d95e756c563bf148d01d</t>
  </si>
  <si>
    <t>b290e4dd94ec1715d29cc7d82dcf4d2f</t>
  </si>
  <si>
    <t>247e66ec0e4b810c6acabe6f698cc62a</t>
  </si>
  <si>
    <t>c1dfbe8a3ce81f3fd38d2d5f50e84be6</t>
  </si>
  <si>
    <t>06ec25371486403c9aa7249f067fc5aa</t>
  </si>
  <si>
    <t>2018-03-16</t>
  </si>
  <si>
    <t>1594af7e73f90ad0bc2e6d7549ac2da5</t>
  </si>
  <si>
    <t>4bbf3cd0e516cad47209a71b4ed02f94</t>
  </si>
  <si>
    <t>d764dbf4808e4b71b8602d2c1655767e</t>
  </si>
  <si>
    <t>53b3fc5e3b224d01407dd5acefd75a53</t>
  </si>
  <si>
    <t>6f88df04acbbbb0f5c98ef28271d27ea</t>
  </si>
  <si>
    <t>ca5b72f1f41040f1639938311a47dafe</t>
  </si>
  <si>
    <t>98c960af25c3341860e320f6780f28ce</t>
  </si>
  <si>
    <t>46b06fc4d4a2d4e9645f19e1a689e543</t>
  </si>
  <si>
    <t>bcc93ae5358fc8dbcbcb60fbcfff8f41</t>
  </si>
  <si>
    <t>094067c0f56b5d0a4dbad0aa60bd26a6</t>
  </si>
  <si>
    <t>e0a98f9b707c33a4c46e02a530c3419b</t>
  </si>
  <si>
    <t>2018-03-17</t>
  </si>
  <si>
    <t>2bc23fea2d23b5e157fea231d05ccc28</t>
  </si>
  <si>
    <t>8339f788dad4ceb81447efc8dc3ee269</t>
  </si>
  <si>
    <t>1c36473b9a0db63449081c0408a96dc8</t>
  </si>
  <si>
    <t>b26eb89dfb4e2d970274ef0c668fd43a</t>
  </si>
  <si>
    <t>81643a310d1fa764a5097fa3545d4a90</t>
  </si>
  <si>
    <t>9de639fbe29fc86910cece0466b7b2d0</t>
  </si>
  <si>
    <t>aafaeffc1b29306122a30a238e6446d8</t>
  </si>
  <si>
    <t>02e7b3980e9984556bb3a764306f3e31</t>
  </si>
  <si>
    <t>2018-03-18</t>
  </si>
  <si>
    <t>fa0d6d911b362948d8f86f9a703c268b</t>
  </si>
  <si>
    <t>ffe5736050c2890fa51a28942820258a</t>
  </si>
  <si>
    <t>aca1243538a8bc195f2f017f8ea2456f</t>
  </si>
  <si>
    <t>5fd71cc4eb69ae6f65ac3acfcbc17ab5</t>
  </si>
  <si>
    <t>signaling_and_security</t>
  </si>
  <si>
    <t>21cd0176d6da15971444fa43f4e02137</t>
  </si>
  <si>
    <t>fad4c51261e06a0f8a2309ee81747628</t>
  </si>
  <si>
    <t>2018-03-19</t>
  </si>
  <si>
    <t>e9a673444938dfb3ee73bc31383f2921</t>
  </si>
  <si>
    <t>7049ca1ff975d9decf0802e3cb983e40</t>
  </si>
  <si>
    <t>7770f0fa803309f7765d9c449f1a7db4</t>
  </si>
  <si>
    <t>bcbc99c5380b420c2e5924342197a166</t>
  </si>
  <si>
    <t>75ce76d60bf52b60e058e5d03571b145</t>
  </si>
  <si>
    <t>26330ea8daec86890eecd63e62f17c01</t>
  </si>
  <si>
    <t>a54407e6b6cce226cc1386982ca8a2b5</t>
  </si>
  <si>
    <t>ad01d61ec53a43d200f359c11347316f</t>
  </si>
  <si>
    <t>01721e0729fcb75ab238248fdbb48eeb</t>
  </si>
  <si>
    <t>8ff625fadffb2448ac1d434dffb4d52c</t>
  </si>
  <si>
    <t>35f069c19a16b1ef6a4c4fda664db415</t>
  </si>
  <si>
    <t>42ac49d6394099d7c2a5d2d7fd813bd8</t>
  </si>
  <si>
    <t>be97eee4de1bfb3280324360aafea3cb</t>
  </si>
  <si>
    <t>6289102facc42d587c415f1ac8df5b2d</t>
  </si>
  <si>
    <t>f67f9e00c6535a03d484ba5bcd5227c9</t>
  </si>
  <si>
    <t>6e0b28c14e19f98166a6c136548dab7b</t>
  </si>
  <si>
    <t>ddb34cd42a4f007c29595d7d57caac94</t>
  </si>
  <si>
    <t>933b44007775d08defe992a330429cbb</t>
  </si>
  <si>
    <t>5ea857730c2e2b2c0eb0cf640d586126</t>
  </si>
  <si>
    <t>2018-03-20</t>
  </si>
  <si>
    <t>8c026d542e6e6803115061acaed02330</t>
  </si>
  <si>
    <t>ca23ddf87cf569c651185e5ad2628e2d</t>
  </si>
  <si>
    <t>537f17846f5373310e18e7bcc734c39d</t>
  </si>
  <si>
    <t>82a6ea37c0c3ed2f6fe3a6029adbc589</t>
  </si>
  <si>
    <t>2fa04cf2e7effc77c6c4355cd4401bcc</t>
  </si>
  <si>
    <t>96ba203b82627b53d6797d030b330274</t>
  </si>
  <si>
    <t>679b2d97d9e7a6d014bb71bc4d7beeae</t>
  </si>
  <si>
    <t>38559c61343c85697de47177896737e6</t>
  </si>
  <si>
    <t>b408f4a2019ebaf05a37c861b4c611bc</t>
  </si>
  <si>
    <t>2018-03-21</t>
  </si>
  <si>
    <t>fa794cef99ed64f42ebb766a8af51c64</t>
  </si>
  <si>
    <t>49a8037eb392560be2070774d0eb046b</t>
  </si>
  <si>
    <t>6b6291ce14ed6c6cd2df883635e6c704</t>
  </si>
  <si>
    <t>339889810ba75dd015439b4ec6c33a5b</t>
  </si>
  <si>
    <t>5e1452bdf1c8fcf2b69f810cf9374a8e</t>
  </si>
  <si>
    <t>c9ebb7aedaf396f225f85df6735dd67e</t>
  </si>
  <si>
    <t>e619222dc1c471bc9cc8375cd448af63</t>
  </si>
  <si>
    <t>9d1a6308e1de0ec94620e9663d33dd7a</t>
  </si>
  <si>
    <t>24d1b74a97e959cf2ed7190dcc02e726</t>
  </si>
  <si>
    <t>f69de9f3c79fe9e8689a3718ea110a12</t>
  </si>
  <si>
    <t>badd0610d349f865d84d27e36b2abde4</t>
  </si>
  <si>
    <t>a38dda1569202dafdff4060bf32c811e</t>
  </si>
  <si>
    <t>18c3c1366ee83a4162a2eefe7bb66f23</t>
  </si>
  <si>
    <t>742aea07dd8f1cc25098f44089301a0c</t>
  </si>
  <si>
    <t>e055ea75678450065cbfb7af8fc4d16e</t>
  </si>
  <si>
    <t>2018-03-22</t>
  </si>
  <si>
    <t>3a17199c5f4688279c69a931b1950c86</t>
  </si>
  <si>
    <t>eb5259e33530b732f251ee44091c75d6</t>
  </si>
  <si>
    <t>8a9ec714d97db36f469d62e3fa8d638f</t>
  </si>
  <si>
    <t>c0b2c20ed167622980ba4586d4f60168</t>
  </si>
  <si>
    <t>9371a323185fe5bc627ed3065bf2fcd8</t>
  </si>
  <si>
    <t>90a9fea4de623b810e0b0c5226e21884</t>
  </si>
  <si>
    <t>35d71bd32993bd9959f7eefe1a5a0f4a</t>
  </si>
  <si>
    <t>2018-03-23</t>
  </si>
  <si>
    <t>420c0f82633702db7d2cbae2ee56f66a</t>
  </si>
  <si>
    <t>0abf7f13c92f93e708a28f32316b13d3</t>
  </si>
  <si>
    <t>ecacbdf9dd9ba3bb85ace7edb81d157c</t>
  </si>
  <si>
    <t>4e01efb248c52ca8e83181032cf0bdab</t>
  </si>
  <si>
    <t>2b52dbab41840708a214e393b22184be</t>
  </si>
  <si>
    <t>4fb940c1dd0d52bdd810288027151f9d</t>
  </si>
  <si>
    <t>568337b4978bd295de7988937a5e2e83</t>
  </si>
  <si>
    <t>d698f250537eaef39df378be5aae95f0</t>
  </si>
  <si>
    <t>2018-03-24</t>
  </si>
  <si>
    <t>3165f39a78f513c0877dc0d1ad69683a</t>
  </si>
  <si>
    <t>e57742f8afd4fa79d5d6b11a85f9c64f</t>
  </si>
  <si>
    <t>596761153565279406f3f9ee6ee947e2</t>
  </si>
  <si>
    <t>6f28feea2823c775f5b8110ccf4fe754</t>
  </si>
  <si>
    <t>28af73d7412f63a3e911be60bf966d70</t>
  </si>
  <si>
    <t>b92777d39afa7f58503ecfdfaf255972</t>
  </si>
  <si>
    <t>2018-03-25</t>
  </si>
  <si>
    <t>53e503de6a65006651097e013bda72e4</t>
  </si>
  <si>
    <t>f26e384b92781c0afd3009e3da835c21</t>
  </si>
  <si>
    <t>088f6cd16a7a4bb22e9ab6dc417739c3</t>
  </si>
  <si>
    <t>4abe4e3e946e22c0f181765f83b2579b</t>
  </si>
  <si>
    <t>949935ca08c693338e2b2624e360ace7</t>
  </si>
  <si>
    <t>c74540b0f084f6eef5649cac6541c6cb</t>
  </si>
  <si>
    <t>cc24df8244d2fa6c7cdf82f11f85b001</t>
  </si>
  <si>
    <t>a599309f5f79fbd2d37ff1451b16d526</t>
  </si>
  <si>
    <t>2d7eb01778411aad90ac1f9b50187b07</t>
  </si>
  <si>
    <t>be74baa40203cbc62e442c4887378cd8</t>
  </si>
  <si>
    <t>d839387d867d8d152843b37c4b8b09e8</t>
  </si>
  <si>
    <t>cc7dfc8992e6aaa96f3248ff602ee264</t>
  </si>
  <si>
    <t>7292d6e02e9cf2ad86b9688e67487750</t>
  </si>
  <si>
    <t>475681bb16b5cd2f9120136f3ea950e3</t>
  </si>
  <si>
    <t>282c9fe1ed7aba574f1c0e75ca7fff30</t>
  </si>
  <si>
    <t>1c39bf040d6c444d6b306bae83f9f49e</t>
  </si>
  <si>
    <t>6e49a3d8325755bd3e9d84d84bd8dbf2</t>
  </si>
  <si>
    <t>06c5e0b010707e400bcc627771a27226</t>
  </si>
  <si>
    <t>2018-03-26</t>
  </si>
  <si>
    <t>460af70fcd26ef464f2c55c1016e087d</t>
  </si>
  <si>
    <t>53fafd0933d69603122f8f804fb76968</t>
  </si>
  <si>
    <t>18914d929964317dc0a002fcbbd70d06</t>
  </si>
  <si>
    <t>0e8b07d6fde25fe5cd3d67ad93943b4e</t>
  </si>
  <si>
    <t>9a623ce03254eb3cf475d659d0719319</t>
  </si>
  <si>
    <t>17b6e0171d3c86549c28e1630bff91c8</t>
  </si>
  <si>
    <t>f223b1d420663a0ee1fe062836f32289</t>
  </si>
  <si>
    <t>f1ff54491e3729e182eb5a21cb6792a7</t>
  </si>
  <si>
    <t>0681ba84087325819dc1f41d4f79701d</t>
  </si>
  <si>
    <t>64d68170391ac401d5ff137d9d7775d0</t>
  </si>
  <si>
    <t>c2732918af31f35e7fcf5d1bfb9b92fa</t>
  </si>
  <si>
    <t>1c300b10263fefc0edc45c99921586a7</t>
  </si>
  <si>
    <t>a8aa4724dee04db3a0440eed8cb33911</t>
  </si>
  <si>
    <t>2018-03-27</t>
  </si>
  <si>
    <t>06d5cbe68295558fd6c48998db3ea397</t>
  </si>
  <si>
    <t>8dc15e4b00578c78f90a16dd481552f7</t>
  </si>
  <si>
    <t>60f9a8bb9a63c3a3a0a57eedd90f1536</t>
  </si>
  <si>
    <t>d0aeffcae647a9361f9d3fc33a2479f8</t>
  </si>
  <si>
    <t>a10b5cf95e016d8abd403c05970234a0</t>
  </si>
  <si>
    <t>4445dce651ca1507b70574af329d7405</t>
  </si>
  <si>
    <t>9a40a61b2f04271f655c7423a3fb82a7</t>
  </si>
  <si>
    <t>1fac502a34e64b8fe035b46bf6162f83</t>
  </si>
  <si>
    <t>0a1adbda846638d279cb086cd1d0cad0</t>
  </si>
  <si>
    <t>1cf390da5ceb2c46855914e5d2520ebc</t>
  </si>
  <si>
    <t>2018-03-28</t>
  </si>
  <si>
    <t>e3198f3829645095f91d9dfc8c70135f</t>
  </si>
  <si>
    <t>e91130c6fc7b9ad7646ba8260477bd66</t>
  </si>
  <si>
    <t>a22760d8e93ddd9acb9c47bc99118853</t>
  </si>
  <si>
    <t>b193426dd45799c2a1cc23c38ed11c5c</t>
  </si>
  <si>
    <t>dafafa54ad54ef9c116bd8c6cca4b7ed</t>
  </si>
  <si>
    <t>8279b5df6e66fb0dfddfc8a4cd10471b</t>
  </si>
  <si>
    <t>0a8d9ed968d08daf5ef8a5cbf0bbe833</t>
  </si>
  <si>
    <t>1904f9d81f67036679dca4b431f11a46</t>
  </si>
  <si>
    <t>5b2bc181b79df76b831c2c73bfa96c08</t>
  </si>
  <si>
    <t>2942d9a01a44f073aeff5f1a68e8761e</t>
  </si>
  <si>
    <t>2018-03-29</t>
  </si>
  <si>
    <t>5487a8ac1699754d975f853ce8bb9321</t>
  </si>
  <si>
    <t>61ec5109f4c9a59f41c57bbd183e9877</t>
  </si>
  <si>
    <t>08e4ca5f437f69407fb01cabd2d7a0b8</t>
  </si>
  <si>
    <t>53286d8c8661db85d83d2ceac0f41c53</t>
  </si>
  <si>
    <t>f18f555bdd4c33bcebaa68a9d6c91980</t>
  </si>
  <si>
    <t>f967a36beb9cc4a1c8899db2d4adfacb</t>
  </si>
  <si>
    <t>ba3cb1f2bc2a8f69d175320c1ce21274</t>
  </si>
  <si>
    <t>34d92634e60b8234ac42750fd4b76fec</t>
  </si>
  <si>
    <t>e880a2a0f19dcb0f2ef51fed71ef34c9</t>
  </si>
  <si>
    <t>bfdda01969e3428f5b74096b3d6081d9</t>
  </si>
  <si>
    <t>1567393726edacf3d6b548daa7a34475</t>
  </si>
  <si>
    <t>830fbd008900114289bd7e278ecc3a61</t>
  </si>
  <si>
    <t>a695521c4f87eeb369e371486b6f7f9e</t>
  </si>
  <si>
    <t>a7440cf5201c30463ff889fd4a6088ff</t>
  </si>
  <si>
    <t>35a43762d907c68ab2a6a697fe52a336</t>
  </si>
  <si>
    <t>0ea1fd1eeeb46df9770ac9d07e1e71e6</t>
  </si>
  <si>
    <t>2018-03-30</t>
  </si>
  <si>
    <t>b51274af163979e4ac06da7fe2826e33</t>
  </si>
  <si>
    <t>7edc2a6bd5f0956a989660138adfba50</t>
  </si>
  <si>
    <t>0c8813b39ba09cc6fadb5ce2c80671fb</t>
  </si>
  <si>
    <t>1c1e0f9cc23b897d0dafed078015e273</t>
  </si>
  <si>
    <t>6f82d9eeede34f94543730ab2db13732</t>
  </si>
  <si>
    <t>a28900d6db45f7fe7433f5fba72c30b8</t>
  </si>
  <si>
    <t>5981f36992c8a99eff941a3d3375b318</t>
  </si>
  <si>
    <t>7fa1bc2ecbe5c7adc22222afa8e30520</t>
  </si>
  <si>
    <t>cac00f6d5c47ea72c4a8f62a307edcda</t>
  </si>
  <si>
    <t>89a4c233afc16481649ea535f2c9eeba</t>
  </si>
  <si>
    <t>9fa2b518229715cade50be6375126ebf</t>
  </si>
  <si>
    <t>b5b51b2363f2372af3e36828b9e25b97</t>
  </si>
  <si>
    <t>0f559863677fb17eed36c4374e198a93</t>
  </si>
  <si>
    <t>2018-03-31</t>
  </si>
  <si>
    <t>38774303eed7ea4f45f31ba37969381d</t>
  </si>
  <si>
    <t>81360270b5d4478eb5fcc0e12f31cee3</t>
  </si>
  <si>
    <t>aa77456ca20becffcb4fa5a88e21129f</t>
  </si>
  <si>
    <t>976dcbc03eb11fbed9a4a2fd6d2bdb22</t>
  </si>
  <si>
    <t>2bc2d6094a9d3a086277687c589123af</t>
  </si>
  <si>
    <t>7bd0fa6cc96710fda7c735ed00b3c018</t>
  </si>
  <si>
    <t>2018-04-01</t>
  </si>
  <si>
    <t>2018-04</t>
  </si>
  <si>
    <t>32c028ae9ea23ed2b32e239ed6b672ee</t>
  </si>
  <si>
    <t>3b81c43a73c516855c1f690e280e3466</t>
  </si>
  <si>
    <t>1fbebbbba3149f89e410951ca531cae2</t>
  </si>
  <si>
    <t>705402bc1d956067338873d414158d09</t>
  </si>
  <si>
    <t>ed7646bd67d7f803bfe1d24cc78cd827</t>
  </si>
  <si>
    <t>54f621bc447961fb6ab19031f7f3051b</t>
  </si>
  <si>
    <t>304979f072f7041aca154907e01172c4</t>
  </si>
  <si>
    <t>a60b6d835751f3580629da8d3b00b761</t>
  </si>
  <si>
    <t>2018-04-02</t>
  </si>
  <si>
    <t>3c0be21119f52aa359b9adc51824ac6d</t>
  </si>
  <si>
    <t>35f1c7a905180687002390a212d166be</t>
  </si>
  <si>
    <t>5b5153bb02f4f2e953e5a87aa1cc8389</t>
  </si>
  <si>
    <t>31f2b7c70b716879e5c4080ef87f20bc</t>
  </si>
  <si>
    <t>1e3afc9cb36a927cb383e0d51cf19342</t>
  </si>
  <si>
    <t>8e3c10b463cb2ffb94546b5e9f05cd05</t>
  </si>
  <si>
    <t>3f1ce5993887adf8fa64399d04ddd7eb</t>
  </si>
  <si>
    <t>1d0288c49db00e00965c4d82d464f61e</t>
  </si>
  <si>
    <t>3ac72d6b4d6ecee25955544a54657e3b</t>
  </si>
  <si>
    <t>d114db1284e403886d42917794dab1aa</t>
  </si>
  <si>
    <t>a8ad6062c04fe8e59731cf03daf951b0</t>
  </si>
  <si>
    <t>4437322bbcfa3948b387f1e5e3801a24</t>
  </si>
  <si>
    <t>7f61f0eeb7f603d49e02f6b2a7b709eb</t>
  </si>
  <si>
    <t>2018-04-03</t>
  </si>
  <si>
    <t>92719f3b4fbd484515110bfc47e8a808</t>
  </si>
  <si>
    <t>794d80f9e8620ca36ebf6adef63cb6ee</t>
  </si>
  <si>
    <t>14d669598f68c894de7412ad5b49d724</t>
  </si>
  <si>
    <t>e4b53293134babaa7d3b418659ead610</t>
  </si>
  <si>
    <t>8bb46e03bff515e6fceb90c2185880a9</t>
  </si>
  <si>
    <t>aa225b52da83ae9c797a46da556fa068</t>
  </si>
  <si>
    <t>8431c1024f6407ab4f4b5f45a60fbb4f</t>
  </si>
  <si>
    <t>146a8097be73570f2318c78e5b16b91b</t>
  </si>
  <si>
    <t>feac81be070a43ec0bd168b52fb03485</t>
  </si>
  <si>
    <t>6c110f11373e534d875da9554b318f26</t>
  </si>
  <si>
    <t>2018-04-04</t>
  </si>
  <si>
    <t>d01dff4d42c2ef5bdcb2085ccf391ed4</t>
  </si>
  <si>
    <t>d2f87ac39d8b31e615528ca52e5c8434</t>
  </si>
  <si>
    <t>385183082e6bcd8f81769fe274d3654a</t>
  </si>
  <si>
    <t>a39f565fb24832fec6f96a476444b02b</t>
  </si>
  <si>
    <t>8d7de30c33f737a080cdd433ec8670e4</t>
  </si>
  <si>
    <t>c1dc9326b9f99f2db29af061a59cbe8d</t>
  </si>
  <si>
    <t>0735a85a187bf67cfe490862c0e72bb0</t>
  </si>
  <si>
    <t>5e1634961496211a38819595cbde5862</t>
  </si>
  <si>
    <t>75f19ffdc366b3e66a822a7fafa0db05</t>
  </si>
  <si>
    <t>36a9a3f459c7b3416f1caddf4d238f03</t>
  </si>
  <si>
    <t>2018-04-05</t>
  </si>
  <si>
    <t>b100b7e34a9b4da2a73dcb55310d2199</t>
  </si>
  <si>
    <t>1cd29ff24c716ad3002179320343005a</t>
  </si>
  <si>
    <t>bd81ae8a9c5a8e0ec03a3415f1540921</t>
  </si>
  <si>
    <t>3372398865ef7f00841c6ddeed00230d</t>
  </si>
  <si>
    <t>09143df8420b4ae4770ea14dc443b487</t>
  </si>
  <si>
    <t>c5af6636b619b643a3d6e954e3a5b5de</t>
  </si>
  <si>
    <t>4aaae2aa1aaf68062749b93fbe24d6cc</t>
  </si>
  <si>
    <t>9988bc711d2d6fead4af40481ff5de63</t>
  </si>
  <si>
    <t>6bea4b3d238b2f7104807ff9f128f7e6</t>
  </si>
  <si>
    <t>70373e9075b8d9c1c57bebf62ba3b59d</t>
  </si>
  <si>
    <t>2018-04-06</t>
  </si>
  <si>
    <t>7d9a11d31b7df7db17e3378158f465d2</t>
  </si>
  <si>
    <t>fd4c1cc6d742f00dee7633f6a72cbe60</t>
  </si>
  <si>
    <t>47f545499e9ca5a70d3ec65e4e70adfd</t>
  </si>
  <si>
    <t>2018-04-07</t>
  </si>
  <si>
    <t>f014aa85d8f495d824d120e9035faacb</t>
  </si>
  <si>
    <t>80a516f4d571d5fce4d688cc931b106f</t>
  </si>
  <si>
    <t>4444ee622d44353604947c0232f3f62d</t>
  </si>
  <si>
    <t>90729c9368dfbc80cac0f98648c70379</t>
  </si>
  <si>
    <t>d889189b765c3c0257ebfbb1ddc34770</t>
  </si>
  <si>
    <t>cb2ed75db8803d99a171c1056638ae9b</t>
  </si>
  <si>
    <t>4ece3211dc7b96c8b646fa8a727039e2</t>
  </si>
  <si>
    <t>ace9787c2536f487f1491bac9707fd67</t>
  </si>
  <si>
    <t>57b490831ac4a17a68d544c740bafe52</t>
  </si>
  <si>
    <t>642999e824c9af8073453b0abf40a075</t>
  </si>
  <si>
    <t>891f571079436f35901706c6abe82ab0</t>
  </si>
  <si>
    <t>68e3cd57e173ebad230c2879e6c78401</t>
  </si>
  <si>
    <t>9c8b7e134959999ac945ed2b29537c8b</t>
  </si>
  <si>
    <t>1874385b2e1267b83f06520d354ae9fd</t>
  </si>
  <si>
    <t>eb1340135e81ffed22e5703c6fbbe879</t>
  </si>
  <si>
    <t>89632ab0ec088829b4e3338a772f80b4</t>
  </si>
  <si>
    <t>2018-04-08</t>
  </si>
  <si>
    <t>3f50858a49c788f7633204f2fd7bf63f</t>
  </si>
  <si>
    <t>1e54c4fe23092d2cd26e7b40e2f7ac9b</t>
  </si>
  <si>
    <t>b4d6bee8b34f0daf1309fc764051cce5</t>
  </si>
  <si>
    <t>b3242decb71b67b79f3b2069effcbaa2</t>
  </si>
  <si>
    <t>7e1fd738713d62b9990ced922d2dff77</t>
  </si>
  <si>
    <t>a3e9c86c68a63188c0f9e47c68d6ceac</t>
  </si>
  <si>
    <t>03d3db2eb72705d4b4dd30987cf610f8</t>
  </si>
  <si>
    <t>2018-04-09</t>
  </si>
  <si>
    <t>4543bf01c903f993fb532fcd4e147267</t>
  </si>
  <si>
    <t>6c028cbba2a22fd7c9430fe9ab249faa</t>
  </si>
  <si>
    <t>9facbaa96abaefc54aba2b8f3722b1a7</t>
  </si>
  <si>
    <t>c9fc76586dbd1939395d3ddd999833bf</t>
  </si>
  <si>
    <t>62a303159c09b65c288433ea06a99600</t>
  </si>
  <si>
    <t>7efad59e360743b4d3d246741db76a37</t>
  </si>
  <si>
    <t>4245e49d026ef1f440041837b6eac52a</t>
  </si>
  <si>
    <t>8e89832cd01aae257e9608ce09e0caad</t>
  </si>
  <si>
    <t>d08a79ed250412c79cc17a81c4abcf86</t>
  </si>
  <si>
    <t>3ff3ef2712ca7c33e82afe0697183621</t>
  </si>
  <si>
    <t>ff23c2ed75e1dd692c237538513b27a6</t>
  </si>
  <si>
    <t>f9d2e3d2cc060d2d5fbbaef4fba580b1</t>
  </si>
  <si>
    <t>3d37b8d5d488bfee6a6f456504d2fb82</t>
  </si>
  <si>
    <t>2018-04-10</t>
  </si>
  <si>
    <t>12c876d1fcac530f4415cb03afc041a6</t>
  </si>
  <si>
    <t>69c3c3c160e3c97d69fc07a52b4d98d2</t>
  </si>
  <si>
    <t>199d865a833111b42fa9115901dbf975</t>
  </si>
  <si>
    <t>fb9d7568d1c3618c043135be4c5b3cfd</t>
  </si>
  <si>
    <t>d8962b14d78c6bc197f6508354109936</t>
  </si>
  <si>
    <t>6f6938612fdf53d7b863eec877c1fbfe</t>
  </si>
  <si>
    <t>d4c17074d3c22044f71a0faa32f99564</t>
  </si>
  <si>
    <t>10aa0d0d910582b19666c38c58588868</t>
  </si>
  <si>
    <t>2018-04-11</t>
  </si>
  <si>
    <t>8a1bc477742faefa8ff9f614dc582244</t>
  </si>
  <si>
    <t>b99e5b462412361aab3168e1a40bdde8</t>
  </si>
  <si>
    <t>977b4442a3c1dfc2f22496727bf1ce97</t>
  </si>
  <si>
    <t>4dae49f3bd8b5abe8d252762a1c88a1f</t>
  </si>
  <si>
    <t>dcf7ef0799c6be6d3c89ea5083017e62</t>
  </si>
  <si>
    <t>5aa709ad0b286644ffbb7c9aa6a1db27</t>
  </si>
  <si>
    <t>68005513d670f9fc899928aed4963d22</t>
  </si>
  <si>
    <t>33209e0f87b2ed543a0876812c9c5c40</t>
  </si>
  <si>
    <t>1d643b8cef95dfa4cf580061a62c6075</t>
  </si>
  <si>
    <t>bb1af69d9c3122c683d442d8af845410</t>
  </si>
  <si>
    <t>ccbc6d72962da1952d471d3bb26cd5dc</t>
  </si>
  <si>
    <t>8dcc55ec15c19cb7dc05d6eb1daf8802</t>
  </si>
  <si>
    <t>2282f08c7a3e5bc3e7b84bb444d6e1e6</t>
  </si>
  <si>
    <t>0f14db1abb2772e95d78a72c30d69678</t>
  </si>
  <si>
    <t>f330860e4cc30640994fc5d022b00934</t>
  </si>
  <si>
    <t>8a37cae0305cc1e69d6f5d0629719e9a</t>
  </si>
  <si>
    <t>81508881aee7b223104b4a5d4b28f786</t>
  </si>
  <si>
    <t>e0babb29f62b941d1b6c1f2f6659973d</t>
  </si>
  <si>
    <t>0227da6a9a5c5d03b593cc9c2bce3463</t>
  </si>
  <si>
    <t>d2e4ad2926dc435008abc29210ace9f3</t>
  </si>
  <si>
    <t>7aaf9721911fe977bb8e6640c442aeb4</t>
  </si>
  <si>
    <t>2018-04-12</t>
  </si>
  <si>
    <t>b086c1a7c7ed350b2faeb2869ac483ec</t>
  </si>
  <si>
    <t>e34b841641aa07f65aedb6b71194a2e2</t>
  </si>
  <si>
    <t>1852019948d9a47a6c035457a6f71410</t>
  </si>
  <si>
    <t>a6044c1de1912da29cb76976738d1e2a</t>
  </si>
  <si>
    <t>06f544e5c7afe6215b9e2a26b4f08442</t>
  </si>
  <si>
    <t>d90f36f9fe6a2fda4bbc5498a14b81d6</t>
  </si>
  <si>
    <t>cc9f137560ea711d7750050acf6c9ab3</t>
  </si>
  <si>
    <t>7772d2a6ca50ce99296982433145582b</t>
  </si>
  <si>
    <t>68126438e25973e9d716ab0e2485ae05</t>
  </si>
  <si>
    <t>66f249e4d7ab2f3872de7bd6d74719dd</t>
  </si>
  <si>
    <t>20400ea65a0eadb957f1fe55f3e1756a</t>
  </si>
  <si>
    <t>76de219e02a69e67c85ab229f27eee44</t>
  </si>
  <si>
    <t>9b3149eabe3d80fae592727f31f103dd</t>
  </si>
  <si>
    <t>ba13f88bc48228019bdb212741534045</t>
  </si>
  <si>
    <t>91b429393d223b94094f2b7671a634b9</t>
  </si>
  <si>
    <t>6a2928ab4a049ae96aef70dd00d5756e</t>
  </si>
  <si>
    <t>2018-04-13</t>
  </si>
  <si>
    <t>e9ed35393653f0ebbc1d792ba5ed1447</t>
  </si>
  <si>
    <t>2228de938a229c135ae3bd0bf71a128c</t>
  </si>
  <si>
    <t>5065c673bd9aed56b2628c56c93d0619</t>
  </si>
  <si>
    <t>c92ef068e2628ab736ea295a7d536c7d</t>
  </si>
  <si>
    <t>2018-04-14</t>
  </si>
  <si>
    <t>0392299d0f8bdd68d559aff77bf44bab</t>
  </si>
  <si>
    <t>c1fbc7155ea9f5c6249e998ab25708a6</t>
  </si>
  <si>
    <t>9211ad9b7860612a689053307f1de3e7</t>
  </si>
  <si>
    <t>638ed9beae45e801ece6dacd6767bcab</t>
  </si>
  <si>
    <t>2018-04-15</t>
  </si>
  <si>
    <t>1c11b1c44ff1f6059f4fdf48bacf3e82</t>
  </si>
  <si>
    <t>5bf9c5ac7dfc2d9cc6911038a0864fbf</t>
  </si>
  <si>
    <t>1f4b51173e5abe491422314a94e7363c</t>
  </si>
  <si>
    <t>fb1a2a1296f822405a946cbdfc0d3ed6</t>
  </si>
  <si>
    <t>e96a4c3bfb4afc0cb895a76f5ba0440b</t>
  </si>
  <si>
    <t>5956fa21016f2b556a3959ff5aea8536</t>
  </si>
  <si>
    <t>1cc2afbca351a1423aeb95bd67821271</t>
  </si>
  <si>
    <t>cea9ccd3a54929b9d68abbcdc75daed9</t>
  </si>
  <si>
    <t>911022dc32144d6899afd62e7fe0734e</t>
  </si>
  <si>
    <t>065b60cb1eb8ac3e010b81d60ab6a5a7</t>
  </si>
  <si>
    <t>e0316057201638c364f3f54c86eebdcf</t>
  </si>
  <si>
    <t>2018-04-16</t>
  </si>
  <si>
    <t>9b93d7e3492173e52be4e40470dd5d59</t>
  </si>
  <si>
    <t>3d505913f0e487f72d47fa0813d00222</t>
  </si>
  <si>
    <t>b9d8b4ec472a40d54e329cc366627cba</t>
  </si>
  <si>
    <t>0fa61e1ac47c12200902e1f9d6b0e6ad</t>
  </si>
  <si>
    <t>801ad870fbcdfae41bd492be8976cbc2</t>
  </si>
  <si>
    <t>d7b00090ed4c28c03afc316bc0a2ec17</t>
  </si>
  <si>
    <t>45881387721786e660460cd8bfcb2010</t>
  </si>
  <si>
    <t>5b023700ca22594b76150412fb31d733</t>
  </si>
  <si>
    <t>1be21009011f8032ec2932d23966bbd2</t>
  </si>
  <si>
    <t>023669233121f0fb7899e5be2b22885f</t>
  </si>
  <si>
    <t>07182ece031138fc6c7f81b60b1eb329</t>
  </si>
  <si>
    <t>b14878ee970d09943d562f30749318ae</t>
  </si>
  <si>
    <t>2018-04-17</t>
  </si>
  <si>
    <t>2a2169e99fd0582e2322bce30ab5207b</t>
  </si>
  <si>
    <t>d1ec284532e192ddc41c2a400620e697</t>
  </si>
  <si>
    <t>bbb39449a277499952671cc64cbd7232</t>
  </si>
  <si>
    <t>f7fa198627aefca94731f4ec2464271e</t>
  </si>
  <si>
    <t>dbc841e264c91362b1f1091a3fec3394</t>
  </si>
  <si>
    <t>de6d38ce9e3cde2325eb83681cbf5774</t>
  </si>
  <si>
    <t>e2d992dfb23aa5b768db449b84b8200b</t>
  </si>
  <si>
    <t>60bcba6747ee878b9007f61275f4cd1f</t>
  </si>
  <si>
    <t>ab457766fd545ee4fd253ae81da173f3</t>
  </si>
  <si>
    <t>2c76644ebdca47aa2d980e3b2714af13</t>
  </si>
  <si>
    <t>16f6cf86122c11b8b1e46d21f4b31f89</t>
  </si>
  <si>
    <t>657d6ab783018d32016fd49494d5cf4e</t>
  </si>
  <si>
    <t>cb7a2c6ea8712ab4fcb4f1c66a6ca274</t>
  </si>
  <si>
    <t>b9d1db9d3e9608b2d37f962aaef45e03</t>
  </si>
  <si>
    <t>b157dd3a8db0279fe95e9272103e8078</t>
  </si>
  <si>
    <t>ec36cbe1738f8ac4379b1ced0757c583</t>
  </si>
  <si>
    <t>c7f27c1776def4a1c9b1585107d0f209</t>
  </si>
  <si>
    <t>89710eda9c7f1c37f55e89f035f5ceee</t>
  </si>
  <si>
    <t>2018-04-18</t>
  </si>
  <si>
    <t>d07116348ed0d8c1a55ff50e9d1121fb</t>
  </si>
  <si>
    <t>c518fcc14b2bf7ad3f5a833fe67ed9a5</t>
  </si>
  <si>
    <t>a3696d83a951412999a280e4a331070d</t>
  </si>
  <si>
    <t>fc00f81a771664dd85e2ed1bf9e0db82</t>
  </si>
  <si>
    <t>d74e29bbba41049b6c17603fd9fabc58</t>
  </si>
  <si>
    <t>8db5dc3121f330642473ed0e76209acb</t>
  </si>
  <si>
    <t>605b496ab2cd71fe8105952dafc16227</t>
  </si>
  <si>
    <t>466466045d6dd169bdd4ab10d2361ac6</t>
  </si>
  <si>
    <t>9bd1262011363cf74478ba1d6f04ab28</t>
  </si>
  <si>
    <t>c208742c454c4a949a6126eade1d2ef0</t>
  </si>
  <si>
    <t>50ab05e97b974138bdb98e5248bb4ec2</t>
  </si>
  <si>
    <t>b460e718be1fd4349fed54e71daebf34</t>
  </si>
  <si>
    <t>ed552069bc1dfbbae315ecf454b1e5d0</t>
  </si>
  <si>
    <t>d6573c37b3389e591e6b1a8e286eac99</t>
  </si>
  <si>
    <t>2018-04-19</t>
  </si>
  <si>
    <t>9be33ce4878405dfc4be325fe756b73b</t>
  </si>
  <si>
    <t>8eac09785112ead8f11813bff461fa91</t>
  </si>
  <si>
    <t>7dbe3b6d08b31967f83f9c26988bd7c7</t>
  </si>
  <si>
    <t>906be41c08c186ca1b3152e6e9a04ed4</t>
  </si>
  <si>
    <t>3bce1be95e783fcb928b6435d268d89c</t>
  </si>
  <si>
    <t>fd15c3951b25d11abd0fcc3518ef2b42</t>
  </si>
  <si>
    <t>f79a31ab5cdfb67808fb8e27005ffa52</t>
  </si>
  <si>
    <t>34f8407f7b8a9e33a001e63eb8d08545</t>
  </si>
  <si>
    <t>39cdc187b130d5b19a832af5443121fa</t>
  </si>
  <si>
    <t>571e58edcddc5a553546eecfa4b09aa0</t>
  </si>
  <si>
    <t>60e3ebce36d40be343e1f240b81a811e</t>
  </si>
  <si>
    <t>c3d40727f60424d81739c4647fab72aa</t>
  </si>
  <si>
    <t>f9df206bb22d417017b52ddef1c2795e</t>
  </si>
  <si>
    <t>68fb895df51e234a55fbf5c30c873fd2</t>
  </si>
  <si>
    <t>cf954e7391c1981cc9090267aec67ee9</t>
  </si>
  <si>
    <t>dcfdf4c257739648a81742a5ea7f8a07</t>
  </si>
  <si>
    <t>b02a2e4aaf38eb7c05ef28a6091ae2ce</t>
  </si>
  <si>
    <t>d6b35060d6baa125cae83779381704e2</t>
  </si>
  <si>
    <t>7958f96c87dcc4edd752ef1a39e75cd9</t>
  </si>
  <si>
    <t>acce8f40fcce1d7eb0d4211d183fe9bc</t>
  </si>
  <si>
    <t>b73c36e570877e647fc56872cfbb3fa6</t>
  </si>
  <si>
    <t>3af06414a3acfc16eadcc64c0b6a8f7c</t>
  </si>
  <si>
    <t>2018-04-20</t>
  </si>
  <si>
    <t>c85fe66e2c1cb66a9461604acc956de9</t>
  </si>
  <si>
    <t>f8a3dc81761d2783626d9deb2dc55088</t>
  </si>
  <si>
    <t>96b0f7debb763d6546823ac47d15e739</t>
  </si>
  <si>
    <t>32cfd413ea0c915a211233c47b4e4de6</t>
  </si>
  <si>
    <t>f672640d8f525e7ee9e9662776f4ed0f</t>
  </si>
  <si>
    <t>fcb37577370584bc94c2b97a2e61433c</t>
  </si>
  <si>
    <t>18a0085788733945772c772b19bceed7</t>
  </si>
  <si>
    <t>dbf4e3f97023c5490b058fba8b675191</t>
  </si>
  <si>
    <t>f94344586ac6663aabd08cbb1381e347</t>
  </si>
  <si>
    <t>dbf6633516ca4df83ac9e96e2100846d</t>
  </si>
  <si>
    <t>2018-04-21</t>
  </si>
  <si>
    <t>50852bd4d7074310017db9d4b0e243b3</t>
  </si>
  <si>
    <t>f16dee6de72d9dcf6b644a19233a39da</t>
  </si>
  <si>
    <t>1a0c4417bf4f48e594a23d90d8d7581c</t>
  </si>
  <si>
    <t>7aad54859be57990ed094ca49a651d11</t>
  </si>
  <si>
    <t>de2eacc3fdfabed44d32cf8607801800</t>
  </si>
  <si>
    <t>a00d80133807b3fcebee86be41116908</t>
  </si>
  <si>
    <t>2018-04-22</t>
  </si>
  <si>
    <t>3a10bf307a2af842e384180678f26104</t>
  </si>
  <si>
    <t>746e0019b6fc6170534f81e45e8d55ec</t>
  </si>
  <si>
    <t>3263e5243c28ebe706f7500cf88054ad</t>
  </si>
  <si>
    <t>540aa72ba814b34b792f075b2164edd7</t>
  </si>
  <si>
    <t>3cf90d04a286c1ea16f5700dbc764fff</t>
  </si>
  <si>
    <t>1ab44f7237928287806feb9f4fba7820</t>
  </si>
  <si>
    <t>59153dae34968fe90642c6a919d61c09</t>
  </si>
  <si>
    <t>048cb31a5449d208f197f1fe7b617c3c</t>
  </si>
  <si>
    <t>2018-04-23</t>
  </si>
  <si>
    <t>0c1e8da95f0bc94596b6e3571ba53a33</t>
  </si>
  <si>
    <t>a7708ffa8966514c098d15e1abfa6417</t>
  </si>
  <si>
    <t>8e72aa4f22ed34fdbeb7434859ec54d8</t>
  </si>
  <si>
    <t>4b38f9d30c069b6ec0c1da7d03c0ea21</t>
  </si>
  <si>
    <t>e5c8cf4dd91786f33a0f1c96ef1eda19</t>
  </si>
  <si>
    <t>d2d740a1b76ee640f76fba030363144e</t>
  </si>
  <si>
    <t>f8631b34c3dfdad3833c611007f62455</t>
  </si>
  <si>
    <t>d5ed14d56a32bdc31d25faabc33e7b7a</t>
  </si>
  <si>
    <t>030475e22d114f70be1a265fee326192</t>
  </si>
  <si>
    <t>d8148e06f2f2b366a0c8df064103223b</t>
  </si>
  <si>
    <t>cd9c0ba3bb3dbb5fadbe5ce7c15eabaf</t>
  </si>
  <si>
    <t>aac52878fd693aeeb3efce3e0e0a3ce2</t>
  </si>
  <si>
    <t>bf955c3062582fe37befbfd4b0e4b820</t>
  </si>
  <si>
    <t>e892eede814b151cc44aa21a6ecd1200</t>
  </si>
  <si>
    <t>d812dbfcae5778a9864fae0dfe22d9c9</t>
  </si>
  <si>
    <t>cdde449c1dcdc9aad3adc07b6de6659f</t>
  </si>
  <si>
    <t>2ffb45ec99d3fc4942ee973e41e630a9</t>
  </si>
  <si>
    <t>c87addc63adfeea74ce7b7de9d99d161</t>
  </si>
  <si>
    <t>045eff272f42f0ae0191149686f193e1</t>
  </si>
  <si>
    <t>ad0db85b651140eb463660b4ddf767e1</t>
  </si>
  <si>
    <t>bf2efa777e1a41506b6a7a702e98f0f5</t>
  </si>
  <si>
    <t>14272800e054af4a7886796fd6b65593</t>
  </si>
  <si>
    <t>2018-04-24</t>
  </si>
  <si>
    <t>beb6927ba358d62ba446c803a6a4d815</t>
  </si>
  <si>
    <t>2882e815bbb59314e58194adf2fe61e3</t>
  </si>
  <si>
    <t>b2e0314790dc44ec6a7d96a62c221a5c</t>
  </si>
  <si>
    <t>d192544ec2b865ca0055b5c559bca196</t>
  </si>
  <si>
    <t>8e6e7d37d25c7e66e66f8be5a34da04d</t>
  </si>
  <si>
    <t>295925037780bbbf9d7a2294087693bc</t>
  </si>
  <si>
    <t>675b1c40d6b0d4397714c1087eeafb01</t>
  </si>
  <si>
    <t>aa413696416fac21a0e58f3e6802978d</t>
  </si>
  <si>
    <t>816c0409fb7624265037bcbadc488c2b</t>
  </si>
  <si>
    <t>d1eeb7258c6971ef8e350b3cf74bb7cf</t>
  </si>
  <si>
    <t>5a369b11eae91cf552807c13a44a8878</t>
  </si>
  <si>
    <t>a9016dde97a6a447890dd748aa844b85</t>
  </si>
  <si>
    <t>2018-04-25</t>
  </si>
  <si>
    <t>5bb5e53b117f231e116d1ff1f530c8ce</t>
  </si>
  <si>
    <t>b9babcd3be5ab7aae890f68c9fb4ccc8</t>
  </si>
  <si>
    <t>d5af3f91478b15918f7250953622d89d</t>
  </si>
  <si>
    <t>5145b58a90c0dfab75617173b511a9db</t>
  </si>
  <si>
    <t>54ea7642b27bcfa4142c92f475f28384</t>
  </si>
  <si>
    <t>16c96dd4350d02d1890b8b7fd141da9a</t>
  </si>
  <si>
    <t>db938741a6e086fc10ca5c84d032fef3</t>
  </si>
  <si>
    <t>a37057df33d7a542cf514f9cbe7a311d</t>
  </si>
  <si>
    <t>251aa2c943f75ad00a62107e4a9e83ec</t>
  </si>
  <si>
    <t>54811adf8b498ae84eb8bef759873054</t>
  </si>
  <si>
    <t>fd4a7190606c77ffa23d74c44119d191</t>
  </si>
  <si>
    <t>a5844c6ba1c0c2464b56dc6fa879b9bd</t>
  </si>
  <si>
    <t>ecadbb1baca4ac613473d62989309321</t>
  </si>
  <si>
    <t>011a43bc9bb525517251ebb3ebc99b69</t>
  </si>
  <si>
    <t>ce9f7444804995c448736c30b7072add</t>
  </si>
  <si>
    <t>e62907b8603f88422352b8499461d59b</t>
  </si>
  <si>
    <t>234cbb8d0d6f7eeb4e98ec3b67e2b228</t>
  </si>
  <si>
    <t>c0a2349a8e345c3196f05a1dda9057a1</t>
  </si>
  <si>
    <t>2018-04-26</t>
  </si>
  <si>
    <t>30a461491fa262d5d6321e3194bbb452</t>
  </si>
  <si>
    <t>4ef992d01b3b8db02c17acd3484e20de</t>
  </si>
  <si>
    <t>30f757bf1610a35332de6044caf5fd2a</t>
  </si>
  <si>
    <t>25c22896dca583d857448141d99ef3ff</t>
  </si>
  <si>
    <t>2f90dccb2a52cf21e5f2886dbb8e7eda</t>
  </si>
  <si>
    <t>a2f79ba97c95b2708f14e8e66ae525b0</t>
  </si>
  <si>
    <t>0fa05bb83efc10205ac8f4224f10c336</t>
  </si>
  <si>
    <t>c64c5f793e7b69138252d7c2fb45a3cb</t>
  </si>
  <si>
    <t>51c5d44ed3cbadb44f409c04123a9402</t>
  </si>
  <si>
    <t>e2ea40e627fa59e27d40fce26a8b5a32</t>
  </si>
  <si>
    <t>2018-04-27</t>
  </si>
  <si>
    <t>21d33068d3dfe0561f1b60cc9be732e8</t>
  </si>
  <si>
    <t>bdfa4237c19c14513acaf750e3e8b7f1</t>
  </si>
  <si>
    <t>9ad9270de3bd98ce09213f047dc7a16d</t>
  </si>
  <si>
    <t>4c482dafefb6a39ce4de186a707efb75</t>
  </si>
  <si>
    <t>50dbfd3a91c2fde907830cb668a721f2</t>
  </si>
  <si>
    <t>6189844031702fdf168d8194d504bc0b</t>
  </si>
  <si>
    <t>d9d6038fc6b49e88d43af0a6d43f0846</t>
  </si>
  <si>
    <t>9e6928e55ec6948338048d72ebdf2305</t>
  </si>
  <si>
    <t>5fcff0359223b0a176d984d231217b7f</t>
  </si>
  <si>
    <t>dda7cf31684a98205550865020745d09</t>
  </si>
  <si>
    <t>5a911c89527605e73569727488b5468d</t>
  </si>
  <si>
    <t>2018-04-28</t>
  </si>
  <si>
    <t>6bcce39be127575854779e39a50f2059</t>
  </si>
  <si>
    <t>diapers_and_hygiene</t>
  </si>
  <si>
    <t>f9e86e23af5d5243b44d1eebaacc32be</t>
  </si>
  <si>
    <t>5849288b1fecd09bf57fcb568162b365</t>
  </si>
  <si>
    <t>fc1d4a8adb62b480c591455600955b2f</t>
  </si>
  <si>
    <t>3637b54ea3991c5c9471dd8c9e77ab7f</t>
  </si>
  <si>
    <t>4b007a72f108b589a20227ab419705c9</t>
  </si>
  <si>
    <t>2018-04-29</t>
  </si>
  <si>
    <t>c98ec8cb960d61c4375413b70f225104</t>
  </si>
  <si>
    <t>df65475c6013cd0563e8c2fd9245c378</t>
  </si>
  <si>
    <t>a769c6d90738b1546865c01148fad5cb</t>
  </si>
  <si>
    <t>15c1a0aa2e32bd15bfe9302af6280f97</t>
  </si>
  <si>
    <t>08e83756399f8394bef75d0441b17b57</t>
  </si>
  <si>
    <t>360e4c361e56f19fc4093559b59b4bfd</t>
  </si>
  <si>
    <t>2018-04-30</t>
  </si>
  <si>
    <t>b80fc187408e5b39dc58457b7db2b4b1</t>
  </si>
  <si>
    <t>01f67ca8027e959060afd840aa06f465</t>
  </si>
  <si>
    <t>2db6929b692b91f237289729903d37cc</t>
  </si>
  <si>
    <t>249e44947c66e3b0e46b3ba2f38d846d</t>
  </si>
  <si>
    <t>96ddb284342cfe7ebbde748a2e2de094</t>
  </si>
  <si>
    <t>b06373098fedad1545401c91bf3af711</t>
  </si>
  <si>
    <t>142ac5357e541e5881d26fc5eb5f3754</t>
  </si>
  <si>
    <t>effeb0c3ecae530d0470721524db864f</t>
  </si>
  <si>
    <t>5e24ecfdf90a8dfceb3cd8ed37db5c26</t>
  </si>
  <si>
    <t>f8f13f6d3692fb485fc728d915cb26d1</t>
  </si>
  <si>
    <t>da730a4d617d48b8e8d136ef1f86915d</t>
  </si>
  <si>
    <t>69f7357c456d8072ad6671becb0f55a5</t>
  </si>
  <si>
    <t>3493a5e1499df429a53453047b3b4365</t>
  </si>
  <si>
    <t>b6b9f5144b004ad3db40567cdce34811</t>
  </si>
  <si>
    <t>df4a5680a53eb14aa69c035b1c759413</t>
  </si>
  <si>
    <t>2018-05-01</t>
  </si>
  <si>
    <t>2018-05</t>
  </si>
  <si>
    <t>b1526359b93e19d491c0eaa5b2c053ec</t>
  </si>
  <si>
    <t>3a6ce7cca096e50508a84d2fee462b66</t>
  </si>
  <si>
    <t>d3e80887b0f3cb72b3b9966a6071c8db</t>
  </si>
  <si>
    <t>e3ca5aaa7c0ebf70aab37862b7aff263</t>
  </si>
  <si>
    <t>e1860ce96baa10d7f08d86aaf5927459</t>
  </si>
  <si>
    <t>23012529620559c40578e18d7746f3ff</t>
  </si>
  <si>
    <t>d24ea9296a5de338db8128bf4a6b9c48</t>
  </si>
  <si>
    <t>3d31baf1573b52990d33a1f9d2f03ce5</t>
  </si>
  <si>
    <t>5e2d5a12419379ae165fd3596839a3cb</t>
  </si>
  <si>
    <t>c2575ff905b5b189ccda375084be2de2</t>
  </si>
  <si>
    <t>fad50f5d61cd24d316352c44508b6ef9</t>
  </si>
  <si>
    <t>6482040c4887d33a7129473d3db4d0bd</t>
  </si>
  <si>
    <t>2018-05-02</t>
  </si>
  <si>
    <t>1ac04fcb479aaae425488d963ebd0847</t>
  </si>
  <si>
    <t>97d09fc348cbda42ae770c92ec3af0c1</t>
  </si>
  <si>
    <t>b62ced5bbcbad01b30fd58926d727b21</t>
  </si>
  <si>
    <t>b647577bafd629cca1b1c3b7aed598ed</t>
  </si>
  <si>
    <t>a275c8910a3b6a6bd7fe83c397afb4ec</t>
  </si>
  <si>
    <t>4839cbb2ed51cf281dadeff495e39d6d</t>
  </si>
  <si>
    <t>af45c3a8c24539daa13f4ca8d2868464</t>
  </si>
  <si>
    <t>4263f66dd6ea50568c4369369a163208</t>
  </si>
  <si>
    <t>d2ae2653b9dbc7b50f11bf3e4001ec8e</t>
  </si>
  <si>
    <t>dc5e5ca2d07c93091a87b58d9888769a</t>
  </si>
  <si>
    <t>51ec62622b0b1e86fc4a3098424576ea</t>
  </si>
  <si>
    <t>dddb05d44cc0328777c8d87c479b3680</t>
  </si>
  <si>
    <t>0d8b3fb610ae4ac24891052ed60e8a2a</t>
  </si>
  <si>
    <t>d1ccf9110e914e714e76f6434142710f</t>
  </si>
  <si>
    <t>2018-05-03</t>
  </si>
  <si>
    <t>612d5630822f4796875619b3a6a7b481</t>
  </si>
  <si>
    <t>74e9098e04f430c82e0a8da397f7922a</t>
  </si>
  <si>
    <t>ec4f4f7e31b79905b7626cbbdf077813</t>
  </si>
  <si>
    <t>bb16216a067e407c9e713fe14624e093</t>
  </si>
  <si>
    <t>f55f2ceef609960024f449621f6f478b</t>
  </si>
  <si>
    <t>848e76f65aa5d3843c356d8a68dfa5b5</t>
  </si>
  <si>
    <t>89a591b9a088299ff2b3938b877f3ea3</t>
  </si>
  <si>
    <t>9fbac5c017947f1c23fe7979ad6c4e00</t>
  </si>
  <si>
    <t>7e33051b148132bd0c823915b8863e35</t>
  </si>
  <si>
    <t>8d17ba5695db76a5fc7fed0645778642</t>
  </si>
  <si>
    <t>3fed89335b07739e36d2b4680ce3e900</t>
  </si>
  <si>
    <t>5b11ad967b9d5763b6f2417944c07f57</t>
  </si>
  <si>
    <t>afdc19847d2b39afa2d82a35ec730571</t>
  </si>
  <si>
    <t>eb6bf171200b90eb73d01a3f2096691a</t>
  </si>
  <si>
    <t>624ae9036a4782219f00bb569c7e39e8</t>
  </si>
  <si>
    <t>4d458ae78b6be4d04c94a3e7372ca386</t>
  </si>
  <si>
    <t>d2dece433559912b3b1d40ac3afc35cb</t>
  </si>
  <si>
    <t>45f609157f70cc8017bc5c1d617ef629</t>
  </si>
  <si>
    <t>2018-05-04</t>
  </si>
  <si>
    <t>df982d6b3644712f7d5070f053c8009a</t>
  </si>
  <si>
    <t>1a7dcdf0c1f8c7b57dab8c7378c79cf9</t>
  </si>
  <si>
    <t>78a921fe4bd6b5ca34e29ea5749bce4f</t>
  </si>
  <si>
    <t>a178e5115c4f2f2b1f778cbf210e07cb</t>
  </si>
  <si>
    <t>6d1c806cf81ca71cdd31c2079e39190b</t>
  </si>
  <si>
    <t>f45b5f54393b15cb48be3cbac8dd536f</t>
  </si>
  <si>
    <t>b980d737d846b36f807b28e40796003a</t>
  </si>
  <si>
    <t>6447ac90fec2245143232faee2c1728b</t>
  </si>
  <si>
    <t>b427e0ed8b6a3055c62312f135330e7e</t>
  </si>
  <si>
    <t>38aa75897750a332bf16c880772df768</t>
  </si>
  <si>
    <t>19f7c2937f28a1340a7a3c5c64a26123</t>
  </si>
  <si>
    <t>85f76b65f934f5fb1d96eba0d53f6639</t>
  </si>
  <si>
    <t>2018-05-05</t>
  </si>
  <si>
    <t>fc2f758d05227510a9f46e37a1e0095e</t>
  </si>
  <si>
    <t>41b0453ab02025f52af28600854f3682</t>
  </si>
  <si>
    <t>84eb86f5f4ba017cd1644c27f6140424</t>
  </si>
  <si>
    <t>c87482c77931bd39e99e46dd2a7013d2</t>
  </si>
  <si>
    <t>a9240539eed71e70690ea5a026f9f419</t>
  </si>
  <si>
    <t>708e29e2e9ba7ec969db5cf4cf84e9fd</t>
  </si>
  <si>
    <t>2b83ae3a3dbd7388b86f75c4e41eba63</t>
  </si>
  <si>
    <t>2018-05-06</t>
  </si>
  <si>
    <t>43e1cbf9959b24b39acb40a44ff3655b</t>
  </si>
  <si>
    <t>0e3586e663acb9adff4f778c7d174890</t>
  </si>
  <si>
    <t>aa2cd8b186c94011da9d0f80785a3f20</t>
  </si>
  <si>
    <t>91375775b1203d41f95ade228721b3a5</t>
  </si>
  <si>
    <t>b31ee936a88cbd1d2c24a2e61db2c18c</t>
  </si>
  <si>
    <t>85958e05a9ae7ade12cafdbbdc882de3</t>
  </si>
  <si>
    <t>e5d30ef739b1ed6f89f11ff5fd9e285a</t>
  </si>
  <si>
    <t>91470888d3c2a943e6ca5533ac6d86c1</t>
  </si>
  <si>
    <t>12bac66f44df6a103bb5b982c45f5617</t>
  </si>
  <si>
    <t>3caf494d4c5d2bd8d542138e316ad680</t>
  </si>
  <si>
    <t>2018-05-07</t>
  </si>
  <si>
    <t>64c3463da17e1c9262d302b03a81fb0b</t>
  </si>
  <si>
    <t>3dac54c0a4aff807cad8f1a56fc8e745</t>
  </si>
  <si>
    <t>6b11abc0295e397afb43aecade82621a</t>
  </si>
  <si>
    <t>53279ed2a831a63b7a6ebb56a9097cd0</t>
  </si>
  <si>
    <t>4529e58edfd8d45fdef9eaa1d6efdc64</t>
  </si>
  <si>
    <t>14feb2791a33105fe2092f7ac34e3200</t>
  </si>
  <si>
    <t>a11cb431739ce0d512e8a8e96654722f</t>
  </si>
  <si>
    <t>afd40c7db09c18759908ed9d6c66fa2a</t>
  </si>
  <si>
    <t>0ff95576cbc4bec34c722c80b81a25fd</t>
  </si>
  <si>
    <t>6398f5a8f74b7a09697d4417628dd212</t>
  </si>
  <si>
    <t>0aecc6c0c2b3598d9cd3119e0a58dc1b</t>
  </si>
  <si>
    <t>a333d6edad2cf5efe368d9a457c27fe7</t>
  </si>
  <si>
    <t>c2e9150ecca583eb68c1e2e2b650caac</t>
  </si>
  <si>
    <t>4a72b4694f239008b7f61c843bac4bdc</t>
  </si>
  <si>
    <t>2018-05-08</t>
  </si>
  <si>
    <t>2f864e4c1471571ec2ea1476fa2ba42c</t>
  </si>
  <si>
    <t>0eb90012b8c41dfd386552415c3b1760</t>
  </si>
  <si>
    <t>bde305d08669a1b46554c10f03a85675</t>
  </si>
  <si>
    <t>abf8d2c3cc9ffa42db0103106b061889</t>
  </si>
  <si>
    <t>c1b6a4848079f0c2f936c9535c73fb05</t>
  </si>
  <si>
    <t>5adb752a21287f421571ba1688dafa2a</t>
  </si>
  <si>
    <t>1f10d8242e602a2a444715754f739d95</t>
  </si>
  <si>
    <t>099d60cb800db65a72d355528bb7f41e</t>
  </si>
  <si>
    <t>91cb837eb3bd9136636db21568d04a78</t>
  </si>
  <si>
    <t>67652712ccb6d4a88f063a50b60a1073</t>
  </si>
  <si>
    <t>7400bc8ee7d289b54690fd540a3cdb8b</t>
  </si>
  <si>
    <t>4a62fb19d5fa08fb514619dfcc617b3d</t>
  </si>
  <si>
    <t>2018-05-09</t>
  </si>
  <si>
    <t>0d42686b1d1936e4c256ce2fa2cc9db2</t>
  </si>
  <si>
    <t>210e60465099814a1d2c7635e4065153</t>
  </si>
  <si>
    <t>560691faf05a5433e9617b9582948175</t>
  </si>
  <si>
    <t>59e57d3a260d94d24e665b2c817981f1</t>
  </si>
  <si>
    <t>6c2d7d5f598317a20719a7e5f5487ece</t>
  </si>
  <si>
    <t>18d436f1bd867f1869bc3a16103a4b75</t>
  </si>
  <si>
    <t>156f6f0ed73a57da184aecc81303bf9d</t>
  </si>
  <si>
    <t>b4df3dcfa59f9958e993be5decfee5ce</t>
  </si>
  <si>
    <t>4da1c4073a1bdbb3968cd681337f254d</t>
  </si>
  <si>
    <t>1f1c7f4a61de956eb59c80c6d1f73a2a</t>
  </si>
  <si>
    <t>7dfab96276603768666b7f949b3ea66f</t>
  </si>
  <si>
    <t>cf2d1ce92345a8db1f8b09ac4575aa7f</t>
  </si>
  <si>
    <t>f41ef35b2b93249c5239c5df242e8b28</t>
  </si>
  <si>
    <t>2321337240c200736e346c2445003fd3</t>
  </si>
  <si>
    <t>31757b95c65bd61af1af6d30103b64cf</t>
  </si>
  <si>
    <t>a56949479e3d5637c235d6d58740fee3</t>
  </si>
  <si>
    <t>2018-05-10</t>
  </si>
  <si>
    <t>558731462aceb9588378c7c19194d2db</t>
  </si>
  <si>
    <t>f489949dbe23cf9313deb342913ece0c</t>
  </si>
  <si>
    <t>35990049382e07dba1a9ef3550cad655</t>
  </si>
  <si>
    <t>37f4b362697f5c9826aee9c479b32bda</t>
  </si>
  <si>
    <t>7527dc48e587e3cc2071e727f32a2610</t>
  </si>
  <si>
    <t>bb87d6748da724f69c5e62274dc7aae6</t>
  </si>
  <si>
    <t>73ff74f8f201c61c0c625cfe7ec63cd2</t>
  </si>
  <si>
    <t>e67519acd1370f173550a6cb2b994ca6</t>
  </si>
  <si>
    <t>1e24c66f40e16d38609ed026af8b4c94</t>
  </si>
  <si>
    <t>2018-05-11</t>
  </si>
  <si>
    <t>d5691ee416fbe1f2d1b061319de61570</t>
  </si>
  <si>
    <t>db4982d0129b4b2ac1eb511ab4743799</t>
  </si>
  <si>
    <t>4bac61800c1e9be95b1fc49a6b859c64</t>
  </si>
  <si>
    <t>dcfd880d34266648380b0b525d0c41e3</t>
  </si>
  <si>
    <t>b4ed4f83279457b6eae0d4c1c9ee8aa2</t>
  </si>
  <si>
    <t>8b47e7e04a986e036f10ab10bae91a4b</t>
  </si>
  <si>
    <t>ef27899be3cc299d6e7b3a0d9c895809</t>
  </si>
  <si>
    <t>2018-05-12</t>
  </si>
  <si>
    <t>cddb49503674fc983e56f506266cb68a</t>
  </si>
  <si>
    <t>395522d74b4f19e9d229bacaab803c99</t>
  </si>
  <si>
    <t>c7f9a63be296b2be1bb5ad47c7d61dd2</t>
  </si>
  <si>
    <t>695e141b92a0f2bc8a7bff7d621692ed</t>
  </si>
  <si>
    <t>0d8e03520c1b877edaf5ef24f7abb5cb</t>
  </si>
  <si>
    <t>dd9768256f9f491643fb7b53fc193b7d</t>
  </si>
  <si>
    <t>6c28b1d1bade1e274dc893aaf8b0535d</t>
  </si>
  <si>
    <t>aa73e81062a62cb7834b770ff58ff6b8</t>
  </si>
  <si>
    <t>5775b40b5767cf4043ffa1322c7d646c</t>
  </si>
  <si>
    <t>2018-05-13</t>
  </si>
  <si>
    <t>638a5347b71204f129b75b558d79bf07</t>
  </si>
  <si>
    <t>2362f0e9afcae197310501d93b070bb6</t>
  </si>
  <si>
    <t>8ca4b77b042042e7388a0df85b37ebeb</t>
  </si>
  <si>
    <t>01ed8d522a969ceeb6ba285a161bf4c9</t>
  </si>
  <si>
    <t>cc94a3db006a9dbbf0a57bda0091d616</t>
  </si>
  <si>
    <t>39b9e0d03c6b33e01332ca4c06c6aa2e</t>
  </si>
  <si>
    <t>88af1e29bb0ae20c379da31875a94806</t>
  </si>
  <si>
    <t>1ab81205bd97428adba5715c92dae13a</t>
  </si>
  <si>
    <t>6d08b9609c4e0cb107497f8307539077</t>
  </si>
  <si>
    <t>2018-05-14</t>
  </si>
  <si>
    <t>0877034e4780ed6345f93f2c0e0d48ec</t>
  </si>
  <si>
    <t>50bbd6f58e1641ea899a67a31871cc73</t>
  </si>
  <si>
    <t>801e8e7738a06b96bda344c9ff1d738c</t>
  </si>
  <si>
    <t>434c9890eff8856d64b1d01c1024686d</t>
  </si>
  <si>
    <t>527e7490ba8ede88db23aff0f080f5a7</t>
  </si>
  <si>
    <t>c9c47f859e747812a921562c2f874229</t>
  </si>
  <si>
    <t>bd15e6a6eec338675a42659c3509da35</t>
  </si>
  <si>
    <t>a5b16df50e965748a0f8406dd415f23c</t>
  </si>
  <si>
    <t>db29fa675e3fb38dc9f16106b18a43f8</t>
  </si>
  <si>
    <t>94d1e075b6cad085871799dedd2b7e3d</t>
  </si>
  <si>
    <t>cfaa877f09b4f4bc73fc768bf5817df7</t>
  </si>
  <si>
    <t>7ab1a9babde2a1355e3075d07ea895e3</t>
  </si>
  <si>
    <t>d8eada63874f4ad83911e6c388521ba9</t>
  </si>
  <si>
    <t>8ed4df9e21def5033d20475c0e568c92</t>
  </si>
  <si>
    <t>002c9def9c9b951b1bec6d50753c9891</t>
  </si>
  <si>
    <t>a7e777244d28c9330d778b6626beb029</t>
  </si>
  <si>
    <t>b0a53313f05c1fb7b57eba8c55f35035</t>
  </si>
  <si>
    <t>dc72bbc96294739757a895a8e6ec0d5f</t>
  </si>
  <si>
    <t>ab355d60eb2f7b4ffcd01aab4da8ebef</t>
  </si>
  <si>
    <t>a97ed6ffd3a1daacc526d95fe844c8a5</t>
  </si>
  <si>
    <t>b313fc60227234f6c73ab4f2585b5365</t>
  </si>
  <si>
    <t>f1a2c0aa708e55ca4ab35b96f89c9aad</t>
  </si>
  <si>
    <t>2018-05-15</t>
  </si>
  <si>
    <t>1565f22aa9452ff278638e87cc895678</t>
  </si>
  <si>
    <t>16e1e21ae459315114f092dc02743dea</t>
  </si>
  <si>
    <t>c3e06da7b224bfb3d077ca32fa23bff1</t>
  </si>
  <si>
    <t>69933502bb7f9b4aaac818858f964553</t>
  </si>
  <si>
    <t>768f78186d59eef3d5f40db13f5bcb8d</t>
  </si>
  <si>
    <t>f152b3976a55ebf22b3057cb0b79bcec</t>
  </si>
  <si>
    <t>812086848825c140a1472472a845a774</t>
  </si>
  <si>
    <t>a0b862a69020ac0160aabd2acb06f8e7</t>
  </si>
  <si>
    <t>7ef0e1c98232d43b6e92ab32795aeb06</t>
  </si>
  <si>
    <t>51a204a8b06b2f485e8e9de1e6741618</t>
  </si>
  <si>
    <t>4b46e49817058cac906f2c219cc7351e</t>
  </si>
  <si>
    <t>1a57108394169c0b47d8f876acc9ba2d</t>
  </si>
  <si>
    <t>e3ee317683c1cb4df51994ca63755d6d</t>
  </si>
  <si>
    <t>6a5560b5b974183928205724063cdfa6</t>
  </si>
  <si>
    <t>2018-05-16</t>
  </si>
  <si>
    <t>03e6de4517499ee6aaae7d9004799504</t>
  </si>
  <si>
    <t>4c95e64d87f0a8e6c7e8ffc83767df0f</t>
  </si>
  <si>
    <t>470ae997eff151effb3503add146880b</t>
  </si>
  <si>
    <t>4178c05b8ab84fbe2adaf20cffadaa9d</t>
  </si>
  <si>
    <t>d34b43bca6cc1cb6d49c06d6090770eb</t>
  </si>
  <si>
    <t>800447e795f2bcf1009e0b2a88d05bbe</t>
  </si>
  <si>
    <t>a3ab1f6066a1d294342241bbe29e363a</t>
  </si>
  <si>
    <t>a45006ef91228905575d115da011049b</t>
  </si>
  <si>
    <t>f175c06d9a1a1c98a7ba8dd83950718f</t>
  </si>
  <si>
    <t>bab4194a4df4aac8d2cf6386c4979973</t>
  </si>
  <si>
    <t>680b35174e2902cd642343db6b436def</t>
  </si>
  <si>
    <t>ab5cbb5966da51d374d6ca55c71c8319</t>
  </si>
  <si>
    <t>97afe73fe13a14d269383825a8a32646</t>
  </si>
  <si>
    <t>dc9b5b176c87f1c3bc2d69b282873d5b</t>
  </si>
  <si>
    <t>8416d26ac5ef346cd2926c3b35e1da86</t>
  </si>
  <si>
    <t>89e7c89d4642d0f6de33b1314a209e96</t>
  </si>
  <si>
    <t>c5bff3d6b9585e55844afce2a2061259</t>
  </si>
  <si>
    <t>0cfabecb909812856ae6d21400104334</t>
  </si>
  <si>
    <t>8d48de810012d2cb59c59d5c4e0442a3</t>
  </si>
  <si>
    <t>2018-05-17</t>
  </si>
  <si>
    <t>6d45b70444c5898d019ee65973019ef7</t>
  </si>
  <si>
    <t>ce7c7e5c6b73492e11c8155ed626416d</t>
  </si>
  <si>
    <t>27de70aab873d2512659020719964c2a</t>
  </si>
  <si>
    <t>c9dacb231adb8fe3a8d4d452aa10bfe1</t>
  </si>
  <si>
    <t>99a12301d30f34d260111f258570bbfc</t>
  </si>
  <si>
    <t>5ab86968467c65a96b9a6437e9e83164</t>
  </si>
  <si>
    <t>7cc93b2925f1d8b88fbcd410b02bc5b5</t>
  </si>
  <si>
    <t>9d9d06f2b18d6a0dbf941721131b65eb</t>
  </si>
  <si>
    <t>d49c4942f461cbef8cfc4269ad86195b</t>
  </si>
  <si>
    <t>2018-05-18</t>
  </si>
  <si>
    <t>25850021261764efbccacf5e29ed13f7</t>
  </si>
  <si>
    <t>47206fff1e56391bf30b5acbe7f5f7a2</t>
  </si>
  <si>
    <t>28d14a9fb1c0c5e0667fd9ed3834eb5e</t>
  </si>
  <si>
    <t>9378f7fb4dad9527f338b16cd75fc196</t>
  </si>
  <si>
    <t>ab85e3c92c828eb802fd91345e45d92e</t>
  </si>
  <si>
    <t>37e7875cdce5a9e5b3a692971f370151</t>
  </si>
  <si>
    <t>eb208b2789d0b383599396c007996073</t>
  </si>
  <si>
    <t>67b0b5998d225c031727557708e9bfb3</t>
  </si>
  <si>
    <t>2c87632da2d3149c3812ca5da44418e6</t>
  </si>
  <si>
    <t>756fbe4ee70c4866a3cfb2facf6d7ec8</t>
  </si>
  <si>
    <t>2018-05-19</t>
  </si>
  <si>
    <t>395e3c91f1eec0bda9e0cf4f57d3bf3b</t>
  </si>
  <si>
    <t>e540d00fceab564fcd95cc8a75b10beb</t>
  </si>
  <si>
    <t>1a302b3c311d6fd772e886b742c24304</t>
  </si>
  <si>
    <t>652050879a7da861024a1114f926958d</t>
  </si>
  <si>
    <t>b2569f05d40ea199f859f0d9cdc7b9d6</t>
  </si>
  <si>
    <t>2018-05-20</t>
  </si>
  <si>
    <t>fb7688c98b85305cf636fb26b2804186</t>
  </si>
  <si>
    <t>18fe9e7ed59582d16d26a9bd99872e7c</t>
  </si>
  <si>
    <t>78135b03c6d7a39f10996624b9baf92a</t>
  </si>
  <si>
    <t>4b13014a5302b496d85822e47906556c</t>
  </si>
  <si>
    <t>0e7569797e4b4f2871c2439fa24b3888</t>
  </si>
  <si>
    <t>6d15a355fd35494ccd207bec6a3a04d4</t>
  </si>
  <si>
    <t>2dac1809f9dbdd8fa97870ee26c2736f</t>
  </si>
  <si>
    <t>1181b3a643dfdf013bd399adcc3bed11</t>
  </si>
  <si>
    <t>5510c1adb5cc6262d2fd7ce904b6e8f4</t>
  </si>
  <si>
    <t>d2c4b43f2986e614c4f281927c47d228</t>
  </si>
  <si>
    <t>c9bfc156368eb14aae98ebff0ee377da</t>
  </si>
  <si>
    <t>caf09f63f8f702663028ad9c731a162f</t>
  </si>
  <si>
    <t>2018-05-21</t>
  </si>
  <si>
    <t>cb04c4f13d483754c5b6e420df7cc1dd</t>
  </si>
  <si>
    <t>253009218018b92ca2f36309c8dc97cf</t>
  </si>
  <si>
    <t>fc2dd41f06d775c7fd26ecf8a529ae0a</t>
  </si>
  <si>
    <t>c3fb8e13cb37ff21273a1d90ebcf0896</t>
  </si>
  <si>
    <t>2da8623704f2a31c2f57526043b28458</t>
  </si>
  <si>
    <t>c0834ece62641e0d8cf5da3a070f4195</t>
  </si>
  <si>
    <t>fcaa27705f4857554664f4e54825d593</t>
  </si>
  <si>
    <t>2018-05-22</t>
  </si>
  <si>
    <t>7b8327bef89b921c5f3ca8b3769b0a67</t>
  </si>
  <si>
    <t>955d472a5c7c0e6ee8d3ae51e258cf6a</t>
  </si>
  <si>
    <t>7865280b7f716318630d85eb2ea9cd17</t>
  </si>
  <si>
    <t>758c123811f3da2280246ba25f4938d1</t>
  </si>
  <si>
    <t>7d038f7eeec76a7eb898fef8a12e6157</t>
  </si>
  <si>
    <t>6c55bf4d09523cf2a72a452cdc0f0a80</t>
  </si>
  <si>
    <t>8250f4901ec804e830f26ef6fc285138</t>
  </si>
  <si>
    <t>2d0f32fa8bc7885514c176ca48f798d6</t>
  </si>
  <si>
    <t>5347a7f07b3387d2dd23be64b9ceea32</t>
  </si>
  <si>
    <t>43070b94b6d741a764e8e1ba4a2ea91d</t>
  </si>
  <si>
    <t>b09d72418cab562c0f010453c7d1fcaa</t>
  </si>
  <si>
    <t>20824f4d96365315a1f191746a385a0c</t>
  </si>
  <si>
    <t>7068f768a623a654abf648def8753495</t>
  </si>
  <si>
    <t>fe00e26eb05c951aad5cbc6b7f602edb</t>
  </si>
  <si>
    <t>2018-05-23</t>
  </si>
  <si>
    <t>1a1ef8dc595adbce0e5d75d806d69286</t>
  </si>
  <si>
    <t>d6bb547da098f595bc40f00e2d38056e</t>
  </si>
  <si>
    <t>a2eb5d639e60dc92388b4177edfc52a4</t>
  </si>
  <si>
    <t>b2b345cd2633deaf2b69c3b5c5585afa</t>
  </si>
  <si>
    <t>ce36799829f380bb23aa467649d173c5</t>
  </si>
  <si>
    <t>2018-05-24</t>
  </si>
  <si>
    <t>fb8c84f49d464b75f05a3de37923fc87</t>
  </si>
  <si>
    <t>e32a92918d2cdf233b619daa465cfb6d</t>
  </si>
  <si>
    <t>bb05bd3bbacf1e3c6026b43b44a6631c</t>
  </si>
  <si>
    <t>db1c20a4da0424fc89761d0a694ea01a</t>
  </si>
  <si>
    <t>944f138622bd3f426cb3c1588035ce87</t>
  </si>
  <si>
    <t>2109de10cb751b43648fd8c1ebbb1d0f</t>
  </si>
  <si>
    <t>96eb9d1d1588412109dae29e68f86e86</t>
  </si>
  <si>
    <t>2018-05-25</t>
  </si>
  <si>
    <t>c4406c3911b19657e6304e5c7c61a069</t>
  </si>
  <si>
    <t>a853cdd8003fb8372f09eefdb15720f8</t>
  </si>
  <si>
    <t>f1ec04b3b8679de55776bea7e3ad436f</t>
  </si>
  <si>
    <t>b9499283a775ccfa9da92e6e75e9b4b9</t>
  </si>
  <si>
    <t>2018-05-26</t>
  </si>
  <si>
    <t>57796a616d95192ef9a47a6634733f89</t>
  </si>
  <si>
    <t>e9fe4a25c4b2cf9709c06e7e6aef0a8c</t>
  </si>
  <si>
    <t>660a6fbde01967fda369dc69c3d4b50a</t>
  </si>
  <si>
    <t>2018-05-27</t>
  </si>
  <si>
    <t>e98f62f167c0c56e1d6e2c852bf04adf</t>
  </si>
  <si>
    <t>2018-05-28</t>
  </si>
  <si>
    <t>1efa3bd33f2a887addccba92edc88340</t>
  </si>
  <si>
    <t>083c350532e95d46b3c25b7c41b1ad63</t>
  </si>
  <si>
    <t>9797613eed6fac4314c4d5c9132c7ff4</t>
  </si>
  <si>
    <t>67adc926d34e13b8e6144b020f0e1153</t>
  </si>
  <si>
    <t>43d5113f8c14cc2c72b763c801f47ac6</t>
  </si>
  <si>
    <t>72b02234375680d174bc9fecfb0fd9fe</t>
  </si>
  <si>
    <t>d2485e80a65cd94cd4a4755e0934bf47</t>
  </si>
  <si>
    <t>ecab7448f4b42657c66bc603971693c1</t>
  </si>
  <si>
    <t>2018-05-29</t>
  </si>
  <si>
    <t>30a08f0074bc43c8284b61015a6c530d</t>
  </si>
  <si>
    <t>6f73a96cdd874d89723d560bda640b52</t>
  </si>
  <si>
    <t>09cbcd1a5e559da522327abcf7e30dda</t>
  </si>
  <si>
    <t>5d38e21bcfe6ead5e9e882d4f8c828b1</t>
  </si>
  <si>
    <t>0f758f5895563ce1892043bc8f17dda1</t>
  </si>
  <si>
    <t>73840bb583b69b1d181d54f3f755a4e2</t>
  </si>
  <si>
    <t>3c55e82098814e81a8a9314b9ebd0be4</t>
  </si>
  <si>
    <t>2018-05-30</t>
  </si>
  <si>
    <t>fc47141e198b2f83882cef0cbbea6886</t>
  </si>
  <si>
    <t>186ff84d5b5b50a2d790cabc5800b9d1</t>
  </si>
  <si>
    <t>6002f27b7795af4f2bd4da90aca5a958</t>
  </si>
  <si>
    <t>2018-05-31</t>
  </si>
  <si>
    <t>cb740e05716c376f1e99f0509fad75c7</t>
  </si>
  <si>
    <t>697c79c16c63d9a81a331219b49243e8</t>
  </si>
  <si>
    <t>e393cee11ecbbcc2a9b3dd06a660957c</t>
  </si>
  <si>
    <t>556e5ad87434de71e0948b9bca0046f5</t>
  </si>
  <si>
    <t>c70910216a8ff28d93ac7e1c39663784</t>
  </si>
  <si>
    <t>c7e751031488310638a5952834dadf4d</t>
  </si>
  <si>
    <t>6d710101fb9f067dd5385ea1b6021946</t>
  </si>
  <si>
    <t>a0f7769c320fd4c1900add6490eab094</t>
  </si>
  <si>
    <t>80d49171762a51f500bf6b774aa24617</t>
  </si>
  <si>
    <t>fe9ee959acb4aa3fd81440e75ccbe0cf</t>
  </si>
  <si>
    <t>2018-06-01</t>
  </si>
  <si>
    <t>2018-06</t>
  </si>
  <si>
    <t>b142695409c8bbe4749969c0a697148e</t>
  </si>
  <si>
    <t>9dce1279b896cb9d151b2649073089c2</t>
  </si>
  <si>
    <t>7a7ca02c6fd9b1c25e9452a6f56c018a</t>
  </si>
  <si>
    <t>89ee90f89627e3f3d3fa700921a80197</t>
  </si>
  <si>
    <t>0cb2239ee3c4947fce4ab10c1742fe67</t>
  </si>
  <si>
    <t>ea7bc44cb5c025230582d186e6366125</t>
  </si>
  <si>
    <t>f5bb23a6bf7d9bd0d8b8d4575dd82b58</t>
  </si>
  <si>
    <t>d4ab8a264235be36f72a07621046d082</t>
  </si>
  <si>
    <t>470dea50dbd9c5e77735b49bd904af6d</t>
  </si>
  <si>
    <t>e9e6694329a69927508c82d943013cb5</t>
  </si>
  <si>
    <t>d6a544caf1fd9274c3ff0d13257bfeac</t>
  </si>
  <si>
    <t>2018-06-02</t>
  </si>
  <si>
    <t>71551c2db02730406edd5839f5e2a53b</t>
  </si>
  <si>
    <t>a5903a529b9519a24ef2252f50a19cbe</t>
  </si>
  <si>
    <t>7b8cdadf6b13903fc09049ba85f5ecb3</t>
  </si>
  <si>
    <t>bd18cc55469db99cfb36886d68bb3791</t>
  </si>
  <si>
    <t>2018-06-03</t>
  </si>
  <si>
    <t>7c5c5961b54c4057653d3b72bc612585</t>
  </si>
  <si>
    <t>2709ee9d4fc363bd22b6bc782fa3668f</t>
  </si>
  <si>
    <t>d185b5e82eb8f2ff1175d13bbbdcea13</t>
  </si>
  <si>
    <t>f93af565de05d2427790ad8d0368a80e</t>
  </si>
  <si>
    <t>cd1709e97dc100d3eea6e801ca6f3a29</t>
  </si>
  <si>
    <t>63523ca4619b9bf3e69631ca6a273e4f</t>
  </si>
  <si>
    <t>5f12df808d35ea25be28ad052f4aa3ea</t>
  </si>
  <si>
    <t>494fa4e20c0a57c2f565a2d43a41462b</t>
  </si>
  <si>
    <t>a0e10efd1951db4d6347c04f4c79a3f5</t>
  </si>
  <si>
    <t>cc8978e74f4d8907fbad695ee3f7f933</t>
  </si>
  <si>
    <t>2018-06-04</t>
  </si>
  <si>
    <t>adf094db594ac7282fe50859f69cdb31</t>
  </si>
  <si>
    <t>1bab231e166587a2e6834a89ab97b32d</t>
  </si>
  <si>
    <t>45c653bdeb327fde86e2a52bd3d33e89</t>
  </si>
  <si>
    <t>13d7a56c8538c342f96bc88730ef2919</t>
  </si>
  <si>
    <t>96b205ed4ede615918071ef68a2f8831</t>
  </si>
  <si>
    <t>49d0ecc62e79de0f34766cb97df47cf7</t>
  </si>
  <si>
    <t>9991f93b8033efb6a155363142504f5a</t>
  </si>
  <si>
    <t>3d1a669c8ccacd61bf065e1537d5cad4</t>
  </si>
  <si>
    <t>182499c96e47e2fa18c6d442a1fa6b1f</t>
  </si>
  <si>
    <t>a67eb7e1e345d47ea191f88d20b02f48</t>
  </si>
  <si>
    <t>753e537c63c618f5c27c4a3a51182909</t>
  </si>
  <si>
    <t>77178560d74827781c4c0495c5a5abc2</t>
  </si>
  <si>
    <t>a29e1c93ee597410428699bb1e339edb</t>
  </si>
  <si>
    <t>d105b386fa5b4aab107c43ba2760f64b</t>
  </si>
  <si>
    <t>dbaabdb0be80480bf6306b5e3c953017</t>
  </si>
  <si>
    <t>0b9b1c5bbb14862e0e96660280048b04</t>
  </si>
  <si>
    <t>61762cc32c47f742be3e930cac5d681d</t>
  </si>
  <si>
    <t>9d2a11bab82354e3c134c7212988228a</t>
  </si>
  <si>
    <t>2bae46553a029f4e6c9976e173d676ef</t>
  </si>
  <si>
    <t>099e239a7cce8ed6ef0905feb80808c0</t>
  </si>
  <si>
    <t>75b96a3b1a4aa70f1b20c1e86020cfd3</t>
  </si>
  <si>
    <t>8deb64b979ba1e9e5325ca8427efec4f</t>
  </si>
  <si>
    <t>2018-06-05</t>
  </si>
  <si>
    <t>c046779e1ef14c11e325b9b9a46d610d</t>
  </si>
  <si>
    <t>0e6844f9954c0a475641b6490c3f9739</t>
  </si>
  <si>
    <t>90e0d38d1d5842547ebd5cb95069c1f7</t>
  </si>
  <si>
    <t>6333046a213dd2a7a2fa8909a8111bfb</t>
  </si>
  <si>
    <t>1a73487544d0b9f2ae19eaf22e3c7462</t>
  </si>
  <si>
    <t>c2baa2c68f42b3980566cf7f366fcd5b</t>
  </si>
  <si>
    <t>507a6db9c4fdc782cddab2d468782a97</t>
  </si>
  <si>
    <t>a44bccae654f637781e1918da79f4fd2</t>
  </si>
  <si>
    <t>2018-06-06</t>
  </si>
  <si>
    <t>3eaa38ceecb7aa8a13c72b571236041d</t>
  </si>
  <si>
    <t>859b8b69ff63d94b4c45df72adb387b2</t>
  </si>
  <si>
    <t>6f61cfff949f6d2569a44327aaaca639</t>
  </si>
  <si>
    <t>f8433ba8190dc8137e3409d466cf90ef</t>
  </si>
  <si>
    <t>38776c227318fc6906defc2d197cb17a</t>
  </si>
  <si>
    <t>dd254408dc9d63326b2028c5ffe9e23b</t>
  </si>
  <si>
    <t>55d273b56003b6897fad01895ef4f482</t>
  </si>
  <si>
    <t>87afd3fd1ec1b984a228c772b5dd2a4c</t>
  </si>
  <si>
    <t>80e3ea9d65b89f8cbaa3d1f08f5dbd17</t>
  </si>
  <si>
    <t>605b6e2919387ca3cd0480e7d420320f</t>
  </si>
  <si>
    <t>92ba7c89244ceee45a169b86da9fcada</t>
  </si>
  <si>
    <t>3dbe9476def7eceba5ab2cab07ac948e</t>
  </si>
  <si>
    <t>8d73d05fe1d2142179985e04712e8485</t>
  </si>
  <si>
    <t>5ef687909733df8914b4723111ceb1a2</t>
  </si>
  <si>
    <t>ac5cedb0f5d816dd6ac33929fcfd1f00</t>
  </si>
  <si>
    <t>2018-06-07</t>
  </si>
  <si>
    <t>d931b40ce94a288787de6e568f9a76b3</t>
  </si>
  <si>
    <t>2f1134015ad299ec4f3ae950c5761e69</t>
  </si>
  <si>
    <t>cd9a4a2f34981d431266156f950ce0ef</t>
  </si>
  <si>
    <t>8881dc280b8de23e6913aaee6bf61bb5</t>
  </si>
  <si>
    <t>0eeaf3619d35e90b2430da57d351dd01</t>
  </si>
  <si>
    <t>73563e5cad2305f7972626384efdd8a1</t>
  </si>
  <si>
    <t>87366ca73707125ffa59204926a728cb</t>
  </si>
  <si>
    <t>c79d89949e9c0c15257737ad928cd954</t>
  </si>
  <si>
    <t>23d4f61b839ef6570d6bc7210be91d8b</t>
  </si>
  <si>
    <t>2536e0f8936553b5d7c7de59d0dc4b0e</t>
  </si>
  <si>
    <t>2018-06-08</t>
  </si>
  <si>
    <t>4ec19b697aade053fdce351d848f2a01</t>
  </si>
  <si>
    <t>b17d1971fecd03b2f511cbf6cfab681e</t>
  </si>
  <si>
    <t>df7cf69b92e5ffc5ff57038ee4990f00</t>
  </si>
  <si>
    <t>425fcc243ccff35a28b40a54a506487b</t>
  </si>
  <si>
    <t>a506cff68ad939f030138d38c2350dd0</t>
  </si>
  <si>
    <t>aaddf267c922a9dd81dd0d1ba5d0459a</t>
  </si>
  <si>
    <t>6902f0d9d7309f56f50b8713c3b6a4de</t>
  </si>
  <si>
    <t>8512c3651a6750c25e333aebff60ca57</t>
  </si>
  <si>
    <t>00c4f17dcb94448f27a2cbaa83f10a4b</t>
  </si>
  <si>
    <t>d522ea055ceb7a828b6a82e266837784</t>
  </si>
  <si>
    <t>2018-06-09</t>
  </si>
  <si>
    <t>88ec70d10d0a2e45b46dc7fc335b56fb</t>
  </si>
  <si>
    <t>c0fc9ab7bf56d900f1456a75b2cb5ab9</t>
  </si>
  <si>
    <t>fffe41c64501cc87c801fd61db3f6244</t>
  </si>
  <si>
    <t>7f2309408220014301685cdf123b4067</t>
  </si>
  <si>
    <t>5765cf3a5fe5d5d74cfac532f9d48939</t>
  </si>
  <si>
    <t>aa99487411b30032936831e56c42da2f</t>
  </si>
  <si>
    <t>85bc57a3e811daa04557aabba27f535c</t>
  </si>
  <si>
    <t>4d830da4d207262a3965ac4429084d52</t>
  </si>
  <si>
    <t>3b45c3fa7862deec90565c3dbf6e9e8c</t>
  </si>
  <si>
    <t>2018-06-10</t>
  </si>
  <si>
    <t>80288d8ccb8b1899f5377f27feebb1f0</t>
  </si>
  <si>
    <t>ea0295dc22e609716e19683e24874c1c</t>
  </si>
  <si>
    <t>997428ea645e3cced2ab880385654112</t>
  </si>
  <si>
    <t>4879204a6b45d7ba10b3d703ba460778</t>
  </si>
  <si>
    <t>9400d8dac20b5beae1c2833bf7dc440f</t>
  </si>
  <si>
    <t>852d24d230e0038f83e1337c4ab06147</t>
  </si>
  <si>
    <t>9682e213157788365257ba787969f33b</t>
  </si>
  <si>
    <t>0505a29e827a4c609b3fd250c0313bef</t>
  </si>
  <si>
    <t>78fe61feb61fcd8421082ee8888cd93f</t>
  </si>
  <si>
    <t>5380e1df2075d96eee6f72be7d0a0b7e</t>
  </si>
  <si>
    <t>49afa8bc01b5b6aa01e875a0785cc7bf</t>
  </si>
  <si>
    <t>5551af3c5c287246cc239e923963ef6c</t>
  </si>
  <si>
    <t>4a6f0e75398881152007f6ab2d3f5159</t>
  </si>
  <si>
    <t>e6c7749520fc49e6ede435a6996d5f0e</t>
  </si>
  <si>
    <t>4c5e883786df8d555be4dc12f11d3fe7</t>
  </si>
  <si>
    <t>2c70f2b99096bd1c7b05eede8e860fc8</t>
  </si>
  <si>
    <t>2018-06-11</t>
  </si>
  <si>
    <t>a5c523f7f14f85ee88f26643f9a99e66</t>
  </si>
  <si>
    <t>b49fb5d1cf86975cf5a295431c278a33</t>
  </si>
  <si>
    <t>616105c9352a9668c38303ad44e056cd</t>
  </si>
  <si>
    <t>464fa85d33903ce6bbc98bc18223dfe2</t>
  </si>
  <si>
    <t>d30523a4766e8ea7e59ce35203bb73e4</t>
  </si>
  <si>
    <t>1b68a09aef174135ac2b4a138c3a1eda</t>
  </si>
  <si>
    <t>d9e882686a56edc2560a4983f10daddb</t>
  </si>
  <si>
    <t>f7f52d7843e579d62167f8afb3d1d946</t>
  </si>
  <si>
    <t>511ec73b8104809938ca0ee00706c0ca</t>
  </si>
  <si>
    <t>a54f14e8c617edc690ea2b56276d6743</t>
  </si>
  <si>
    <t>20a97330a091c74984f7cd0018cd15e4</t>
  </si>
  <si>
    <t>eabdb3245b41ac12ad9302904538202c</t>
  </si>
  <si>
    <t>03ecec245220b63fd7f68c1737ba99ba</t>
  </si>
  <si>
    <t>9a142fefa71ded6bdc21817299f5ab7c</t>
  </si>
  <si>
    <t>c5da9ed3db42d9ae4e1938ebd9f77a5d</t>
  </si>
  <si>
    <t>71e99de0514a59f2e5ac80e89773802a</t>
  </si>
  <si>
    <t>2018-06-12</t>
  </si>
  <si>
    <t>5c6716058d09c774a733e192b5573e96</t>
  </si>
  <si>
    <t>549d30fc0378a3645167a900c9ece399</t>
  </si>
  <si>
    <t>1b764528e41e55c86cae49fca1d5bf18</t>
  </si>
  <si>
    <t>4433add7ec1811cbdb34a289d636f1f3</t>
  </si>
  <si>
    <t>3a5fc5a4374b66b42bae2135cfcdf9e2</t>
  </si>
  <si>
    <t>f2e7c5a142f10116a1e657090e50e83a</t>
  </si>
  <si>
    <t>609fe250465553b45a01fc8de7109383</t>
  </si>
  <si>
    <t>8f702483ec7aee668f059ef71fc07a5c</t>
  </si>
  <si>
    <t>471a20066d4855e0de2359824437be13</t>
  </si>
  <si>
    <t>2018-06-13</t>
  </si>
  <si>
    <t>42c9e271e2d5ac7698d3061451576d42</t>
  </si>
  <si>
    <t>ae1b14b57f98fbf9a364b91093c93e40</t>
  </si>
  <si>
    <t>5bca61e411c4fcce08327a8efc371911</t>
  </si>
  <si>
    <t>3eee7c93497d482e7a3c335e325ea0ec</t>
  </si>
  <si>
    <t>e50fcda6d7d9a1e22b4d9d1d65ae8224</t>
  </si>
  <si>
    <t>9711d975b961355b4b5d636857e48498</t>
  </si>
  <si>
    <t>e2ae500f28aab47adcb9f215fac99b5b</t>
  </si>
  <si>
    <t>dbd8e1a6d62bae210e6a42ed8bcf8d39</t>
  </si>
  <si>
    <t>f52952f4c900a5c0295a392769f7538e</t>
  </si>
  <si>
    <t>59c85bd55f3914b2f9b2d5a4d1309b51</t>
  </si>
  <si>
    <t>e58ac2a3d13a940b460ccc4299264f37</t>
  </si>
  <si>
    <t>2353c3b67536350ec12490aaa0b01c39</t>
  </si>
  <si>
    <t>4c17c523dc7daa9cfdfb327f119179a4</t>
  </si>
  <si>
    <t>cad2acef57f845758b7d0da4ee76a3e1</t>
  </si>
  <si>
    <t>0b61dd71ead1e65e9d50db5b89cb5cc4</t>
  </si>
  <si>
    <t>9f625a3ed898cbfe30b9f9ef44897889</t>
  </si>
  <si>
    <t>9c70e1f41efa94eecfbeeb5f13217760</t>
  </si>
  <si>
    <t>c8567e9b03f16c9c4efdc8f8bf423204</t>
  </si>
  <si>
    <t>2018-06-14</t>
  </si>
  <si>
    <t>7c204785100c09c72acb28ef9a1f2fe2</t>
  </si>
  <si>
    <t>5cd1e199b5a1a3c27407766b2788851c</t>
  </si>
  <si>
    <t>a297f2735d1c57d50a70246794d12c3f</t>
  </si>
  <si>
    <t>df545fca1d6c9f96b0eeeb751a6f2650</t>
  </si>
  <si>
    <t>21068b8eb0d85fa340b2cfaecaec42a8</t>
  </si>
  <si>
    <t>ee1a60d0930166de412a27e2af280f9c</t>
  </si>
  <si>
    <t>ae0b67266fec287e49a6bfa534e52d8c</t>
  </si>
  <si>
    <t>057889a9d468c179e39e9a6cdb5f4f8e</t>
  </si>
  <si>
    <t>2018-06-15</t>
  </si>
  <si>
    <t>b9e021cd678385c5fe5e9ef35d5bae49</t>
  </si>
  <si>
    <t>77b1fb852c170c3b7facfaf20083061c</t>
  </si>
  <si>
    <t>ebcb12dc163784a4dad2cddb8feb64aa</t>
  </si>
  <si>
    <t>7a1b04571b7a200f334cf7a4ab4c918c</t>
  </si>
  <si>
    <t>ba4c51e2b3f76361019f66b1295f2593</t>
  </si>
  <si>
    <t>a2c31cac6514866fed16c4aa57c6f773</t>
  </si>
  <si>
    <t>04f94352a3c9730205d3fa72cb014eb4</t>
  </si>
  <si>
    <t>28cf0d3a2917f031ecf4715669a2dfad</t>
  </si>
  <si>
    <t>77831afddf2a5ebdda899a6adc91f88f</t>
  </si>
  <si>
    <t>3d4b51e124185cb134ebc4fad365dc85</t>
  </si>
  <si>
    <t>2018-06-16</t>
  </si>
  <si>
    <t>3c01ff78a2f337f911274be0d0338656</t>
  </si>
  <si>
    <t>7427527f5f871c1681b4729ca7f38b59</t>
  </si>
  <si>
    <t>3794637715d8b081505b74d3274f9c4c</t>
  </si>
  <si>
    <t>a57d4debabea8a2d143b3d78e224d774</t>
  </si>
  <si>
    <t>97be7604e2c6e1cbccaa1103dbac25ca</t>
  </si>
  <si>
    <t>6e3224c4911f8c73424e7c2c7678c01e</t>
  </si>
  <si>
    <t>2018-06-17</t>
  </si>
  <si>
    <t>2adb88df15a33d97f2990e59b1745820</t>
  </si>
  <si>
    <t>91744dee3192bc28caf20eaa3c2251ef</t>
  </si>
  <si>
    <t>9d465e0a985e7dbc3c4b76c71a479a1f</t>
  </si>
  <si>
    <t>e77f560df130ed0c0170ca3c556ea1d5</t>
  </si>
  <si>
    <t>8104cba0cfe32e03aa870b61f6cdbf24</t>
  </si>
  <si>
    <t>74c13e4838eb5d8953b62b5f5feaf826</t>
  </si>
  <si>
    <t>08b7dbdd744f8be921b6e7f7fac199b7</t>
  </si>
  <si>
    <t>6e1fdac1871d58f1e81976be36a2634a</t>
  </si>
  <si>
    <t>10fd0add9c8dd2fc964bbd79ce10343b</t>
  </si>
  <si>
    <t>2018-06-18</t>
  </si>
  <si>
    <t>4c4f39265955100d527fe377ac3c0f55</t>
  </si>
  <si>
    <t>479374e6d18c89bd20eb4c80cc291fc6</t>
  </si>
  <si>
    <t>30727429f8337a76c80a10e0540ce073</t>
  </si>
  <si>
    <t>5f6499a6a16dcde4cd6fc183a2b26046</t>
  </si>
  <si>
    <t>a4244008bc97ae9cdc3807237fa83229</t>
  </si>
  <si>
    <t>f3dfda8fe064d227cee42eb21b73cc69</t>
  </si>
  <si>
    <t>431478a35228bb7816df8336af000672</t>
  </si>
  <si>
    <t>1c8e780f8b1bf3054b7f2be02ea4bce4</t>
  </si>
  <si>
    <t>f1557b51d80a217105b6edae448b5548</t>
  </si>
  <si>
    <t>6ad7862e05692cc6d511bc83ee4669d9</t>
  </si>
  <si>
    <t>b11b5fa23629054214fa15a68c0cfe73</t>
  </si>
  <si>
    <t>6ff68e4d7ba469f258223a389f864f25</t>
  </si>
  <si>
    <t>07f970754e737efe221e6349eeb5a8e7</t>
  </si>
  <si>
    <t>1d67293aa79feef7aac612621d710869</t>
  </si>
  <si>
    <t>2018-06-19</t>
  </si>
  <si>
    <t>b378d3979dc4d1d8bd701f93e8b7ce6a</t>
  </si>
  <si>
    <t>fd46b456c10f8d438b9dcaeb69932853</t>
  </si>
  <si>
    <t>771a3c809e079dc89392a34a5d797651</t>
  </si>
  <si>
    <t>d5b01c154bfa35f8f18cf115336714f4</t>
  </si>
  <si>
    <t>ba6fe5e92a31200b06b69c99171eacf8</t>
  </si>
  <si>
    <t>f247c7a7f6677c91066b72c033b635f3</t>
  </si>
  <si>
    <t>303a73983ac1421570602e1812ea3bbd</t>
  </si>
  <si>
    <t>18898a06fcd1e440c28bd18943ea0e92</t>
  </si>
  <si>
    <t>9a07b32ac6acb2734d3da27111fafd4f</t>
  </si>
  <si>
    <t>2018-06-20</t>
  </si>
  <si>
    <t>7a0698ce87fc4cd3e171e7361f0bc0b5</t>
  </si>
  <si>
    <t>c17d3d6c480b09300d8daa2eb502d060</t>
  </si>
  <si>
    <t>0de08476877eca848f61e9e236256b3a</t>
  </si>
  <si>
    <t>ccf27ea35dc842ef81bc07ec33164b56</t>
  </si>
  <si>
    <t>81ed84aeb6c20f643158b0e0ec587bd2</t>
  </si>
  <si>
    <t>aaabf43feb9498d9de4588eb73231c25</t>
  </si>
  <si>
    <t>f1abca034cc2b7c0f679e551dc63f6bd</t>
  </si>
  <si>
    <t>ba7243ecb3b63c80579ba1d4c34e277c</t>
  </si>
  <si>
    <t>2018-06-21</t>
  </si>
  <si>
    <t>18a9c1f948e1b0500785565ef4041b85</t>
  </si>
  <si>
    <t>b2a075b61f56f754745f60eeca7c0f63</t>
  </si>
  <si>
    <t>4141a4d0188de2c856950810c9a5e52c</t>
  </si>
  <si>
    <t>033abfda50a317e7664dc789031fbdef</t>
  </si>
  <si>
    <t>7c48889642a4142114249d57bb4bdee4</t>
  </si>
  <si>
    <t>f3ef0ddf732dfd6a0c31fe3f8cd3b948</t>
  </si>
  <si>
    <t>1fb42df5f777c1b9bf5790d888e15075</t>
  </si>
  <si>
    <t>382b28c2f9fa93f5bb38c304ea11d6fc</t>
  </si>
  <si>
    <t>2018-06-22</t>
  </si>
  <si>
    <t>591776df8fe679d1406cdf74040ba972</t>
  </si>
  <si>
    <t>03211eda276999d5eaa8a167a4b6286a</t>
  </si>
  <si>
    <t>613aa65ab0ca25bcfc8ce3812cafae2d</t>
  </si>
  <si>
    <t>248aebbd996d29fa9e2c5fbe3d4bfd38</t>
  </si>
  <si>
    <t>aed8a6355c72e229dbe6db611871f210</t>
  </si>
  <si>
    <t>77787bddc1466e4041a18a6109163e72</t>
  </si>
  <si>
    <t>aaf89e8d7cbbf9a40432e9e1a9c880c8</t>
  </si>
  <si>
    <t>05a61d016706110ed3580eeba84e31c7</t>
  </si>
  <si>
    <t>abed2a2ecd907630587f0062063d3df7</t>
  </si>
  <si>
    <t>2d8a0bc4abbb7bbb3a420f2219f02f93</t>
  </si>
  <si>
    <t>2a6d1505d28e5a6956a20dcdaa6e0464</t>
  </si>
  <si>
    <t>d4938fbb008a69c486b8f17c96739905</t>
  </si>
  <si>
    <t>fe386506094fadffd450e5754b5d9c17</t>
  </si>
  <si>
    <t>2018-06-23</t>
  </si>
  <si>
    <t>274a7f7e4f1c17b7434a830e9b8759b1</t>
  </si>
  <si>
    <t>2db42ea65de6f21be729a6671b074a4b</t>
  </si>
  <si>
    <t>71588428f9341618a05bf69e1aba5128</t>
  </si>
  <si>
    <t>3ba7bbd7b7686df219611578ece6918c</t>
  </si>
  <si>
    <t>5fbf74426609c2706727d1e358652e36</t>
  </si>
  <si>
    <t>ef814f60d8d32909ecb19879c24c1f53</t>
  </si>
  <si>
    <t>9040dcd14cc032f8abce25f90b9739d8</t>
  </si>
  <si>
    <t>2018-06-24</t>
  </si>
  <si>
    <t>8bad870bb86e0b67f6db07bb5e3c55c5</t>
  </si>
  <si>
    <t>aaf164d36ed493530b104e9e76e44af9</t>
  </si>
  <si>
    <t>adc2f0c9fd838d820339f8220c1adf08</t>
  </si>
  <si>
    <t>c12dc1b88c47c377eecc9384a4b1c7bb</t>
  </si>
  <si>
    <t>ec042ef0cc05d098905c4383c70f9132</t>
  </si>
  <si>
    <t>b1973248ff76d9a24f6a8888662de6bd</t>
  </si>
  <si>
    <t>f6222b0551b7a86b06483e58df64df89</t>
  </si>
  <si>
    <t>13831f5b4e64bcef58f4a1b4cc8748d4</t>
  </si>
  <si>
    <t>3f0371aa67821598a57596f091ac6ba5</t>
  </si>
  <si>
    <t>50cc713127f0c3035445fd5fc64460f9</t>
  </si>
  <si>
    <t>3bfc35d4ba7683a65787e6be78b670f4</t>
  </si>
  <si>
    <t>08e33dc1bf04d3cbc2fb5e93fbfcd6c2</t>
  </si>
  <si>
    <t>e1bef85e8803340d03472e920d4a7ce1</t>
  </si>
  <si>
    <t>2018-06-25</t>
  </si>
  <si>
    <t>99c7028b41234ebb47c132aa3c6a1b47</t>
  </si>
  <si>
    <t>f2991816555a193c68d97e39cbc85277</t>
  </si>
  <si>
    <t>c94206a6d6698d5852b7e9e14bdc2e79</t>
  </si>
  <si>
    <t>d614d13ed2aca6884ec736b100a96c50</t>
  </si>
  <si>
    <t>b647b0e8ecce1771ba6f6a0cc30d3f99</t>
  </si>
  <si>
    <t>275bdc3d32ed65dee689eecaa10e7a80</t>
  </si>
  <si>
    <t>2f9518f273a6399fe8a94d78129fe404</t>
  </si>
  <si>
    <t>9df16fc9c0296bef63c2effb85d6969c</t>
  </si>
  <si>
    <t>b13d41f7f58e83efb42dde0657777b9e</t>
  </si>
  <si>
    <t>aad86d958ecbedd8da621bf570b1ab1a</t>
  </si>
  <si>
    <t>1bc4cbfa417cbf64682ad0f639f9e58c</t>
  </si>
  <si>
    <t>c1e09d04655160d6d54de41e9d001c47</t>
  </si>
  <si>
    <t>020aec76c43508e4214579c52c1133f4</t>
  </si>
  <si>
    <t>62a7bb29522188f4c6467125ea02e867</t>
  </si>
  <si>
    <t>0261eac8b7b097ab1e28579b69e6ea90</t>
  </si>
  <si>
    <t>d93ef0caa7a160caec60b4d6833415a6</t>
  </si>
  <si>
    <t>cc8454f08599794be25a95f691617e11</t>
  </si>
  <si>
    <t>9b52c70d4fbddc36fa8c5e4c94c66501</t>
  </si>
  <si>
    <t>0f9dcd718955037bf65c97edcee390ff</t>
  </si>
  <si>
    <t>2018-06-26</t>
  </si>
  <si>
    <t>1a2056a1d6e8db71b7d777ec36f9b1b5</t>
  </si>
  <si>
    <t>c139edcf8b223915f78d5a487a6b5500</t>
  </si>
  <si>
    <t>05086b5a715c97d1971784b6ae899a6d</t>
  </si>
  <si>
    <t>7dba3fad5219968d9c9d8e03aa43bb35</t>
  </si>
  <si>
    <t>d99c72513d6238909b57399c840fa8ef</t>
  </si>
  <si>
    <t>ced1aea35f3b1e1474390a452a02d750</t>
  </si>
  <si>
    <t>5f19271c1eb0a8eb0a1efed995df752b</t>
  </si>
  <si>
    <t>7f2401dd864cb66d12840ebff7581231</t>
  </si>
  <si>
    <t>36e78e784a4d494d933d65b28b7bca99</t>
  </si>
  <si>
    <t>721ee49ca54fe5b73b1871b5e4cb1f57</t>
  </si>
  <si>
    <t>c9e3d29ede6d60999c59c8626757ec6c</t>
  </si>
  <si>
    <t>fa99f9d0ca69a5d2bc4c66f71e31918e</t>
  </si>
  <si>
    <t>eaa950f3b3db6c1a8f5d884992a997c0</t>
  </si>
  <si>
    <t>9a6a8b514f1317683ed32c9775e2cfc6</t>
  </si>
  <si>
    <t>2018-06-27</t>
  </si>
  <si>
    <t>f655ae6fff7b523b34ac845cd918b87f</t>
  </si>
  <si>
    <t>4f2dc4a949823819bfc75b784fb32686</t>
  </si>
  <si>
    <t>57ecffc3a29fb1db005184b46b5f655d</t>
  </si>
  <si>
    <t>efa967efa40217c320aa7aa2954ebe52</t>
  </si>
  <si>
    <t>a4e65d48cbd25e5dd19d906d3cb180b2</t>
  </si>
  <si>
    <t>cca0fdbe32d86d386a95c02433412640</t>
  </si>
  <si>
    <t>fcca6c3fefb03709360cbcc79f2ff73d</t>
  </si>
  <si>
    <t>3cd800ca7c2571661a5d8f0fe9053536</t>
  </si>
  <si>
    <t>2018-06-28</t>
  </si>
  <si>
    <t>8b287c802866ec3b7b594e5cbc2d5acf</t>
  </si>
  <si>
    <t>7e9d429736ca906b27567eceda90f4b6</t>
  </si>
  <si>
    <t>454ecfc568c4d964048236e91a42bda6</t>
  </si>
  <si>
    <t>f8164ab157d2fa8835750d2249e9b1cb</t>
  </si>
  <si>
    <t>bbeace003fa084aa3ecbb486d76b6766</t>
  </si>
  <si>
    <t>1347a24fc320c48fcaf6ed2bed66ee30</t>
  </si>
  <si>
    <t>62ff10e32649e2f8d65d3acf35c67580</t>
  </si>
  <si>
    <t>67119966e190b3d2f210b4f9117395f1</t>
  </si>
  <si>
    <t>67816bc8a83ed1ca09b99c2512cbedb3</t>
  </si>
  <si>
    <t>7d20c79f25c64f2c7feca12d01677c8e</t>
  </si>
  <si>
    <t>7d1e3a395580e827eff45e47efd8017d</t>
  </si>
  <si>
    <t>12d8f84b2205c7654fdf6768718d243d</t>
  </si>
  <si>
    <t>b49298f3f28ff2194633444aa6b08cb4</t>
  </si>
  <si>
    <t>4f1e72c86c397722120a1cb409714f5e</t>
  </si>
  <si>
    <t>9ea96bace1093d93e7fcbdfabc1dc830</t>
  </si>
  <si>
    <t>c6952ba78d5adfd24e93300fc30718c6</t>
  </si>
  <si>
    <t>d5a809a7a258b9196d2bde32e7b9546e</t>
  </si>
  <si>
    <t>4ff4e765fb57ce1bc954bf8138e14013</t>
  </si>
  <si>
    <t>2018-06-29</t>
  </si>
  <si>
    <t>b82cf5fe4911adae1a6d2c4b171ec237</t>
  </si>
  <si>
    <t>58f9ab98b542d84139dda631d9e257d5</t>
  </si>
  <si>
    <t>b1303b12e93f925254918495e630d0a2</t>
  </si>
  <si>
    <t>9b36be8204e21a5c4bb5be20c404cc1e</t>
  </si>
  <si>
    <t>eb55f59a44f8ca8558eb570394b598da</t>
  </si>
  <si>
    <t>7954d26fa0d387724ccb30d846ebbd9f</t>
  </si>
  <si>
    <t>9eea7815889d95c5fbd5d314ebc40fe5</t>
  </si>
  <si>
    <t>5f4488ffadc1defe6b015c8c6e128c46</t>
  </si>
  <si>
    <t>b2642502bf8864ede538c80b67275178</t>
  </si>
  <si>
    <t>2018-06-30</t>
  </si>
  <si>
    <t>a4c100660bd4f8af58cf90ef7641d5e6</t>
  </si>
  <si>
    <t>81161411335afb1d9c6dfd1b42a63eb3</t>
  </si>
  <si>
    <t>1fcbc88015c88c1a14d4b8ec35ea8ed7</t>
  </si>
  <si>
    <t>43e22b919baf176fe28fb243217cc90c</t>
  </si>
  <si>
    <t>2018-07-01</t>
  </si>
  <si>
    <t>2018-07</t>
  </si>
  <si>
    <t>845f40ca6f1b315562f20fd125f93330</t>
  </si>
  <si>
    <t>cbbf61b366cb1ca7a9f9b954e8f345b5</t>
  </si>
  <si>
    <t>fd3a02bb749359b9e6a4126cd8a50822</t>
  </si>
  <si>
    <t>a994ff8265aed38e21cb63b2d8402b09</t>
  </si>
  <si>
    <t>644e4fc3f5cdee08df44f2534319fac8</t>
  </si>
  <si>
    <t>2018-07-02</t>
  </si>
  <si>
    <t>04b7151492b049661380a47e0449f9b6</t>
  </si>
  <si>
    <t>988601ceae0e294c4482e8ef89e4bfd7</t>
  </si>
  <si>
    <t>d08c879188638eda44ea5da9dca68d09</t>
  </si>
  <si>
    <t>181f3a2409fbfd9640a4e017c3b9971f</t>
  </si>
  <si>
    <t>3cc9d3f8dca39fc7c29d082e1197b488</t>
  </si>
  <si>
    <t>1abd0dfe27b9146f0fe7ac0e4d03fcf5</t>
  </si>
  <si>
    <t>401de49ffa73d6f2b442357b6c84beab</t>
  </si>
  <si>
    <t>b91ca0418b6f2ae549bb6f356eee80cb</t>
  </si>
  <si>
    <t>614e6a3e3a3c1ef48fa89ab1e15da0fb</t>
  </si>
  <si>
    <t>9da2b22e3f25c8310d5e5c36084a97ea</t>
  </si>
  <si>
    <t>6a83e5c040d9fc9d14c1035925ecee1f</t>
  </si>
  <si>
    <t>65c103df35abbe57462ae508a41fe3a3</t>
  </si>
  <si>
    <t>2018-07-03</t>
  </si>
  <si>
    <t>95807754346c1a01b8040f29f42f74d7</t>
  </si>
  <si>
    <t>d32e51406daab72e2dceefb08b096e13</t>
  </si>
  <si>
    <t>88d55d6258872b31bf45ce51a6675c2b</t>
  </si>
  <si>
    <t>b5b79bbbc8693953906951dad6a55f07</t>
  </si>
  <si>
    <t>b3c2fc7374cd5dbb27c84f1a0315594d</t>
  </si>
  <si>
    <t>b8a33fa5ef27e365f04703b899401762</t>
  </si>
  <si>
    <t>6672ea757b340c6ebd644244a2c982ae</t>
  </si>
  <si>
    <t>4d513811c3447933c3472defe4992141</t>
  </si>
  <si>
    <t>af79819a5f90540c8d9a0eb9a4ed589c</t>
  </si>
  <si>
    <t>f15eda4eee582fbfebc330748f24e208</t>
  </si>
  <si>
    <t>2018-07-04</t>
  </si>
  <si>
    <t>b090db406a3c2b8c132d12115b575fa8</t>
  </si>
  <si>
    <t>000576fe39319847cbb9d288c5617fa6</t>
  </si>
  <si>
    <t>159da9914b51de617fe80162939965c5</t>
  </si>
  <si>
    <t>51ee9ef5d831b5f76f97d2819e7f94a9</t>
  </si>
  <si>
    <t>c9e7721790d06c21ff6fcd2dee7a2f73</t>
  </si>
  <si>
    <t>7889e9a569a5488a0c9d93381a13d5ba</t>
  </si>
  <si>
    <t>c2320c404179d2b8805c42b8b8de9668</t>
  </si>
  <si>
    <t>15dd36b746e48dfec9824dcebef22b7f</t>
  </si>
  <si>
    <t>994572d6e67b97ce9c9ceb7cc0f6445f</t>
  </si>
  <si>
    <t>8ad43a57bb88d52531c6facae014a8ae</t>
  </si>
  <si>
    <t>aea67f89b3841f780d8eed0beabd3398</t>
  </si>
  <si>
    <t>2018-07-05</t>
  </si>
  <si>
    <t>7da29e735c26d64e18e421e8eadf2f1b</t>
  </si>
  <si>
    <t>7a8f0c1255003a0de7fd484dbab75fdb</t>
  </si>
  <si>
    <t>75e6eea3103ed05319ebfb5947e94b02</t>
  </si>
  <si>
    <t>87bad102fdebff40d7f35773874f5c5d</t>
  </si>
  <si>
    <t>a56a7f475df6154f6e6ad0311578f697</t>
  </si>
  <si>
    <t>ec6fe04836bc8811fedf31b14bd8b549</t>
  </si>
  <si>
    <t>020f04b3da1d597b9a00b825762299ba</t>
  </si>
  <si>
    <t>c0ebb2411df290b3d4e15a8409f419b2</t>
  </si>
  <si>
    <t>c22f4f00d48f26a217d8f07c7653b588</t>
  </si>
  <si>
    <t>fd5bd3708628df1f0104d49b995f87d7</t>
  </si>
  <si>
    <t>aafd725a98bce75b9d5c31adbe708cb7</t>
  </si>
  <si>
    <t>2018-07-06</t>
  </si>
  <si>
    <t>06d77e4ba21f283252286b6a72fb8fe2</t>
  </si>
  <si>
    <t>2305a735f5b64c8b4e0e7e3d64b5a39f</t>
  </si>
  <si>
    <t>4d4c65feca16bc9de359cb5d4feef10d</t>
  </si>
  <si>
    <t>270405232941d7da4e2b02fb8580f571</t>
  </si>
  <si>
    <t>d5d3b4b504a59a416704978bb72fce3d</t>
  </si>
  <si>
    <t>9a7e8939f3e332415b9915a209e3607e</t>
  </si>
  <si>
    <t>2018-07-07</t>
  </si>
  <si>
    <t>d6df3e183721aa30b30577e1184eaa7f</t>
  </si>
  <si>
    <t>4d0bd88af1748e0658ddfad3100b2958</t>
  </si>
  <si>
    <t>55d03c0ad1a4743f9845da6d9444beaa</t>
  </si>
  <si>
    <t>b8b12c952ae497fb7389315cd2a101e1</t>
  </si>
  <si>
    <t>2018-07-08</t>
  </si>
  <si>
    <t>e37cb83a77f2c53e5710ace789c66a97</t>
  </si>
  <si>
    <t>52b5d339bbba7bd8f18ca836ab540227</t>
  </si>
  <si>
    <t>3777fdee1e90e53636623e02ecccc4ba</t>
  </si>
  <si>
    <t>6931075877d7cbb8cc81cad6c66d67c7</t>
  </si>
  <si>
    <t>051c701261744807b2535ab976842f7e</t>
  </si>
  <si>
    <t>5227f2736ccc6b82c2bdf19be46b1320</t>
  </si>
  <si>
    <t>d30d0c9c3a766ca0d558a205d4579320</t>
  </si>
  <si>
    <t>2018-07-09</t>
  </si>
  <si>
    <t>47ce198e173de34ed4c92187e82717ac</t>
  </si>
  <si>
    <t>30597e915fa41c74c59cf5f8ce640d3d</t>
  </si>
  <si>
    <t>ef0e9ebf18b0033d57b60ee42b12d65f</t>
  </si>
  <si>
    <t>d17eedcc5d276d0eb9ea566289f89352</t>
  </si>
  <si>
    <t>d1632cdbf90f11c2d5fa53d5c3deeadf</t>
  </si>
  <si>
    <t>e0f57f06590a2aee981778faa5b7c80c</t>
  </si>
  <si>
    <t>20a1b5b821806e87157587550af9d52e</t>
  </si>
  <si>
    <t>78420988bdc7bf4dac19e4fe4ccdbd6a</t>
  </si>
  <si>
    <t>86c411cc5e0c28b069f3e98edc6e6290</t>
  </si>
  <si>
    <t>2018-07-10</t>
  </si>
  <si>
    <t>b1e7ea6ef4104c3bcd94c0b9260717b2</t>
  </si>
  <si>
    <t>28a1ff56441c9df5d5bfaead83cd76fd</t>
  </si>
  <si>
    <t>c3d8d92b4371e7710cdc67fcb1f49a34</t>
  </si>
  <si>
    <t>d10503eeef371049c26e11de7d6552dc</t>
  </si>
  <si>
    <t>2018-07-11</t>
  </si>
  <si>
    <t>8a9424899aac432d80d8e580932b5ee9</t>
  </si>
  <si>
    <t>977649a07fb7be354cc39d9a79ee83e1</t>
  </si>
  <si>
    <t>15f8e1e2abf48b0c5161b2f0110ba6eb</t>
  </si>
  <si>
    <t>58346246ea802a21cb34124ed2326770</t>
  </si>
  <si>
    <t>789ef8e547844763c96f5e815b5478e3</t>
  </si>
  <si>
    <t>2018-07-12</t>
  </si>
  <si>
    <t>490a97982e956ca7dcafe2282467dccb</t>
  </si>
  <si>
    <t>75d5ef4d60406619e9be0c9be3c3d92c</t>
  </si>
  <si>
    <t>e051aa19f5f2e6a98406c005cf5c656b</t>
  </si>
  <si>
    <t>15ea2ff54aafb487d482a527b120464b</t>
  </si>
  <si>
    <t>308163f9666c3f335e92b0f0f61554ed</t>
  </si>
  <si>
    <t>da3dc62f13188f2866f5775585107a7f</t>
  </si>
  <si>
    <t>49df58eca26497b2af5a5685006f9615</t>
  </si>
  <si>
    <t>58435d6ff97216c2ca1eab87aba77dff</t>
  </si>
  <si>
    <t>2018-07-13</t>
  </si>
  <si>
    <t>b8eaf5e9d1583c47190523695464e441</t>
  </si>
  <si>
    <t>53302305754d77daab8c64a29db8d8c4</t>
  </si>
  <si>
    <t>c37d41945512f0cfbcdd0f085bbd04d8</t>
  </si>
  <si>
    <t>dacb857612778747b96d5afcad0adbd4</t>
  </si>
  <si>
    <t>a6ecc5068e6e585b2dca3e496ba4b277</t>
  </si>
  <si>
    <t>b3c22881ab836451fc66d6cbf6a2083e</t>
  </si>
  <si>
    <t>70f3d00cfbc9cc2a465887a6edeb1149</t>
  </si>
  <si>
    <t>2018-07-14</t>
  </si>
  <si>
    <t>ca5194dbc94536f842d03241b5a223bb</t>
  </si>
  <si>
    <t>fffcd46ef2263f404302a634eb57f7eb</t>
  </si>
  <si>
    <t>94205d5566885abf3cb4da408bdb1ae9</t>
  </si>
  <si>
    <t>8780697430377d453d0cf3f29848a515</t>
  </si>
  <si>
    <t>fafc6736ffc73023e2685c30aa3822c2</t>
  </si>
  <si>
    <t>2018-07-15</t>
  </si>
  <si>
    <t>6c825e27cef5e047f570be83dd1feaba</t>
  </si>
  <si>
    <t>dd42be32e12fb6ede27f5debb852e94a</t>
  </si>
  <si>
    <t>0c283c8e0c146f4528295a6f4ade284f</t>
  </si>
  <si>
    <t>a77391cdf600460b495855e76f6938c8</t>
  </si>
  <si>
    <t>214e3e63d08a54a0670daa8ce72df870</t>
  </si>
  <si>
    <t>2018-07-16</t>
  </si>
  <si>
    <t>cf5f9668e80998cdc237f43f27857570</t>
  </si>
  <si>
    <t>d9770884f02a4e0d5e0f9d8fc5f5b9c4</t>
  </si>
  <si>
    <t>e3d1d37007a4d31d2269ba250664f6b2</t>
  </si>
  <si>
    <t>6ffc78c9003aa616f58b4de610bcce29</t>
  </si>
  <si>
    <t>9645ec392b0691767c5d0e2fabca23d7</t>
  </si>
  <si>
    <t>afc68d1f35e9dfe8220c9b9e27647065</t>
  </si>
  <si>
    <t>82f4c933483d577ca9f00f49b1203155</t>
  </si>
  <si>
    <t>7a40bb8803549af172ca4403ff436229</t>
  </si>
  <si>
    <t>455dbd3c7fa4666ddb7b723bbdd09076</t>
  </si>
  <si>
    <t>5dea57306e01caa42ad0b07b85042953</t>
  </si>
  <si>
    <t>c8e2288c4eab2cbafdf32fbde78f5a0e</t>
  </si>
  <si>
    <t>37754393d4f73d9ef01dc61d6bac379b</t>
  </si>
  <si>
    <t>02521a906b13fc8ff9314bf88adc31ed</t>
  </si>
  <si>
    <t>274f33c3b4d5612a37e3a223a2d9bc5a</t>
  </si>
  <si>
    <t>2018-07-17</t>
  </si>
  <si>
    <t>e918a18483ed36b716b6fbc8cf570e83</t>
  </si>
  <si>
    <t>07294ed0ece67bb004a4813c77dfc3e3</t>
  </si>
  <si>
    <t>c027f3c5515fef73b9212d8381c33b25</t>
  </si>
  <si>
    <t>c85e13fa13301ec2cb996db10353e737</t>
  </si>
  <si>
    <t>7caa2aaed7e9a56d1bc1004eb7d296e5</t>
  </si>
  <si>
    <t>7c92284adbec8033d160303d83065dbf</t>
  </si>
  <si>
    <t>81fffc4a57c371d20f822517c9e4f9ae</t>
  </si>
  <si>
    <t>715b8576b74d53796bcbb107a201eb55</t>
  </si>
  <si>
    <t>2018-07-18</t>
  </si>
  <si>
    <t>af249ad76f0a378300eb8de655b82166</t>
  </si>
  <si>
    <t>af8f5e473ef8dd20e4357b3bddf1accd</t>
  </si>
  <si>
    <t>2c313debfbfb2b44f91ae0431823ccb4</t>
  </si>
  <si>
    <t>54a05520cf3e089ebf5dd8575f9ac38a</t>
  </si>
  <si>
    <t>8c2189f32103647dde2d19e9045c2a76</t>
  </si>
  <si>
    <t>fb9e94685fede37314f883d0bb0c2561</t>
  </si>
  <si>
    <t>31932da1b041c8391eb82c14213e73fb</t>
  </si>
  <si>
    <t>ee08d8ee1e91201837b8d764336db291</t>
  </si>
  <si>
    <t>45904bc2f27b4b3d71f27fc638080399</t>
  </si>
  <si>
    <t>8ec29b681fd22a8225b16acff79330a0</t>
  </si>
  <si>
    <t>45cac4320420da8cf4dac44accae079a</t>
  </si>
  <si>
    <t>c3297de5d87bdb1364601547517e83b0</t>
  </si>
  <si>
    <t>ff5afb773cc74f8424fc4e5c2f57570a</t>
  </si>
  <si>
    <t>109e7f07a4c739fb54edf836bb9ef576</t>
  </si>
  <si>
    <t>2018-07-19</t>
  </si>
  <si>
    <t>14f71e03c472d2b37384b55708ac8354</t>
  </si>
  <si>
    <t>c96bee3fe3caeb224420da7bc815b0fe</t>
  </si>
  <si>
    <t>d0e7875fcf8fa009f5295ad397fc7e18</t>
  </si>
  <si>
    <t>aa5fb4d316102d9a70eaf75e6f19d181</t>
  </si>
  <si>
    <t>b7b1f2843edf05e98877ad7a739b2da1</t>
  </si>
  <si>
    <t>9949f7af3885f27e84044841513de26e</t>
  </si>
  <si>
    <t>7ba54c67fabcf8bc22e2023e8d81dd84</t>
  </si>
  <si>
    <t>dc5542aeff4f9a938c0de66cd4384080</t>
  </si>
  <si>
    <t>40ccf6af09b0aadbf3e2710fb2f17715</t>
  </si>
  <si>
    <t>c82e3eb519fbd1983966e7c8bff4d6cc</t>
  </si>
  <si>
    <t>1cf95378918960ac4f215e2a436dc18c</t>
  </si>
  <si>
    <t>9a7d7672806f5cfd6bc9cbd5a060806f</t>
  </si>
  <si>
    <t>d9bf43027ddbeee4ced772f175c2dc40</t>
  </si>
  <si>
    <t>2018-07-20</t>
  </si>
  <si>
    <t>9d8ad56c218b4b9bd6ece578c91c2321</t>
  </si>
  <si>
    <t>878b914d30233eb8a3e4ff4465a4ef49</t>
  </si>
  <si>
    <t>82be2384f5d2751770574b84da68f2c1</t>
  </si>
  <si>
    <t>00a57dfbb049fbaae10763e2cf15f797</t>
  </si>
  <si>
    <t>e66c28c44f4a12382611f0de3e522478</t>
  </si>
  <si>
    <t>c0e11158f60abbb6f96d74228e67d44c</t>
  </si>
  <si>
    <t>133d08a542c28f4400480b9483517c32</t>
  </si>
  <si>
    <t>2018-07-21</t>
  </si>
  <si>
    <t>9e47bdda0d32604c18e587c151278314</t>
  </si>
  <si>
    <t>c533856d03996a6114c8fa9a876181d4</t>
  </si>
  <si>
    <t>6048533001f5fce8b89fa52898d99047</t>
  </si>
  <si>
    <t>906aea7f9a8bbd2b625400e22531469e</t>
  </si>
  <si>
    <t>7e00454e2e8b8b2e12e9a580ec77f00c</t>
  </si>
  <si>
    <t>4f209a7c48b44a32ff3196ddbfb4d67e</t>
  </si>
  <si>
    <t>6bbafe0017bf2f1c7dd4331a9a742023</t>
  </si>
  <si>
    <t>e681b9d741ce6a1913e86b6351105a55</t>
  </si>
  <si>
    <t>4a2c053de460d64372361385b38bdb24</t>
  </si>
  <si>
    <t>15d849612f479d808dc030e4e1ba39d6</t>
  </si>
  <si>
    <t>2018-07-22</t>
  </si>
  <si>
    <t>3d85885db63d8328e4dbaa59804ad1ee</t>
  </si>
  <si>
    <t>279a3bc53e370f1614e3205bf4946041</t>
  </si>
  <si>
    <t>4ac122e6ce71a07175e5bf2551f02c40</t>
  </si>
  <si>
    <t>6153dde2f6f01bdd93c35be85fed898d</t>
  </si>
  <si>
    <t>97aeae7e7b1d8a32cf3f26c3946eab1d</t>
  </si>
  <si>
    <t>1bf96d65e405802ae7b8a8e176b0b3e6</t>
  </si>
  <si>
    <t>5a8c964d59cf60933991dc8ebb88bfa2</t>
  </si>
  <si>
    <t>9acc2273b31b949190b1e828d326a926</t>
  </si>
  <si>
    <t>2018-07-23</t>
  </si>
  <si>
    <t>db115077a7bd949a515922eb40aea6c3</t>
  </si>
  <si>
    <t>303eb5cb4d788bba757d3b0a2aa5f270</t>
  </si>
  <si>
    <t>ad7957c1cde1dae009b1fc01e3e02758</t>
  </si>
  <si>
    <t>e26def18967c8f7038476bbfd3256f43</t>
  </si>
  <si>
    <t>13a45e2e8407ebdf8c1e8fb6e1dba4fd</t>
  </si>
  <si>
    <t>84d1b2c4bcd6e1ea29456bedb6b6530b</t>
  </si>
  <si>
    <t>31f1be86be8795e41ef55b592873ae37</t>
  </si>
  <si>
    <t>1e849e4a2805bfa9c4db43379e52d046</t>
  </si>
  <si>
    <t>e9583867c3868714af8937a417c1adc5</t>
  </si>
  <si>
    <t>1d767ef13195f2cb3337b6b077e1f752</t>
  </si>
  <si>
    <t>332cccabf2107750bda6430e1696198d</t>
  </si>
  <si>
    <t>d8d281c1a1398a1e835fdc4adfb81e2a</t>
  </si>
  <si>
    <t>dbd51aaa65a18413d5c1a97a0bc41bf4</t>
  </si>
  <si>
    <t>3d61e9970cfb1669c490645d74bf7405</t>
  </si>
  <si>
    <t>fc608ec5eadbd9c3b59babdc1f7ebca9</t>
  </si>
  <si>
    <t>b4501b36d5c7558b4364a961168f8bfd</t>
  </si>
  <si>
    <t>329262a8ce814ac8ed283f9ae66ebee2</t>
  </si>
  <si>
    <t>da28a815dd7996590e84c9e51dec1ff4</t>
  </si>
  <si>
    <t>8ceb7c40345d31112e63e0f4624e39b0</t>
  </si>
  <si>
    <t>6f21ad30200f041d3f19995a8718cd11</t>
  </si>
  <si>
    <t>407fe646704ea7828e324c8ef7e7e616</t>
  </si>
  <si>
    <t>2e0900f25a11a9802bc76d2613b1144c</t>
  </si>
  <si>
    <t>2018-07-24</t>
  </si>
  <si>
    <t>bb4eb3e71b30365a580e5a718bd8d1ae</t>
  </si>
  <si>
    <t>67e5683ee43c8f5d4c0b46f7f8932ac8</t>
  </si>
  <si>
    <t>92f53cdbef0f16b315c62faa337c4672</t>
  </si>
  <si>
    <t>3304b73bf1a8b2f1e44d5cd320476582</t>
  </si>
  <si>
    <t>a908872306574c9405b29a838aee5521</t>
  </si>
  <si>
    <t>3f9666fbcb3490ff8c1f0d2b826c32db</t>
  </si>
  <si>
    <t>079034c04662f3d7dce287df9e4e5489</t>
  </si>
  <si>
    <t>8d10435d438f4f2582d83a8cb0f007ad</t>
  </si>
  <si>
    <t>1248580ae351357ac7a36fc314df5268</t>
  </si>
  <si>
    <t>581ca172b817d8c5626a66b8cbfe11e7</t>
  </si>
  <si>
    <t>6e11f5b6972e1b602699867fc1d5b6c9</t>
  </si>
  <si>
    <t>45381c01fd8a0e60c741a9cf4736ebbb</t>
  </si>
  <si>
    <t>5b3eecddd7b10744360abfff7a6a74a4</t>
  </si>
  <si>
    <t>2018-07-25</t>
  </si>
  <si>
    <t>18d2e92302e58abca7cd07fc8ff2ffa3</t>
  </si>
  <si>
    <t>fa9149f35155659eb319081d8e6f74af</t>
  </si>
  <si>
    <t>e439b72b2d1f22819e11acbbc8102216</t>
  </si>
  <si>
    <t>ebb615f4359b27e961316b3959532f6c</t>
  </si>
  <si>
    <t>9e76ee631c399b238d8407c2f437613d</t>
  </si>
  <si>
    <t>2b1db95ad7cf165f885e51c1abfed43c</t>
  </si>
  <si>
    <t>31f6c998a06ef0003c3355f042b8488a</t>
  </si>
  <si>
    <t>fefacc66af859508bf1a7934eab1e97f</t>
  </si>
  <si>
    <t>7ad517358a6ed9836dacf1bd7cc9dab2</t>
  </si>
  <si>
    <t>f25fb554c12314110c2c14a22b7eba65</t>
  </si>
  <si>
    <t>bf605ab91479a9fb68eadab4406c8064</t>
  </si>
  <si>
    <t>c7dc7be67e857a6c64557d42383dec8c</t>
  </si>
  <si>
    <t>0c70293ae727a4e81099ec24e6190342</t>
  </si>
  <si>
    <t>2018-07-26</t>
  </si>
  <si>
    <t>9964c2007bb66c44ebc2d0c803f78408</t>
  </si>
  <si>
    <t>6c18e8919d8c368f2074946445b35dce</t>
  </si>
  <si>
    <t>a068798f50f86a588b2bd22dd16c6fc1</t>
  </si>
  <si>
    <t>9bdf0443f07f3b2fcff74937bf1df6d2</t>
  </si>
  <si>
    <t>994ed29211f61708b9c3c72ee898ce09</t>
  </si>
  <si>
    <t>30d7af26cb5f8577b5c6a0164dc814c5</t>
  </si>
  <si>
    <t>1ba5b9882a75bc185bc0c7fbb909b697</t>
  </si>
  <si>
    <t>bedcad246f8051ae66375615a3824588</t>
  </si>
  <si>
    <t>66d560d1c77317086f3332a6715ac1c1</t>
  </si>
  <si>
    <t>c69eeadb2be025a8483b632013bb0788</t>
  </si>
  <si>
    <t>f04f967baf2c83fce14f95f9edabe296</t>
  </si>
  <si>
    <t>921708bd83981df87fcf8cca7936ece1</t>
  </si>
  <si>
    <t>2018-07-27</t>
  </si>
  <si>
    <t>9d9cff01f6fdf54921c214e893355fb1</t>
  </si>
  <si>
    <t>b0fc04e9a0f041eda1412e119b4046b4</t>
  </si>
  <si>
    <t>89c880f756709e7f7825b4ae6fe7a2f9</t>
  </si>
  <si>
    <t>b9b862b71dd3a13f37bbb72f2addc949</t>
  </si>
  <si>
    <t>6b3c0661b32905af6722a962d2fac779</t>
  </si>
  <si>
    <t>fb44e4ed3e78403652d50fcf506de1ba</t>
  </si>
  <si>
    <t>6f54e5fd939df1228bb8df39c2f1341e</t>
  </si>
  <si>
    <t>9bb1e0c9520585d21de5e8246f1663da</t>
  </si>
  <si>
    <t>df719e82188cc47552d259703d5413f0</t>
  </si>
  <si>
    <t>2018-07-28</t>
  </si>
  <si>
    <t>df51cdd0d48077d8cd198c5033b8dff6</t>
  </si>
  <si>
    <t>1a8fc490b877717c9f69454713bd778c</t>
  </si>
  <si>
    <t>43b1a006a45825d17b170589b587f07c</t>
  </si>
  <si>
    <t>ec5a2741ddf2c8ff2c0b076c8743dd19</t>
  </si>
  <si>
    <t>6f954a919130aa1e8def4ed1b9fca432</t>
  </si>
  <si>
    <t>b89d417b1ba9f8e416b9e333ffa01a93</t>
  </si>
  <si>
    <t>882abff9de7349a0ba8503f90af0a5b5</t>
  </si>
  <si>
    <t>f38bba7355a2382087be5ad984cd1f40</t>
  </si>
  <si>
    <t>2018-07-29</t>
  </si>
  <si>
    <t>fe0b65896fefa5e3ed76059830c2e49c</t>
  </si>
  <si>
    <t>c005c973843746a08a6ea826af4ce0c0</t>
  </si>
  <si>
    <t>b744841b6a754e51042b8abcab208ffe</t>
  </si>
  <si>
    <t>96a5fb2398277bfb8d2854443ac8bd26</t>
  </si>
  <si>
    <t>a5474c0071dd5d1074e12d417078bbd0</t>
  </si>
  <si>
    <t>2018-07-30</t>
  </si>
  <si>
    <t>81cedc4d2132eb6f512354166e51b187</t>
  </si>
  <si>
    <t>bda3c40c66117ac3211d4934f4a43ec6</t>
  </si>
  <si>
    <t>0e947809a364825d9cd3af9fe3197074</t>
  </si>
  <si>
    <t>d199e989bbb5f7b410c1a717d589499e</t>
  </si>
  <si>
    <t>18bcbca4b2c948e7653345492627a1cc</t>
  </si>
  <si>
    <t>fcb2af36166db4e5d7ac2491544cc1e9</t>
  </si>
  <si>
    <t>96b947c986b42f213c9e6b8ccccedb89</t>
  </si>
  <si>
    <t>ba45595538a13176b4850483d5f787e3</t>
  </si>
  <si>
    <t>c67afe8b6c6b9dbbcfbccb18ae4b5556</t>
  </si>
  <si>
    <t>ef3d3d6bac50c7e2e1cc25ba953e11f6</t>
  </si>
  <si>
    <t>1b4ef3bdad72cad23a9bd4b06f87ab7b</t>
  </si>
  <si>
    <t>62dedcd31d4b3c43f9adbab2d7fd84d4</t>
  </si>
  <si>
    <t>5e9f1a71f53f74f8c4e829ffbb4b52e9</t>
  </si>
  <si>
    <t>ee987bbabed0cc87dc5354eb2b661740</t>
  </si>
  <si>
    <t>278e7730f7062014d198fbf20451b935</t>
  </si>
  <si>
    <t>b2997e1d7061605e9285496c581d1fbd</t>
  </si>
  <si>
    <t>ddd9c425db13b8b55a6dc676634ea208</t>
  </si>
  <si>
    <t>d8d875126ddbeec8b736ffd7f0b1a4c0</t>
  </si>
  <si>
    <t>60320e541a6e9dc0cb5919399543f905</t>
  </si>
  <si>
    <t>3788e0af9e212034588d6d24fa1b7fd1</t>
  </si>
  <si>
    <t>d796fb3fcd8046bf2eedc21bcb2e407a</t>
  </si>
  <si>
    <t>2018-07-31</t>
  </si>
  <si>
    <t>daa1c13dd8df972cbc97ca351c67f32b</t>
  </si>
  <si>
    <t>aa7c4f87e8a4651e709bb23f0aee94c9</t>
  </si>
  <si>
    <t>3b1f8d68684710eac0cad28d412dcaf8</t>
  </si>
  <si>
    <t>3d352a1e37d7eabd08d9104244fa0e21</t>
  </si>
  <si>
    <t>0decb14beb4de8d3b4e37103e81f119b</t>
  </si>
  <si>
    <t>7fc163ae2a200d57c1118812221bcf8e</t>
  </si>
  <si>
    <t>18995b654ef8f346243a4a9e0b278164</t>
  </si>
  <si>
    <t>aec0f45f4c980472a8293f2213d49a19</t>
  </si>
  <si>
    <t>dc67745e87e769607de677683ab1fd08</t>
  </si>
  <si>
    <t>06b7229726fb71407516395c69b6172a</t>
  </si>
  <si>
    <t>fa4c59a94711decb9c0410a0e7f878bc</t>
  </si>
  <si>
    <t>1ecfa320a6763da8b71ad1fbd4df6550</t>
  </si>
  <si>
    <t>22d03f81f36cfd05e90af56d5dc63e74</t>
  </si>
  <si>
    <t>fae8533726bd31cbcb92d9bdcaf5e92f</t>
  </si>
  <si>
    <t>2018-08-01</t>
  </si>
  <si>
    <t>2018-08</t>
  </si>
  <si>
    <t>4969634a191db1f7ef36954434938327</t>
  </si>
  <si>
    <t>c99f547e83c25761f4c58fd7f41cd337</t>
  </si>
  <si>
    <t>61c136fddac571834516a52d2e03458d</t>
  </si>
  <si>
    <t>5a5cbced9c57dbafd90dd9b04594b2d7</t>
  </si>
  <si>
    <t>be80ccb8f620862ee6fec40409d35aee</t>
  </si>
  <si>
    <t>28b6917cb6d7f6fe0540986342ec6866</t>
  </si>
  <si>
    <t>d640892cc6e635047b062a06b5f9ce32</t>
  </si>
  <si>
    <t>1126e8ce51fcc395870c8fabcf7de709</t>
  </si>
  <si>
    <t>d23bc376aeb971eadf9129860f03c047</t>
  </si>
  <si>
    <t>23936c5f77c03f7cbd20d185732c60d9</t>
  </si>
  <si>
    <t>e71783fc8cd92f708d13542f6d17ff7f</t>
  </si>
  <si>
    <t>edc07d2563b2d10bdf1a0376f65b8f76</t>
  </si>
  <si>
    <t>07e74b39ce62a7c6f7063b3168748191</t>
  </si>
  <si>
    <t>fe98cb0615a7611265d8955be5ca9497</t>
  </si>
  <si>
    <t>aa240e84341dc3a58a69fdaa1c0b927c</t>
  </si>
  <si>
    <t>2018-08-02</t>
  </si>
  <si>
    <t>3300cd5468b45a06dd47487a0d936212</t>
  </si>
  <si>
    <t>d8a38160525fa277b48b3502ad5ae5cf</t>
  </si>
  <si>
    <t>5295a4f70cac6082f1f9051409e69010</t>
  </si>
  <si>
    <t>4c1b702493f9e6a8e7ab024bd34ba0d4</t>
  </si>
  <si>
    <t>3828ca6e6450e317619b87f49eca6492</t>
  </si>
  <si>
    <t>6826d5740591909e368433e2a5ec75fb</t>
  </si>
  <si>
    <t>2dd5f6a66c1d82ee0b8c864ddf9833f2</t>
  </si>
  <si>
    <t>8458b41c26bf20ba9b4ad514cacd4b2a</t>
  </si>
  <si>
    <t>3eec01b486a4d08de50a38ef2fb87b79</t>
  </si>
  <si>
    <t>032d90128bd4c1c63e317ab45ddc2879</t>
  </si>
  <si>
    <t>1f9ed60661469689dae5955276ef81a5</t>
  </si>
  <si>
    <t>b300e160f5892169bafa006e670a43f5</t>
  </si>
  <si>
    <t>5ab34a3449b54e0fff6d7ba20781a655</t>
  </si>
  <si>
    <t>2018-08-03</t>
  </si>
  <si>
    <t>49e46b4388f4b9ea96901467bd26eb6d</t>
  </si>
  <si>
    <t>64f25972cba1c6faca4f32c7ac90e3c2</t>
  </si>
  <si>
    <t>de11314f84cd5578a36ab8312ab5b5df</t>
  </si>
  <si>
    <t>3d5c01d5bef96b82a7ae8684f1665c31</t>
  </si>
  <si>
    <t>a274d2bbfcca25b8c47ee2467583e81e</t>
  </si>
  <si>
    <t>283bf5d2f306422175c079231da015f7</t>
  </si>
  <si>
    <t>8f31b05b300b9648b988906d899b97e1</t>
  </si>
  <si>
    <t>913ed16681197337e68e936fc28b8370</t>
  </si>
  <si>
    <t>0f213d7015dad47737aecd4d7403f919</t>
  </si>
  <si>
    <t>01c156f67900e1f33d1234ce92cb18d9</t>
  </si>
  <si>
    <t>ee05ea68d27584f43ac19ad104738fea</t>
  </si>
  <si>
    <t>003a94f778ef8cfd50247c8c1b582257</t>
  </si>
  <si>
    <t>fa6e801a54147fb8ada766a1f407a80f</t>
  </si>
  <si>
    <t>405b7a0bffb459dbc7646665024a2665</t>
  </si>
  <si>
    <t>120b19c8ebbbe34df59e157f3dd1f0c9</t>
  </si>
  <si>
    <t>136a3da67b93100ec6fc05442613bcec</t>
  </si>
  <si>
    <t>19c12787aa9334d1ccac97bfab56e576</t>
  </si>
  <si>
    <t>2018-08-04</t>
  </si>
  <si>
    <t>fab137488ea6654792ec4cac3000cee8</t>
  </si>
  <si>
    <t>db70f8a5634ca9a20586be3dec6ad653</t>
  </si>
  <si>
    <t>6fe3cca762774a4e0e4e75467b4651e6</t>
  </si>
  <si>
    <t>edf195e14f83b9753f2cf2f7263f279e</t>
  </si>
  <si>
    <t>359dfdef7cf4ed1003c2a0463eb431ba</t>
  </si>
  <si>
    <t>3c74e538974fb013e938fbdd7d83675c</t>
  </si>
  <si>
    <t>d6cd9d63e25452e0278cb6eeed08de6b</t>
  </si>
  <si>
    <t>6a9ea3a6a0a791f6c34b8145d6cbd42a</t>
  </si>
  <si>
    <t>8ea8033700913a32e94988adbe26d5aa</t>
  </si>
  <si>
    <t>afaa845a7a044d65051e77109d5b6ac2</t>
  </si>
  <si>
    <t>300542e713279c59c9741f77d049f567</t>
  </si>
  <si>
    <t>51e5e08365469f68d9f281c619b2354f</t>
  </si>
  <si>
    <t>69f0148dd6fd1fd804e48c202c93ad0b</t>
  </si>
  <si>
    <t>2018-08-05</t>
  </si>
  <si>
    <t>a8e595153c8bec02b29e66399b21e1ae</t>
  </si>
  <si>
    <t>c6f64ddfd9a519815891070106aa9543</t>
  </si>
  <si>
    <t>80b201a88f23aa35799eac75fa4cdf99</t>
  </si>
  <si>
    <t>87bad43228f375c518a80fd2cdec8e17</t>
  </si>
  <si>
    <t>95a79263ff4f759875074b9c5024edba</t>
  </si>
  <si>
    <t>c3aa0764f72af0672f23966336a8fd0c</t>
  </si>
  <si>
    <t>c9d520a482f52b364a05d0252cd45852</t>
  </si>
  <si>
    <t>5494b2ddfe11df2c043ab5a56a2832bd</t>
  </si>
  <si>
    <t>a016702972f9a03256db6aecb30ba538</t>
  </si>
  <si>
    <t>69cfaf72cc14e5d3ade9e5f121f74c19</t>
  </si>
  <si>
    <t>51520d3bdef580c2ffd3b8fea209172a</t>
  </si>
  <si>
    <t>2018-08-06</t>
  </si>
  <si>
    <t>2d141367a3c00a99a25764eced13ef4e</t>
  </si>
  <si>
    <t>4044c5fad995d07177b0c09ff2b0b7f6</t>
  </si>
  <si>
    <t>64eda3241f07453a9d8aeb85428c18c5</t>
  </si>
  <si>
    <t>9a503487f2a2141cfc220d61e43bd938</t>
  </si>
  <si>
    <t>7e72ec73eb316f40183f574d738eb99e</t>
  </si>
  <si>
    <t>52550cee1dda83b2c06260891897dc60</t>
  </si>
  <si>
    <t>3f090361c1e3266bf3dda7a00df3c0ec</t>
  </si>
  <si>
    <t>375aac0ed45f117fefb4e511189306d4</t>
  </si>
  <si>
    <t>035c01a45e289b155db4e47cf39b29d3</t>
  </si>
  <si>
    <t>c8035c255b0c345f46e7ed85cbaf1a79</t>
  </si>
  <si>
    <t>d802b8adcfb2cc03772c0645c9257a4a</t>
  </si>
  <si>
    <t>991dc90330a54fbf3461dec5bf8226ec</t>
  </si>
  <si>
    <t>2ce205c58fef8abc5963b6da38e4b2fe</t>
  </si>
  <si>
    <t>f98480aef384f1cb8d5b1e0e4816fd89</t>
  </si>
  <si>
    <t>57c38272c5be87d337e47ad5f1d88343</t>
  </si>
  <si>
    <t>847e04c1fabd29748790e74c1430c603</t>
  </si>
  <si>
    <t>aabd0a7ecf741520be60dc59fc6002ee</t>
  </si>
  <si>
    <t>494dfa139a38449b378d01cca4c0a6a0</t>
  </si>
  <si>
    <t>f709f3fec102226ab1dce1018209b7ff</t>
  </si>
  <si>
    <t>d2deb9270ebda7fd5dc5ff3b9a499a58</t>
  </si>
  <si>
    <t>2018-08-07</t>
  </si>
  <si>
    <t>bfc9f97fc7ddacf8a3c33c4b2bd15a93</t>
  </si>
  <si>
    <t>8618c8cd264cece4218bfa403bdc4b14</t>
  </si>
  <si>
    <t>48f1b7e26f84f55846f1d003e3e6170c</t>
  </si>
  <si>
    <t>0dbd7242192102a62fc3677d4d42b5a1</t>
  </si>
  <si>
    <t>63b560062bb9ccde4a2b9e9d26b39486</t>
  </si>
  <si>
    <t>63c3ce671d34493be2e342ac33a8249f</t>
  </si>
  <si>
    <t>201164b89baf9300df72f328a6e5842e</t>
  </si>
  <si>
    <t>64d23ea3d34bfe1b619e41c2ffef4803</t>
  </si>
  <si>
    <t>22e93d4515387496e3bd3cf6e8eca396</t>
  </si>
  <si>
    <t>93ae3d70a721582a8c0a1d28d804f947</t>
  </si>
  <si>
    <t>5b4101f533b7c66611b649809ff634b1</t>
  </si>
  <si>
    <t>6b9aa78b4ae64ba1d10964b1a15b5989</t>
  </si>
  <si>
    <t>ac046246a304e47bb50a9c923430aa55</t>
  </si>
  <si>
    <t>a8aa1455a58ed250938c0f20158244a8</t>
  </si>
  <si>
    <t>6a0725621168540d5200cba214d6ebe7</t>
  </si>
  <si>
    <t>5ec17d5853c4bad3b18adb6778b3ac0d</t>
  </si>
  <si>
    <t>e97c5fb2b1ca5b5fd19f2c910a274e33</t>
  </si>
  <si>
    <t>0eb9e3204a220fb573180f4e6cd1c63a</t>
  </si>
  <si>
    <t>2018-08-08</t>
  </si>
  <si>
    <t>b55ed7407eb340d0db40dfb2759c756a</t>
  </si>
  <si>
    <t>91681be83015c5760383644518e80ec6</t>
  </si>
  <si>
    <t>2f9615837f509124f0c936dbd93855ac</t>
  </si>
  <si>
    <t>63cb9481eda48b82bb600b4e38026b91</t>
  </si>
  <si>
    <t>b4e819d2c22097406ce41f19df19d9a1</t>
  </si>
  <si>
    <t>0e1ab5408ec0c9ece6adcbb661b3a901</t>
  </si>
  <si>
    <t>0616b1a248556f0f4c5aea97beb0729a</t>
  </si>
  <si>
    <t>c8519a6f2d214cfedb5803e64f8dab15</t>
  </si>
  <si>
    <t>e23b204f4817055fedf12a5a5c27b360</t>
  </si>
  <si>
    <t>20fc41b5546587400e8ef6a97936ed06</t>
  </si>
  <si>
    <t>5c097b2906957e90e5958008194041ba</t>
  </si>
  <si>
    <t>f060d1eeb07c0294f897df1ff19d4b99</t>
  </si>
  <si>
    <t>dcb97cff5ad47d9a584ac61d5b857f41</t>
  </si>
  <si>
    <t>9146c78cd5cb5e53ee985a7feb72e76f</t>
  </si>
  <si>
    <t>659abef602b62c08e71dbc6892a5cffd</t>
  </si>
  <si>
    <t>1124e4ebba42a10ac32ef40dd8dd6475</t>
  </si>
  <si>
    <t>ad1c343f53639ad550761c2653c191b0</t>
  </si>
  <si>
    <t>c82a457d646f77c8f151e12a3e517ed2</t>
  </si>
  <si>
    <t>bd9437912c7f33aee54e576b86b3a276</t>
  </si>
  <si>
    <t>82ee69216f11b23e2d21d2796e079366</t>
  </si>
  <si>
    <t>bd4408025e544757842c962993ff7104</t>
  </si>
  <si>
    <t>428964e746cbd974ac94be994a5c17c6</t>
  </si>
  <si>
    <t>2018-08-09</t>
  </si>
  <si>
    <t>8d6f70397db05604f0f4ccca7e376f12</t>
  </si>
  <si>
    <t>830c7606efcb798e1bacdc56247dc134</t>
  </si>
  <si>
    <t>079c9f53e6c3253320db701a645b0b9a</t>
  </si>
  <si>
    <t>226e0396e8ace4776eaf471b2d6abf89</t>
  </si>
  <si>
    <t>2421e957dc390d2f987c986a1683a757</t>
  </si>
  <si>
    <t>90e3ed5bc7c3104c5d7012e809f4b399</t>
  </si>
  <si>
    <t>c9b08bd33d449366d3b89454a3071b98</t>
  </si>
  <si>
    <t>84e18dccfd5aad7f91ef778c2aa0b959</t>
  </si>
  <si>
    <t>b198ccd6b70f2462922861e8c5a571cf</t>
  </si>
  <si>
    <t>2018-08-10</t>
  </si>
  <si>
    <t>bfdc35e6060f9b6cd2227b660dfc3b70</t>
  </si>
  <si>
    <t>6be749c0e984143242faa174d084889f</t>
  </si>
  <si>
    <t>4ed418ef4e45eb8f9b22aee4366e9541</t>
  </si>
  <si>
    <t>27caeec16809f9eba603825998e884a0</t>
  </si>
  <si>
    <t>ffdd767d77c3322d78b286b6e8ecaf15</t>
  </si>
  <si>
    <t>818fffaae89ab44e0f2254ab0a2b560d</t>
  </si>
  <si>
    <t>7a485479dbdf94502e471dbd3329a4e4</t>
  </si>
  <si>
    <t>2b9f8967c6489ea04357a9fc58740ae5</t>
  </si>
  <si>
    <t>3c18b2ddaa9cdf16188ac0ca3ad8dee4</t>
  </si>
  <si>
    <t>477749bcfe4bc5261ca38dd7fad8859b</t>
  </si>
  <si>
    <t>ae68c99e963e1694453bacc5db91513d</t>
  </si>
  <si>
    <t>a77696c7b42da1121205a92ddae7b5c7</t>
  </si>
  <si>
    <t>397cda88cf14fa47dd00f8ce20346f25</t>
  </si>
  <si>
    <t>f4929b75acb29f2ae641fdf4848b8ec2</t>
  </si>
  <si>
    <t>ab34db6c283d8f91f11773a52711c317</t>
  </si>
  <si>
    <t>41cb41ef29a6cd8f633cac105998332f</t>
  </si>
  <si>
    <t>35bc592a16d6706d14d29f07ed1d13c1</t>
  </si>
  <si>
    <t>2018-08-11</t>
  </si>
  <si>
    <t>c88935c0144ef18368420018e18f177a</t>
  </si>
  <si>
    <t>30bf87367ed2e63f68bfb5aacdae279b</t>
  </si>
  <si>
    <t>4568a2bce4050c7579e898eca38f8833</t>
  </si>
  <si>
    <t>5b944386c869819d045c1388bb686124</t>
  </si>
  <si>
    <t>da737ef3ec9b9835b98345f6c155cdef</t>
  </si>
  <si>
    <t>9b961b894e797f63622137ff7eb1c1af</t>
  </si>
  <si>
    <t>248c46bb0e95b62198fe84442400b7f4</t>
  </si>
  <si>
    <t>b89638c45bf1b7dcf3e47420ac9c9066</t>
  </si>
  <si>
    <t>db0bd04c3beff2d041d364ce8d96b2f0</t>
  </si>
  <si>
    <t>2018-08-12</t>
  </si>
  <si>
    <t>a91e629d7c60ee83c467d41250528cc5</t>
  </si>
  <si>
    <t>f2d6c25c24dec1cb1f8eeba2203634b5</t>
  </si>
  <si>
    <t>2c1ac2ae4cb9b2b35618143ca66d8f74</t>
  </si>
  <si>
    <t>750fac445e827530d79e0a2050dbcd9c</t>
  </si>
  <si>
    <t>4822b9a2b5589396deb0956b2b844afa</t>
  </si>
  <si>
    <t>a9d1327838b1c183fc288f0d2bf23d32</t>
  </si>
  <si>
    <t>53de6ea93af62b738a4db248255fd504</t>
  </si>
  <si>
    <t>71c22e96648b3b4f4c78e6e4de6bdc0a</t>
  </si>
  <si>
    <t>73ef343c9dbf2f6d45362c9bc150f4b7</t>
  </si>
  <si>
    <t>bcaa7f7240deb32b0410ee6cc085d9b4</t>
  </si>
  <si>
    <t>d441cd7f8afccef29e5a0c8e3021d0de</t>
  </si>
  <si>
    <t>55484b30fbc70a655031929c9a7acff9</t>
  </si>
  <si>
    <t>2018-08-13</t>
  </si>
  <si>
    <t>5c38655d217f80fb8ad2c39a7c0a816b</t>
  </si>
  <si>
    <t>e27b496ee62de9d46e3f1ed56c2c49c3</t>
  </si>
  <si>
    <t>bb5247b3ad417db4b026c3d57e458a46</t>
  </si>
  <si>
    <t>125f493c9aa37e5e79a34e7b602da0a4</t>
  </si>
  <si>
    <t>3410526e055530279c894ab7542c827f</t>
  </si>
  <si>
    <t>4e6bffb5dac92c9750467794c5964bff</t>
  </si>
  <si>
    <t>aa9ad84c2fa033010c9cadc5ff22d939</t>
  </si>
  <si>
    <t>62b66f90376b7b00fb2586ad81320f82</t>
  </si>
  <si>
    <t>e06507fb1e1f48c1cc59d40e02b82f16</t>
  </si>
  <si>
    <t>4034b68eda61d53e7c3b417c10e8b252</t>
  </si>
  <si>
    <t>b04e44e92fbc14e258bb48695b8ee7ca</t>
  </si>
  <si>
    <t>f6ad54b5be9c3a496973acd1b1c8b714</t>
  </si>
  <si>
    <t>e1042f4c3705d9c1f9ec8d96a1771a58</t>
  </si>
  <si>
    <t>4efe746bf89c1976abde13a381aa452c</t>
  </si>
  <si>
    <t>e90d8a867960fe909ecb460cb3a9e4d1</t>
  </si>
  <si>
    <t>11531b318e176d53a632286789eae9c8</t>
  </si>
  <si>
    <t>2018-08-14</t>
  </si>
  <si>
    <t>a471834c9ff33eaa1ba3b5aa8d6d0180</t>
  </si>
  <si>
    <t>ec6904db8d96bfec75b3e99ffe8221a5</t>
  </si>
  <si>
    <t>35642e42741af129914f2cd0ab468289</t>
  </si>
  <si>
    <t>d2651bbfae1f2a0814488eea7ff6165d</t>
  </si>
  <si>
    <t>33b4b136d93aba3984987dc2c213713e</t>
  </si>
  <si>
    <t>addd750cdd1e291d03ffa31e89eec86e</t>
  </si>
  <si>
    <t>bf65b4dfd8ce84479e31f38c67b18312</t>
  </si>
  <si>
    <t>ae28255c7b837ba319c9cbf1dfeeea0d</t>
  </si>
  <si>
    <t>7621ddb8114cb72e4ac4673daf869f93</t>
  </si>
  <si>
    <t>f7b736bf93ccc535ded543a109635e28</t>
  </si>
  <si>
    <t>e1da670d323874bc4ab65a65fd87eb05</t>
  </si>
  <si>
    <t>69c6be5f48a1dd84aa79f4ed149dbb30</t>
  </si>
  <si>
    <t>fdf8b612a318d48e808e069e22f8222d</t>
  </si>
  <si>
    <t>08bd4784e35a8be0fa12c4f4f91799ac</t>
  </si>
  <si>
    <t>fe166f25e5b4e549094b37531b20cd19</t>
  </si>
  <si>
    <t>2018-08-15</t>
  </si>
  <si>
    <t>593608ed6695aef889973ce8a45506b4</t>
  </si>
  <si>
    <t>243fd4d4dbddf371c229a0122ac3e661</t>
  </si>
  <si>
    <t>61920c076c4c9bd3f5e1cd9d42309139</t>
  </si>
  <si>
    <t>cf2a9fcfac08206bae42b3118368c9d1</t>
  </si>
  <si>
    <t>5750d60517669a97d14de871a5f11798</t>
  </si>
  <si>
    <t>fab4815807a6e4f6e958e70eda5608bd</t>
  </si>
  <si>
    <t>80bef000a2d88b3b23fab45c546c67ff</t>
  </si>
  <si>
    <t>d34e950d8952f0edfb48e7be2634ff91</t>
  </si>
  <si>
    <t>94fca82966c05ba707f4e7dc0c50aa3c</t>
  </si>
  <si>
    <t>076291ccc60bbd19ff77babbb78324d5</t>
  </si>
  <si>
    <t>5c4b6f896e003ca0b2a00ac3d1124822</t>
  </si>
  <si>
    <t>a5543e119a631f1be4191fbc2c5e1e07</t>
  </si>
  <si>
    <t>0f090dd2d83a9d755108584313c8208d</t>
  </si>
  <si>
    <t>3f50f62b343cd447c0fd8af4196bdc33</t>
  </si>
  <si>
    <t>c7c1820a74542b67b30b740697e55d01</t>
  </si>
  <si>
    <t>970a49012cfe41d81bfd4593b83ce4a5</t>
  </si>
  <si>
    <t>dc9f4cd231c11babfef316d35486eff4</t>
  </si>
  <si>
    <t>59566b390f9e3f2182830b3a0b1022d0</t>
  </si>
  <si>
    <t>f92e273af7fd8aa4c0b40388cf80be75</t>
  </si>
  <si>
    <t>6bd0fc624485f2d1ad4aad6df1569d1a</t>
  </si>
  <si>
    <t>631bf0797fc3480d6eae9757b0c816b4</t>
  </si>
  <si>
    <t>2018-08-16</t>
  </si>
  <si>
    <t>bc68edad1573b158a94188df0cd960c0</t>
  </si>
  <si>
    <t>87a19a09b512b6691a4a97ea5748c501</t>
  </si>
  <si>
    <t>c40611b989a9c073bcf8cee7d16e2473</t>
  </si>
  <si>
    <t>8431f97a257ec43f34fd13b183d362b9</t>
  </si>
  <si>
    <t>109dfb5756c526e783783356f4384b4e</t>
  </si>
  <si>
    <t>afc091f97bfa9985b6ab413ad1a9891b</t>
  </si>
  <si>
    <t>0ec20feeac30045e916578f17c2085e2</t>
  </si>
  <si>
    <t>d831255ebb12ef3a8d6dddb6fb54b5c8</t>
  </si>
  <si>
    <t>c27bfc90d25a350821474bf11c8a00b6</t>
  </si>
  <si>
    <t>2018-08-17</t>
  </si>
  <si>
    <t>7feef5128350d0b84c9b26309b475e8c</t>
  </si>
  <si>
    <t>cf0fcb02e2f9b6dcfd6aac8d664b663a</t>
  </si>
  <si>
    <t>5bebe0296b65287e94b489cd279782cc</t>
  </si>
  <si>
    <t>1ce796ffd3b96e287899e429b44c0e3a</t>
  </si>
  <si>
    <t>50782cd44ddec8134f7d93043ebfd333</t>
  </si>
  <si>
    <t>720232d7a3eab2caa5238117e5ab2ee1</t>
  </si>
  <si>
    <t>8e1b263d5e8ddea4e42b96cc5fb0edc2</t>
  </si>
  <si>
    <t>993da8482e658ec7f1d0c6d955604936</t>
  </si>
  <si>
    <t>bf59031b111d726792fe47666cc55ed6</t>
  </si>
  <si>
    <t>90b1834032530ed03e7bbb0f6f2d7125</t>
  </si>
  <si>
    <t>bba30fab08220779d809343f597e9a46</t>
  </si>
  <si>
    <t>62eb11cfc9c20c567f4581e0e66725c1</t>
  </si>
  <si>
    <t>a46e7e8e02915adecb392ad065121a51</t>
  </si>
  <si>
    <t>c1cf3cb3cf9e48ca06d7eb08d8b9dc0a</t>
  </si>
  <si>
    <t>6b52fde341db3472b2e4c787887abc7e</t>
  </si>
  <si>
    <t>d6f49f5dff3052a0ecf30c9493a975f3</t>
  </si>
  <si>
    <t>c4ec84506bc793d3c774db9b0736d2c7</t>
  </si>
  <si>
    <t>2018-08-18</t>
  </si>
  <si>
    <t>fe9a0726757d598dc0a613f04d33cf03</t>
  </si>
  <si>
    <t>69f8ac735b4a0bbbcdbe4a87e9041a21</t>
  </si>
  <si>
    <t>b489f7ae130ba3fd26b0a20f8cc81c61</t>
  </si>
  <si>
    <t>b644b094c23f3320d4d8386f40e092b2</t>
  </si>
  <si>
    <t>299e8d399d78b7abc915b3d059a6c712</t>
  </si>
  <si>
    <t>62d4c5d34949afc8d73f2be9043e5ad4</t>
  </si>
  <si>
    <t>dc2152f56d388bfc5f358fd79d3e6bdc</t>
  </si>
  <si>
    <t>2018-08-19</t>
  </si>
  <si>
    <t>ca207209c40b29d76714f77acf8189e5</t>
  </si>
  <si>
    <t>a0ecc11c21cacf6dc957678e792102c1</t>
  </si>
  <si>
    <t>30f6b446907427d28df6c87fe5ef5947</t>
  </si>
  <si>
    <t>9f4dd20e89f7d039db0a8eb572042c1c</t>
  </si>
  <si>
    <t>edf5259d2b67344bab205bdd705eb9f8</t>
  </si>
  <si>
    <t>370098d35ccd8a2af86b57c81ac7d24f</t>
  </si>
  <si>
    <t>1f88908218a0ba8238b5260fe399ea69</t>
  </si>
  <si>
    <t>eb4a0e0fa996c4a0815f6ac1347235d0</t>
  </si>
  <si>
    <t>99902f632e0a578e6995f6291e0e6cb8</t>
  </si>
  <si>
    <t>f89d1880421bd1f3c80d406a826903a0</t>
  </si>
  <si>
    <t>e5c543adb388da035a48a7b7fd057f5a</t>
  </si>
  <si>
    <t>a833e4af2b4c893929b9f3adce3ecbeb</t>
  </si>
  <si>
    <t>a97b999bd1190a8e2cfdd7c54b9f76a8</t>
  </si>
  <si>
    <t>2018-08-20</t>
  </si>
  <si>
    <t>7514404922bc617c41f9b47f003a3350</t>
  </si>
  <si>
    <t>3298e7053c95993e6eb284ef3d254b49</t>
  </si>
  <si>
    <t>3c7aa341aa20519a2530c8ea5763f265</t>
  </si>
  <si>
    <t>3b3e0d7f5d77e227da21f19fd5e20c47</t>
  </si>
  <si>
    <t>e17b66e5337dee2de3d676c5698fa71f</t>
  </si>
  <si>
    <t>db033c99784b0da2569c40df1e7001d7</t>
  </si>
  <si>
    <t>36cd1ce42b6013f372ceb0a80b2a1b7c</t>
  </si>
  <si>
    <t>73651881d63f2630709963bab45d7525</t>
  </si>
  <si>
    <t>6bf033a604dd601317705db318a6095d</t>
  </si>
  <si>
    <t>35a1f77503821f43673d975ffe0bb7b4</t>
  </si>
  <si>
    <t>2018-08-21</t>
  </si>
  <si>
    <t>ba84f6aec57aa48ee3eb1b97964354e5</t>
  </si>
  <si>
    <t>2d6e19c8b83e0333696e259829801f17</t>
  </si>
  <si>
    <t>a2e0ceb6d71b7658cd40852920066f75</t>
  </si>
  <si>
    <t>62019f35fab0f9f60e1f25a8b17de426</t>
  </si>
  <si>
    <t>a7b3d17383515918f57cc831f29bc8dd</t>
  </si>
  <si>
    <t>f4829d4aec1e7ce6d1f88c4eb8086c3e</t>
  </si>
  <si>
    <t>f94b0a3a81bf5b4de22a8c2a90df7263</t>
  </si>
  <si>
    <t>f01221bdbf37c9c792b4cc3e78dc5dc8</t>
  </si>
  <si>
    <t>03ad48120321b06697272dfa53deff2b</t>
  </si>
  <si>
    <t>2018-08-22</t>
  </si>
  <si>
    <t>9cea6943c0d2ab67dc7bde8ab9b03f32</t>
  </si>
  <si>
    <t>76cc0d927131093087a3d392008d9796</t>
  </si>
  <si>
    <t>38c9169c58d74d3447a3ffed8962ce34</t>
  </si>
  <si>
    <t>5e754503796f05f2ad0541feb16a6a85</t>
  </si>
  <si>
    <t>f3f19665e7205700de2a40ff56bf2d28</t>
  </si>
  <si>
    <t>05cb96d379b1a3df48333ecaa572bf26</t>
  </si>
  <si>
    <t>28cee6e32da30679cbfe3da21d2608e1</t>
  </si>
  <si>
    <t>985680a4287cdd85e885a79a6c24b023</t>
  </si>
  <si>
    <t>c75be4dbb0444f5234b73d0e700bc425</t>
  </si>
  <si>
    <t>529a65336debb1c3e3327d7d67dc733d</t>
  </si>
  <si>
    <t>0feb8ce954124d3e3d8338c573a9c523</t>
  </si>
  <si>
    <t>2018-08-23</t>
  </si>
  <si>
    <t>2ae01dafe3790417726f148d9f1a90a4</t>
  </si>
  <si>
    <t>0097aafe2a01dd54e39888976160c377</t>
  </si>
  <si>
    <t>f83a0ce66c457dfdf564dafa364ae1d4</t>
  </si>
  <si>
    <t>2fd573eea535b447eea60a9b4aa2603d</t>
  </si>
  <si>
    <t>8118e88205b0cd1342e85368ed6c0bcf</t>
  </si>
  <si>
    <t>2018-08-24</t>
  </si>
  <si>
    <t>876152d8704a9cb49112a5def3cce455</t>
  </si>
  <si>
    <t>c7e9244a9fdf9ae33fd94f55e7e24741</t>
  </si>
  <si>
    <t>421deffec215845f8632fb3543789f86</t>
  </si>
  <si>
    <t>a4d7caf7570d02134caf5b8425c515d8</t>
  </si>
  <si>
    <t>2018-08-25</t>
  </si>
  <si>
    <t>1ed30df5fa6886743c4509f8bd1a3241</t>
  </si>
  <si>
    <t>c94edffab2f10ec24645c62b40881e88</t>
  </si>
  <si>
    <t>3676b8a38151270ac285f2fa3c564772</t>
  </si>
  <si>
    <t>675bc8cd15e6b9225582b9161288670f</t>
  </si>
  <si>
    <t>12fb8b575f3f6d58ccbafba1294177e5</t>
  </si>
  <si>
    <t>a37c35b30b6e6d6e5a62c846cb093a32</t>
  </si>
  <si>
    <t>2018-08-26</t>
  </si>
  <si>
    <t>56610fa87188c93ee5993a5e98a7b092</t>
  </si>
  <si>
    <t>2018-08-27</t>
  </si>
  <si>
    <t>f27cc61c27c26b63dd0b279bb9c29ed6</t>
  </si>
  <si>
    <t>68dd7c23e8b6c1e5f3ad16be5dd4bdf6</t>
  </si>
  <si>
    <t>46c123d65d1a90feca91b6c4cf104633</t>
  </si>
  <si>
    <t>168626408cb32af0ffaf76711caae1dc</t>
  </si>
  <si>
    <t>2018-08-29</t>
  </si>
  <si>
    <t>912859fef5a0bd5059b6d48fa79d121a</t>
  </si>
  <si>
    <t>52018484704db3661b98ce838612b507</t>
  </si>
  <si>
    <t>state_code</t>
  </si>
  <si>
    <t>Acre</t>
  </si>
  <si>
    <t>Alagoas</t>
  </si>
  <si>
    <t>Amazonas</t>
  </si>
  <si>
    <t>Amapa</t>
  </si>
  <si>
    <t>Bahia</t>
  </si>
  <si>
    <t>Ceara</t>
  </si>
  <si>
    <t>Distrito Federal</t>
  </si>
  <si>
    <t>Espirito Santo</t>
  </si>
  <si>
    <t>Goias</t>
  </si>
  <si>
    <t>Maranhao</t>
  </si>
  <si>
    <t>Minas Gerais</t>
  </si>
  <si>
    <t>Mato Grosso do Sul</t>
  </si>
  <si>
    <t>Mato Grosso</t>
  </si>
  <si>
    <t>Para</t>
  </si>
  <si>
    <t>Paraiba</t>
  </si>
  <si>
    <t>Pernambuco</t>
  </si>
  <si>
    <t>Piaui</t>
  </si>
  <si>
    <t>Parana</t>
  </si>
  <si>
    <t>Rio de Janeiro</t>
  </si>
  <si>
    <t>Rio Grande do Norte</t>
  </si>
  <si>
    <t>Rondonia</t>
  </si>
  <si>
    <t>Roraima</t>
  </si>
  <si>
    <t>Rio Grande do Sul</t>
  </si>
  <si>
    <t>Santa Catarina</t>
  </si>
  <si>
    <t>Sergipe</t>
  </si>
  <si>
    <t>Sao Paulo</t>
  </si>
  <si>
    <t>Tocantins</t>
  </si>
  <si>
    <t>Row Labels</t>
  </si>
  <si>
    <t>Grand Total</t>
  </si>
  <si>
    <t>Column Labels</t>
  </si>
  <si>
    <t>(blank)</t>
  </si>
  <si>
    <t>Share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</si>
</sst>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Calibri"/>
      <family val="2"/>
      <scheme val="minor"/>
    </font>
    <font>
      <b/>
      <sz val="11"/>
      <color rgb="FFFFFFFF"/>
      <name val="Calibri"/>
    </font>
    <font>
      <b/>
      <sz val="14"/>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3" fontId="0" fillId="0" borderId="0" xfId="0" applyNumberFormat="1"/>
    <xf numFmtId="4" fontId="0" fillId="0" borderId="0" xfId="0" applyNumberFormat="1"/>
    <xf numFmtId="164" fontId="0" fillId="0" borderId="0" xfId="0" applyNumberFormat="1"/>
    <xf numFmtId="10" fontId="0" fillId="0" borderId="0" xfId="0" applyNumberFormat="1"/>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[olist_excel_analysis.xlsx]Pivot_Monthly!Pivot_Monthly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and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Pivot_Monthly!$B$3</c:f>
              <c:strCache>
                <c:ptCount val="1"/>
                <c:pt idx="0">
                  <c:v>Revenue</c:v>
                </c:pt>
              </c:strCache>
            </c:strRef>
          </c:tx>
          <c:spPr>
            <a:ln w="28575" cap="rnd">
              <a:solidFill>
                <a:schemeClr val="accent1"/>
              </a:solidFill>
              <a:round/>
            </a:ln>
            <a:effectLst/>
          </c:spPr>
          <c:marker>
            <c:symbol val="none"/>
          </c:marker>
          <c:cat>
            <c:strRef>
              <c:f>Pivot_Monthly!$A$4:$A$26</c:f>
              <c:strCache>
                <c:ptCount val="22"/>
                <c:pt idx="0">
                  <c:v>2016-09</c:v>
                </c:pt>
                <c:pt idx="1">
                  <c:v>2016-10</c:v>
                </c:pt>
                <c:pt idx="2">
                  <c:v>2017-01</c:v>
                </c:pt>
                <c:pt idx="3">
                  <c:v>2017-02</c:v>
                </c:pt>
                <c:pt idx="4">
                  <c:v>2017-03</c:v>
                </c:pt>
                <c:pt idx="5">
                  <c:v>2017-04</c:v>
                </c:pt>
                <c:pt idx="6">
                  <c:v>2017-05</c:v>
                </c:pt>
                <c:pt idx="7">
                  <c:v>2017-06</c:v>
                </c:pt>
                <c:pt idx="8">
                  <c:v>2017-07</c:v>
                </c:pt>
                <c:pt idx="9">
                  <c:v>2017-08</c:v>
                </c:pt>
                <c:pt idx="10">
                  <c:v>2017-09</c:v>
                </c:pt>
                <c:pt idx="11">
                  <c:v>2017-10</c:v>
                </c:pt>
                <c:pt idx="12">
                  <c:v>2017-11</c:v>
                </c:pt>
                <c:pt idx="13">
                  <c:v>2017-12</c:v>
                </c:pt>
                <c:pt idx="14">
                  <c:v>2018-01</c:v>
                </c:pt>
                <c:pt idx="15">
                  <c:v>2018-02</c:v>
                </c:pt>
                <c:pt idx="16">
                  <c:v>2018-03</c:v>
                </c:pt>
                <c:pt idx="17">
                  <c:v>2018-04</c:v>
                </c:pt>
                <c:pt idx="18">
                  <c:v>2018-05</c:v>
                </c:pt>
                <c:pt idx="19">
                  <c:v>2018-06</c:v>
                </c:pt>
                <c:pt idx="20">
                  <c:v>2018-07</c:v>
                </c:pt>
                <c:pt idx="21">
                  <c:v>2018-08</c:v>
                </c:pt>
              </c:strCache>
            </c:strRef>
          </c:cat>
          <c:val>
            <c:numRef>
              <c:f>Pivot_Monthly!$B$4:$B$26</c:f>
              <c:numCache>
                <c:formatCode>#,##0</c:formatCode>
                <c:ptCount val="22"/>
                <c:pt idx="0">
                  <c:v>72.89</c:v>
                </c:pt>
                <c:pt idx="1">
                  <c:v>3045.1500000000005</c:v>
                </c:pt>
                <c:pt idx="2">
                  <c:v>5249.4599999999982</c:v>
                </c:pt>
                <c:pt idx="3">
                  <c:v>15745.43999999999</c:v>
                </c:pt>
                <c:pt idx="4">
                  <c:v>20527.760000000006</c:v>
                </c:pt>
                <c:pt idx="5">
                  <c:v>23997.950000000044</c:v>
                </c:pt>
                <c:pt idx="6">
                  <c:v>24362.810000000034</c:v>
                </c:pt>
                <c:pt idx="7">
                  <c:v>21248.01000000002</c:v>
                </c:pt>
                <c:pt idx="8">
                  <c:v>22834.42000000002</c:v>
                </c:pt>
                <c:pt idx="9">
                  <c:v>28483.180000000058</c:v>
                </c:pt>
                <c:pt idx="10">
                  <c:v>39166.190000000046</c:v>
                </c:pt>
                <c:pt idx="11">
                  <c:v>37725.040000000059</c:v>
                </c:pt>
                <c:pt idx="12">
                  <c:v>57079.040000000154</c:v>
                </c:pt>
                <c:pt idx="13">
                  <c:v>32829.93000000008</c:v>
                </c:pt>
                <c:pt idx="14">
                  <c:v>52285.300000000119</c:v>
                </c:pt>
                <c:pt idx="15">
                  <c:v>47500.880000000121</c:v>
                </c:pt>
                <c:pt idx="16">
                  <c:v>45095.230000000054</c:v>
                </c:pt>
                <c:pt idx="17">
                  <c:v>41564.160000000076</c:v>
                </c:pt>
                <c:pt idx="18">
                  <c:v>50137.06000000007</c:v>
                </c:pt>
                <c:pt idx="19">
                  <c:v>41637.260000000097</c:v>
                </c:pt>
                <c:pt idx="20">
                  <c:v>48720.040000000074</c:v>
                </c:pt>
                <c:pt idx="21">
                  <c:v>49171.360000000081</c:v>
                </c:pt>
              </c:numCache>
            </c:numRef>
          </c:val>
          <c:smooth val="0"/>
          <c:extLst>
            <c:ext xmlns:c16="http://schemas.microsoft.com/office/drawing/2014/chart" uri="{C3380CC4-5D6E-409C-BE32-E72D297353CC}">
              <c16:uniqueId val="{00000000-394C-464A-8035-015B1B45DD92}"/>
            </c:ext>
          </c:extLst>
        </c:ser>
        <c:ser>
          <c:idx val="1"/>
          <c:order val="1"/>
          <c:tx>
            <c:strRef>
              <c:f>Pivot_Monthly!$C$3</c:f>
              <c:strCache>
                <c:ptCount val="1"/>
                <c:pt idx="0">
                  <c:v>Orders</c:v>
                </c:pt>
              </c:strCache>
            </c:strRef>
          </c:tx>
          <c:spPr>
            <a:ln w="28575" cap="rnd">
              <a:solidFill>
                <a:schemeClr val="accent2"/>
              </a:solidFill>
              <a:round/>
            </a:ln>
            <a:effectLst/>
          </c:spPr>
          <c:marker>
            <c:symbol val="none"/>
          </c:marker>
          <c:cat>
            <c:strRef>
              <c:f>Pivot_Monthly!$A$4:$A$26</c:f>
              <c:strCache>
                <c:ptCount val="22"/>
                <c:pt idx="0">
                  <c:v>2016-09</c:v>
                </c:pt>
                <c:pt idx="1">
                  <c:v>2016-10</c:v>
                </c:pt>
                <c:pt idx="2">
                  <c:v>2017-01</c:v>
                </c:pt>
                <c:pt idx="3">
                  <c:v>2017-02</c:v>
                </c:pt>
                <c:pt idx="4">
                  <c:v>2017-03</c:v>
                </c:pt>
                <c:pt idx="5">
                  <c:v>2017-04</c:v>
                </c:pt>
                <c:pt idx="6">
                  <c:v>2017-05</c:v>
                </c:pt>
                <c:pt idx="7">
                  <c:v>2017-06</c:v>
                </c:pt>
                <c:pt idx="8">
                  <c:v>2017-07</c:v>
                </c:pt>
                <c:pt idx="9">
                  <c:v>2017-08</c:v>
                </c:pt>
                <c:pt idx="10">
                  <c:v>2017-09</c:v>
                </c:pt>
                <c:pt idx="11">
                  <c:v>2017-10</c:v>
                </c:pt>
                <c:pt idx="12">
                  <c:v>2017-11</c:v>
                </c:pt>
                <c:pt idx="13">
                  <c:v>2017-12</c:v>
                </c:pt>
                <c:pt idx="14">
                  <c:v>2018-01</c:v>
                </c:pt>
                <c:pt idx="15">
                  <c:v>2018-02</c:v>
                </c:pt>
                <c:pt idx="16">
                  <c:v>2018-03</c:v>
                </c:pt>
                <c:pt idx="17">
                  <c:v>2018-04</c:v>
                </c:pt>
                <c:pt idx="18">
                  <c:v>2018-05</c:v>
                </c:pt>
                <c:pt idx="19">
                  <c:v>2018-06</c:v>
                </c:pt>
                <c:pt idx="20">
                  <c:v>2018-07</c:v>
                </c:pt>
                <c:pt idx="21">
                  <c:v>2018-08</c:v>
                </c:pt>
              </c:strCache>
            </c:strRef>
          </c:cat>
          <c:val>
            <c:numRef>
              <c:f>Pivot_Monthly!$C$4:$C$26</c:f>
              <c:numCache>
                <c:formatCode>#,##0</c:formatCode>
                <c:ptCount val="22"/>
                <c:pt idx="0">
                  <c:v>1</c:v>
                </c:pt>
                <c:pt idx="1">
                  <c:v>16</c:v>
                </c:pt>
                <c:pt idx="2">
                  <c:v>48</c:v>
                </c:pt>
                <c:pt idx="3">
                  <c:v>85</c:v>
                </c:pt>
                <c:pt idx="4">
                  <c:v>136</c:v>
                </c:pt>
                <c:pt idx="5">
                  <c:v>125</c:v>
                </c:pt>
                <c:pt idx="6">
                  <c:v>178</c:v>
                </c:pt>
                <c:pt idx="7">
                  <c:v>154</c:v>
                </c:pt>
                <c:pt idx="8">
                  <c:v>197</c:v>
                </c:pt>
                <c:pt idx="9">
                  <c:v>235</c:v>
                </c:pt>
                <c:pt idx="10">
                  <c:v>199</c:v>
                </c:pt>
                <c:pt idx="11">
                  <c:v>218</c:v>
                </c:pt>
                <c:pt idx="12">
                  <c:v>428</c:v>
                </c:pt>
                <c:pt idx="13">
                  <c:v>258</c:v>
                </c:pt>
                <c:pt idx="14">
                  <c:v>394</c:v>
                </c:pt>
                <c:pt idx="15">
                  <c:v>356</c:v>
                </c:pt>
                <c:pt idx="16">
                  <c:v>357</c:v>
                </c:pt>
                <c:pt idx="17">
                  <c:v>344</c:v>
                </c:pt>
                <c:pt idx="18">
                  <c:v>309</c:v>
                </c:pt>
                <c:pt idx="19">
                  <c:v>335</c:v>
                </c:pt>
                <c:pt idx="20">
                  <c:v>300</c:v>
                </c:pt>
                <c:pt idx="21">
                  <c:v>327</c:v>
                </c:pt>
              </c:numCache>
            </c:numRef>
          </c:val>
          <c:smooth val="0"/>
          <c:extLst>
            <c:ext xmlns:c16="http://schemas.microsoft.com/office/drawing/2014/chart" uri="{C3380CC4-5D6E-409C-BE32-E72D297353CC}">
              <c16:uniqueId val="{00000001-394C-464A-8035-015B1B45DD92}"/>
            </c:ext>
          </c:extLst>
        </c:ser>
        <c:dLbls>
          <c:showLegendKey val="0"/>
          <c:showVal val="0"/>
          <c:showCatName val="0"/>
          <c:showSerName val="0"/>
          <c:showPercent val="0"/>
          <c:showBubbleSize val="0"/>
        </c:dLbls>
        <c:smooth val="0"/>
        <c:axId val="1583071855"/>
        <c:axId val="1050741551"/>
      </c:lineChart>
      <c:catAx>
        <c:axId val="158307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741551"/>
        <c:crosses val="autoZero"/>
        <c:auto val="1"/>
        <c:lblAlgn val="ctr"/>
        <c:lblOffset val="100"/>
        <c:noMultiLvlLbl val="0"/>
      </c:catAx>
      <c:valAx>
        <c:axId val="1050741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249237</xdr:colOff>
      <xdr:row>1</xdr:row>
      <xdr:rowOff>73025</xdr:rowOff>
    </xdr:from>
    <xdr:to>
      <xdr:col>16</xdr:col>
      <xdr:colOff>376237</xdr:colOff>
      <xdr:row>21</xdr:row>
      <xdr:rowOff>9525</xdr:rowOff>
    </xdr:to>
    <xdr:graphicFrame macro="">
      <xdr:nvGraphicFramePr>
        <xdr:cNvPr id="2" name="Chart 1">
          <a:extLst>
            <a:ext uri="{FF2B5EF4-FFF2-40B4-BE49-F238E27FC236}">
              <a16:creationId xmlns:a16="http://schemas.microsoft.com/office/drawing/2014/main" id="{C150DF17-7B07-6E05-81E5-7C51B7B3A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90487</xdr:colOff>
      <xdr:row>12</xdr:row>
      <xdr:rowOff>128587</xdr:rowOff>
    </xdr:from>
    <xdr:to>
      <xdr:col>11</xdr:col>
      <xdr:colOff>623887</xdr:colOff>
      <xdr:row>26</xdr:row>
      <xdr:rowOff>119062</xdr:rowOff>
    </xdr:to>
    <mc:AlternateContent xmlns:mc="http://schemas.openxmlformats.org/markup-compatibility/2006">
      <mc:Choice xmlns:a14="http://schemas.microsoft.com/office/drawing/2010/main" Requires="a14">
        <xdr:graphicFrame macro="">
          <xdr:nvGraphicFramePr>
            <xdr:cNvPr id="3" name="customer_state">
              <a:extLst>
                <a:ext uri="{FF2B5EF4-FFF2-40B4-BE49-F238E27FC236}">
                  <a16:creationId xmlns:a16="http://schemas.microsoft.com/office/drawing/2014/main" id="{ADD6E024-C302-E0C1-74F2-E759178A8A83}"/>
                </a:ext>
              </a:extLst>
            </xdr:cNvPr>
            <xdr:cNvGraphicFramePr/>
          </xdr:nvGraphicFramePr>
          <xdr:xfrm>
            <a:off x="0" y="0"/>
            <a:ext cx="0" cy="0"/>
          </xdr:xfrm>
          <a:graphic>
            <a:graphicData uri="http://schemas.microsoft.com/office/drawing/2010/slicer">
              <sle:slicer xmlns:sle="http://schemas.microsoft.com/office/drawing/2010/slicer" name="customer_state"/>
            </a:graphicData>
          </a:graphic>
        </xdr:graphicFrame>
      </mc:Choice>
      <mc:Fallback>
        <xdr:sp macro="" textlink="">
          <xdr:nvSpPr>
            <xdr:cNvPr id="0" name=""/>
            <xdr:cNvSpPr>
              <a:spLocks noTextEdit="1"/>
            </xdr:cNvSpPr>
          </xdr:nvSpPr>
          <xdr:spPr>
            <a:xfrm>
              <a:off x="5848350" y="23002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prasad" refreshedDate="46299.579140277776" createdVersion="8" refreshedVersion="8" minRefreshableVersion="3" recordCount="5000" xr:uid="{4AAE8107-0D21-4393-90E5-D7E69CDA561D}">
  <cacheSource type="worksheet">
    <worksheetSource ref="A1:M5001" sheet="Orders"/>
  </cacheSource>
  <cacheFields count="13">
    <cacheField name="order_id" numFmtId="0">
      <sharedItems/>
    </cacheField>
    <cacheField name="order_date" numFmtId="0">
      <sharedItems/>
    </cacheField>
    <cacheField name="order_month" numFmtId="0">
      <sharedItems count="22">
        <s v="2016-09"/>
        <s v="2016-10"/>
        <s v="2017-01"/>
        <s v="2017-02"/>
        <s v="2017-03"/>
        <s v="2017-04"/>
        <s v="2017-05"/>
        <s v="2017-06"/>
        <s v="2017-07"/>
        <s v="2017-08"/>
        <s v="2017-09"/>
        <s v="2017-10"/>
        <s v="2017-11"/>
        <s v="2017-12"/>
        <s v="2018-01"/>
        <s v="2018-02"/>
        <s v="2018-03"/>
        <s v="2018-04"/>
        <s v="2018-05"/>
        <s v="2018-06"/>
        <s v="2018-07"/>
        <s v="2018-08"/>
      </sharedItems>
    </cacheField>
    <cacheField name="customer_state" numFmtId="0">
      <sharedItems count="27">
        <s v="RR"/>
        <s v="RS"/>
        <s v="GO"/>
        <s v="SP"/>
        <s v="RJ"/>
        <s v="PR"/>
        <s v="PE"/>
        <s v="MG"/>
        <s v="SC"/>
        <s v="SE"/>
        <s v="PI"/>
        <s v="PA"/>
        <s v="CE"/>
        <s v="MA"/>
        <s v="MS"/>
        <s v="MT"/>
        <s v="AM"/>
        <s v="RO"/>
        <s v="DF"/>
        <s v="AC"/>
        <s v="TO"/>
        <s v="BA"/>
        <s v="ES"/>
        <s v="RN"/>
        <s v="AL"/>
        <s v="AP"/>
        <s v="PB"/>
      </sharedItems>
    </cacheField>
    <cacheField name="main_category" numFmtId="0">
      <sharedItems count="67">
        <s v="furniture_decor"/>
        <s v="sports_leisure"/>
        <s v="toys"/>
        <s v="consoles_games"/>
        <s v="computers_accessories"/>
        <s v="perfumery"/>
        <s v="telephony"/>
        <s v="garden_tools"/>
        <s v="industry_commerce_and_business"/>
        <s v="health_beauty"/>
        <s v="music"/>
        <s v="small_appliances"/>
        <s v="baby"/>
        <s v="auto"/>
        <s v="bed_bath_table"/>
        <s v="fashion_shoes"/>
        <s v="fashion_male_clothing"/>
        <s v="electronics"/>
        <s v="fashion_bags_accessories"/>
        <s v="housewares"/>
        <s v="cool_stuff"/>
        <s v="luggage_accessories"/>
        <s v="watches_gifts"/>
        <s v="books_general_interest"/>
        <s v="furniture_living_room"/>
        <s v="pet_shop"/>
        <s v="unknown"/>
        <s v="agro_industry_and_commerce"/>
        <s v="office_furniture"/>
        <s v="stationery"/>
        <s v="food"/>
        <s v="air_conditioning"/>
        <s v="construction_tools_construction"/>
        <s v="musical_instruments"/>
        <s v="kitchen_dining_laundry_garden_furniture"/>
        <s v="dvds_blu_ray"/>
        <s v="home_appliances"/>
        <s v="tablets_printing_image"/>
        <s v="home_comfort_2"/>
        <s v="furniture_bedroom"/>
        <s v="market_place"/>
        <s v="home_confort"/>
        <s v="audio"/>
        <s v="fashion_childrens_clothes"/>
        <s v="home_appliances_2"/>
        <s v="fixed_telephony"/>
        <s v="food_drink"/>
        <s v="cds_dvds_musicals"/>
        <s v="fashion_underwear_beach"/>
        <s v="books_imported"/>
        <s v="la_cuisine"/>
        <s v="christmas_supplies"/>
        <s v="cine_photo"/>
        <s v="computers"/>
        <s v="home_construction"/>
        <s v="costruction_tools_garden"/>
        <s v="drinks"/>
        <s v="books_technical"/>
        <s v="construction_tools_lights"/>
        <s v="construction_tools_safety"/>
        <s v="fashion_sport"/>
        <s v="furniture_mattress_and_upholstery"/>
        <s v="art"/>
        <s v="small_appliances_home_oven_and_coffee"/>
        <s v="costruction_tools_tools"/>
        <s v="signaling_and_security"/>
        <s v="diapers_and_hygiene"/>
      </sharedItems>
    </cacheField>
    <cacheField name="items" numFmtId="0">
      <sharedItems containsSemiMixedTypes="0" containsString="0" containsNumber="1" containsInteger="1" minValue="1" maxValue="20"/>
    </cacheField>
    <cacheField name="order_value" numFmtId="0">
      <sharedItems containsSemiMixedTypes="0" containsString="0" containsNumber="1" minValue="3.49" maxValue="13440"/>
    </cacheField>
    <cacheField name="freight_value" numFmtId="0">
      <sharedItems containsSemiMixedTypes="0" containsString="0" containsNumber="1" minValue="0" maxValue="388.1"/>
    </cacheField>
    <cacheField name="payment_type" numFmtId="0">
      <sharedItems/>
    </cacheField>
    <cacheField name="delivery_days" numFmtId="0">
      <sharedItems containsString="0" containsBlank="1" containsNumber="1" containsInteger="1" minValue="1" maxValue="102"/>
    </cacheField>
    <cacheField name="delivery_status" numFmtId="0">
      <sharedItems count="3">
        <s v="Not Delivered"/>
        <s v="On Time"/>
        <s v="Late"/>
      </sharedItems>
    </cacheField>
    <cacheField name="review_score" numFmtId="0">
      <sharedItems containsString="0" containsBlank="1" containsNumber="1" minValue="1" maxValue="5" count="8">
        <n v="1"/>
        <n v="3"/>
        <n v="5"/>
        <n v="4"/>
        <m/>
        <n v="2"/>
        <n v="3.5"/>
        <n v="4.5"/>
      </sharedItems>
    </cacheField>
    <cacheField name="state_name" numFmtId="0">
      <sharedItems/>
    </cacheField>
  </cacheFields>
  <extLst>
    <ext xmlns:x14="http://schemas.microsoft.com/office/spreadsheetml/2009/9/main" uri="{725AE2AE-9491-48be-B2B4-4EB974FC3084}">
      <x14:pivotCacheDefinition pivotCacheId="1977413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2e7a8482f6fb09756ca50c10d7bfc047"/>
    <s v="2016-09-04"/>
    <x v="0"/>
    <x v="0"/>
    <x v="0"/>
    <n v="2"/>
    <n v="72.89"/>
    <n v="63.34"/>
    <s v="credit_card"/>
    <m/>
    <x v="0"/>
    <x v="0"/>
    <s v="Roraima"/>
  </r>
  <r>
    <s v="a41c8759fbe7aab36ea07e038b2d4465"/>
    <s v="2016-10-03"/>
    <x v="1"/>
    <x v="1"/>
    <x v="1"/>
    <n v="1"/>
    <n v="36.49"/>
    <n v="17.239999999999998"/>
    <s v="boleto"/>
    <n v="30"/>
    <x v="1"/>
    <x v="1"/>
    <s v="Rio Grande do Sul"/>
  </r>
  <r>
    <s v="ae8a60e4b03c5a4ba9ca0672c164b181"/>
    <s v="2016-10-03"/>
    <x v="1"/>
    <x v="2"/>
    <x v="2"/>
    <n v="1"/>
    <n v="128.9"/>
    <n v="25.67"/>
    <s v="credit_card"/>
    <n v="30"/>
    <x v="1"/>
    <x v="2"/>
    <s v="Goias"/>
  </r>
  <r>
    <s v="966f96af9d189dc428ff04ebbca821b8"/>
    <s v="2016-10-04"/>
    <x v="1"/>
    <x v="3"/>
    <x v="2"/>
    <n v="1"/>
    <n v="129.9"/>
    <n v="12.44"/>
    <s v="credit_card"/>
    <m/>
    <x v="0"/>
    <x v="2"/>
    <s v="Sao Paulo"/>
  </r>
  <r>
    <s v="5204d67853f827d1ee32810bf8f2d6c2"/>
    <s v="2016-10-04"/>
    <x v="1"/>
    <x v="3"/>
    <x v="0"/>
    <n v="1"/>
    <n v="139.9"/>
    <n v="21.34"/>
    <s v="credit_card"/>
    <n v="8"/>
    <x v="1"/>
    <x v="2"/>
    <s v="Sao Paulo"/>
  </r>
  <r>
    <s v="90aea7c4e52538a18cb9bbfd16f09185"/>
    <s v="2016-10-04"/>
    <x v="1"/>
    <x v="4"/>
    <x v="3"/>
    <n v="1"/>
    <n v="949.99"/>
    <n v="29.92"/>
    <s v="credit_card"/>
    <n v="43"/>
    <x v="1"/>
    <x v="2"/>
    <s v="Rio de Janeiro"/>
  </r>
  <r>
    <s v="18dad78c0f87f4c45ef196daeaa3ffbb"/>
    <s v="2016-10-05"/>
    <x v="1"/>
    <x v="5"/>
    <x v="4"/>
    <n v="1"/>
    <n v="43.89"/>
    <n v="14.52"/>
    <s v="credit_card"/>
    <n v="12"/>
    <x v="1"/>
    <x v="2"/>
    <s v="Parana"/>
  </r>
  <r>
    <s v="cac247cece621e1bc64748d44331d22d"/>
    <s v="2016-10-05"/>
    <x v="1"/>
    <x v="6"/>
    <x v="5"/>
    <n v="1"/>
    <n v="249.9"/>
    <n v="23.87"/>
    <s v="credit_card"/>
    <n v="30"/>
    <x v="1"/>
    <x v="2"/>
    <s v="Pernambuco"/>
  </r>
  <r>
    <s v="dc5f6cd4492bbffe5bcda9b87856c9a5"/>
    <s v="2016-10-05"/>
    <x v="1"/>
    <x v="7"/>
    <x v="6"/>
    <n v="2"/>
    <n v="79.8"/>
    <n v="29.04"/>
    <s v="credit_card"/>
    <n v="21"/>
    <x v="1"/>
    <x v="3"/>
    <s v="Minas Gerais"/>
  </r>
  <r>
    <s v="ed90ba41c41da31da8e891ff43a584d1"/>
    <s v="2016-10-06"/>
    <x v="1"/>
    <x v="5"/>
    <x v="7"/>
    <n v="1"/>
    <n v="139.99"/>
    <n v="16.23"/>
    <s v="credit_card"/>
    <n v="7"/>
    <x v="1"/>
    <x v="2"/>
    <s v="Parana"/>
  </r>
  <r>
    <s v="6ece326e25f193d084e3dc092bbdd93b"/>
    <s v="2016-10-06"/>
    <x v="1"/>
    <x v="8"/>
    <x v="0"/>
    <n v="1"/>
    <n v="59.9"/>
    <n v="25.92"/>
    <s v="credit_card"/>
    <n v="17"/>
    <x v="1"/>
    <x v="3"/>
    <s v="Santa Catarina"/>
  </r>
  <r>
    <s v="ce9840efc17fbec501472f7c784be1bf"/>
    <s v="2016-10-06"/>
    <x v="1"/>
    <x v="5"/>
    <x v="1"/>
    <n v="1"/>
    <n v="18.899999999999999"/>
    <n v="14.52"/>
    <s v="credit_card"/>
    <n v="17"/>
    <x v="1"/>
    <x v="3"/>
    <s v="Parana"/>
  </r>
  <r>
    <s v="770d331c84e5b214bd9dc70a10b829d0"/>
    <s v="2016-10-07"/>
    <x v="1"/>
    <x v="4"/>
    <x v="5"/>
    <n v="1"/>
    <n v="249.9"/>
    <n v="14.03"/>
    <s v="credit_card"/>
    <n v="7"/>
    <x v="1"/>
    <x v="0"/>
    <s v="Rio de Janeiro"/>
  </r>
  <r>
    <s v="6b5e619dedba6d4297fb10dd5886912f"/>
    <s v="2016-10-08"/>
    <x v="1"/>
    <x v="3"/>
    <x v="8"/>
    <n v="2"/>
    <n v="179.8"/>
    <n v="27.42"/>
    <s v="credit_card"/>
    <n v="12"/>
    <x v="1"/>
    <x v="3"/>
    <s v="Sao Paulo"/>
  </r>
  <r>
    <s v="89f586f0cbddc6428831c41c8c333c66"/>
    <s v="2016-10-09"/>
    <x v="1"/>
    <x v="8"/>
    <x v="9"/>
    <n v="1"/>
    <n v="29.9"/>
    <n v="14.59"/>
    <s v="credit_card"/>
    <n v="7"/>
    <x v="1"/>
    <x v="2"/>
    <s v="Santa Catarina"/>
  </r>
  <r>
    <s v="5c5c9fde60ffb741545cf2608e8c12ca"/>
    <s v="2016-10-09"/>
    <x v="1"/>
    <x v="3"/>
    <x v="2"/>
    <n v="1"/>
    <n v="549.99"/>
    <n v="63.79"/>
    <s v="credit_card"/>
    <n v="9"/>
    <x v="1"/>
    <x v="3"/>
    <s v="Sao Paulo"/>
  </r>
  <r>
    <s v="09dd83f72b2516179cd46b81121fad23"/>
    <s v="2016-10-10"/>
    <x v="1"/>
    <x v="9"/>
    <x v="3"/>
    <n v="1"/>
    <n v="58"/>
    <n v="21.99"/>
    <s v="boleto"/>
    <n v="48"/>
    <x v="1"/>
    <x v="3"/>
    <s v="Sergipe"/>
  </r>
  <r>
    <s v="2f9d791088532b218b41f892cc16073b"/>
    <s v="2017-01-05"/>
    <x v="2"/>
    <x v="5"/>
    <x v="10"/>
    <n v="1"/>
    <n v="9.9"/>
    <n v="8.7200000000000006"/>
    <s v="boleto"/>
    <n v="12"/>
    <x v="1"/>
    <x v="2"/>
    <s v="Parana"/>
  </r>
  <r>
    <s v="b174fa32929e4af3622213e835cfa84a"/>
    <s v="2017-01-09"/>
    <x v="2"/>
    <x v="3"/>
    <x v="1"/>
    <n v="1"/>
    <n v="129"/>
    <n v="22.37"/>
    <s v="boleto"/>
    <n v="8"/>
    <x v="1"/>
    <x v="0"/>
    <s v="Sao Paulo"/>
  </r>
  <r>
    <s v="d730d8d0ea3149120703933fdf98b2d4"/>
    <s v="2017-01-13"/>
    <x v="2"/>
    <x v="3"/>
    <x v="9"/>
    <n v="1"/>
    <n v="54.9"/>
    <n v="12.96"/>
    <s v="credit_card"/>
    <m/>
    <x v="0"/>
    <x v="4"/>
    <s v="Sao Paulo"/>
  </r>
  <r>
    <s v="6248b0a9b547366913fb67922a7a2b77"/>
    <s v="2017-01-14"/>
    <x v="2"/>
    <x v="4"/>
    <x v="3"/>
    <n v="1"/>
    <n v="109.9"/>
    <n v="14.94"/>
    <s v="credit_card"/>
    <n v="19"/>
    <x v="1"/>
    <x v="3"/>
    <s v="Rio de Janeiro"/>
  </r>
  <r>
    <s v="3027797ce35841bf74917c0b0ea1a38d"/>
    <s v="2017-01-15"/>
    <x v="2"/>
    <x v="3"/>
    <x v="2"/>
    <n v="1"/>
    <n v="159.9"/>
    <n v="16.329999999999998"/>
    <s v="credit_card"/>
    <n v="8"/>
    <x v="1"/>
    <x v="2"/>
    <s v="Sao Paulo"/>
  </r>
  <r>
    <s v="d2e9aead95751dd6bd0ce80e7d506c53"/>
    <s v="2017-01-16"/>
    <x v="2"/>
    <x v="7"/>
    <x v="6"/>
    <n v="1"/>
    <n v="14.97"/>
    <n v="14.52"/>
    <s v="credit_card"/>
    <n v="6"/>
    <x v="1"/>
    <x v="2"/>
    <s v="Minas Gerais"/>
  </r>
  <r>
    <s v="3c54678edd9d58abadd6af16d0bce506"/>
    <s v="2017-01-17"/>
    <x v="2"/>
    <x v="4"/>
    <x v="11"/>
    <n v="1"/>
    <n v="37.9"/>
    <n v="15.56"/>
    <s v="credit_card"/>
    <n v="17"/>
    <x v="1"/>
    <x v="3"/>
    <s v="Rio de Janeiro"/>
  </r>
  <r>
    <s v="71f86189760ff1dec6805f4fc7c6f52f"/>
    <s v="2017-01-18"/>
    <x v="2"/>
    <x v="6"/>
    <x v="12"/>
    <n v="1"/>
    <n v="168"/>
    <n v="27.44"/>
    <s v="credit_card"/>
    <n v="13"/>
    <x v="1"/>
    <x v="2"/>
    <s v="Pernambuco"/>
  </r>
  <r>
    <s v="c1d4211b3dae76144deccd6c74144a88"/>
    <s v="2017-01-19"/>
    <x v="2"/>
    <x v="3"/>
    <x v="1"/>
    <n v="1"/>
    <n v="39.99"/>
    <n v="14.52"/>
    <s v="boleto"/>
    <n v="11"/>
    <x v="1"/>
    <x v="3"/>
    <s v="Sao Paulo"/>
  </r>
  <r>
    <s v="e5ecfcbdbc07f8edf7ec0df1504a74a6"/>
    <s v="2017-01-19"/>
    <x v="2"/>
    <x v="1"/>
    <x v="13"/>
    <n v="1"/>
    <n v="87.9"/>
    <n v="20.7"/>
    <s v="debit_card"/>
    <n v="18"/>
    <x v="1"/>
    <x v="2"/>
    <s v="Rio Grande do Sul"/>
  </r>
  <r>
    <s v="6e4a67f3a94e46e6cc5af48093d14127"/>
    <s v="2017-01-19"/>
    <x v="2"/>
    <x v="3"/>
    <x v="14"/>
    <n v="1"/>
    <n v="149.9"/>
    <n v="17.2"/>
    <s v="credit_card"/>
    <n v="13"/>
    <x v="1"/>
    <x v="2"/>
    <s v="Sao Paulo"/>
  </r>
  <r>
    <s v="bab0a62e41a5f0abc7f04989cdd7a6fd"/>
    <s v="2017-01-20"/>
    <x v="2"/>
    <x v="10"/>
    <x v="3"/>
    <n v="1"/>
    <n v="195.99"/>
    <n v="25.86"/>
    <s v="credit_card"/>
    <n v="17"/>
    <x v="1"/>
    <x v="2"/>
    <s v="Piaui"/>
  </r>
  <r>
    <s v="032bc75236a1cbaf410bb596a509e774"/>
    <s v="2017-01-20"/>
    <x v="2"/>
    <x v="3"/>
    <x v="0"/>
    <n v="1"/>
    <n v="39.9"/>
    <n v="11.74"/>
    <s v="credit_card"/>
    <n v="9"/>
    <x v="1"/>
    <x v="3"/>
    <s v="Sao Paulo"/>
  </r>
  <r>
    <s v="8bef37e0a778afcdf32118f376beb9de"/>
    <s v="2017-01-20"/>
    <x v="2"/>
    <x v="3"/>
    <x v="0"/>
    <n v="1"/>
    <n v="47"/>
    <n v="11.74"/>
    <s v="credit_card"/>
    <n v="9"/>
    <x v="1"/>
    <x v="2"/>
    <s v="Sao Paulo"/>
  </r>
  <r>
    <s v="f5d54f3d6cc2c7125dc1de8888ce8975"/>
    <s v="2017-01-20"/>
    <x v="2"/>
    <x v="3"/>
    <x v="7"/>
    <n v="1"/>
    <n v="105.99"/>
    <n v="15.85"/>
    <s v="boleto"/>
    <n v="9"/>
    <x v="1"/>
    <x v="2"/>
    <s v="Sao Paulo"/>
  </r>
  <r>
    <s v="66f1a7baf73c12eb3af95058da54b6f8"/>
    <s v="2017-01-20"/>
    <x v="2"/>
    <x v="3"/>
    <x v="15"/>
    <n v="1"/>
    <n v="34.9"/>
    <n v="14.11"/>
    <s v="credit_card"/>
    <n v="7"/>
    <x v="1"/>
    <x v="2"/>
    <s v="Sao Paulo"/>
  </r>
  <r>
    <s v="e9df4254faf2fe70bfbff4c0abe4fb7c"/>
    <s v="2017-01-21"/>
    <x v="2"/>
    <x v="8"/>
    <x v="0"/>
    <n v="1"/>
    <n v="31.5"/>
    <n v="14.52"/>
    <s v="boleto"/>
    <n v="16"/>
    <x v="1"/>
    <x v="3"/>
    <s v="Santa Catarina"/>
  </r>
  <r>
    <s v="73558fe683b9ce228381cf2ca678d322"/>
    <s v="2017-01-21"/>
    <x v="2"/>
    <x v="11"/>
    <x v="16"/>
    <n v="1"/>
    <n v="126.9"/>
    <n v="32.21"/>
    <s v="credit_card"/>
    <n v="18"/>
    <x v="1"/>
    <x v="2"/>
    <s v="Para"/>
  </r>
  <r>
    <s v="81251f18621a822ad5b09593dfee4fc9"/>
    <s v="2017-01-21"/>
    <x v="2"/>
    <x v="3"/>
    <x v="17"/>
    <n v="1"/>
    <n v="11.5"/>
    <n v="10.96"/>
    <s v="credit_card"/>
    <n v="5"/>
    <x v="1"/>
    <x v="2"/>
    <s v="Sao Paulo"/>
  </r>
  <r>
    <s v="6cf5d7a6b6eb9cad292da0b65d6c010e"/>
    <s v="2017-01-22"/>
    <x v="2"/>
    <x v="12"/>
    <x v="0"/>
    <n v="1"/>
    <n v="47"/>
    <n v="26.61"/>
    <s v="credit_card"/>
    <n v="14"/>
    <x v="1"/>
    <x v="1"/>
    <s v="Ceara"/>
  </r>
  <r>
    <s v="07d13d352c85dfbfa60dc56dea818335"/>
    <s v="2017-01-22"/>
    <x v="2"/>
    <x v="3"/>
    <x v="9"/>
    <n v="1"/>
    <n v="23.9"/>
    <n v="8.7200000000000006"/>
    <s v="boleto"/>
    <n v="9"/>
    <x v="1"/>
    <x v="0"/>
    <s v="Sao Paulo"/>
  </r>
  <r>
    <s v="035ab6fc3b7f9d16f714a337ee63b7be"/>
    <s v="2017-01-23"/>
    <x v="2"/>
    <x v="11"/>
    <x v="18"/>
    <n v="1"/>
    <n v="19.899999999999999"/>
    <n v="24.84"/>
    <s v="voucher"/>
    <n v="14"/>
    <x v="1"/>
    <x v="2"/>
    <s v="Para"/>
  </r>
  <r>
    <s v="46081612169925ef8882b3bbf1c5011d"/>
    <s v="2017-01-23"/>
    <x v="2"/>
    <x v="7"/>
    <x v="18"/>
    <n v="2"/>
    <n v="124.8"/>
    <n v="22.13"/>
    <s v="credit_card"/>
    <n v="4"/>
    <x v="1"/>
    <x v="3"/>
    <s v="Minas Gerais"/>
  </r>
  <r>
    <s v="f30663edef2c5ccbd8ac1901275ecf64"/>
    <s v="2017-01-24"/>
    <x v="2"/>
    <x v="3"/>
    <x v="12"/>
    <n v="1"/>
    <n v="36.9"/>
    <n v="8.7200000000000006"/>
    <s v="credit_card"/>
    <n v="5"/>
    <x v="1"/>
    <x v="2"/>
    <s v="Sao Paulo"/>
  </r>
  <r>
    <s v="8cb07e7e810ad9e5f33062cb4735d488"/>
    <s v="2017-01-24"/>
    <x v="2"/>
    <x v="5"/>
    <x v="9"/>
    <n v="1"/>
    <n v="23.9"/>
    <n v="14.52"/>
    <s v="boleto"/>
    <n v="15"/>
    <x v="1"/>
    <x v="2"/>
    <s v="Parana"/>
  </r>
  <r>
    <s v="3b64ff25a4610fb5599e4fd09f907501"/>
    <s v="2017-01-25"/>
    <x v="2"/>
    <x v="3"/>
    <x v="13"/>
    <n v="1"/>
    <n v="143.80000000000001"/>
    <n v="18.3"/>
    <s v="voucher"/>
    <n v="5"/>
    <x v="1"/>
    <x v="2"/>
    <s v="Sao Paulo"/>
  </r>
  <r>
    <s v="7d86c4aa9e59504b23f16c7ca68954a7"/>
    <s v="2017-01-25"/>
    <x v="2"/>
    <x v="13"/>
    <x v="19"/>
    <n v="1"/>
    <n v="63.9"/>
    <n v="26.71"/>
    <s v="credit_card"/>
    <n v="70"/>
    <x v="2"/>
    <x v="0"/>
    <s v="Maranhao"/>
  </r>
  <r>
    <s v="5dccad03ac8016afdcdb7cc0227ec9d7"/>
    <s v="2017-01-25"/>
    <x v="2"/>
    <x v="5"/>
    <x v="0"/>
    <n v="1"/>
    <n v="66.900000000000006"/>
    <n v="14.64"/>
    <s v="credit_card"/>
    <n v="4"/>
    <x v="1"/>
    <x v="2"/>
    <s v="Parana"/>
  </r>
  <r>
    <s v="c6be81e3c1e9e15e5893e19d7ce49647"/>
    <s v="2017-01-26"/>
    <x v="2"/>
    <x v="3"/>
    <x v="4"/>
    <n v="1"/>
    <n v="48.9"/>
    <n v="14.11"/>
    <s v="boleto"/>
    <n v="6"/>
    <x v="1"/>
    <x v="0"/>
    <s v="Sao Paulo"/>
  </r>
  <r>
    <s v="2b98d5c9b1969095e65f74308ae2e861"/>
    <s v="2017-01-26"/>
    <x v="2"/>
    <x v="3"/>
    <x v="20"/>
    <n v="1"/>
    <n v="177"/>
    <n v="18.53"/>
    <s v="credit_card"/>
    <n v="10"/>
    <x v="1"/>
    <x v="2"/>
    <s v="Sao Paulo"/>
  </r>
  <r>
    <s v="2363f4be725c1746c141cfe7e8432910"/>
    <s v="2017-01-26"/>
    <x v="2"/>
    <x v="7"/>
    <x v="12"/>
    <n v="1"/>
    <n v="127.9"/>
    <n v="26.39"/>
    <s v="credit_card"/>
    <n v="7"/>
    <x v="1"/>
    <x v="2"/>
    <s v="Minas Gerais"/>
  </r>
  <r>
    <s v="042e247be09aeae88a74e35766aa03ca"/>
    <s v="2017-01-26"/>
    <x v="2"/>
    <x v="4"/>
    <x v="14"/>
    <n v="2"/>
    <n v="119"/>
    <n v="34.32"/>
    <s v="credit_card"/>
    <n v="18"/>
    <x v="1"/>
    <x v="1"/>
    <s v="Rio de Janeiro"/>
  </r>
  <r>
    <s v="146bfe4003096bc16316672e59c6fb2e"/>
    <s v="2017-01-26"/>
    <x v="2"/>
    <x v="7"/>
    <x v="21"/>
    <n v="1"/>
    <n v="54.9"/>
    <n v="10.99"/>
    <s v="credit_card"/>
    <n v="5"/>
    <x v="1"/>
    <x v="2"/>
    <s v="Minas Gerais"/>
  </r>
  <r>
    <s v="126da462f642d99483c0691ac474c783"/>
    <s v="2017-01-27"/>
    <x v="2"/>
    <x v="3"/>
    <x v="2"/>
    <n v="1"/>
    <n v="129.9"/>
    <n v="18"/>
    <s v="voucher"/>
    <n v="7"/>
    <x v="1"/>
    <x v="3"/>
    <s v="Sao Paulo"/>
  </r>
  <r>
    <s v="5d36e8ca3ccd1262b7641467fdba0b8e"/>
    <s v="2017-01-27"/>
    <x v="2"/>
    <x v="12"/>
    <x v="0"/>
    <n v="1"/>
    <n v="79.900000000000006"/>
    <n v="23"/>
    <s v="credit_card"/>
    <n v="12"/>
    <x v="1"/>
    <x v="2"/>
    <s v="Ceara"/>
  </r>
  <r>
    <s v="775eb0ae1891c8dd8f12c2f8c6850006"/>
    <s v="2017-01-27"/>
    <x v="2"/>
    <x v="2"/>
    <x v="22"/>
    <n v="1"/>
    <n v="1299"/>
    <n v="27.79"/>
    <s v="credit_card"/>
    <n v="11"/>
    <x v="1"/>
    <x v="3"/>
    <s v="Goias"/>
  </r>
  <r>
    <s v="444ba35537c4a2b24c3bf2e576ee98ac"/>
    <s v="2017-01-27"/>
    <x v="2"/>
    <x v="7"/>
    <x v="14"/>
    <n v="1"/>
    <n v="119.99"/>
    <n v="20.92"/>
    <s v="boleto"/>
    <n v="10"/>
    <x v="1"/>
    <x v="2"/>
    <s v="Minas Gerais"/>
  </r>
  <r>
    <s v="8c10b4712b6c450e49bcfb6b1e48449f"/>
    <s v="2017-01-27"/>
    <x v="2"/>
    <x v="3"/>
    <x v="5"/>
    <n v="1"/>
    <n v="23.9"/>
    <n v="18"/>
    <s v="boleto"/>
    <n v="10"/>
    <x v="1"/>
    <x v="3"/>
    <s v="Sao Paulo"/>
  </r>
  <r>
    <s v="c383ab7c64e3ee1503e3574b22e37dab"/>
    <s v="2017-01-28"/>
    <x v="2"/>
    <x v="6"/>
    <x v="17"/>
    <n v="1"/>
    <n v="59.9"/>
    <n v="27"/>
    <s v="boleto"/>
    <n v="22"/>
    <x v="1"/>
    <x v="3"/>
    <s v="Pernambuco"/>
  </r>
  <r>
    <s v="e19721a12bc1caeb2095db14d8d6fc4e"/>
    <s v="2017-01-29"/>
    <x v="2"/>
    <x v="5"/>
    <x v="14"/>
    <n v="1"/>
    <n v="69.900000000000006"/>
    <n v="18"/>
    <s v="debit_card"/>
    <n v="16"/>
    <x v="1"/>
    <x v="2"/>
    <s v="Parana"/>
  </r>
  <r>
    <s v="9224db86cedf958891e1b1afb4ad570c"/>
    <s v="2017-01-30"/>
    <x v="2"/>
    <x v="7"/>
    <x v="6"/>
    <n v="2"/>
    <n v="38.89"/>
    <n v="50"/>
    <s v="credit_card"/>
    <n v="11"/>
    <x v="1"/>
    <x v="1"/>
    <s v="Minas Gerais"/>
  </r>
  <r>
    <s v="9843c2a66fe0afda6509bc4274f743de"/>
    <s v="2017-01-30"/>
    <x v="2"/>
    <x v="3"/>
    <x v="9"/>
    <n v="1"/>
    <n v="129.9"/>
    <n v="50"/>
    <s v="voucher"/>
    <n v="17"/>
    <x v="1"/>
    <x v="2"/>
    <s v="Sao Paulo"/>
  </r>
  <r>
    <s v="8d25f73f2fe9c225dff2232fd1e7c89b"/>
    <s v="2017-01-30"/>
    <x v="2"/>
    <x v="11"/>
    <x v="14"/>
    <n v="1"/>
    <n v="119.9"/>
    <n v="26"/>
    <s v="boleto"/>
    <n v="15"/>
    <x v="1"/>
    <x v="0"/>
    <s v="Para"/>
  </r>
  <r>
    <s v="8a903d20555a91edeffd6eab45743f26"/>
    <s v="2017-01-30"/>
    <x v="2"/>
    <x v="10"/>
    <x v="9"/>
    <n v="1"/>
    <n v="23.89"/>
    <n v="20"/>
    <s v="credit_card"/>
    <n v="3"/>
    <x v="1"/>
    <x v="2"/>
    <s v="Piaui"/>
  </r>
  <r>
    <s v="9e0ca19fb3cd696e318f58f0613ee8b1"/>
    <s v="2017-01-30"/>
    <x v="2"/>
    <x v="3"/>
    <x v="14"/>
    <n v="1"/>
    <n v="109.9"/>
    <n v="18"/>
    <s v="credit_card"/>
    <n v="7"/>
    <x v="1"/>
    <x v="1"/>
    <s v="Sao Paulo"/>
  </r>
  <r>
    <s v="26ba0c1bad97bbfdcc4419e3ca40d9a8"/>
    <s v="2017-01-31"/>
    <x v="2"/>
    <x v="3"/>
    <x v="20"/>
    <n v="1"/>
    <n v="76.05"/>
    <n v="15.79"/>
    <s v="credit_card"/>
    <n v="6"/>
    <x v="1"/>
    <x v="2"/>
    <s v="Sao Paulo"/>
  </r>
  <r>
    <s v="9abb2627b40ff1591e62553894e6b312"/>
    <s v="2017-01-31"/>
    <x v="2"/>
    <x v="3"/>
    <x v="23"/>
    <n v="1"/>
    <n v="109.9"/>
    <n v="17.510000000000002"/>
    <s v="credit_card"/>
    <n v="6"/>
    <x v="1"/>
    <x v="2"/>
    <s v="Sao Paulo"/>
  </r>
  <r>
    <s v="5f6b520cff06f23c77386b75976256e9"/>
    <s v="2017-01-31"/>
    <x v="2"/>
    <x v="3"/>
    <x v="3"/>
    <n v="1"/>
    <n v="223.9"/>
    <n v="15.74"/>
    <s v="boleto"/>
    <n v="7"/>
    <x v="1"/>
    <x v="4"/>
    <s v="Sao Paulo"/>
  </r>
  <r>
    <s v="faa1515e28c5d45a5bb6fa57bffcfb0b"/>
    <s v="2017-02-01"/>
    <x v="3"/>
    <x v="3"/>
    <x v="0"/>
    <n v="1"/>
    <n v="6.57"/>
    <n v="8.7200000000000006"/>
    <s v="credit_card"/>
    <n v="5"/>
    <x v="1"/>
    <x v="2"/>
    <s v="Sao Paulo"/>
  </r>
  <r>
    <s v="34605af753e44da907f983de0082faaf"/>
    <s v="2017-02-01"/>
    <x v="3"/>
    <x v="8"/>
    <x v="1"/>
    <n v="1"/>
    <n v="29.9"/>
    <n v="17.78"/>
    <s v="credit_card"/>
    <n v="16"/>
    <x v="1"/>
    <x v="0"/>
    <s v="Santa Catarina"/>
  </r>
  <r>
    <s v="db1a3b6bc463c229abf2699244173f49"/>
    <s v="2017-02-01"/>
    <x v="3"/>
    <x v="3"/>
    <x v="23"/>
    <n v="1"/>
    <n v="49.9"/>
    <n v="15.56"/>
    <s v="credit_card"/>
    <n v="7"/>
    <x v="1"/>
    <x v="2"/>
    <s v="Sao Paulo"/>
  </r>
  <r>
    <s v="fe9ff842f65047f5a82c48905a18cc98"/>
    <s v="2017-02-01"/>
    <x v="3"/>
    <x v="3"/>
    <x v="9"/>
    <n v="1"/>
    <n v="9.5"/>
    <n v="8.7200000000000006"/>
    <s v="credit_card"/>
    <n v="4"/>
    <x v="1"/>
    <x v="2"/>
    <s v="Sao Paulo"/>
  </r>
  <r>
    <s v="f5147f84d290b6615104539af53179fd"/>
    <s v="2017-02-01"/>
    <x v="3"/>
    <x v="3"/>
    <x v="5"/>
    <n v="1"/>
    <n v="23.9"/>
    <n v="14.52"/>
    <s v="credit_card"/>
    <n v="11"/>
    <x v="1"/>
    <x v="2"/>
    <s v="Sao Paulo"/>
  </r>
  <r>
    <s v="a65d4ac927fef29da1b58e60ebdbb1d7"/>
    <s v="2017-02-01"/>
    <x v="3"/>
    <x v="4"/>
    <x v="1"/>
    <n v="1"/>
    <n v="355"/>
    <n v="57.12"/>
    <s v="boleto"/>
    <n v="12"/>
    <x v="1"/>
    <x v="2"/>
    <s v="Rio de Janeiro"/>
  </r>
  <r>
    <s v="fe84ed29d87230c495cd2381857dba8e"/>
    <s v="2017-02-02"/>
    <x v="3"/>
    <x v="3"/>
    <x v="9"/>
    <n v="1"/>
    <n v="38.99"/>
    <n v="14.52"/>
    <s v="boleto"/>
    <n v="21"/>
    <x v="1"/>
    <x v="3"/>
    <s v="Sao Paulo"/>
  </r>
  <r>
    <s v="f349e78f52cb2d25cffd4cc44f168413"/>
    <s v="2017-02-02"/>
    <x v="3"/>
    <x v="4"/>
    <x v="24"/>
    <n v="1"/>
    <n v="103.99"/>
    <n v="37.24"/>
    <s v="boleto"/>
    <m/>
    <x v="0"/>
    <x v="2"/>
    <s v="Rio de Janeiro"/>
  </r>
  <r>
    <s v="d7d8ca5f25aac4f5efce2a0dc6133672"/>
    <s v="2017-02-03"/>
    <x v="3"/>
    <x v="8"/>
    <x v="18"/>
    <n v="2"/>
    <n v="159.80000000000001"/>
    <n v="35.979999999999997"/>
    <s v="credit_card"/>
    <n v="16"/>
    <x v="1"/>
    <x v="1"/>
    <s v="Santa Catarina"/>
  </r>
  <r>
    <s v="ee793c80c58a6de488444dbb4e63374f"/>
    <s v="2017-02-04"/>
    <x v="3"/>
    <x v="9"/>
    <x v="24"/>
    <n v="2"/>
    <n v="796"/>
    <n v="251.32"/>
    <s v="credit_card"/>
    <n v="17"/>
    <x v="1"/>
    <x v="2"/>
    <s v="Sergipe"/>
  </r>
  <r>
    <s v="d5558a097766363b8e76b38c43332e8a"/>
    <s v="2017-02-04"/>
    <x v="3"/>
    <x v="3"/>
    <x v="25"/>
    <n v="2"/>
    <n v="108.6"/>
    <n v="20.51"/>
    <s v="credit_card"/>
    <n v="5"/>
    <x v="1"/>
    <x v="5"/>
    <s v="Sao Paulo"/>
  </r>
  <r>
    <s v="4d55408f3a98afa1d4f3087d4a24005d"/>
    <s v="2017-02-04"/>
    <x v="3"/>
    <x v="14"/>
    <x v="4"/>
    <n v="1"/>
    <n v="49.99"/>
    <n v="15.65"/>
    <s v="credit_card"/>
    <n v="5"/>
    <x v="1"/>
    <x v="2"/>
    <s v="Mato Grosso do Sul"/>
  </r>
  <r>
    <s v="17eba629ec542978d1ea929d473d4f19"/>
    <s v="2017-02-04"/>
    <x v="3"/>
    <x v="4"/>
    <x v="11"/>
    <n v="1"/>
    <n v="163.9"/>
    <n v="43.61"/>
    <s v="credit_card"/>
    <n v="9"/>
    <x v="1"/>
    <x v="0"/>
    <s v="Rio de Janeiro"/>
  </r>
  <r>
    <s v="e4b5eb77d6eca2730a7ed8e9abaf4db2"/>
    <s v="2017-02-04"/>
    <x v="3"/>
    <x v="4"/>
    <x v="0"/>
    <n v="1"/>
    <n v="249.9"/>
    <n v="71.48"/>
    <s v="credit_card"/>
    <n v="10"/>
    <x v="1"/>
    <x v="2"/>
    <s v="Rio de Janeiro"/>
  </r>
  <r>
    <s v="36f63f07e3c52585c8eb2795c466b3fa"/>
    <s v="2017-02-05"/>
    <x v="3"/>
    <x v="4"/>
    <x v="26"/>
    <n v="1"/>
    <n v="25"/>
    <n v="12.93"/>
    <s v="credit_card"/>
    <n v="10"/>
    <x v="1"/>
    <x v="0"/>
    <s v="Rio de Janeiro"/>
  </r>
  <r>
    <s v="5d6a02cac99fa9799762b72352be69df"/>
    <s v="2017-02-05"/>
    <x v="3"/>
    <x v="3"/>
    <x v="21"/>
    <n v="1"/>
    <n v="55.9"/>
    <n v="14.15"/>
    <s v="credit_card"/>
    <n v="10"/>
    <x v="1"/>
    <x v="2"/>
    <s v="Sao Paulo"/>
  </r>
  <r>
    <s v="8c46c4b2bbf318ff31368bc87309662e"/>
    <s v="2017-02-05"/>
    <x v="3"/>
    <x v="11"/>
    <x v="1"/>
    <n v="1"/>
    <n v="159"/>
    <n v="47.61"/>
    <s v="credit_card"/>
    <n v="10"/>
    <x v="1"/>
    <x v="2"/>
    <s v="Para"/>
  </r>
  <r>
    <s v="8ca35ef9366e216446621215448b381a"/>
    <s v="2017-02-05"/>
    <x v="3"/>
    <x v="3"/>
    <x v="9"/>
    <n v="1"/>
    <n v="49.9"/>
    <n v="12.93"/>
    <s v="credit_card"/>
    <n v="10"/>
    <x v="1"/>
    <x v="2"/>
    <s v="Sao Paulo"/>
  </r>
  <r>
    <s v="31cb8821ab778cd23ebb6ce6f9e2bce0"/>
    <s v="2017-02-05"/>
    <x v="3"/>
    <x v="7"/>
    <x v="27"/>
    <n v="1"/>
    <n v="21.99"/>
    <n v="14.52"/>
    <s v="credit_card"/>
    <n v="4"/>
    <x v="1"/>
    <x v="1"/>
    <s v="Minas Gerais"/>
  </r>
  <r>
    <s v="88f2acef90e7ca305b8b5db51dd0be27"/>
    <s v="2017-02-06"/>
    <x v="3"/>
    <x v="4"/>
    <x v="9"/>
    <n v="1"/>
    <n v="69.900000000000006"/>
    <n v="15.25"/>
    <s v="credit_card"/>
    <n v="6"/>
    <x v="1"/>
    <x v="3"/>
    <s v="Rio de Janeiro"/>
  </r>
  <r>
    <s v="fe590d6e861c13a9b394a9d3775b07d7"/>
    <s v="2017-02-06"/>
    <x v="3"/>
    <x v="15"/>
    <x v="20"/>
    <n v="1"/>
    <n v="239.99"/>
    <n v="22.13"/>
    <s v="credit_card"/>
    <n v="14"/>
    <x v="1"/>
    <x v="2"/>
    <s v="Mato Grosso"/>
  </r>
  <r>
    <s v="033a79557b0d234035b38da3be948574"/>
    <s v="2017-02-06"/>
    <x v="3"/>
    <x v="16"/>
    <x v="7"/>
    <n v="1"/>
    <n v="35"/>
    <n v="24.35"/>
    <s v="credit_card"/>
    <n v="11"/>
    <x v="1"/>
    <x v="2"/>
    <s v="Amazonas"/>
  </r>
  <r>
    <s v="f21167a5141522821d54a766a2a54ce4"/>
    <s v="2017-02-07"/>
    <x v="3"/>
    <x v="3"/>
    <x v="1"/>
    <n v="1"/>
    <n v="44.99"/>
    <n v="10.96"/>
    <s v="credit_card"/>
    <n v="10"/>
    <x v="1"/>
    <x v="0"/>
    <s v="Sao Paulo"/>
  </r>
  <r>
    <s v="a6254817fe719457b22250e3cd2eb2ad"/>
    <s v="2017-02-07"/>
    <x v="3"/>
    <x v="3"/>
    <x v="9"/>
    <n v="1"/>
    <n v="23.9"/>
    <n v="8.7200000000000006"/>
    <s v="credit_card"/>
    <n v="7"/>
    <x v="1"/>
    <x v="2"/>
    <s v="Sao Paulo"/>
  </r>
  <r>
    <s v="64682ca1db0a46065072f31a87b390f8"/>
    <s v="2017-02-07"/>
    <x v="3"/>
    <x v="14"/>
    <x v="1"/>
    <n v="1"/>
    <n v="113"/>
    <n v="19.38"/>
    <s v="credit_card"/>
    <n v="16"/>
    <x v="1"/>
    <x v="2"/>
    <s v="Mato Grosso do Sul"/>
  </r>
  <r>
    <s v="3d24c492f9555a79d4d6fd3a22fbee1f"/>
    <s v="2017-02-07"/>
    <x v="3"/>
    <x v="7"/>
    <x v="21"/>
    <n v="1"/>
    <n v="55.9"/>
    <n v="11"/>
    <s v="voucher"/>
    <n v="6"/>
    <x v="1"/>
    <x v="2"/>
    <s v="Minas Gerais"/>
  </r>
  <r>
    <s v="7f14c64f7f48c0243c290e47dd51cfeb"/>
    <s v="2017-02-07"/>
    <x v="3"/>
    <x v="7"/>
    <x v="4"/>
    <n v="1"/>
    <n v="20.9"/>
    <n v="10.96"/>
    <s v="boleto"/>
    <n v="13"/>
    <x v="1"/>
    <x v="0"/>
    <s v="Minas Gerais"/>
  </r>
  <r>
    <s v="25e4af6ebff2dfb6213c8cc7e36ecbed"/>
    <s v="2017-02-07"/>
    <x v="3"/>
    <x v="7"/>
    <x v="0"/>
    <n v="2"/>
    <n v="198"/>
    <n v="74.180000000000007"/>
    <s v="credit_card"/>
    <n v="23"/>
    <x v="1"/>
    <x v="2"/>
    <s v="Minas Gerais"/>
  </r>
  <r>
    <s v="18eb75d1fa1fc1168de2bb0c4aa6dfd6"/>
    <s v="2017-02-07"/>
    <x v="3"/>
    <x v="17"/>
    <x v="28"/>
    <n v="1"/>
    <n v="119.99"/>
    <n v="50"/>
    <s v="credit_card"/>
    <n v="15"/>
    <x v="1"/>
    <x v="2"/>
    <s v="Rondonia"/>
  </r>
  <r>
    <s v="ef923bbb28876cc2a8e00a7ebc1a52f8"/>
    <s v="2017-02-07"/>
    <x v="3"/>
    <x v="7"/>
    <x v="6"/>
    <n v="1"/>
    <n v="142.99"/>
    <n v="18.52"/>
    <s v="credit_card"/>
    <n v="8"/>
    <x v="1"/>
    <x v="2"/>
    <s v="Minas Gerais"/>
  </r>
  <r>
    <s v="ca254c5904f6a9a9063eef5239c54197"/>
    <s v="2017-02-07"/>
    <x v="3"/>
    <x v="7"/>
    <x v="12"/>
    <n v="1"/>
    <n v="64.900000000000006"/>
    <n v="14.62"/>
    <s v="credit_card"/>
    <n v="9"/>
    <x v="1"/>
    <x v="3"/>
    <s v="Minas Gerais"/>
  </r>
  <r>
    <s v="195070d2d0eb1da7d93b958bce36d1ef"/>
    <s v="2017-02-08"/>
    <x v="3"/>
    <x v="3"/>
    <x v="9"/>
    <n v="1"/>
    <n v="19.989999999999998"/>
    <n v="10.96"/>
    <s v="boleto"/>
    <m/>
    <x v="0"/>
    <x v="0"/>
    <s v="Sao Paulo"/>
  </r>
  <r>
    <s v="fb520e46696d1669a96549c252ed177d"/>
    <s v="2017-02-08"/>
    <x v="3"/>
    <x v="1"/>
    <x v="9"/>
    <n v="1"/>
    <n v="69.989999999999995"/>
    <n v="16.190000000000001"/>
    <s v="credit_card"/>
    <m/>
    <x v="0"/>
    <x v="5"/>
    <s v="Rio Grande do Sul"/>
  </r>
  <r>
    <s v="2140d49aa405c7c344212e78351fef98"/>
    <s v="2017-02-08"/>
    <x v="3"/>
    <x v="5"/>
    <x v="6"/>
    <n v="1"/>
    <n v="9.8800000000000008"/>
    <n v="14.11"/>
    <s v="credit_card"/>
    <n v="12"/>
    <x v="1"/>
    <x v="2"/>
    <s v="Parana"/>
  </r>
  <r>
    <s v="c7b2b75e4013ba825f8617a06936a014"/>
    <s v="2017-02-08"/>
    <x v="3"/>
    <x v="4"/>
    <x v="11"/>
    <n v="1"/>
    <n v="169.9"/>
    <n v="31.93"/>
    <s v="boleto"/>
    <n v="12"/>
    <x v="1"/>
    <x v="2"/>
    <s v="Rio de Janeiro"/>
  </r>
  <r>
    <s v="e11dead0c183b7b8da09f6b3039ea730"/>
    <s v="2017-02-09"/>
    <x v="3"/>
    <x v="7"/>
    <x v="7"/>
    <n v="1"/>
    <n v="157"/>
    <n v="18.850000000000001"/>
    <s v="credit_card"/>
    <n v="5"/>
    <x v="1"/>
    <x v="1"/>
    <s v="Minas Gerais"/>
  </r>
  <r>
    <s v="188e8c3184383f5eee9e40255048191b"/>
    <s v="2017-02-09"/>
    <x v="3"/>
    <x v="3"/>
    <x v="26"/>
    <n v="1"/>
    <n v="104.9"/>
    <n v="15.94"/>
    <s v="credit_card"/>
    <n v="3"/>
    <x v="1"/>
    <x v="3"/>
    <s v="Sao Paulo"/>
  </r>
  <r>
    <s v="e85c92ee6a3ba1ef47e41c23286314d9"/>
    <s v="2017-02-10"/>
    <x v="3"/>
    <x v="18"/>
    <x v="4"/>
    <n v="1"/>
    <n v="3699.99"/>
    <n v="36.229999999999997"/>
    <s v="credit_card"/>
    <n v="12"/>
    <x v="1"/>
    <x v="3"/>
    <s v="Distrito Federal"/>
  </r>
  <r>
    <s v="768b4cf8bec9afe5a1f39b8e3c3e8cc0"/>
    <s v="2017-02-10"/>
    <x v="3"/>
    <x v="7"/>
    <x v="28"/>
    <n v="1"/>
    <n v="119.99"/>
    <n v="15.01"/>
    <s v="credit_card"/>
    <n v="21"/>
    <x v="1"/>
    <x v="2"/>
    <s v="Minas Gerais"/>
  </r>
  <r>
    <s v="bca58807bbe0c11fa3099e2328f62647"/>
    <s v="2017-02-10"/>
    <x v="3"/>
    <x v="19"/>
    <x v="4"/>
    <n v="1"/>
    <n v="20.9"/>
    <n v="24.35"/>
    <s v="credit_card"/>
    <n v="27"/>
    <x v="1"/>
    <x v="2"/>
    <s v="Acre"/>
  </r>
  <r>
    <s v="f8ff98a36706c66da3a3f060a0ec3141"/>
    <s v="2017-02-10"/>
    <x v="3"/>
    <x v="7"/>
    <x v="14"/>
    <n v="2"/>
    <n v="419.8"/>
    <n v="44.49"/>
    <s v="credit_card"/>
    <n v="12"/>
    <x v="1"/>
    <x v="3"/>
    <s v="Minas Gerais"/>
  </r>
  <r>
    <s v="27863884193fa88ed79c356f4f568fe7"/>
    <s v="2017-02-10"/>
    <x v="3"/>
    <x v="3"/>
    <x v="9"/>
    <n v="1"/>
    <n v="67.900000000000006"/>
    <n v="11.09"/>
    <s v="boleto"/>
    <n v="9"/>
    <x v="1"/>
    <x v="2"/>
    <s v="Sao Paulo"/>
  </r>
  <r>
    <s v="f5c948dcc066017d10fd2dd3d01cea6d"/>
    <s v="2017-02-11"/>
    <x v="3"/>
    <x v="3"/>
    <x v="4"/>
    <n v="1"/>
    <n v="51.9"/>
    <n v="11.75"/>
    <s v="credit_card"/>
    <n v="8"/>
    <x v="1"/>
    <x v="2"/>
    <s v="Sao Paulo"/>
  </r>
  <r>
    <s v="48275cf565f4ea4f291da07bbbc7d330"/>
    <s v="2017-02-12"/>
    <x v="3"/>
    <x v="4"/>
    <x v="2"/>
    <n v="1"/>
    <n v="84.99"/>
    <n v="16.29"/>
    <s v="boleto"/>
    <n v="8"/>
    <x v="1"/>
    <x v="3"/>
    <s v="Rio de Janeiro"/>
  </r>
  <r>
    <s v="b58c726e8f5ba3196c593b1837d25744"/>
    <s v="2017-02-13"/>
    <x v="3"/>
    <x v="7"/>
    <x v="29"/>
    <n v="1"/>
    <n v="35"/>
    <n v="14.52"/>
    <s v="credit_card"/>
    <n v="7"/>
    <x v="1"/>
    <x v="0"/>
    <s v="Minas Gerais"/>
  </r>
  <r>
    <s v="edcae211fcaaccf2cfd426f297ebd700"/>
    <s v="2017-02-13"/>
    <x v="3"/>
    <x v="3"/>
    <x v="1"/>
    <n v="1"/>
    <n v="1299.99"/>
    <n v="67.510000000000005"/>
    <s v="credit_card"/>
    <n v="8"/>
    <x v="1"/>
    <x v="2"/>
    <s v="Sao Paulo"/>
  </r>
  <r>
    <s v="dc81a7a14a9502b15d6e1791eaa4ade6"/>
    <s v="2017-02-13"/>
    <x v="3"/>
    <x v="3"/>
    <x v="4"/>
    <n v="1"/>
    <n v="22"/>
    <n v="10.96"/>
    <s v="boleto"/>
    <n v="8"/>
    <x v="1"/>
    <x v="0"/>
    <s v="Sao Paulo"/>
  </r>
  <r>
    <s v="46d2062e8a19cb5473491cf07b5d4629"/>
    <s v="2017-02-13"/>
    <x v="3"/>
    <x v="4"/>
    <x v="26"/>
    <n v="1"/>
    <n v="89.9"/>
    <n v="37.03"/>
    <s v="credit_card"/>
    <n v="8"/>
    <x v="1"/>
    <x v="2"/>
    <s v="Rio de Janeiro"/>
  </r>
  <r>
    <s v="170f94ae030b06759974c36f29faf658"/>
    <s v="2017-02-13"/>
    <x v="3"/>
    <x v="20"/>
    <x v="28"/>
    <n v="1"/>
    <n v="176.96"/>
    <n v="42.83"/>
    <s v="credit_card"/>
    <n v="23"/>
    <x v="1"/>
    <x v="2"/>
    <s v="Tocantins"/>
  </r>
  <r>
    <s v="9574b288490bcda13e1fd8f75a319bc3"/>
    <s v="2017-02-13"/>
    <x v="3"/>
    <x v="7"/>
    <x v="0"/>
    <n v="1"/>
    <n v="109.99"/>
    <n v="17.510000000000002"/>
    <s v="credit_card"/>
    <n v="10"/>
    <x v="1"/>
    <x v="0"/>
    <s v="Minas Gerais"/>
  </r>
  <r>
    <s v="bbca89624572b1532cc19840d3ad81c8"/>
    <s v="2017-02-14"/>
    <x v="3"/>
    <x v="4"/>
    <x v="26"/>
    <n v="1"/>
    <n v="25"/>
    <n v="12.93"/>
    <s v="credit_card"/>
    <n v="3"/>
    <x v="1"/>
    <x v="0"/>
    <s v="Rio de Janeiro"/>
  </r>
  <r>
    <s v="88a385737ede49900eeccbcd1d16fa00"/>
    <s v="2017-02-15"/>
    <x v="3"/>
    <x v="4"/>
    <x v="0"/>
    <n v="1"/>
    <n v="99.9"/>
    <n v="17.54"/>
    <s v="credit_card"/>
    <n v="15"/>
    <x v="1"/>
    <x v="2"/>
    <s v="Rio de Janeiro"/>
  </r>
  <r>
    <s v="c475a9d8286befc2ceecf1bd07f03a25"/>
    <s v="2017-02-16"/>
    <x v="3"/>
    <x v="4"/>
    <x v="9"/>
    <n v="1"/>
    <n v="97.07"/>
    <n v="14.85"/>
    <s v="credit_card"/>
    <n v="21"/>
    <x v="1"/>
    <x v="2"/>
    <s v="Rio de Janeiro"/>
  </r>
  <r>
    <s v="80341e701b91f4e9f068a3ec40fb0440"/>
    <s v="2017-02-16"/>
    <x v="3"/>
    <x v="3"/>
    <x v="19"/>
    <n v="1"/>
    <n v="453.7"/>
    <n v="17.350000000000001"/>
    <s v="boleto"/>
    <n v="8"/>
    <x v="1"/>
    <x v="2"/>
    <s v="Sao Paulo"/>
  </r>
  <r>
    <s v="efd2c0c31366671a99bb3eba61b5459a"/>
    <s v="2017-02-16"/>
    <x v="3"/>
    <x v="3"/>
    <x v="1"/>
    <n v="1"/>
    <n v="340"/>
    <n v="18.53"/>
    <s v="credit_card"/>
    <n v="40"/>
    <x v="2"/>
    <x v="0"/>
    <s v="Sao Paulo"/>
  </r>
  <r>
    <s v="e57564c2c135df8c91da6037bd79e137"/>
    <s v="2017-02-16"/>
    <x v="3"/>
    <x v="21"/>
    <x v="30"/>
    <n v="1"/>
    <n v="149.9"/>
    <n v="27.48"/>
    <s v="credit_card"/>
    <n v="19"/>
    <x v="1"/>
    <x v="2"/>
    <s v="Bahia"/>
  </r>
  <r>
    <s v="c8d355d9b0027d16b4f22804df2bbc2d"/>
    <s v="2017-02-17"/>
    <x v="3"/>
    <x v="21"/>
    <x v="7"/>
    <n v="1"/>
    <n v="96.99"/>
    <n v="22.18"/>
    <s v="voucher"/>
    <n v="68"/>
    <x v="2"/>
    <x v="0"/>
    <s v="Bahia"/>
  </r>
  <r>
    <s v="32b808465502f4cc7e17777151e294ce"/>
    <s v="2017-02-17"/>
    <x v="3"/>
    <x v="18"/>
    <x v="21"/>
    <n v="1"/>
    <n v="109.9"/>
    <n v="14.53"/>
    <s v="credit_card"/>
    <n v="18"/>
    <x v="1"/>
    <x v="3"/>
    <s v="Distrito Federal"/>
  </r>
  <r>
    <s v="5dc4353ecb73877d7222007f37958d82"/>
    <s v="2017-02-17"/>
    <x v="3"/>
    <x v="7"/>
    <x v="14"/>
    <n v="1"/>
    <n v="154.9"/>
    <n v="22.69"/>
    <s v="credit_card"/>
    <n v="11"/>
    <x v="1"/>
    <x v="2"/>
    <s v="Minas Gerais"/>
  </r>
  <r>
    <s v="e2e85885a15f712ba00eb35cf5be7cfd"/>
    <s v="2017-02-18"/>
    <x v="3"/>
    <x v="22"/>
    <x v="31"/>
    <n v="1"/>
    <n v="187.9"/>
    <n v="23.61"/>
    <s v="credit_card"/>
    <n v="6"/>
    <x v="1"/>
    <x v="0"/>
    <s v="Espirito Santo"/>
  </r>
  <r>
    <s v="74016effecaa79d592487f6a4ee47d4b"/>
    <s v="2017-02-18"/>
    <x v="3"/>
    <x v="4"/>
    <x v="32"/>
    <n v="1"/>
    <n v="36.99"/>
    <n v="14.52"/>
    <s v="credit_card"/>
    <n v="30"/>
    <x v="2"/>
    <x v="2"/>
    <s v="Rio de Janeiro"/>
  </r>
  <r>
    <s v="8c53283eca3bc0e603a48f2b8725e96f"/>
    <s v="2017-02-18"/>
    <x v="3"/>
    <x v="3"/>
    <x v="6"/>
    <n v="1"/>
    <n v="6.9"/>
    <n v="10.96"/>
    <s v="credit_card"/>
    <n v="10"/>
    <x v="1"/>
    <x v="1"/>
    <s v="Sao Paulo"/>
  </r>
  <r>
    <s v="bb5f5dd023eabf15e5d178f887f37cb5"/>
    <s v="2017-02-18"/>
    <x v="3"/>
    <x v="3"/>
    <x v="6"/>
    <n v="2"/>
    <n v="37.979999999999997"/>
    <n v="21.92"/>
    <s v="credit_card"/>
    <n v="10"/>
    <x v="1"/>
    <x v="2"/>
    <s v="Sao Paulo"/>
  </r>
  <r>
    <s v="d788d36048b59fbe35707de56c2fe939"/>
    <s v="2017-02-19"/>
    <x v="3"/>
    <x v="1"/>
    <x v="6"/>
    <n v="1"/>
    <n v="69"/>
    <n v="16.420000000000002"/>
    <s v="credit_card"/>
    <n v="23"/>
    <x v="1"/>
    <x v="2"/>
    <s v="Rio Grande do Sul"/>
  </r>
  <r>
    <s v="3f35b92ed8249125038852a2742bd514"/>
    <s v="2017-02-19"/>
    <x v="3"/>
    <x v="7"/>
    <x v="19"/>
    <n v="1"/>
    <n v="95.17"/>
    <n v="16.82"/>
    <s v="credit_card"/>
    <m/>
    <x v="0"/>
    <x v="0"/>
    <s v="Minas Gerais"/>
  </r>
  <r>
    <s v="98c927d938727c3ea7afd9a8f96c14bc"/>
    <s v="2017-02-20"/>
    <x v="3"/>
    <x v="7"/>
    <x v="6"/>
    <n v="1"/>
    <n v="119.99"/>
    <n v="18.27"/>
    <s v="credit_card"/>
    <n v="9"/>
    <x v="1"/>
    <x v="1"/>
    <s v="Minas Gerais"/>
  </r>
  <r>
    <s v="aceb6154fb83d13825344189f5682606"/>
    <s v="2017-02-20"/>
    <x v="3"/>
    <x v="21"/>
    <x v="14"/>
    <n v="1"/>
    <n v="69.900000000000006"/>
    <n v="18.73"/>
    <s v="voucher"/>
    <n v="15"/>
    <x v="1"/>
    <x v="2"/>
    <s v="Bahia"/>
  </r>
  <r>
    <s v="7122fa45d10437278bab815f67002798"/>
    <s v="2017-02-20"/>
    <x v="3"/>
    <x v="3"/>
    <x v="4"/>
    <n v="1"/>
    <n v="29.9"/>
    <n v="10.96"/>
    <s v="credit_card"/>
    <n v="2"/>
    <x v="1"/>
    <x v="1"/>
    <s v="Sao Paulo"/>
  </r>
  <r>
    <s v="523d7597c0c82db94fd16b4213e2f0ab"/>
    <s v="2017-02-20"/>
    <x v="3"/>
    <x v="7"/>
    <x v="6"/>
    <n v="1"/>
    <n v="15.9"/>
    <n v="14.52"/>
    <s v="boleto"/>
    <n v="45"/>
    <x v="2"/>
    <x v="0"/>
    <s v="Minas Gerais"/>
  </r>
  <r>
    <s v="d19f9c665eb2f26335e4e69e5965a84f"/>
    <s v="2017-02-20"/>
    <x v="3"/>
    <x v="7"/>
    <x v="1"/>
    <n v="1"/>
    <n v="169.99"/>
    <n v="21.51"/>
    <s v="credit_card"/>
    <n v="13"/>
    <x v="1"/>
    <x v="2"/>
    <s v="Minas Gerais"/>
  </r>
  <r>
    <s v="ed81c7d735a856f576d22a5b9717b5c2"/>
    <s v="2017-02-21"/>
    <x v="3"/>
    <x v="4"/>
    <x v="0"/>
    <n v="1"/>
    <n v="73.349999999999994"/>
    <n v="15.72"/>
    <s v="credit_card"/>
    <n v="9"/>
    <x v="1"/>
    <x v="2"/>
    <s v="Rio de Janeiro"/>
  </r>
  <r>
    <s v="bd3137fd711a2c0ff1765bafbae489a8"/>
    <s v="2017-02-21"/>
    <x v="3"/>
    <x v="7"/>
    <x v="9"/>
    <n v="1"/>
    <n v="636"/>
    <n v="50"/>
    <s v="credit_card"/>
    <n v="10"/>
    <x v="1"/>
    <x v="2"/>
    <s v="Minas Gerais"/>
  </r>
  <r>
    <s v="5ea599a9a67fae7fd7120b2b9add8a60"/>
    <s v="2017-02-22"/>
    <x v="3"/>
    <x v="1"/>
    <x v="0"/>
    <n v="1"/>
    <n v="7.8"/>
    <n v="16.05"/>
    <s v="credit_card"/>
    <n v="9"/>
    <x v="1"/>
    <x v="2"/>
    <s v="Rio Grande do Sul"/>
  </r>
  <r>
    <s v="78cd965d0bc0388d390404eee6490c5b"/>
    <s v="2017-02-22"/>
    <x v="3"/>
    <x v="7"/>
    <x v="14"/>
    <n v="1"/>
    <n v="169.9"/>
    <n v="19.47"/>
    <s v="credit_card"/>
    <n v="15"/>
    <x v="1"/>
    <x v="2"/>
    <s v="Minas Gerais"/>
  </r>
  <r>
    <s v="d4bf4c2cae2256d8e92b6ec8f1fd248b"/>
    <s v="2017-02-22"/>
    <x v="3"/>
    <x v="3"/>
    <x v="1"/>
    <n v="2"/>
    <n v="59.8"/>
    <n v="21.92"/>
    <s v="credit_card"/>
    <m/>
    <x v="0"/>
    <x v="0"/>
    <s v="Sao Paulo"/>
  </r>
  <r>
    <s v="d5499e385aef94ea76d2ea5e6a73e60a"/>
    <s v="2017-02-22"/>
    <x v="3"/>
    <x v="3"/>
    <x v="3"/>
    <n v="1"/>
    <n v="55.9"/>
    <n v="24.88"/>
    <s v="credit_card"/>
    <n v="8"/>
    <x v="1"/>
    <x v="2"/>
    <s v="Sao Paulo"/>
  </r>
  <r>
    <s v="44851597b52d19f80a0b05ff48be5530"/>
    <s v="2017-02-23"/>
    <x v="3"/>
    <x v="3"/>
    <x v="7"/>
    <n v="1"/>
    <n v="99.99"/>
    <n v="28.89"/>
    <s v="credit_card"/>
    <n v="11"/>
    <x v="1"/>
    <x v="2"/>
    <s v="Sao Paulo"/>
  </r>
  <r>
    <s v="fd85297a862adfe046d2d8793daa5647"/>
    <s v="2017-02-23"/>
    <x v="3"/>
    <x v="7"/>
    <x v="1"/>
    <n v="1"/>
    <n v="59.9"/>
    <n v="17.850000000000001"/>
    <s v="credit_card"/>
    <n v="13"/>
    <x v="1"/>
    <x v="2"/>
    <s v="Minas Gerais"/>
  </r>
  <r>
    <s v="749b689efad761f8c94941fa3adfb702"/>
    <s v="2017-02-24"/>
    <x v="3"/>
    <x v="3"/>
    <x v="12"/>
    <n v="1"/>
    <n v="39.9"/>
    <n v="10.96"/>
    <s v="credit_card"/>
    <n v="5"/>
    <x v="1"/>
    <x v="3"/>
    <s v="Sao Paulo"/>
  </r>
  <r>
    <s v="e26f52b2a37b0ce41ba38979221bf39d"/>
    <s v="2017-02-24"/>
    <x v="3"/>
    <x v="3"/>
    <x v="12"/>
    <n v="1"/>
    <n v="20"/>
    <n v="16.05"/>
    <s v="credit_card"/>
    <n v="6"/>
    <x v="1"/>
    <x v="2"/>
    <s v="Sao Paulo"/>
  </r>
  <r>
    <s v="8f4b23c6040b8a6b6e1621f378e220ee"/>
    <s v="2017-02-25"/>
    <x v="3"/>
    <x v="3"/>
    <x v="9"/>
    <n v="1"/>
    <n v="198"/>
    <n v="16.5"/>
    <s v="credit_card"/>
    <n v="13"/>
    <x v="1"/>
    <x v="3"/>
    <s v="Sao Paulo"/>
  </r>
  <r>
    <s v="08a9634db941b72179ed30feeaac2541"/>
    <s v="2017-02-27"/>
    <x v="3"/>
    <x v="3"/>
    <x v="17"/>
    <n v="1"/>
    <n v="42"/>
    <n v="11.73"/>
    <s v="credit_card"/>
    <n v="6"/>
    <x v="1"/>
    <x v="2"/>
    <s v="Sao Paulo"/>
  </r>
  <r>
    <s v="b5e8d13478ad66ec57d480c9e00abb39"/>
    <s v="2017-02-28"/>
    <x v="3"/>
    <x v="5"/>
    <x v="20"/>
    <n v="1"/>
    <n v="1169"/>
    <n v="59.73"/>
    <s v="credit_card"/>
    <n v="13"/>
    <x v="1"/>
    <x v="0"/>
    <s v="Parana"/>
  </r>
  <r>
    <s v="94e43121a0232434f1ee7c1888f2cce5"/>
    <s v="2017-02-28"/>
    <x v="3"/>
    <x v="11"/>
    <x v="33"/>
    <n v="1"/>
    <n v="38.86"/>
    <n v="24.84"/>
    <s v="credit_card"/>
    <n v="12"/>
    <x v="1"/>
    <x v="2"/>
    <s v="Para"/>
  </r>
  <r>
    <s v="855e1b20c8aa2964bb871fd9cb5458f5"/>
    <s v="2017-02-28"/>
    <x v="3"/>
    <x v="7"/>
    <x v="5"/>
    <n v="1"/>
    <n v="389.9"/>
    <n v="16.97"/>
    <s v="credit_card"/>
    <n v="13"/>
    <x v="1"/>
    <x v="3"/>
    <s v="Minas Gerais"/>
  </r>
  <r>
    <s v="f6ed483455295c6e7544f141244cd981"/>
    <s v="2017-03-01"/>
    <x v="4"/>
    <x v="3"/>
    <x v="1"/>
    <n v="1"/>
    <n v="129"/>
    <n v="22.51"/>
    <s v="credit_card"/>
    <n v="4"/>
    <x v="1"/>
    <x v="2"/>
    <s v="Sao Paulo"/>
  </r>
  <r>
    <s v="c881f8c42d20430b008bf5ea6abe4405"/>
    <s v="2017-03-01"/>
    <x v="4"/>
    <x v="4"/>
    <x v="9"/>
    <n v="1"/>
    <n v="349"/>
    <n v="16.2"/>
    <s v="credit_card"/>
    <n v="4"/>
    <x v="1"/>
    <x v="2"/>
    <s v="Rio de Janeiro"/>
  </r>
  <r>
    <s v="933a4d6f0739efd8aa68decea5b411c6"/>
    <s v="2017-03-01"/>
    <x v="4"/>
    <x v="22"/>
    <x v="2"/>
    <n v="2"/>
    <n v="129.80000000000001"/>
    <n v="38.299999999999997"/>
    <s v="boleto"/>
    <n v="8"/>
    <x v="1"/>
    <x v="2"/>
    <s v="Espirito Santo"/>
  </r>
  <r>
    <s v="e9e2effacedebc11741ec26027686fe9"/>
    <s v="2017-03-01"/>
    <x v="4"/>
    <x v="3"/>
    <x v="0"/>
    <n v="1"/>
    <n v="29.99"/>
    <n v="10.96"/>
    <s v="credit_card"/>
    <n v="13"/>
    <x v="1"/>
    <x v="1"/>
    <s v="Sao Paulo"/>
  </r>
  <r>
    <s v="c7b0be5584c50efa8a9d95d3eecbece3"/>
    <s v="2017-03-01"/>
    <x v="4"/>
    <x v="3"/>
    <x v="1"/>
    <n v="1"/>
    <n v="1800"/>
    <n v="26.07"/>
    <s v="boleto"/>
    <n v="18"/>
    <x v="1"/>
    <x v="2"/>
    <s v="Sao Paulo"/>
  </r>
  <r>
    <s v="fb81538ad88f59a4eb26ec0627825830"/>
    <s v="2017-03-02"/>
    <x v="4"/>
    <x v="12"/>
    <x v="4"/>
    <n v="1"/>
    <n v="42"/>
    <n v="20.8"/>
    <s v="credit_card"/>
    <n v="17"/>
    <x v="1"/>
    <x v="2"/>
    <s v="Ceara"/>
  </r>
  <r>
    <s v="2973501c740d29c4ad13c14b660e2472"/>
    <s v="2017-03-02"/>
    <x v="4"/>
    <x v="3"/>
    <x v="32"/>
    <n v="1"/>
    <n v="38.9"/>
    <n v="14.52"/>
    <s v="credit_card"/>
    <n v="11"/>
    <x v="1"/>
    <x v="3"/>
    <s v="Sao Paulo"/>
  </r>
  <r>
    <s v="72da473ce9c065b6b7120da52ad4ac02"/>
    <s v="2017-03-02"/>
    <x v="4"/>
    <x v="3"/>
    <x v="0"/>
    <n v="2"/>
    <n v="123.8"/>
    <n v="23.65"/>
    <s v="credit_card"/>
    <n v="4"/>
    <x v="1"/>
    <x v="2"/>
    <s v="Sao Paulo"/>
  </r>
  <r>
    <s v="c7ab73e7c26ff800c76b703fae63c467"/>
    <s v="2017-03-02"/>
    <x v="4"/>
    <x v="22"/>
    <x v="31"/>
    <n v="1"/>
    <n v="95"/>
    <n v="16.37"/>
    <s v="boleto"/>
    <n v="7"/>
    <x v="1"/>
    <x v="3"/>
    <s v="Espirito Santo"/>
  </r>
  <r>
    <s v="efd5f6d335841ef212ce657580faf95d"/>
    <s v="2017-03-03"/>
    <x v="4"/>
    <x v="11"/>
    <x v="4"/>
    <n v="1"/>
    <n v="580.27"/>
    <n v="30.32"/>
    <s v="credit_card"/>
    <n v="16"/>
    <x v="1"/>
    <x v="3"/>
    <s v="Para"/>
  </r>
  <r>
    <s v="c1bffb64e9e46207fa132a9a4f4e1307"/>
    <s v="2017-03-03"/>
    <x v="4"/>
    <x v="6"/>
    <x v="14"/>
    <n v="1"/>
    <n v="69.900000000000006"/>
    <n v="22.42"/>
    <s v="credit_card"/>
    <n v="18"/>
    <x v="1"/>
    <x v="2"/>
    <s v="Pernambuco"/>
  </r>
  <r>
    <s v="0493cfcda1fbe4c59f584aeffa96c098"/>
    <s v="2017-03-03"/>
    <x v="4"/>
    <x v="4"/>
    <x v="29"/>
    <n v="1"/>
    <n v="89"/>
    <n v="17.36"/>
    <s v="credit_card"/>
    <n v="4"/>
    <x v="1"/>
    <x v="2"/>
    <s v="Rio de Janeiro"/>
  </r>
  <r>
    <s v="6120dca54b9adfd072f8fd9574161063"/>
    <s v="2017-03-03"/>
    <x v="4"/>
    <x v="4"/>
    <x v="1"/>
    <n v="1"/>
    <n v="119.99"/>
    <n v="17.579999999999998"/>
    <s v="boleto"/>
    <n v="10"/>
    <x v="1"/>
    <x v="2"/>
    <s v="Rio de Janeiro"/>
  </r>
  <r>
    <s v="e943e3e10c10f28b98d9f5737793c267"/>
    <s v="2017-03-04"/>
    <x v="4"/>
    <x v="8"/>
    <x v="6"/>
    <n v="1"/>
    <n v="39.99"/>
    <n v="14.52"/>
    <s v="credit_card"/>
    <n v="18"/>
    <x v="1"/>
    <x v="2"/>
    <s v="Santa Catarina"/>
  </r>
  <r>
    <s v="3241db830366645e6a88f6384ee36cc7"/>
    <s v="2017-03-04"/>
    <x v="4"/>
    <x v="22"/>
    <x v="19"/>
    <n v="1"/>
    <n v="98.3"/>
    <n v="50.17"/>
    <s v="credit_card"/>
    <n v="9"/>
    <x v="1"/>
    <x v="3"/>
    <s v="Espirito Santo"/>
  </r>
  <r>
    <s v="0cfb04a3e59f3ce319891d208135885b"/>
    <s v="2017-03-04"/>
    <x v="4"/>
    <x v="4"/>
    <x v="4"/>
    <n v="1"/>
    <n v="195.9"/>
    <n v="19.96"/>
    <s v="credit_card"/>
    <n v="9"/>
    <x v="1"/>
    <x v="2"/>
    <s v="Rio de Janeiro"/>
  </r>
  <r>
    <s v="c216922ad3d667fb17d7c7b6843efaab"/>
    <s v="2017-03-05"/>
    <x v="4"/>
    <x v="4"/>
    <x v="7"/>
    <n v="1"/>
    <n v="48"/>
    <n v="15.11"/>
    <s v="credit_card"/>
    <n v="7"/>
    <x v="1"/>
    <x v="2"/>
    <s v="Rio de Janeiro"/>
  </r>
  <r>
    <s v="fd766da8b074a9d9399eee9b28525f83"/>
    <s v="2017-03-05"/>
    <x v="4"/>
    <x v="4"/>
    <x v="19"/>
    <n v="1"/>
    <n v="79.989999999999995"/>
    <n v="18.84"/>
    <s v="credit_card"/>
    <n v="8"/>
    <x v="1"/>
    <x v="3"/>
    <s v="Rio de Janeiro"/>
  </r>
  <r>
    <s v="205214f7f27b2cea7e82fb18e87a9369"/>
    <s v="2017-03-05"/>
    <x v="4"/>
    <x v="3"/>
    <x v="20"/>
    <n v="1"/>
    <n v="19.899999999999999"/>
    <n v="8.7200000000000006"/>
    <s v="credit_card"/>
    <n v="4"/>
    <x v="1"/>
    <x v="2"/>
    <s v="Sao Paulo"/>
  </r>
  <r>
    <s v="91415c7eb3a9313812484623efc7ee27"/>
    <s v="2017-03-05"/>
    <x v="4"/>
    <x v="4"/>
    <x v="6"/>
    <n v="1"/>
    <n v="19.989999999999998"/>
    <n v="14.11"/>
    <s v="credit_card"/>
    <n v="36"/>
    <x v="2"/>
    <x v="0"/>
    <s v="Rio de Janeiro"/>
  </r>
  <r>
    <s v="0cb617c8bf1a34cf77947ac7d8b393f0"/>
    <s v="2017-03-06"/>
    <x v="4"/>
    <x v="3"/>
    <x v="19"/>
    <n v="1"/>
    <n v="49.9"/>
    <n v="10.96"/>
    <s v="credit_card"/>
    <n v="7"/>
    <x v="1"/>
    <x v="0"/>
    <s v="Sao Paulo"/>
  </r>
  <r>
    <s v="6c592894a10d4bab518bf4aad80515d8"/>
    <s v="2017-03-06"/>
    <x v="4"/>
    <x v="7"/>
    <x v="5"/>
    <n v="1"/>
    <n v="8.9"/>
    <n v="14.52"/>
    <s v="boleto"/>
    <n v="7"/>
    <x v="1"/>
    <x v="2"/>
    <s v="Minas Gerais"/>
  </r>
  <r>
    <s v="ead0bec6842006b655fed967de837883"/>
    <s v="2017-03-06"/>
    <x v="4"/>
    <x v="4"/>
    <x v="6"/>
    <n v="1"/>
    <n v="12.97"/>
    <n v="14.52"/>
    <s v="boleto"/>
    <n v="3"/>
    <x v="1"/>
    <x v="0"/>
    <s v="Rio de Janeiro"/>
  </r>
  <r>
    <s v="840a77e5812e6cb838f4957339f5aa2c"/>
    <s v="2017-03-06"/>
    <x v="4"/>
    <x v="21"/>
    <x v="0"/>
    <n v="1"/>
    <n v="60.9"/>
    <n v="20.88"/>
    <s v="credit_card"/>
    <n v="9"/>
    <x v="1"/>
    <x v="2"/>
    <s v="Bahia"/>
  </r>
  <r>
    <s v="a4d541965fdf41f59fcbdd53630627b9"/>
    <s v="2017-03-06"/>
    <x v="4"/>
    <x v="3"/>
    <x v="3"/>
    <n v="1"/>
    <n v="59"/>
    <n v="12.01"/>
    <s v="boleto"/>
    <n v="7"/>
    <x v="1"/>
    <x v="2"/>
    <s v="Sao Paulo"/>
  </r>
  <r>
    <s v="74fd22110fce99b893b31cada7e2c3e8"/>
    <s v="2017-03-06"/>
    <x v="4"/>
    <x v="13"/>
    <x v="4"/>
    <n v="1"/>
    <n v="26.9"/>
    <n v="20.399999999999999"/>
    <s v="credit_card"/>
    <n v="11"/>
    <x v="1"/>
    <x v="1"/>
    <s v="Maranhao"/>
  </r>
  <r>
    <s v="77f8ac5734b5b2f8c1572102f854d329"/>
    <s v="2017-03-08"/>
    <x v="4"/>
    <x v="3"/>
    <x v="13"/>
    <n v="1"/>
    <n v="117.3"/>
    <n v="16.97"/>
    <s v="credit_card"/>
    <n v="6"/>
    <x v="1"/>
    <x v="2"/>
    <s v="Sao Paulo"/>
  </r>
  <r>
    <s v="68d1c970d581919895404c1e68e0bf3b"/>
    <s v="2017-03-08"/>
    <x v="4"/>
    <x v="22"/>
    <x v="34"/>
    <n v="1"/>
    <n v="48"/>
    <n v="18.940000000000001"/>
    <s v="boleto"/>
    <n v="5"/>
    <x v="1"/>
    <x v="2"/>
    <s v="Espirito Santo"/>
  </r>
  <r>
    <s v="7983542b1539fd0eb5c18d062ee04e34"/>
    <s v="2017-03-08"/>
    <x v="4"/>
    <x v="2"/>
    <x v="19"/>
    <n v="1"/>
    <n v="101"/>
    <n v="21.34"/>
    <s v="credit_card"/>
    <n v="12"/>
    <x v="1"/>
    <x v="2"/>
    <s v="Goias"/>
  </r>
  <r>
    <s v="e18d0e097ef9cdd7894ed1b82a2b7479"/>
    <s v="2017-03-09"/>
    <x v="4"/>
    <x v="3"/>
    <x v="0"/>
    <n v="1"/>
    <n v="26"/>
    <n v="10.96"/>
    <s v="credit_card"/>
    <n v="16"/>
    <x v="1"/>
    <x v="2"/>
    <s v="Sao Paulo"/>
  </r>
  <r>
    <s v="2f7b0d36ffcaf0277583329ded34c97d"/>
    <s v="2017-03-09"/>
    <x v="4"/>
    <x v="3"/>
    <x v="14"/>
    <n v="3"/>
    <n v="39.700000000000003"/>
    <n v="32.880000000000003"/>
    <s v="credit_card"/>
    <n v="3"/>
    <x v="1"/>
    <x v="2"/>
    <s v="Sao Paulo"/>
  </r>
  <r>
    <s v="b65a9099b9f6617410e0f5fb0b9e1fdc"/>
    <s v="2017-03-09"/>
    <x v="4"/>
    <x v="3"/>
    <x v="7"/>
    <n v="1"/>
    <n v="34.9"/>
    <n v="10.96"/>
    <s v="credit_card"/>
    <n v="4"/>
    <x v="1"/>
    <x v="5"/>
    <s v="Sao Paulo"/>
  </r>
  <r>
    <s v="a07b30a459f83015fb2927d732e20943"/>
    <s v="2017-03-09"/>
    <x v="4"/>
    <x v="4"/>
    <x v="9"/>
    <n v="2"/>
    <n v="89.8"/>
    <n v="28.22"/>
    <s v="credit_card"/>
    <n v="10"/>
    <x v="1"/>
    <x v="2"/>
    <s v="Rio de Janeiro"/>
  </r>
  <r>
    <s v="89ee991b2ae330d7b2d7b4d81006765e"/>
    <s v="2017-03-09"/>
    <x v="4"/>
    <x v="7"/>
    <x v="7"/>
    <n v="1"/>
    <n v="34.9"/>
    <n v="14.52"/>
    <s v="boleto"/>
    <n v="11"/>
    <x v="1"/>
    <x v="2"/>
    <s v="Minas Gerais"/>
  </r>
  <r>
    <s v="cf2ae7f823490d9b4ec3d33f889609e4"/>
    <s v="2017-03-09"/>
    <x v="4"/>
    <x v="5"/>
    <x v="11"/>
    <n v="1"/>
    <n v="109.9"/>
    <n v="11.38"/>
    <s v="credit_card"/>
    <n v="17"/>
    <x v="1"/>
    <x v="2"/>
    <s v="Parana"/>
  </r>
  <r>
    <s v="d7defcb8f59419ce565959f595bbb988"/>
    <s v="2017-03-10"/>
    <x v="4"/>
    <x v="3"/>
    <x v="4"/>
    <n v="1"/>
    <n v="79.900000000000006"/>
    <n v="15.77"/>
    <s v="credit_card"/>
    <n v="6"/>
    <x v="1"/>
    <x v="2"/>
    <s v="Sao Paulo"/>
  </r>
  <r>
    <s v="a811f33c743a891f34de752bba733292"/>
    <s v="2017-03-10"/>
    <x v="4"/>
    <x v="4"/>
    <x v="4"/>
    <n v="1"/>
    <n v="159.99"/>
    <n v="33.4"/>
    <s v="credit_card"/>
    <n v="9"/>
    <x v="1"/>
    <x v="2"/>
    <s v="Rio de Janeiro"/>
  </r>
  <r>
    <s v="c07db2ecf8530bd60659764d866467cf"/>
    <s v="2017-03-10"/>
    <x v="4"/>
    <x v="7"/>
    <x v="29"/>
    <n v="1"/>
    <n v="17.899999999999999"/>
    <n v="20.43"/>
    <s v="voucher"/>
    <n v="11"/>
    <x v="1"/>
    <x v="2"/>
    <s v="Minas Gerais"/>
  </r>
  <r>
    <s v="cb2ad554e5c2af7151fa9b324750df29"/>
    <s v="2017-03-10"/>
    <x v="4"/>
    <x v="7"/>
    <x v="12"/>
    <n v="1"/>
    <n v="19.899999999999999"/>
    <n v="14.52"/>
    <s v="credit_card"/>
    <n v="10"/>
    <x v="1"/>
    <x v="0"/>
    <s v="Minas Gerais"/>
  </r>
  <r>
    <s v="026d2c7c84b97eb8854ca3fbdc6ab840"/>
    <s v="2017-03-11"/>
    <x v="4"/>
    <x v="3"/>
    <x v="14"/>
    <n v="1"/>
    <n v="184.9"/>
    <n v="16.399999999999999"/>
    <s v="credit_card"/>
    <n v="9"/>
    <x v="1"/>
    <x v="3"/>
    <s v="Sao Paulo"/>
  </r>
  <r>
    <s v="82ff294d1970490323910cdd6c463977"/>
    <s v="2017-03-11"/>
    <x v="4"/>
    <x v="22"/>
    <x v="14"/>
    <n v="1"/>
    <n v="89.9"/>
    <n v="16.329999999999998"/>
    <s v="credit_card"/>
    <n v="11"/>
    <x v="1"/>
    <x v="2"/>
    <s v="Espirito Santo"/>
  </r>
  <r>
    <s v="3a1c434d917a8b25f7862cfa17972aae"/>
    <s v="2017-03-11"/>
    <x v="4"/>
    <x v="3"/>
    <x v="26"/>
    <n v="1"/>
    <n v="34.99"/>
    <n v="10.96"/>
    <s v="credit_card"/>
    <n v="9"/>
    <x v="1"/>
    <x v="2"/>
    <s v="Sao Paulo"/>
  </r>
  <r>
    <s v="768351bcdb7630b77da379eb5a54e9b3"/>
    <s v="2017-03-11"/>
    <x v="4"/>
    <x v="15"/>
    <x v="17"/>
    <n v="1"/>
    <n v="11.99"/>
    <n v="20.8"/>
    <s v="credit_card"/>
    <n v="26"/>
    <x v="1"/>
    <x v="3"/>
    <s v="Mato Grosso"/>
  </r>
  <r>
    <s v="9903b060ffcaca9244088e1f834fde2e"/>
    <s v="2017-03-12"/>
    <x v="4"/>
    <x v="3"/>
    <x v="35"/>
    <n v="2"/>
    <n v="29.8"/>
    <n v="35.56"/>
    <s v="credit_card"/>
    <n v="22"/>
    <x v="1"/>
    <x v="2"/>
    <s v="Sao Paulo"/>
  </r>
  <r>
    <s v="cc295a32e72e4ebe54030c6ae3f75066"/>
    <s v="2017-03-12"/>
    <x v="4"/>
    <x v="4"/>
    <x v="21"/>
    <n v="2"/>
    <n v="119.8"/>
    <n v="41"/>
    <s v="credit_card"/>
    <n v="4"/>
    <x v="1"/>
    <x v="3"/>
    <s v="Rio de Janeiro"/>
  </r>
  <r>
    <s v="063a0b076f63cb908176d8c1cc6ec049"/>
    <s v="2017-03-13"/>
    <x v="4"/>
    <x v="4"/>
    <x v="7"/>
    <n v="1"/>
    <n v="99.99"/>
    <n v="28.89"/>
    <s v="credit_card"/>
    <n v="6"/>
    <x v="1"/>
    <x v="5"/>
    <s v="Rio de Janeiro"/>
  </r>
  <r>
    <s v="1479096c26c6fa5150e7b39fde03d5d4"/>
    <s v="2017-03-13"/>
    <x v="4"/>
    <x v="3"/>
    <x v="36"/>
    <n v="1"/>
    <n v="39.9"/>
    <n v="10.96"/>
    <s v="credit_card"/>
    <n v="9"/>
    <x v="1"/>
    <x v="2"/>
    <s v="Sao Paulo"/>
  </r>
  <r>
    <s v="ee1099f5139597ef759566fd91767968"/>
    <s v="2017-03-13"/>
    <x v="4"/>
    <x v="4"/>
    <x v="24"/>
    <n v="1"/>
    <n v="179.99"/>
    <n v="22.73"/>
    <s v="credit_card"/>
    <n v="11"/>
    <x v="1"/>
    <x v="3"/>
    <s v="Rio de Janeiro"/>
  </r>
  <r>
    <s v="4babf11400453218f9ec503eb43d60cb"/>
    <s v="2017-03-13"/>
    <x v="4"/>
    <x v="3"/>
    <x v="0"/>
    <n v="1"/>
    <n v="147.69999999999999"/>
    <n v="14.8"/>
    <s v="credit_card"/>
    <n v="7"/>
    <x v="1"/>
    <x v="2"/>
    <s v="Sao Paulo"/>
  </r>
  <r>
    <s v="55aea3ae93b247a771d01bc39ae5ec45"/>
    <s v="2017-03-13"/>
    <x v="4"/>
    <x v="3"/>
    <x v="0"/>
    <n v="1"/>
    <n v="159"/>
    <n v="20.41"/>
    <s v="boleto"/>
    <m/>
    <x v="0"/>
    <x v="0"/>
    <s v="Sao Paulo"/>
  </r>
  <r>
    <s v="474565221e00d78e3862cac801247772"/>
    <s v="2017-03-13"/>
    <x v="4"/>
    <x v="3"/>
    <x v="0"/>
    <n v="1"/>
    <n v="169.9"/>
    <n v="18.48"/>
    <s v="credit_card"/>
    <n v="11"/>
    <x v="1"/>
    <x v="2"/>
    <s v="Sao Paulo"/>
  </r>
  <r>
    <s v="c76b8b4f31097feb8351e62691177012"/>
    <s v="2017-03-13"/>
    <x v="4"/>
    <x v="3"/>
    <x v="20"/>
    <n v="1"/>
    <n v="129.99"/>
    <n v="13.49"/>
    <s v="boleto"/>
    <n v="5"/>
    <x v="1"/>
    <x v="3"/>
    <s v="Sao Paulo"/>
  </r>
  <r>
    <s v="3eae45e1345a16673017c7c36f18ee34"/>
    <s v="2017-03-13"/>
    <x v="4"/>
    <x v="17"/>
    <x v="29"/>
    <n v="1"/>
    <n v="149"/>
    <n v="29.97"/>
    <s v="credit_card"/>
    <n v="15"/>
    <x v="1"/>
    <x v="2"/>
    <s v="Rondonia"/>
  </r>
  <r>
    <s v="0d9132dcd087abbb6771db9371e1f951"/>
    <s v="2017-03-14"/>
    <x v="4"/>
    <x v="7"/>
    <x v="2"/>
    <n v="1"/>
    <n v="149.99"/>
    <n v="16.260000000000002"/>
    <s v="boleto"/>
    <n v="13"/>
    <x v="1"/>
    <x v="2"/>
    <s v="Minas Gerais"/>
  </r>
  <r>
    <s v="4cc5e60f36ca3bdbb07ab8a3c490e15d"/>
    <s v="2017-03-14"/>
    <x v="4"/>
    <x v="3"/>
    <x v="0"/>
    <n v="1"/>
    <n v="59.9"/>
    <n v="9.41"/>
    <s v="credit_card"/>
    <n v="7"/>
    <x v="1"/>
    <x v="2"/>
    <s v="Sao Paulo"/>
  </r>
  <r>
    <s v="a1dadce0e5cbb1b1205017166f6ce7ce"/>
    <s v="2017-03-14"/>
    <x v="4"/>
    <x v="4"/>
    <x v="0"/>
    <n v="1"/>
    <n v="29.99"/>
    <n v="14.11"/>
    <s v="credit_card"/>
    <n v="7"/>
    <x v="1"/>
    <x v="2"/>
    <s v="Rio de Janeiro"/>
  </r>
  <r>
    <s v="abddcf171f361ed313e1f191d71d046a"/>
    <s v="2017-03-14"/>
    <x v="4"/>
    <x v="21"/>
    <x v="9"/>
    <n v="1"/>
    <n v="458.85"/>
    <n v="24.71"/>
    <s v="credit_card"/>
    <n v="24"/>
    <x v="1"/>
    <x v="3"/>
    <s v="Bahia"/>
  </r>
  <r>
    <s v="58300b00ad189113ddb608765a954301"/>
    <s v="2017-03-14"/>
    <x v="4"/>
    <x v="4"/>
    <x v="28"/>
    <n v="1"/>
    <n v="119.99"/>
    <n v="15.01"/>
    <s v="credit_card"/>
    <n v="13"/>
    <x v="1"/>
    <x v="2"/>
    <s v="Rio de Janeiro"/>
  </r>
  <r>
    <s v="fde57015e8a551f04dac99621c01678b"/>
    <s v="2017-03-15"/>
    <x v="4"/>
    <x v="4"/>
    <x v="5"/>
    <n v="1"/>
    <n v="379.9"/>
    <n v="18.36"/>
    <s v="credit_card"/>
    <n v="11"/>
    <x v="1"/>
    <x v="3"/>
    <s v="Rio de Janeiro"/>
  </r>
  <r>
    <s v="236d21060f892e44cfdfb2846ea93133"/>
    <s v="2017-03-15"/>
    <x v="4"/>
    <x v="3"/>
    <x v="21"/>
    <n v="1"/>
    <n v="259"/>
    <n v="12.42"/>
    <s v="boleto"/>
    <n v="5"/>
    <x v="1"/>
    <x v="2"/>
    <s v="Sao Paulo"/>
  </r>
  <r>
    <s v="9d1f30c30b178f88dc63a40f36298ee3"/>
    <s v="2017-03-15"/>
    <x v="4"/>
    <x v="3"/>
    <x v="14"/>
    <n v="1"/>
    <n v="174.9"/>
    <n v="16.329999999999998"/>
    <s v="credit_card"/>
    <n v="23"/>
    <x v="2"/>
    <x v="2"/>
    <s v="Sao Paulo"/>
  </r>
  <r>
    <s v="058350ebe1e9c9b426d1331b4b6063d1"/>
    <s v="2017-03-15"/>
    <x v="4"/>
    <x v="1"/>
    <x v="2"/>
    <n v="1"/>
    <n v="42.99"/>
    <n v="15.65"/>
    <s v="credit_card"/>
    <n v="15"/>
    <x v="1"/>
    <x v="3"/>
    <s v="Rio Grande do Sul"/>
  </r>
  <r>
    <s v="543a9bf05657bd3c5099de23d13139a1"/>
    <s v="2017-03-15"/>
    <x v="4"/>
    <x v="21"/>
    <x v="0"/>
    <n v="2"/>
    <n v="259.8"/>
    <n v="61.89"/>
    <s v="credit_card"/>
    <n v="13"/>
    <x v="1"/>
    <x v="2"/>
    <s v="Bahia"/>
  </r>
  <r>
    <s v="025c72e88fbf2358be05c594d4ad5091"/>
    <s v="2017-03-15"/>
    <x v="4"/>
    <x v="2"/>
    <x v="6"/>
    <n v="2"/>
    <n v="39.799999999999997"/>
    <n v="41.6"/>
    <s v="credit_card"/>
    <n v="12"/>
    <x v="1"/>
    <x v="1"/>
    <s v="Goias"/>
  </r>
  <r>
    <s v="05608987284e4c496bec56c52fdb0a6c"/>
    <s v="2017-03-15"/>
    <x v="4"/>
    <x v="8"/>
    <x v="4"/>
    <n v="1"/>
    <n v="209.5"/>
    <n v="15.64"/>
    <s v="boleto"/>
    <n v="14"/>
    <x v="1"/>
    <x v="2"/>
    <s v="Santa Catarina"/>
  </r>
  <r>
    <s v="4f7e7115e9774e0a45e016fa2cbe4b75"/>
    <s v="2017-03-15"/>
    <x v="4"/>
    <x v="7"/>
    <x v="22"/>
    <n v="1"/>
    <n v="285.60000000000002"/>
    <n v="16.170000000000002"/>
    <s v="credit_card"/>
    <n v="8"/>
    <x v="1"/>
    <x v="2"/>
    <s v="Minas Gerais"/>
  </r>
  <r>
    <s v="1613193aa6cbc8820d6b5c12536722a0"/>
    <s v="2017-03-15"/>
    <x v="4"/>
    <x v="21"/>
    <x v="20"/>
    <n v="1"/>
    <n v="199"/>
    <n v="32.99"/>
    <s v="credit_card"/>
    <n v="33"/>
    <x v="1"/>
    <x v="2"/>
    <s v="Bahia"/>
  </r>
  <r>
    <s v="8ccca2b704c41f41ce4d2f2602031691"/>
    <s v="2017-03-16"/>
    <x v="4"/>
    <x v="3"/>
    <x v="14"/>
    <n v="1"/>
    <n v="13.9"/>
    <n v="10.96"/>
    <s v="boleto"/>
    <m/>
    <x v="0"/>
    <x v="0"/>
    <s v="Sao Paulo"/>
  </r>
  <r>
    <s v="c290cb2817cca2e8d2656617d17acfad"/>
    <s v="2017-03-16"/>
    <x v="4"/>
    <x v="7"/>
    <x v="4"/>
    <n v="1"/>
    <n v="24.9"/>
    <n v="8.7200000000000006"/>
    <s v="credit_card"/>
    <n v="3"/>
    <x v="1"/>
    <x v="2"/>
    <s v="Minas Gerais"/>
  </r>
  <r>
    <s v="9475f5241a5ee6260ce4aee70f4e7ca5"/>
    <s v="2017-03-16"/>
    <x v="4"/>
    <x v="3"/>
    <x v="5"/>
    <n v="1"/>
    <n v="56.99"/>
    <n v="11.01"/>
    <s v="credit_card"/>
    <n v="13"/>
    <x v="1"/>
    <x v="2"/>
    <s v="Sao Paulo"/>
  </r>
  <r>
    <s v="9c1b3da77c4477dc54252547b9f93312"/>
    <s v="2017-03-16"/>
    <x v="4"/>
    <x v="3"/>
    <x v="7"/>
    <n v="1"/>
    <n v="34.9"/>
    <n v="10.96"/>
    <s v="credit_card"/>
    <n v="4"/>
    <x v="1"/>
    <x v="3"/>
    <s v="Sao Paulo"/>
  </r>
  <r>
    <s v="e45adf5c3dac199c3e6db68dc225d2cd"/>
    <s v="2017-03-16"/>
    <x v="4"/>
    <x v="5"/>
    <x v="18"/>
    <n v="1"/>
    <n v="23.2"/>
    <n v="14.52"/>
    <s v="credit_card"/>
    <n v="10"/>
    <x v="1"/>
    <x v="2"/>
    <s v="Parana"/>
  </r>
  <r>
    <s v="3514fd00653caace61ea8ad6cd20c017"/>
    <s v="2017-03-16"/>
    <x v="4"/>
    <x v="3"/>
    <x v="14"/>
    <n v="1"/>
    <n v="47"/>
    <n v="8.7200000000000006"/>
    <s v="credit_card"/>
    <n v="33"/>
    <x v="1"/>
    <x v="2"/>
    <s v="Sao Paulo"/>
  </r>
  <r>
    <s v="87e1feb622e373e4f0d2cceb1f610886"/>
    <s v="2017-03-16"/>
    <x v="4"/>
    <x v="7"/>
    <x v="0"/>
    <n v="1"/>
    <n v="50"/>
    <n v="10.96"/>
    <s v="boleto"/>
    <n v="10"/>
    <x v="1"/>
    <x v="2"/>
    <s v="Minas Gerais"/>
  </r>
  <r>
    <s v="cee0d3db23e58081262faf1ee22ded6d"/>
    <s v="2017-03-17"/>
    <x v="4"/>
    <x v="3"/>
    <x v="9"/>
    <n v="1"/>
    <n v="89.99"/>
    <n v="11.24"/>
    <s v="credit_card"/>
    <n v="10"/>
    <x v="1"/>
    <x v="2"/>
    <s v="Sao Paulo"/>
  </r>
  <r>
    <s v="1ec8ab9b7dc304ec05a9e96f6a25217c"/>
    <s v="2017-03-17"/>
    <x v="4"/>
    <x v="5"/>
    <x v="1"/>
    <n v="1"/>
    <n v="149.99"/>
    <n v="16.16"/>
    <s v="boleto"/>
    <n v="11"/>
    <x v="1"/>
    <x v="2"/>
    <s v="Parana"/>
  </r>
  <r>
    <s v="b924118c3a34d6bc9287362a7dc8fbc6"/>
    <s v="2017-03-17"/>
    <x v="4"/>
    <x v="3"/>
    <x v="31"/>
    <n v="1"/>
    <n v="59.9"/>
    <n v="15.63"/>
    <s v="credit_card"/>
    <n v="5"/>
    <x v="1"/>
    <x v="2"/>
    <s v="Sao Paulo"/>
  </r>
  <r>
    <s v="031cf625cad56f5761e51c2675f0c0ae"/>
    <s v="2017-03-18"/>
    <x v="4"/>
    <x v="13"/>
    <x v="5"/>
    <n v="1"/>
    <n v="56.99"/>
    <n v="24.89"/>
    <s v="credit_card"/>
    <n v="17"/>
    <x v="1"/>
    <x v="1"/>
    <s v="Maranhao"/>
  </r>
  <r>
    <s v="3c415210065a46fd831a05ef3fec9639"/>
    <s v="2017-03-18"/>
    <x v="4"/>
    <x v="1"/>
    <x v="12"/>
    <n v="1"/>
    <n v="159.9"/>
    <n v="16.329999999999998"/>
    <s v="credit_card"/>
    <n v="9"/>
    <x v="1"/>
    <x v="2"/>
    <s v="Rio Grande do Sul"/>
  </r>
  <r>
    <s v="93dbcae5a986d0f7103a0bc2929e7f18"/>
    <s v="2017-03-18"/>
    <x v="4"/>
    <x v="3"/>
    <x v="30"/>
    <n v="1"/>
    <n v="177"/>
    <n v="11.85"/>
    <s v="credit_card"/>
    <n v="10"/>
    <x v="1"/>
    <x v="0"/>
    <s v="Sao Paulo"/>
  </r>
  <r>
    <s v="af7ae6bafcf0885e40e8c5fd1ef4c745"/>
    <s v="2017-03-19"/>
    <x v="4"/>
    <x v="3"/>
    <x v="5"/>
    <n v="1"/>
    <n v="319.89999999999998"/>
    <n v="16.41"/>
    <s v="credit_card"/>
    <n v="9"/>
    <x v="1"/>
    <x v="2"/>
    <s v="Sao Paulo"/>
  </r>
  <r>
    <s v="95a08547138ca5fa14fae54639939af6"/>
    <s v="2017-03-19"/>
    <x v="4"/>
    <x v="3"/>
    <x v="0"/>
    <n v="1"/>
    <n v="119.9"/>
    <n v="22.31"/>
    <s v="credit_card"/>
    <n v="4"/>
    <x v="1"/>
    <x v="0"/>
    <s v="Sao Paulo"/>
  </r>
  <r>
    <s v="76d449452dff60240f1b694b46d44bdb"/>
    <s v="2017-03-19"/>
    <x v="4"/>
    <x v="3"/>
    <x v="19"/>
    <n v="1"/>
    <n v="89.9"/>
    <n v="11.24"/>
    <s v="credit_card"/>
    <n v="4"/>
    <x v="1"/>
    <x v="3"/>
    <s v="Sao Paulo"/>
  </r>
  <r>
    <s v="7cd12f82d867bf5cda813ec60b7c4db8"/>
    <s v="2017-03-19"/>
    <x v="4"/>
    <x v="1"/>
    <x v="2"/>
    <n v="1"/>
    <n v="139"/>
    <n v="19.559999999999999"/>
    <s v="credit_card"/>
    <n v="14"/>
    <x v="1"/>
    <x v="3"/>
    <s v="Rio Grande do Sul"/>
  </r>
  <r>
    <s v="e57b0e7770a5b0018b9825dd05fd48c7"/>
    <s v="2017-03-20"/>
    <x v="4"/>
    <x v="4"/>
    <x v="7"/>
    <n v="1"/>
    <n v="34.9"/>
    <n v="14.52"/>
    <s v="credit_card"/>
    <n v="8"/>
    <x v="1"/>
    <x v="2"/>
    <s v="Rio de Janeiro"/>
  </r>
  <r>
    <s v="b2728d138cc3cebb796105eedbb4784a"/>
    <s v="2017-03-20"/>
    <x v="4"/>
    <x v="7"/>
    <x v="7"/>
    <n v="1"/>
    <n v="34.9"/>
    <n v="14.52"/>
    <s v="credit_card"/>
    <n v="8"/>
    <x v="1"/>
    <x v="1"/>
    <s v="Minas Gerais"/>
  </r>
  <r>
    <s v="7a29d9cef76355b4b32321cc4c9e58fa"/>
    <s v="2017-03-20"/>
    <x v="4"/>
    <x v="3"/>
    <x v="20"/>
    <n v="2"/>
    <n v="39.799999999999997"/>
    <n v="17.440000000000001"/>
    <s v="credit_card"/>
    <n v="8"/>
    <x v="1"/>
    <x v="2"/>
    <s v="Sao Paulo"/>
  </r>
  <r>
    <s v="9fb5f1c3d876e2a9360c12be18be8f85"/>
    <s v="2017-03-21"/>
    <x v="4"/>
    <x v="22"/>
    <x v="25"/>
    <n v="1"/>
    <n v="90.98"/>
    <n v="14.81"/>
    <s v="credit_card"/>
    <n v="2"/>
    <x v="1"/>
    <x v="2"/>
    <s v="Espirito Santo"/>
  </r>
  <r>
    <s v="b36a230278dc6eacfc8ac950d38e9a2b"/>
    <s v="2017-03-21"/>
    <x v="4"/>
    <x v="3"/>
    <x v="1"/>
    <n v="1"/>
    <n v="659"/>
    <n v="41.55"/>
    <s v="boleto"/>
    <n v="7"/>
    <x v="1"/>
    <x v="3"/>
    <s v="Sao Paulo"/>
  </r>
  <r>
    <s v="ec2a8c52ab5037c04553f10bcaccd971"/>
    <s v="2017-03-21"/>
    <x v="4"/>
    <x v="3"/>
    <x v="3"/>
    <n v="1"/>
    <n v="65.44"/>
    <n v="11.85"/>
    <s v="boleto"/>
    <n v="7"/>
    <x v="1"/>
    <x v="2"/>
    <s v="Sao Paulo"/>
  </r>
  <r>
    <s v="443bc8cc2feef50a6b416a0645dbf7b5"/>
    <s v="2017-03-21"/>
    <x v="4"/>
    <x v="3"/>
    <x v="1"/>
    <n v="1"/>
    <n v="31"/>
    <n v="10.96"/>
    <s v="credit_card"/>
    <n v="5"/>
    <x v="1"/>
    <x v="2"/>
    <s v="Sao Paulo"/>
  </r>
  <r>
    <s v="d974773494a37afcdf96ac5a0e86b557"/>
    <s v="2017-03-21"/>
    <x v="4"/>
    <x v="4"/>
    <x v="12"/>
    <n v="1"/>
    <n v="25"/>
    <n v="17.350000000000001"/>
    <s v="credit_card"/>
    <n v="2"/>
    <x v="1"/>
    <x v="2"/>
    <s v="Rio de Janeiro"/>
  </r>
  <r>
    <s v="a99bed70b800227cc293174945a645e0"/>
    <s v="2017-03-21"/>
    <x v="4"/>
    <x v="4"/>
    <x v="30"/>
    <n v="1"/>
    <n v="177"/>
    <n v="15.41"/>
    <s v="credit_card"/>
    <n v="9"/>
    <x v="1"/>
    <x v="2"/>
    <s v="Rio de Janeiro"/>
  </r>
  <r>
    <s v="2edc2a8fcbfceea30b10f1a27c5e4b10"/>
    <s v="2017-03-21"/>
    <x v="4"/>
    <x v="3"/>
    <x v="4"/>
    <n v="1"/>
    <n v="28.49"/>
    <n v="10.96"/>
    <s v="credit_card"/>
    <n v="5"/>
    <x v="1"/>
    <x v="2"/>
    <s v="Sao Paulo"/>
  </r>
  <r>
    <s v="44fe2f7e994f6df61f74b01b2f440169"/>
    <s v="2017-03-22"/>
    <x v="4"/>
    <x v="4"/>
    <x v="14"/>
    <n v="2"/>
    <n v="99.8"/>
    <n v="34.18"/>
    <s v="credit_card"/>
    <n v="7"/>
    <x v="1"/>
    <x v="2"/>
    <s v="Rio de Janeiro"/>
  </r>
  <r>
    <s v="0977997b1c07196d7d76a0d79c50117d"/>
    <s v="2017-03-22"/>
    <x v="4"/>
    <x v="3"/>
    <x v="26"/>
    <n v="1"/>
    <n v="19.989999999999998"/>
    <n v="10.96"/>
    <s v="credit_card"/>
    <n v="6"/>
    <x v="1"/>
    <x v="2"/>
    <s v="Sao Paulo"/>
  </r>
  <r>
    <s v="d3cc6a0be5a659e6c515010d99e9c335"/>
    <s v="2017-03-22"/>
    <x v="4"/>
    <x v="3"/>
    <x v="5"/>
    <n v="1"/>
    <n v="229.9"/>
    <n v="15.78"/>
    <s v="credit_card"/>
    <n v="4"/>
    <x v="1"/>
    <x v="2"/>
    <s v="Sao Paulo"/>
  </r>
  <r>
    <s v="d3814caaf7587391515f5ec329ecda07"/>
    <s v="2017-03-22"/>
    <x v="4"/>
    <x v="8"/>
    <x v="21"/>
    <n v="1"/>
    <n v="389"/>
    <n v="57.3"/>
    <s v="credit_card"/>
    <n v="13"/>
    <x v="1"/>
    <x v="2"/>
    <s v="Santa Catarina"/>
  </r>
  <r>
    <s v="86c0e519ffee48220503670fac236e1b"/>
    <s v="2017-03-22"/>
    <x v="4"/>
    <x v="5"/>
    <x v="29"/>
    <n v="1"/>
    <n v="49.9"/>
    <n v="24.17"/>
    <s v="boleto"/>
    <n v="12"/>
    <x v="1"/>
    <x v="3"/>
    <s v="Parana"/>
  </r>
  <r>
    <s v="db64a5b6724f1501323cc11154cbaf39"/>
    <s v="2017-03-23"/>
    <x v="4"/>
    <x v="1"/>
    <x v="6"/>
    <n v="2"/>
    <n v="37.799999999999997"/>
    <n v="32.1"/>
    <s v="credit_card"/>
    <n v="12"/>
    <x v="1"/>
    <x v="1"/>
    <s v="Rio Grande do Sul"/>
  </r>
  <r>
    <s v="76efb2fbb5b0e732ba6c77c63d263b59"/>
    <s v="2017-03-23"/>
    <x v="4"/>
    <x v="18"/>
    <x v="13"/>
    <n v="2"/>
    <n v="382.7000000000001"/>
    <n v="60.47"/>
    <s v="credit_card"/>
    <n v="6"/>
    <x v="1"/>
    <x v="2"/>
    <s v="Distrito Federal"/>
  </r>
  <r>
    <s v="f67dfbaeb6d5c6188f0aa52aa1634a7e"/>
    <s v="2017-03-23"/>
    <x v="4"/>
    <x v="4"/>
    <x v="4"/>
    <n v="1"/>
    <n v="2120.39"/>
    <n v="48.21"/>
    <s v="credit_card"/>
    <n v="11"/>
    <x v="1"/>
    <x v="3"/>
    <s v="Rio de Janeiro"/>
  </r>
  <r>
    <s v="b200a7390795d73d9b7afed1d6dce327"/>
    <s v="2017-03-23"/>
    <x v="4"/>
    <x v="3"/>
    <x v="0"/>
    <n v="1"/>
    <n v="26"/>
    <n v="9.34"/>
    <s v="credit_card"/>
    <n v="8"/>
    <x v="1"/>
    <x v="2"/>
    <s v="Sao Paulo"/>
  </r>
  <r>
    <s v="b8e5479aa8fa4ce67ffdd5bdd92c2303"/>
    <s v="2017-03-23"/>
    <x v="4"/>
    <x v="14"/>
    <x v="20"/>
    <n v="1"/>
    <n v="449"/>
    <n v="24.12"/>
    <s v="credit_card"/>
    <n v="13"/>
    <x v="1"/>
    <x v="2"/>
    <s v="Mato Grosso do Sul"/>
  </r>
  <r>
    <s v="c3ca08e9565423d33c78e028dbb1ab65"/>
    <s v="2017-03-23"/>
    <x v="4"/>
    <x v="7"/>
    <x v="1"/>
    <n v="1"/>
    <n v="20.7"/>
    <n v="17.78"/>
    <s v="credit_card"/>
    <n v="12"/>
    <x v="1"/>
    <x v="2"/>
    <s v="Minas Gerais"/>
  </r>
  <r>
    <s v="f1f920036ae5e94e294eeb5bf898b9d6"/>
    <s v="2017-03-23"/>
    <x v="4"/>
    <x v="7"/>
    <x v="6"/>
    <n v="1"/>
    <n v="34.99"/>
    <n v="14.52"/>
    <s v="credit_card"/>
    <n v="12"/>
    <x v="1"/>
    <x v="2"/>
    <s v="Minas Gerais"/>
  </r>
  <r>
    <s v="a1238d801729f0d9e4e905696a213eb8"/>
    <s v="2017-03-23"/>
    <x v="4"/>
    <x v="2"/>
    <x v="20"/>
    <n v="1"/>
    <n v="99.99"/>
    <n v="19.399999999999999"/>
    <s v="credit_card"/>
    <n v="12"/>
    <x v="1"/>
    <x v="2"/>
    <s v="Goias"/>
  </r>
  <r>
    <s v="a67f2f8a8a684916bd58ae4f6f2a4507"/>
    <s v="2017-03-23"/>
    <x v="4"/>
    <x v="3"/>
    <x v="0"/>
    <n v="2"/>
    <n v="99.8"/>
    <n v="23.48"/>
    <s v="boleto"/>
    <n v="6"/>
    <x v="1"/>
    <x v="2"/>
    <s v="Sao Paulo"/>
  </r>
  <r>
    <s v="c2acb9513a47b95007e5cd45e3516765"/>
    <s v="2017-03-24"/>
    <x v="4"/>
    <x v="4"/>
    <x v="14"/>
    <n v="1"/>
    <n v="98.99"/>
    <n v="20.77"/>
    <s v="boleto"/>
    <n v="19"/>
    <x v="1"/>
    <x v="2"/>
    <s v="Rio de Janeiro"/>
  </r>
  <r>
    <s v="707641763cb64b52140f74e1389d0f10"/>
    <s v="2017-03-24"/>
    <x v="4"/>
    <x v="5"/>
    <x v="24"/>
    <n v="1"/>
    <n v="329.9"/>
    <n v="37.86"/>
    <s v="credit_card"/>
    <n v="12"/>
    <x v="1"/>
    <x v="2"/>
    <s v="Parana"/>
  </r>
  <r>
    <s v="19ee33bc4d781b94196719ab012adc42"/>
    <s v="2017-03-24"/>
    <x v="4"/>
    <x v="7"/>
    <x v="7"/>
    <n v="1"/>
    <n v="307.3"/>
    <n v="27.65"/>
    <s v="boleto"/>
    <n v="9"/>
    <x v="1"/>
    <x v="2"/>
    <s v="Minas Gerais"/>
  </r>
  <r>
    <s v="eac9691979b0aac3f3061abaff2f4f8a"/>
    <s v="2017-03-24"/>
    <x v="4"/>
    <x v="3"/>
    <x v="7"/>
    <n v="2"/>
    <n v="69.8"/>
    <n v="21.92"/>
    <s v="boleto"/>
    <n v="6"/>
    <x v="1"/>
    <x v="2"/>
    <s v="Sao Paulo"/>
  </r>
  <r>
    <s v="0eb43791d78d71f1098d5cb2b46e4c7b"/>
    <s v="2017-03-25"/>
    <x v="4"/>
    <x v="3"/>
    <x v="13"/>
    <n v="1"/>
    <n v="241.1"/>
    <n v="22"/>
    <s v="credit_card"/>
    <n v="13"/>
    <x v="1"/>
    <x v="2"/>
    <s v="Sao Paulo"/>
  </r>
  <r>
    <s v="fe5d946bb1d5891792a436f46f3618a3"/>
    <s v="2017-03-25"/>
    <x v="4"/>
    <x v="4"/>
    <x v="1"/>
    <n v="1"/>
    <n v="89"/>
    <n v="19.21"/>
    <s v="credit_card"/>
    <n v="10"/>
    <x v="1"/>
    <x v="2"/>
    <s v="Rio de Janeiro"/>
  </r>
  <r>
    <s v="c7be34133b7857a83dec6494df176713"/>
    <s v="2017-03-25"/>
    <x v="4"/>
    <x v="12"/>
    <x v="5"/>
    <n v="1"/>
    <n v="229.9"/>
    <n v="26.1"/>
    <s v="boleto"/>
    <n v="50"/>
    <x v="2"/>
    <x v="0"/>
    <s v="Ceara"/>
  </r>
  <r>
    <s v="e8ad0b1713c8caae74f6da945c60d9e8"/>
    <s v="2017-03-26"/>
    <x v="4"/>
    <x v="21"/>
    <x v="1"/>
    <n v="1"/>
    <n v="72.900000000000006"/>
    <n v="22.44"/>
    <s v="credit_card"/>
    <n v="22"/>
    <x v="1"/>
    <x v="1"/>
    <s v="Bahia"/>
  </r>
  <r>
    <s v="d3a20ccc02c906dea8bd172dbfa1d31d"/>
    <s v="2017-03-27"/>
    <x v="4"/>
    <x v="3"/>
    <x v="1"/>
    <n v="1"/>
    <n v="299.89999999999998"/>
    <n v="23.57"/>
    <s v="debit_card"/>
    <n v="7"/>
    <x v="1"/>
    <x v="1"/>
    <s v="Sao Paulo"/>
  </r>
  <r>
    <s v="65a97703da34703e54cac329ad6a41b0"/>
    <s v="2017-03-28"/>
    <x v="4"/>
    <x v="3"/>
    <x v="22"/>
    <n v="1"/>
    <n v="129.9"/>
    <n v="11.52"/>
    <s v="credit_card"/>
    <n v="5"/>
    <x v="1"/>
    <x v="2"/>
    <s v="Sao Paulo"/>
  </r>
  <r>
    <s v="3d2478c1c4d6e772d9221bbacac64cd1"/>
    <s v="2017-03-28"/>
    <x v="4"/>
    <x v="4"/>
    <x v="21"/>
    <n v="1"/>
    <n v="79.900000000000006"/>
    <n v="20.64"/>
    <s v="credit_card"/>
    <n v="2"/>
    <x v="1"/>
    <x v="2"/>
    <s v="Rio de Janeiro"/>
  </r>
  <r>
    <s v="c583699ad331158897d9bf20f1a60004"/>
    <s v="2017-03-28"/>
    <x v="4"/>
    <x v="3"/>
    <x v="13"/>
    <n v="1"/>
    <n v="27.99"/>
    <n v="8.7200000000000006"/>
    <s v="credit_card"/>
    <n v="6"/>
    <x v="1"/>
    <x v="3"/>
    <s v="Sao Paulo"/>
  </r>
  <r>
    <s v="dd94f2867bcd2be2229f44d7a0df4e5b"/>
    <s v="2017-03-28"/>
    <x v="4"/>
    <x v="3"/>
    <x v="20"/>
    <n v="1"/>
    <n v="43.99"/>
    <n v="12.93"/>
    <s v="boleto"/>
    <m/>
    <x v="0"/>
    <x v="0"/>
    <s v="Sao Paulo"/>
  </r>
  <r>
    <s v="4b0a33a52d3bdc952ebd0a2c5df9775b"/>
    <s v="2017-03-28"/>
    <x v="4"/>
    <x v="7"/>
    <x v="30"/>
    <n v="1"/>
    <n v="149.9"/>
    <n v="32.08"/>
    <s v="voucher"/>
    <n v="3"/>
    <x v="1"/>
    <x v="2"/>
    <s v="Minas Gerais"/>
  </r>
  <r>
    <s v="4461758febf28f20a599646b502ddbec"/>
    <s v="2017-03-29"/>
    <x v="4"/>
    <x v="4"/>
    <x v="14"/>
    <n v="1"/>
    <n v="49.9"/>
    <n v="22.28"/>
    <s v="voucher"/>
    <n v="14"/>
    <x v="1"/>
    <x v="2"/>
    <s v="Rio de Janeiro"/>
  </r>
  <r>
    <s v="6dff5f464df4049f98419b19d120c5f2"/>
    <s v="2017-03-29"/>
    <x v="4"/>
    <x v="7"/>
    <x v="14"/>
    <n v="1"/>
    <n v="93"/>
    <n v="15.86"/>
    <s v="credit_card"/>
    <n v="11"/>
    <x v="1"/>
    <x v="2"/>
    <s v="Minas Gerais"/>
  </r>
  <r>
    <s v="e303201d86cda5183986a56d5ae1b084"/>
    <s v="2017-03-29"/>
    <x v="4"/>
    <x v="3"/>
    <x v="14"/>
    <n v="1"/>
    <n v="13.9"/>
    <n v="10.96"/>
    <s v="boleto"/>
    <n v="13"/>
    <x v="1"/>
    <x v="2"/>
    <s v="Sao Paulo"/>
  </r>
  <r>
    <s v="72bc9911258ab2d985943cde67ce4883"/>
    <s v="2017-03-30"/>
    <x v="4"/>
    <x v="4"/>
    <x v="28"/>
    <n v="1"/>
    <n v="179.96"/>
    <n v="33.54"/>
    <s v="credit_card"/>
    <n v="18"/>
    <x v="1"/>
    <x v="1"/>
    <s v="Rio de Janeiro"/>
  </r>
  <r>
    <s v="4b59288fdfd1ef916c5bdb63ee33d987"/>
    <s v="2017-03-30"/>
    <x v="4"/>
    <x v="3"/>
    <x v="2"/>
    <n v="1"/>
    <n v="139.99"/>
    <n v="12.37"/>
    <s v="credit_card"/>
    <n v="6"/>
    <x v="1"/>
    <x v="2"/>
    <s v="Sao Paulo"/>
  </r>
  <r>
    <s v="f29332f473a6254f4ff3916edf221675"/>
    <s v="2017-03-30"/>
    <x v="4"/>
    <x v="8"/>
    <x v="6"/>
    <n v="1"/>
    <n v="18.989999999999998"/>
    <n v="14.52"/>
    <s v="credit_card"/>
    <n v="10"/>
    <x v="1"/>
    <x v="2"/>
    <s v="Santa Catarina"/>
  </r>
  <r>
    <s v="5fb2e82d4258afcb90c79e2e6f0ac185"/>
    <s v="2017-03-30"/>
    <x v="4"/>
    <x v="1"/>
    <x v="9"/>
    <n v="1"/>
    <n v="171"/>
    <n v="16.899999999999999"/>
    <s v="credit_card"/>
    <n v="11"/>
    <x v="1"/>
    <x v="1"/>
    <s v="Rio Grande do Sul"/>
  </r>
  <r>
    <s v="8c6dfc3056be4a27212a845d5f2bddc5"/>
    <s v="2017-03-30"/>
    <x v="4"/>
    <x v="3"/>
    <x v="0"/>
    <n v="1"/>
    <n v="59.9"/>
    <n v="11.81"/>
    <s v="boleto"/>
    <n v="12"/>
    <x v="1"/>
    <x v="2"/>
    <s v="Sao Paulo"/>
  </r>
  <r>
    <s v="5bbf247f8a09d52540eac6e2cddd62a7"/>
    <s v="2017-03-30"/>
    <x v="4"/>
    <x v="7"/>
    <x v="2"/>
    <n v="1"/>
    <n v="49.9"/>
    <n v="14.52"/>
    <s v="credit_card"/>
    <n v="12"/>
    <x v="1"/>
    <x v="2"/>
    <s v="Minas Gerais"/>
  </r>
  <r>
    <s v="758d844e553488d2af66539369ed624a"/>
    <s v="2017-03-30"/>
    <x v="4"/>
    <x v="3"/>
    <x v="26"/>
    <n v="1"/>
    <n v="999.9"/>
    <n v="21.17"/>
    <s v="credit_card"/>
    <n v="12"/>
    <x v="1"/>
    <x v="2"/>
    <s v="Sao Paulo"/>
  </r>
  <r>
    <s v="05c44e3898cc7d836584bfaaa36d0017"/>
    <s v="2017-03-31"/>
    <x v="4"/>
    <x v="3"/>
    <x v="1"/>
    <n v="1"/>
    <n v="59"/>
    <n v="20.73"/>
    <s v="credit_card"/>
    <n v="12"/>
    <x v="1"/>
    <x v="2"/>
    <s v="Sao Paulo"/>
  </r>
  <r>
    <s v="2d7312746088a0bd8d60f8db6c6fcb46"/>
    <s v="2017-03-31"/>
    <x v="4"/>
    <x v="4"/>
    <x v="4"/>
    <n v="1"/>
    <n v="75"/>
    <n v="14.29"/>
    <s v="credit_card"/>
    <n v="21"/>
    <x v="1"/>
    <x v="2"/>
    <s v="Rio de Janeiro"/>
  </r>
  <r>
    <s v="b68feda578fe41870ba7a14082ce03fa"/>
    <s v="2017-03-31"/>
    <x v="4"/>
    <x v="3"/>
    <x v="3"/>
    <n v="2"/>
    <n v="64.58"/>
    <n v="17.440000000000001"/>
    <s v="credit_card"/>
    <n v="6"/>
    <x v="1"/>
    <x v="0"/>
    <s v="Sao Paulo"/>
  </r>
  <r>
    <s v="e33d8345fd55476c9fc022be9809a8e4"/>
    <s v="2017-03-31"/>
    <x v="4"/>
    <x v="7"/>
    <x v="21"/>
    <n v="1"/>
    <n v="109.9"/>
    <n v="37.17"/>
    <s v="boleto"/>
    <n v="10"/>
    <x v="1"/>
    <x v="2"/>
    <s v="Minas Gerais"/>
  </r>
  <r>
    <s v="6baba4edd521964e1f16b03eff660868"/>
    <s v="2017-04-01"/>
    <x v="5"/>
    <x v="3"/>
    <x v="22"/>
    <n v="1"/>
    <n v="1654.44"/>
    <n v="18.23"/>
    <s v="boleto"/>
    <n v="4"/>
    <x v="1"/>
    <x v="2"/>
    <s v="Sao Paulo"/>
  </r>
  <r>
    <s v="161dba2d39ca4ba1fd1a5f8024de7da4"/>
    <s v="2017-04-01"/>
    <x v="5"/>
    <x v="3"/>
    <x v="14"/>
    <n v="1"/>
    <n v="89.9"/>
    <n v="18.91"/>
    <s v="credit_card"/>
    <n v="10"/>
    <x v="1"/>
    <x v="2"/>
    <s v="Sao Paulo"/>
  </r>
  <r>
    <s v="381e1d8755e821c57966725a4c690059"/>
    <s v="2017-04-01"/>
    <x v="5"/>
    <x v="2"/>
    <x v="2"/>
    <n v="1"/>
    <n v="54.9"/>
    <n v="17.809999999999999"/>
    <s v="boleto"/>
    <n v="19"/>
    <x v="1"/>
    <x v="3"/>
    <s v="Goias"/>
  </r>
  <r>
    <s v="36e138bc060bf5e8b34ff5a25cdef48c"/>
    <s v="2017-04-02"/>
    <x v="5"/>
    <x v="11"/>
    <x v="37"/>
    <n v="1"/>
    <n v="152.99"/>
    <n v="25.07"/>
    <s v="boleto"/>
    <n v="10"/>
    <x v="1"/>
    <x v="3"/>
    <s v="Para"/>
  </r>
  <r>
    <s v="7a541b113a2aad3f0854eed998dc7ee8"/>
    <s v="2017-04-02"/>
    <x v="5"/>
    <x v="3"/>
    <x v="14"/>
    <n v="1"/>
    <n v="41.9"/>
    <n v="16.05"/>
    <s v="credit_card"/>
    <n v="8"/>
    <x v="1"/>
    <x v="2"/>
    <s v="Sao Paulo"/>
  </r>
  <r>
    <s v="20b93906f0b1d44ad5e6c166ab370ba7"/>
    <s v="2017-04-03"/>
    <x v="5"/>
    <x v="4"/>
    <x v="1"/>
    <n v="1"/>
    <n v="62.9"/>
    <n v="14.2"/>
    <s v="credit_card"/>
    <n v="9"/>
    <x v="1"/>
    <x v="2"/>
    <s v="Rio de Janeiro"/>
  </r>
  <r>
    <s v="316c1fa727d9048a98c36aefbfd84e19"/>
    <s v="2017-04-03"/>
    <x v="5"/>
    <x v="16"/>
    <x v="0"/>
    <n v="1"/>
    <n v="17.989999999999998"/>
    <n v="24.35"/>
    <s v="credit_card"/>
    <n v="25"/>
    <x v="1"/>
    <x v="2"/>
    <s v="Amazonas"/>
  </r>
  <r>
    <s v="404056a6129e2c8e668b8ea4d5a98297"/>
    <s v="2017-04-03"/>
    <x v="5"/>
    <x v="23"/>
    <x v="5"/>
    <n v="1"/>
    <n v="292.89999999999998"/>
    <n v="26.54"/>
    <s v="credit_card"/>
    <n v="14"/>
    <x v="1"/>
    <x v="2"/>
    <s v="Rio Grande do Norte"/>
  </r>
  <r>
    <s v="77ea41cd71582db7c8dc337bbe28b561"/>
    <s v="2017-04-04"/>
    <x v="5"/>
    <x v="3"/>
    <x v="14"/>
    <n v="1"/>
    <n v="98.99"/>
    <n v="15.8"/>
    <s v="boleto"/>
    <n v="8"/>
    <x v="1"/>
    <x v="2"/>
    <s v="Sao Paulo"/>
  </r>
  <r>
    <s v="b955e1ecda001d15a6f9a0279d06ae5d"/>
    <s v="2017-04-04"/>
    <x v="5"/>
    <x v="3"/>
    <x v="28"/>
    <n v="1"/>
    <n v="119.99"/>
    <n v="20.14"/>
    <s v="credit_card"/>
    <n v="7"/>
    <x v="1"/>
    <x v="3"/>
    <s v="Sao Paulo"/>
  </r>
  <r>
    <s v="68c5cb2a721e1c90873c96888b8317da"/>
    <s v="2017-04-05"/>
    <x v="5"/>
    <x v="7"/>
    <x v="13"/>
    <n v="1"/>
    <n v="1199.9000000000001"/>
    <n v="25.69"/>
    <s v="credit_card"/>
    <n v="5"/>
    <x v="1"/>
    <x v="2"/>
    <s v="Minas Gerais"/>
  </r>
  <r>
    <s v="ad6b07be756ec7284a64503ac34f6975"/>
    <s v="2017-04-05"/>
    <x v="5"/>
    <x v="1"/>
    <x v="2"/>
    <n v="1"/>
    <n v="699.99"/>
    <n v="23.49"/>
    <s v="boleto"/>
    <n v="14"/>
    <x v="1"/>
    <x v="2"/>
    <s v="Rio Grande do Sul"/>
  </r>
  <r>
    <s v="e4edd7f42d1e4c150c41533aee5e7a36"/>
    <s v="2017-04-05"/>
    <x v="5"/>
    <x v="3"/>
    <x v="1"/>
    <n v="1"/>
    <n v="69.900000000000006"/>
    <n v="11.88"/>
    <s v="credit_card"/>
    <n v="11"/>
    <x v="1"/>
    <x v="2"/>
    <s v="Sao Paulo"/>
  </r>
  <r>
    <s v="faaf6a860e3ad876765787c9e1a93464"/>
    <s v="2017-04-05"/>
    <x v="5"/>
    <x v="3"/>
    <x v="25"/>
    <n v="1"/>
    <n v="156"/>
    <n v="11.7"/>
    <s v="credit_card"/>
    <n v="5"/>
    <x v="1"/>
    <x v="2"/>
    <s v="Sao Paulo"/>
  </r>
  <r>
    <s v="f076e6d4f9afe2b9f866bc0dc20abc6f"/>
    <s v="2017-04-05"/>
    <x v="5"/>
    <x v="3"/>
    <x v="17"/>
    <n v="1"/>
    <n v="48.99"/>
    <n v="10.96"/>
    <s v="credit_card"/>
    <n v="5"/>
    <x v="1"/>
    <x v="3"/>
    <s v="Sao Paulo"/>
  </r>
  <r>
    <s v="ae5176160fcc23563149dd28b4137b6d"/>
    <s v="2017-04-05"/>
    <x v="5"/>
    <x v="3"/>
    <x v="35"/>
    <n v="1"/>
    <n v="1420"/>
    <n v="15.58"/>
    <s v="credit_card"/>
    <n v="6"/>
    <x v="1"/>
    <x v="2"/>
    <s v="Sao Paulo"/>
  </r>
  <r>
    <s v="fa5140866cde7c9764922065831a5510"/>
    <s v="2017-04-06"/>
    <x v="5"/>
    <x v="4"/>
    <x v="14"/>
    <n v="1"/>
    <n v="79.900000000000006"/>
    <n v="17.3"/>
    <s v="credit_card"/>
    <n v="25"/>
    <x v="1"/>
    <x v="1"/>
    <s v="Rio de Janeiro"/>
  </r>
  <r>
    <s v="abecbd6356fb44255baff524fd60438e"/>
    <s v="2017-04-06"/>
    <x v="5"/>
    <x v="5"/>
    <x v="26"/>
    <n v="1"/>
    <n v="999.9"/>
    <n v="22.7"/>
    <s v="credit_card"/>
    <n v="6"/>
    <x v="1"/>
    <x v="2"/>
    <s v="Parana"/>
  </r>
  <r>
    <s v="0fd8a0c97993a139d5277f2023f93649"/>
    <s v="2017-04-07"/>
    <x v="5"/>
    <x v="8"/>
    <x v="2"/>
    <n v="1"/>
    <n v="99.9"/>
    <n v="14.87"/>
    <s v="credit_card"/>
    <n v="20"/>
    <x v="1"/>
    <x v="2"/>
    <s v="Santa Catarina"/>
  </r>
  <r>
    <s v="34d3746ff00ec19dffcf5a7f6761a1eb"/>
    <s v="2017-04-07"/>
    <x v="5"/>
    <x v="3"/>
    <x v="38"/>
    <n v="1"/>
    <n v="12.9"/>
    <n v="10.96"/>
    <s v="credit_card"/>
    <n v="16"/>
    <x v="1"/>
    <x v="2"/>
    <s v="Sao Paulo"/>
  </r>
  <r>
    <s v="c14317bde925bb399cb2a3cf8b07854b"/>
    <s v="2017-04-07"/>
    <x v="5"/>
    <x v="8"/>
    <x v="1"/>
    <n v="1"/>
    <n v="53.9"/>
    <n v="11.77"/>
    <s v="credit_card"/>
    <n v="10"/>
    <x v="1"/>
    <x v="2"/>
    <s v="Santa Catarina"/>
  </r>
  <r>
    <s v="620f88e1cad4c60e7f3cc29d682e7eb9"/>
    <s v="2017-04-07"/>
    <x v="5"/>
    <x v="4"/>
    <x v="2"/>
    <n v="1"/>
    <n v="94.5"/>
    <n v="14.83"/>
    <s v="credit_card"/>
    <n v="10"/>
    <x v="1"/>
    <x v="2"/>
    <s v="Rio de Janeiro"/>
  </r>
  <r>
    <s v="276e9ec344d3bf029ff83a161c6b3ce9"/>
    <s v="2017-04-08"/>
    <x v="5"/>
    <x v="12"/>
    <x v="7"/>
    <n v="1"/>
    <n v="249"/>
    <n v="30.94"/>
    <s v="credit_card"/>
    <n v="43"/>
    <x v="2"/>
    <x v="0"/>
    <s v="Ceara"/>
  </r>
  <r>
    <s v="33ae336da56e5f632a69e131c877815f"/>
    <s v="2017-04-08"/>
    <x v="5"/>
    <x v="8"/>
    <x v="20"/>
    <n v="1"/>
    <n v="219.99"/>
    <n v="19.82"/>
    <s v="boleto"/>
    <n v="11"/>
    <x v="1"/>
    <x v="2"/>
    <s v="Santa Catarina"/>
  </r>
  <r>
    <s v="c0c4abe362862141005289577fa44d0a"/>
    <s v="2017-04-08"/>
    <x v="5"/>
    <x v="7"/>
    <x v="24"/>
    <n v="1"/>
    <n v="29.9"/>
    <n v="16.5"/>
    <s v="credit_card"/>
    <n v="10"/>
    <x v="1"/>
    <x v="2"/>
    <s v="Minas Gerais"/>
  </r>
  <r>
    <s v="fdb6e644d463ad142d9ed03c9f6222a6"/>
    <s v="2017-04-08"/>
    <x v="5"/>
    <x v="3"/>
    <x v="0"/>
    <n v="1"/>
    <n v="59.9"/>
    <n v="11.81"/>
    <s v="credit_card"/>
    <n v="10"/>
    <x v="1"/>
    <x v="2"/>
    <s v="Sao Paulo"/>
  </r>
  <r>
    <s v="c42fdc1266a0ebdb032e6afaf8320b6a"/>
    <s v="2017-04-09"/>
    <x v="5"/>
    <x v="3"/>
    <x v="25"/>
    <n v="1"/>
    <n v="156"/>
    <n v="11.7"/>
    <s v="credit_card"/>
    <n v="4"/>
    <x v="1"/>
    <x v="1"/>
    <s v="Sao Paulo"/>
  </r>
  <r>
    <s v="1b0a4a31fc0d7e48066ec01d14ed1b5a"/>
    <s v="2017-04-09"/>
    <x v="5"/>
    <x v="21"/>
    <x v="6"/>
    <n v="1"/>
    <n v="18.95"/>
    <n v="20.8"/>
    <s v="credit_card"/>
    <n v="29"/>
    <x v="1"/>
    <x v="2"/>
    <s v="Bahia"/>
  </r>
  <r>
    <s v="e5da6b075bf12389011f8a4ce3c1d1de"/>
    <s v="2017-04-09"/>
    <x v="5"/>
    <x v="3"/>
    <x v="21"/>
    <n v="1"/>
    <n v="48.9"/>
    <n v="15.56"/>
    <s v="credit_card"/>
    <n v="8"/>
    <x v="1"/>
    <x v="2"/>
    <s v="Sao Paulo"/>
  </r>
  <r>
    <s v="131ca8643d9f990f2ab26e3a33ec7950"/>
    <s v="2017-04-09"/>
    <x v="5"/>
    <x v="1"/>
    <x v="20"/>
    <n v="1"/>
    <n v="199"/>
    <n v="15.16"/>
    <s v="credit_card"/>
    <m/>
    <x v="0"/>
    <x v="5"/>
    <s v="Rio Grande do Sul"/>
  </r>
  <r>
    <s v="e5660f4c411090251a0a154f085bbfe8"/>
    <s v="2017-04-09"/>
    <x v="5"/>
    <x v="4"/>
    <x v="20"/>
    <n v="1"/>
    <n v="99.99"/>
    <n v="15.91"/>
    <s v="credit_card"/>
    <n v="21"/>
    <x v="1"/>
    <x v="1"/>
    <s v="Rio de Janeiro"/>
  </r>
  <r>
    <s v="b33dfa9cb1bd5eb21f0a09da605e1af4"/>
    <s v="2017-04-09"/>
    <x v="5"/>
    <x v="4"/>
    <x v="9"/>
    <n v="1"/>
    <n v="339.99"/>
    <n v="17.14"/>
    <s v="credit_card"/>
    <n v="8"/>
    <x v="1"/>
    <x v="2"/>
    <s v="Rio de Janeiro"/>
  </r>
  <r>
    <s v="014f1e63f9bd4f5578edcf4e5c305a0a"/>
    <s v="2017-04-09"/>
    <x v="5"/>
    <x v="7"/>
    <x v="4"/>
    <n v="1"/>
    <n v="129.9"/>
    <n v="18.34"/>
    <s v="credit_card"/>
    <n v="7"/>
    <x v="1"/>
    <x v="2"/>
    <s v="Minas Gerais"/>
  </r>
  <r>
    <s v="ba4630480d9cb693430e8ee1e82b9c7a"/>
    <s v="2017-04-10"/>
    <x v="5"/>
    <x v="1"/>
    <x v="20"/>
    <n v="1"/>
    <n v="599"/>
    <n v="24.01"/>
    <s v="credit_card"/>
    <n v="9"/>
    <x v="1"/>
    <x v="2"/>
    <s v="Rio Grande do Sul"/>
  </r>
  <r>
    <s v="0d3346ede30fffc33c30740f06709025"/>
    <s v="2017-04-11"/>
    <x v="5"/>
    <x v="3"/>
    <x v="7"/>
    <n v="1"/>
    <n v="112"/>
    <n v="16.48"/>
    <s v="credit_card"/>
    <n v="8"/>
    <x v="1"/>
    <x v="2"/>
    <s v="Sao Paulo"/>
  </r>
  <r>
    <s v="0b16fcb0e3133c83e8c82ed7bd6ccb1b"/>
    <s v="2017-04-11"/>
    <x v="5"/>
    <x v="3"/>
    <x v="18"/>
    <n v="1"/>
    <n v="49.9"/>
    <n v="8.7200000000000006"/>
    <s v="credit_card"/>
    <n v="5"/>
    <x v="1"/>
    <x v="2"/>
    <s v="Sao Paulo"/>
  </r>
  <r>
    <s v="5eb1569b3a9e174aebf991bfa0fef897"/>
    <s v="2017-04-11"/>
    <x v="5"/>
    <x v="3"/>
    <x v="7"/>
    <n v="2"/>
    <n v="224"/>
    <n v="32.96"/>
    <s v="credit_card"/>
    <n v="7"/>
    <x v="1"/>
    <x v="2"/>
    <s v="Sao Paulo"/>
  </r>
  <r>
    <s v="86f3eab0f6458fbf53389a14fc8ce71a"/>
    <s v="2017-04-12"/>
    <x v="5"/>
    <x v="3"/>
    <x v="2"/>
    <n v="1"/>
    <n v="499.99"/>
    <n v="18.260000000000002"/>
    <s v="credit_card"/>
    <n v="6"/>
    <x v="1"/>
    <x v="2"/>
    <s v="Sao Paulo"/>
  </r>
  <r>
    <s v="f75eddeb8fc33239a2211c1a34f6911c"/>
    <s v="2017-04-12"/>
    <x v="5"/>
    <x v="3"/>
    <x v="1"/>
    <n v="1"/>
    <n v="239"/>
    <n v="10.039999999999999"/>
    <s v="credit_card"/>
    <n v="5"/>
    <x v="1"/>
    <x v="2"/>
    <s v="Sao Paulo"/>
  </r>
  <r>
    <s v="dd5ebf00c3d8b88a41ec9c8450ec59db"/>
    <s v="2017-04-12"/>
    <x v="5"/>
    <x v="18"/>
    <x v="19"/>
    <n v="1"/>
    <n v="31"/>
    <n v="8.7200000000000006"/>
    <s v="credit_card"/>
    <n v="5"/>
    <x v="1"/>
    <x v="2"/>
    <s v="Distrito Federal"/>
  </r>
  <r>
    <s v="84ad418dcacad799e4a81ac24328d6fd"/>
    <s v="2017-04-14"/>
    <x v="5"/>
    <x v="1"/>
    <x v="34"/>
    <n v="1"/>
    <n v="48.9"/>
    <n v="37.92"/>
    <s v="boleto"/>
    <n v="24"/>
    <x v="1"/>
    <x v="2"/>
    <s v="Rio Grande do Sul"/>
  </r>
  <r>
    <s v="4932f0177140a9a8b32264ac6f41ac5f"/>
    <s v="2017-04-14"/>
    <x v="5"/>
    <x v="3"/>
    <x v="5"/>
    <n v="1"/>
    <n v="59.9"/>
    <n v="14.59"/>
    <s v="credit_card"/>
    <n v="15"/>
    <x v="1"/>
    <x v="2"/>
    <s v="Sao Paulo"/>
  </r>
  <r>
    <s v="2053554187588f29cdeb57a88d331e83"/>
    <s v="2017-04-15"/>
    <x v="5"/>
    <x v="3"/>
    <x v="2"/>
    <n v="1"/>
    <n v="42.99"/>
    <n v="8.7200000000000006"/>
    <s v="credit_card"/>
    <n v="4"/>
    <x v="1"/>
    <x v="2"/>
    <s v="Sao Paulo"/>
  </r>
  <r>
    <s v="3bee0a6bb3f8fa5eb8dae9b65fc7944d"/>
    <s v="2017-04-15"/>
    <x v="5"/>
    <x v="3"/>
    <x v="20"/>
    <n v="1"/>
    <n v="99.99"/>
    <n v="9.07"/>
    <s v="credit_card"/>
    <n v="5"/>
    <x v="1"/>
    <x v="2"/>
    <s v="Sao Paulo"/>
  </r>
  <r>
    <s v="e3c654307c9b3b9988c35371c5bbf738"/>
    <s v="2017-04-15"/>
    <x v="5"/>
    <x v="3"/>
    <x v="39"/>
    <n v="1"/>
    <n v="209.99"/>
    <n v="42.31"/>
    <s v="boleto"/>
    <n v="33"/>
    <x v="2"/>
    <x v="0"/>
    <s v="Sao Paulo"/>
  </r>
  <r>
    <s v="4ff360dbfc89fdc00cd35d99cb3efef6"/>
    <s v="2017-04-15"/>
    <x v="5"/>
    <x v="4"/>
    <x v="17"/>
    <n v="1"/>
    <n v="29.9"/>
    <n v="16.05"/>
    <s v="boleto"/>
    <n v="26"/>
    <x v="1"/>
    <x v="2"/>
    <s v="Rio de Janeiro"/>
  </r>
  <r>
    <s v="35029df95fa6e0af9bdba562f4fc8fb5"/>
    <s v="2017-04-16"/>
    <x v="5"/>
    <x v="1"/>
    <x v="0"/>
    <n v="1"/>
    <n v="32.99"/>
    <n v="15.65"/>
    <s v="credit_card"/>
    <n v="10"/>
    <x v="1"/>
    <x v="2"/>
    <s v="Rio Grande do Sul"/>
  </r>
  <r>
    <s v="e6fdd5628869deef14230ee582a7a4c0"/>
    <s v="2017-04-16"/>
    <x v="5"/>
    <x v="10"/>
    <x v="22"/>
    <n v="1"/>
    <n v="279.89999999999998"/>
    <n v="26.45"/>
    <s v="credit_card"/>
    <n v="16"/>
    <x v="1"/>
    <x v="2"/>
    <s v="Piaui"/>
  </r>
  <r>
    <s v="7a398cc355d3a1a2d9101b5879b40cc8"/>
    <s v="2017-04-17"/>
    <x v="5"/>
    <x v="3"/>
    <x v="22"/>
    <n v="1"/>
    <n v="123.43"/>
    <n v="11.47"/>
    <s v="credit_card"/>
    <n v="3"/>
    <x v="1"/>
    <x v="2"/>
    <s v="Sao Paulo"/>
  </r>
  <r>
    <s v="279eab1ce88064419806859e4575a10e"/>
    <s v="2017-04-17"/>
    <x v="5"/>
    <x v="3"/>
    <x v="1"/>
    <n v="1"/>
    <n v="12.98"/>
    <n v="14.52"/>
    <s v="boleto"/>
    <n v="30"/>
    <x v="2"/>
    <x v="1"/>
    <s v="Sao Paulo"/>
  </r>
  <r>
    <s v="01380d0df5b7dc8bd13f2266a57bd42c"/>
    <s v="2017-04-17"/>
    <x v="5"/>
    <x v="3"/>
    <x v="7"/>
    <n v="1"/>
    <n v="16.899999999999999"/>
    <n v="10.96"/>
    <s v="credit_card"/>
    <n v="3"/>
    <x v="1"/>
    <x v="2"/>
    <s v="Sao Paulo"/>
  </r>
  <r>
    <s v="9c5387e0f57fcaaf624c791bc5a7d003"/>
    <s v="2017-04-18"/>
    <x v="5"/>
    <x v="3"/>
    <x v="14"/>
    <n v="1"/>
    <n v="274.89999999999998"/>
    <n v="62.28"/>
    <s v="credit_card"/>
    <n v="14"/>
    <x v="1"/>
    <x v="2"/>
    <s v="Sao Paulo"/>
  </r>
  <r>
    <s v="bb2ac53ccaab4c3c0fcd31fa2d1ddeb1"/>
    <s v="2017-04-18"/>
    <x v="5"/>
    <x v="3"/>
    <x v="31"/>
    <n v="1"/>
    <n v="61"/>
    <n v="15.64"/>
    <s v="debit_card"/>
    <n v="22"/>
    <x v="1"/>
    <x v="2"/>
    <s v="Sao Paulo"/>
  </r>
  <r>
    <s v="a23d7ad984b39e2cebe34619c1774cd0"/>
    <s v="2017-04-18"/>
    <x v="5"/>
    <x v="3"/>
    <x v="4"/>
    <n v="1"/>
    <n v="196"/>
    <n v="11.98"/>
    <s v="debit_card"/>
    <n v="7"/>
    <x v="1"/>
    <x v="2"/>
    <s v="Sao Paulo"/>
  </r>
  <r>
    <s v="b70007824303eaad6d7736673b76b17d"/>
    <s v="2017-04-18"/>
    <x v="5"/>
    <x v="22"/>
    <x v="5"/>
    <n v="1"/>
    <n v="57.9"/>
    <n v="14.58"/>
    <s v="boleto"/>
    <n v="29"/>
    <x v="2"/>
    <x v="5"/>
    <s v="Espirito Santo"/>
  </r>
  <r>
    <s v="727412faf7aef5ef3c7e0f03350d80c7"/>
    <s v="2017-04-19"/>
    <x v="5"/>
    <x v="4"/>
    <x v="14"/>
    <n v="1"/>
    <n v="65.900000000000006"/>
    <n v="17.2"/>
    <s v="boleto"/>
    <n v="19"/>
    <x v="1"/>
    <x v="2"/>
    <s v="Rio de Janeiro"/>
  </r>
  <r>
    <s v="ce76b310dfe772acd994570f7fca9a2d"/>
    <s v="2017-04-19"/>
    <x v="5"/>
    <x v="4"/>
    <x v="4"/>
    <n v="1"/>
    <n v="358"/>
    <n v="13.9"/>
    <s v="boleto"/>
    <n v="13"/>
    <x v="1"/>
    <x v="3"/>
    <s v="Rio de Janeiro"/>
  </r>
  <r>
    <s v="9c3d371454ceddff5d8fa8aa86ac7c1e"/>
    <s v="2017-04-19"/>
    <x v="5"/>
    <x v="3"/>
    <x v="29"/>
    <n v="1"/>
    <n v="699"/>
    <n v="15.5"/>
    <s v="credit_card"/>
    <n v="28"/>
    <x v="2"/>
    <x v="0"/>
    <s v="Sao Paulo"/>
  </r>
  <r>
    <s v="5534625f6d8c8c073046dd7b57310af3"/>
    <s v="2017-04-19"/>
    <x v="5"/>
    <x v="3"/>
    <x v="6"/>
    <n v="1"/>
    <n v="99.9"/>
    <n v="14.87"/>
    <s v="credit_card"/>
    <n v="19"/>
    <x v="1"/>
    <x v="3"/>
    <s v="Sao Paulo"/>
  </r>
  <r>
    <s v="81727d69b41f367b7d1e9e305d7eb92b"/>
    <s v="2017-04-19"/>
    <x v="5"/>
    <x v="4"/>
    <x v="19"/>
    <n v="1"/>
    <n v="106.94"/>
    <n v="26.25"/>
    <s v="boleto"/>
    <n v="26"/>
    <x v="1"/>
    <x v="1"/>
    <s v="Rio de Janeiro"/>
  </r>
  <r>
    <s v="4c3812e7963e6b0932c6142e3d6a6b85"/>
    <s v="2017-04-19"/>
    <x v="5"/>
    <x v="3"/>
    <x v="22"/>
    <n v="6"/>
    <n v="185.4"/>
    <n v="87.12"/>
    <s v="boleto"/>
    <n v="14"/>
    <x v="1"/>
    <x v="5"/>
    <s v="Sao Paulo"/>
  </r>
  <r>
    <s v="7597acfdc4c37d290f854bba148c0e4f"/>
    <s v="2017-04-19"/>
    <x v="5"/>
    <x v="4"/>
    <x v="22"/>
    <n v="1"/>
    <n v="799"/>
    <n v="19.350000000000001"/>
    <s v="credit_card"/>
    <n v="27"/>
    <x v="2"/>
    <x v="0"/>
    <s v="Rio de Janeiro"/>
  </r>
  <r>
    <s v="eb7efe0b8397cce63c22e0d6bc566dd9"/>
    <s v="2017-04-19"/>
    <x v="5"/>
    <x v="21"/>
    <x v="9"/>
    <n v="1"/>
    <n v="64.989999999999995"/>
    <n v="20.9"/>
    <s v="boleto"/>
    <m/>
    <x v="0"/>
    <x v="4"/>
    <s v="Bahia"/>
  </r>
  <r>
    <s v="212c76a2134c9695982fe8f004a57dc0"/>
    <s v="2017-04-19"/>
    <x v="5"/>
    <x v="1"/>
    <x v="6"/>
    <n v="2"/>
    <n v="98"/>
    <n v="32.1"/>
    <s v="credit_card"/>
    <n v="15"/>
    <x v="1"/>
    <x v="2"/>
    <s v="Rio Grande do Sul"/>
  </r>
  <r>
    <s v="db5aee77fcd1883e2dd15e342cc42493"/>
    <s v="2017-04-20"/>
    <x v="5"/>
    <x v="5"/>
    <x v="12"/>
    <n v="1"/>
    <n v="109.9"/>
    <n v="13.35"/>
    <s v="credit_card"/>
    <n v="14"/>
    <x v="1"/>
    <x v="1"/>
    <s v="Parana"/>
  </r>
  <r>
    <s v="c60bade0a2a45f8db2535ad71baf5089"/>
    <s v="2017-04-20"/>
    <x v="5"/>
    <x v="22"/>
    <x v="1"/>
    <n v="1"/>
    <n v="69.900000000000006"/>
    <n v="15.7"/>
    <s v="credit_card"/>
    <n v="18"/>
    <x v="1"/>
    <x v="3"/>
    <s v="Espirito Santo"/>
  </r>
  <r>
    <s v="5a862434f3a367a4727fd219326cc689"/>
    <s v="2017-04-20"/>
    <x v="5"/>
    <x v="2"/>
    <x v="1"/>
    <n v="1"/>
    <n v="19.899999999999999"/>
    <n v="17.78"/>
    <s v="credit_card"/>
    <n v="13"/>
    <x v="1"/>
    <x v="1"/>
    <s v="Goias"/>
  </r>
  <r>
    <s v="92e50fc63b89872b2d7aae1c07b64d97"/>
    <s v="2017-04-20"/>
    <x v="5"/>
    <x v="4"/>
    <x v="11"/>
    <n v="4"/>
    <n v="214"/>
    <n v="61.48"/>
    <s v="boleto"/>
    <n v="14"/>
    <x v="1"/>
    <x v="2"/>
    <s v="Rio de Janeiro"/>
  </r>
  <r>
    <s v="e008f3c4303db44b2edc9cff1a6f9f0d"/>
    <s v="2017-04-21"/>
    <x v="5"/>
    <x v="5"/>
    <x v="6"/>
    <n v="1"/>
    <n v="29.99"/>
    <n v="14.52"/>
    <s v="credit_card"/>
    <n v="10"/>
    <x v="1"/>
    <x v="0"/>
    <s v="Parana"/>
  </r>
  <r>
    <s v="5ea2f9d9583d554b47ef191aa66934c2"/>
    <s v="2017-04-21"/>
    <x v="5"/>
    <x v="7"/>
    <x v="0"/>
    <n v="1"/>
    <n v="36.9"/>
    <n v="14.52"/>
    <s v="credit_card"/>
    <n v="10"/>
    <x v="1"/>
    <x v="3"/>
    <s v="Minas Gerais"/>
  </r>
  <r>
    <s v="85e710051891004eca4f527adcadd0c3"/>
    <s v="2017-04-21"/>
    <x v="5"/>
    <x v="3"/>
    <x v="17"/>
    <n v="1"/>
    <n v="415.99"/>
    <n v="13.52"/>
    <s v="voucher"/>
    <n v="11"/>
    <x v="1"/>
    <x v="2"/>
    <s v="Sao Paulo"/>
  </r>
  <r>
    <s v="7ff59247bba3cb48642913d4be3bf6ca"/>
    <s v="2017-04-21"/>
    <x v="5"/>
    <x v="8"/>
    <x v="19"/>
    <n v="1"/>
    <n v="169.9"/>
    <n v="17.34"/>
    <s v="credit_card"/>
    <n v="11"/>
    <x v="1"/>
    <x v="2"/>
    <s v="Santa Catarina"/>
  </r>
  <r>
    <s v="3c5abfef5fc10bb24f9a77d78a42768a"/>
    <s v="2017-04-22"/>
    <x v="5"/>
    <x v="4"/>
    <x v="18"/>
    <n v="1"/>
    <n v="79.900000000000006"/>
    <n v="11.17"/>
    <s v="boleto"/>
    <n v="6"/>
    <x v="1"/>
    <x v="2"/>
    <s v="Rio de Janeiro"/>
  </r>
  <r>
    <s v="6db9a7ff76608a32f0f526347572046f"/>
    <s v="2017-04-22"/>
    <x v="5"/>
    <x v="12"/>
    <x v="1"/>
    <n v="1"/>
    <n v="107"/>
    <n v="25.24"/>
    <s v="credit_card"/>
    <n v="18"/>
    <x v="1"/>
    <x v="2"/>
    <s v="Ceara"/>
  </r>
  <r>
    <s v="04b16351c3a70c83b9f8f1fe295cb450"/>
    <s v="2017-04-22"/>
    <x v="5"/>
    <x v="3"/>
    <x v="1"/>
    <n v="1"/>
    <n v="98.9"/>
    <n v="15.9"/>
    <s v="boleto"/>
    <n v="5"/>
    <x v="1"/>
    <x v="2"/>
    <s v="Sao Paulo"/>
  </r>
  <r>
    <s v="f28680bd357c20d3f581f994eaee18e2"/>
    <s v="2017-04-22"/>
    <x v="5"/>
    <x v="8"/>
    <x v="9"/>
    <n v="1"/>
    <n v="54.9"/>
    <n v="14.55"/>
    <s v="credit_card"/>
    <n v="5"/>
    <x v="1"/>
    <x v="3"/>
    <s v="Santa Catarina"/>
  </r>
  <r>
    <s v="9b8f6a6ca0b17d35ff480e9a2ad8b7ed"/>
    <s v="2017-04-22"/>
    <x v="5"/>
    <x v="5"/>
    <x v="6"/>
    <n v="1"/>
    <n v="13.98"/>
    <n v="14.52"/>
    <s v="credit_card"/>
    <n v="10"/>
    <x v="1"/>
    <x v="2"/>
    <s v="Parana"/>
  </r>
  <r>
    <s v="b3fd29980d666178c001b895e9c5eed1"/>
    <s v="2017-04-23"/>
    <x v="5"/>
    <x v="3"/>
    <x v="9"/>
    <n v="1"/>
    <n v="760"/>
    <n v="58.89"/>
    <s v="credit_card"/>
    <n v="15"/>
    <x v="1"/>
    <x v="1"/>
    <s v="Sao Paulo"/>
  </r>
  <r>
    <s v="baacbbe167481d63498184a70336a4b0"/>
    <s v="2017-04-23"/>
    <x v="5"/>
    <x v="4"/>
    <x v="19"/>
    <n v="1"/>
    <n v="54.9"/>
    <n v="15.59"/>
    <s v="credit_card"/>
    <n v="9"/>
    <x v="1"/>
    <x v="2"/>
    <s v="Rio de Janeiro"/>
  </r>
  <r>
    <s v="aebae27f4df9c32304566e5b5b44956c"/>
    <s v="2017-04-23"/>
    <x v="5"/>
    <x v="1"/>
    <x v="0"/>
    <n v="1"/>
    <n v="111.9"/>
    <n v="17.62"/>
    <s v="boleto"/>
    <n v="11"/>
    <x v="1"/>
    <x v="2"/>
    <s v="Rio Grande do Sul"/>
  </r>
  <r>
    <s v="54b44811ad13a8dd03f0792d0f620b75"/>
    <s v="2017-04-23"/>
    <x v="5"/>
    <x v="3"/>
    <x v="4"/>
    <n v="1"/>
    <n v="29.4"/>
    <n v="11.74"/>
    <s v="boleto"/>
    <n v="15"/>
    <x v="1"/>
    <x v="3"/>
    <s v="Sao Paulo"/>
  </r>
  <r>
    <s v="de3be1cacca82247456d8ed36f4f9c63"/>
    <s v="2017-04-23"/>
    <x v="5"/>
    <x v="5"/>
    <x v="14"/>
    <n v="1"/>
    <n v="93"/>
    <n v="15.86"/>
    <s v="credit_card"/>
    <n v="15"/>
    <x v="1"/>
    <x v="3"/>
    <s v="Parana"/>
  </r>
  <r>
    <s v="dc17587e6349f0e37fabd902991359f4"/>
    <s v="2017-04-24"/>
    <x v="5"/>
    <x v="3"/>
    <x v="5"/>
    <n v="1"/>
    <n v="139.9"/>
    <n v="15.15"/>
    <s v="credit_card"/>
    <n v="15"/>
    <x v="1"/>
    <x v="1"/>
    <s v="Sao Paulo"/>
  </r>
  <r>
    <s v="c624cc88e5e978973852915f3d798c8e"/>
    <s v="2017-04-24"/>
    <x v="5"/>
    <x v="5"/>
    <x v="0"/>
    <n v="1"/>
    <n v="199"/>
    <n v="59"/>
    <s v="credit_card"/>
    <n v="7"/>
    <x v="1"/>
    <x v="2"/>
    <s v="Parana"/>
  </r>
  <r>
    <s v="4243bef9583d689a9c8fe6f055cef332"/>
    <s v="2017-04-24"/>
    <x v="5"/>
    <x v="3"/>
    <x v="13"/>
    <n v="1"/>
    <n v="159.99"/>
    <n v="11.73"/>
    <s v="voucher"/>
    <n v="10"/>
    <x v="1"/>
    <x v="3"/>
    <s v="Sao Paulo"/>
  </r>
  <r>
    <s v="3b73b197eb4c6d3e501a291eb024fa1c"/>
    <s v="2017-04-24"/>
    <x v="5"/>
    <x v="7"/>
    <x v="28"/>
    <n v="1"/>
    <n v="112.99"/>
    <n v="28.98"/>
    <s v="credit_card"/>
    <n v="25"/>
    <x v="1"/>
    <x v="0"/>
    <s v="Minas Gerais"/>
  </r>
  <r>
    <s v="7e722bfc2987b03c9f86dc14857dabba"/>
    <s v="2017-04-24"/>
    <x v="5"/>
    <x v="4"/>
    <x v="14"/>
    <n v="2"/>
    <n v="137.80000000000001"/>
    <n v="32.58"/>
    <s v="credit_card"/>
    <n v="20"/>
    <x v="1"/>
    <x v="2"/>
    <s v="Rio de Janeiro"/>
  </r>
  <r>
    <s v="cec04b13070b06e2f7326de94287d60d"/>
    <s v="2017-04-24"/>
    <x v="5"/>
    <x v="3"/>
    <x v="28"/>
    <n v="1"/>
    <n v="124.99"/>
    <n v="11.48"/>
    <s v="boleto"/>
    <n v="28"/>
    <x v="2"/>
    <x v="3"/>
    <s v="Sao Paulo"/>
  </r>
  <r>
    <s v="ddf16d77e858a32f36e10c289a28ef61"/>
    <s v="2017-04-24"/>
    <x v="5"/>
    <x v="8"/>
    <x v="26"/>
    <n v="1"/>
    <n v="29"/>
    <n v="14.52"/>
    <s v="voucher"/>
    <n v="11"/>
    <x v="1"/>
    <x v="2"/>
    <s v="Santa Catarina"/>
  </r>
  <r>
    <s v="a1b57552891d32e63b959ed210edad44"/>
    <s v="2017-04-24"/>
    <x v="5"/>
    <x v="22"/>
    <x v="4"/>
    <n v="1"/>
    <n v="139.99"/>
    <n v="33.26"/>
    <s v="credit_card"/>
    <n v="9"/>
    <x v="1"/>
    <x v="2"/>
    <s v="Espirito Santo"/>
  </r>
  <r>
    <s v="1bab77281b20f4719d0a9f87f2282fde"/>
    <s v="2017-04-24"/>
    <x v="5"/>
    <x v="3"/>
    <x v="0"/>
    <n v="1"/>
    <n v="139.9"/>
    <n v="16.09"/>
    <s v="boleto"/>
    <n v="13"/>
    <x v="1"/>
    <x v="0"/>
    <s v="Sao Paulo"/>
  </r>
  <r>
    <s v="a9cabf6172d0b9bf7909cd1235499fa0"/>
    <s v="2017-04-24"/>
    <x v="5"/>
    <x v="1"/>
    <x v="20"/>
    <n v="1"/>
    <n v="199.99"/>
    <n v="19.989999999999998"/>
    <s v="credit_card"/>
    <n v="21"/>
    <x v="1"/>
    <x v="0"/>
    <s v="Rio Grande do Sul"/>
  </r>
  <r>
    <s v="04eef545c54d444825c506ba170a26bd"/>
    <s v="2017-04-24"/>
    <x v="5"/>
    <x v="4"/>
    <x v="12"/>
    <n v="1"/>
    <n v="59.99"/>
    <n v="15.63"/>
    <s v="credit_card"/>
    <n v="31"/>
    <x v="2"/>
    <x v="0"/>
    <s v="Rio de Janeiro"/>
  </r>
  <r>
    <s v="ef9b0fd26c25baaf42b8ebc3417fff01"/>
    <s v="2017-04-24"/>
    <x v="5"/>
    <x v="3"/>
    <x v="19"/>
    <n v="1"/>
    <n v="568.45000000000005"/>
    <n v="21.27"/>
    <s v="credit_card"/>
    <n v="17"/>
    <x v="1"/>
    <x v="2"/>
    <s v="Sao Paulo"/>
  </r>
  <r>
    <s v="6222f10321c7b098c4d165139993de63"/>
    <s v="2017-04-25"/>
    <x v="5"/>
    <x v="4"/>
    <x v="40"/>
    <n v="1"/>
    <n v="289.89999999999998"/>
    <n v="24.58"/>
    <s v="boleto"/>
    <n v="21"/>
    <x v="1"/>
    <x v="0"/>
    <s v="Rio de Janeiro"/>
  </r>
  <r>
    <s v="e003ef7043c4587ceeedca63a9e06054"/>
    <s v="2017-04-25"/>
    <x v="5"/>
    <x v="4"/>
    <x v="20"/>
    <n v="1"/>
    <n v="156.99"/>
    <n v="25.95"/>
    <s v="credit_card"/>
    <n v="14"/>
    <x v="1"/>
    <x v="3"/>
    <s v="Rio de Janeiro"/>
  </r>
  <r>
    <s v="3eb9297e6fd8ebcad90e3d436f378207"/>
    <s v="2017-04-25"/>
    <x v="5"/>
    <x v="3"/>
    <x v="6"/>
    <n v="1"/>
    <n v="68.900000000000006"/>
    <n v="14.65"/>
    <s v="credit_card"/>
    <n v="12"/>
    <x v="1"/>
    <x v="3"/>
    <s v="Sao Paulo"/>
  </r>
  <r>
    <s v="51a7d7d26116c0eaee6bb35ea667dfda"/>
    <s v="2017-04-25"/>
    <x v="5"/>
    <x v="3"/>
    <x v="7"/>
    <n v="1"/>
    <n v="84.9"/>
    <n v="36.14"/>
    <s v="credit_card"/>
    <n v="8"/>
    <x v="1"/>
    <x v="2"/>
    <s v="Sao Paulo"/>
  </r>
  <r>
    <s v="eb5155f1e2e9054e0ff0e0701ce8f5c8"/>
    <s v="2017-04-25"/>
    <x v="5"/>
    <x v="3"/>
    <x v="1"/>
    <n v="1"/>
    <n v="159.9"/>
    <n v="13.7"/>
    <s v="debit_card"/>
    <n v="13"/>
    <x v="1"/>
    <x v="2"/>
    <s v="Sao Paulo"/>
  </r>
  <r>
    <s v="8c64dfe75b003b8f1eddd9721843049a"/>
    <s v="2017-04-25"/>
    <x v="5"/>
    <x v="5"/>
    <x v="0"/>
    <n v="1"/>
    <n v="45.9"/>
    <n v="14.52"/>
    <s v="credit_card"/>
    <n v="15"/>
    <x v="1"/>
    <x v="2"/>
    <s v="Parana"/>
  </r>
  <r>
    <s v="e1e2b559781f43694643d53e2ef681fe"/>
    <s v="2017-04-25"/>
    <x v="5"/>
    <x v="7"/>
    <x v="0"/>
    <n v="1"/>
    <n v="169.9"/>
    <n v="45.29"/>
    <s v="credit_card"/>
    <n v="14"/>
    <x v="1"/>
    <x v="2"/>
    <s v="Minas Gerais"/>
  </r>
  <r>
    <s v="2930a715e49bf6193fd54abfb9da0d7b"/>
    <s v="2017-04-25"/>
    <x v="5"/>
    <x v="3"/>
    <x v="9"/>
    <n v="1"/>
    <n v="26.9"/>
    <n v="10.96"/>
    <s v="credit_card"/>
    <n v="9"/>
    <x v="1"/>
    <x v="2"/>
    <s v="Sao Paulo"/>
  </r>
  <r>
    <s v="741f2c4e19ea249883b7eab05a4061f6"/>
    <s v="2017-04-26"/>
    <x v="5"/>
    <x v="5"/>
    <x v="19"/>
    <n v="1"/>
    <n v="55"/>
    <n v="11.78"/>
    <s v="credit_card"/>
    <n v="13"/>
    <x v="1"/>
    <x v="2"/>
    <s v="Parana"/>
  </r>
  <r>
    <s v="a6f521d5e68e95961ac13d448a960fd7"/>
    <s v="2017-04-26"/>
    <x v="5"/>
    <x v="4"/>
    <x v="5"/>
    <n v="1"/>
    <n v="56.99"/>
    <n v="14.57"/>
    <s v="boleto"/>
    <n v="28"/>
    <x v="1"/>
    <x v="3"/>
    <s v="Rio de Janeiro"/>
  </r>
  <r>
    <s v="c85ea30e9a24abecb353caa26294c81c"/>
    <s v="2017-04-26"/>
    <x v="5"/>
    <x v="22"/>
    <x v="23"/>
    <n v="1"/>
    <n v="53.9"/>
    <n v="19.079999999999998"/>
    <s v="credit_card"/>
    <n v="12"/>
    <x v="1"/>
    <x v="3"/>
    <s v="Espirito Santo"/>
  </r>
  <r>
    <s v="91da0c6e7a09dfed94e7cdd19982467b"/>
    <s v="2017-04-26"/>
    <x v="5"/>
    <x v="3"/>
    <x v="14"/>
    <n v="1"/>
    <n v="69.900000000000006"/>
    <n v="11.88"/>
    <s v="boleto"/>
    <n v="11"/>
    <x v="1"/>
    <x v="3"/>
    <s v="Sao Paulo"/>
  </r>
  <r>
    <s v="81757cfaa9d5ebd87fd0021a808f4ca9"/>
    <s v="2017-04-26"/>
    <x v="5"/>
    <x v="3"/>
    <x v="20"/>
    <n v="1"/>
    <n v="219.99"/>
    <n v="15.31"/>
    <s v="credit_card"/>
    <n v="11"/>
    <x v="1"/>
    <x v="2"/>
    <s v="Sao Paulo"/>
  </r>
  <r>
    <s v="b4545b4fc2de8025a8a42fb23125cc54"/>
    <s v="2017-04-26"/>
    <x v="5"/>
    <x v="3"/>
    <x v="20"/>
    <n v="1"/>
    <n v="59.9"/>
    <n v="17.16"/>
    <s v="boleto"/>
    <n v="25"/>
    <x v="2"/>
    <x v="1"/>
    <s v="Sao Paulo"/>
  </r>
  <r>
    <s v="7c8b338f397fb38ef8936b1dc65f5bc0"/>
    <s v="2017-04-26"/>
    <x v="5"/>
    <x v="1"/>
    <x v="21"/>
    <n v="1"/>
    <n v="79.900000000000006"/>
    <n v="22.85"/>
    <s v="credit_card"/>
    <n v="11"/>
    <x v="1"/>
    <x v="2"/>
    <s v="Rio Grande do Sul"/>
  </r>
  <r>
    <s v="3ba1f632cf89a08caf9837999bf827ef"/>
    <s v="2017-04-26"/>
    <x v="5"/>
    <x v="10"/>
    <x v="2"/>
    <n v="1"/>
    <n v="164.98"/>
    <n v="25.64"/>
    <s v="credit_card"/>
    <n v="15"/>
    <x v="1"/>
    <x v="2"/>
    <s v="Piaui"/>
  </r>
  <r>
    <s v="41fe3abb11743c0c0403af8721d23feb"/>
    <s v="2017-04-26"/>
    <x v="5"/>
    <x v="3"/>
    <x v="37"/>
    <n v="1"/>
    <n v="99"/>
    <n v="11.3"/>
    <s v="credit_card"/>
    <n v="12"/>
    <x v="1"/>
    <x v="2"/>
    <s v="Sao Paulo"/>
  </r>
  <r>
    <s v="83f24bbc4f76a2730ba9c9cfa32e6d07"/>
    <s v="2017-04-27"/>
    <x v="5"/>
    <x v="4"/>
    <x v="21"/>
    <n v="1"/>
    <n v="209.9"/>
    <n v="21.55"/>
    <s v="credit_card"/>
    <n v="7"/>
    <x v="1"/>
    <x v="2"/>
    <s v="Rio de Janeiro"/>
  </r>
  <r>
    <s v="19c4ca2f9ed38cdc930ad4d520efa2bb"/>
    <s v="2017-04-28"/>
    <x v="5"/>
    <x v="3"/>
    <x v="5"/>
    <n v="1"/>
    <n v="369.9"/>
    <n v="16.760000000000002"/>
    <s v="credit_card"/>
    <n v="19"/>
    <x v="1"/>
    <x v="2"/>
    <s v="Sao Paulo"/>
  </r>
  <r>
    <s v="24496db5f9de478a647819c7eb075504"/>
    <s v="2017-04-28"/>
    <x v="5"/>
    <x v="20"/>
    <x v="1"/>
    <n v="1"/>
    <n v="859"/>
    <n v="124.39"/>
    <s v="credit_card"/>
    <n v="11"/>
    <x v="1"/>
    <x v="2"/>
    <s v="Tocantins"/>
  </r>
  <r>
    <s v="638a540852799faabe1c7c5647646c4e"/>
    <s v="2017-04-28"/>
    <x v="5"/>
    <x v="8"/>
    <x v="20"/>
    <n v="1"/>
    <n v="119.99"/>
    <n v="16.05"/>
    <s v="credit_card"/>
    <n v="14"/>
    <x v="1"/>
    <x v="2"/>
    <s v="Santa Catarina"/>
  </r>
  <r>
    <s v="3462b9aa946649acaf4dbd05d3d61269"/>
    <s v="2017-04-28"/>
    <x v="5"/>
    <x v="21"/>
    <x v="4"/>
    <n v="1"/>
    <n v="129.99"/>
    <n v="42.5"/>
    <s v="credit_card"/>
    <n v="19"/>
    <x v="1"/>
    <x v="2"/>
    <s v="Bahia"/>
  </r>
  <r>
    <s v="64e32e79cb2d36bb6c9848e16fba6029"/>
    <s v="2017-04-28"/>
    <x v="5"/>
    <x v="22"/>
    <x v="21"/>
    <n v="1"/>
    <n v="149.9"/>
    <n v="16.75"/>
    <s v="boleto"/>
    <n v="19"/>
    <x v="1"/>
    <x v="3"/>
    <s v="Espirito Santo"/>
  </r>
  <r>
    <s v="4b37519166b98d3938e01162a4e29aca"/>
    <s v="2017-04-29"/>
    <x v="5"/>
    <x v="4"/>
    <x v="19"/>
    <n v="1"/>
    <n v="85.99"/>
    <n v="14.77"/>
    <s v="credit_card"/>
    <n v="16"/>
    <x v="1"/>
    <x v="2"/>
    <s v="Rio de Janeiro"/>
  </r>
  <r>
    <s v="ee7b9fca242afe884ce1daf3f17ae656"/>
    <s v="2017-04-29"/>
    <x v="5"/>
    <x v="3"/>
    <x v="40"/>
    <n v="1"/>
    <n v="289.89999999999998"/>
    <n v="22.35"/>
    <s v="credit_card"/>
    <n v="11"/>
    <x v="1"/>
    <x v="1"/>
    <s v="Sao Paulo"/>
  </r>
  <r>
    <s v="72b13b37a3e90ebef702948d847e881f"/>
    <s v="2017-04-29"/>
    <x v="5"/>
    <x v="3"/>
    <x v="21"/>
    <n v="1"/>
    <n v="109.9"/>
    <n v="24.05"/>
    <s v="credit_card"/>
    <n v="8"/>
    <x v="1"/>
    <x v="2"/>
    <s v="Sao Paulo"/>
  </r>
  <r>
    <s v="7c9b7626c3fcc8aa638ece47810323b2"/>
    <s v="2017-04-29"/>
    <x v="5"/>
    <x v="1"/>
    <x v="13"/>
    <n v="1"/>
    <n v="24.79"/>
    <n v="16.05"/>
    <s v="boleto"/>
    <n v="10"/>
    <x v="1"/>
    <x v="0"/>
    <s v="Rio Grande do Sul"/>
  </r>
  <r>
    <s v="f9c8ce300676bd838f4a85b8e97d2342"/>
    <s v="2017-04-30"/>
    <x v="5"/>
    <x v="8"/>
    <x v="21"/>
    <n v="1"/>
    <n v="59.9"/>
    <n v="11.03"/>
    <s v="credit_card"/>
    <m/>
    <x v="0"/>
    <x v="2"/>
    <s v="Santa Catarina"/>
  </r>
  <r>
    <s v="2e5c056e25f127f8554fa6a2ee1336a9"/>
    <s v="2017-04-30"/>
    <x v="5"/>
    <x v="24"/>
    <x v="1"/>
    <n v="1"/>
    <n v="49.9"/>
    <n v="26.61"/>
    <s v="boleto"/>
    <m/>
    <x v="0"/>
    <x v="0"/>
    <s v="Alagoas"/>
  </r>
  <r>
    <s v="7535955a5fee70328e9fe079653e03f1"/>
    <s v="2017-04-30"/>
    <x v="5"/>
    <x v="3"/>
    <x v="6"/>
    <n v="1"/>
    <n v="199.9"/>
    <n v="9.77"/>
    <s v="credit_card"/>
    <n v="8"/>
    <x v="1"/>
    <x v="2"/>
    <s v="Sao Paulo"/>
  </r>
  <r>
    <s v="bdd26d22582f5a2f6321493e0d8677ea"/>
    <s v="2017-04-30"/>
    <x v="5"/>
    <x v="3"/>
    <x v="21"/>
    <n v="1"/>
    <n v="139.9"/>
    <n v="26.21"/>
    <s v="credit_card"/>
    <n v="16"/>
    <x v="1"/>
    <x v="3"/>
    <s v="Sao Paulo"/>
  </r>
  <r>
    <s v="22ee91c7febb94838b3468761b7dd72c"/>
    <s v="2017-05-01"/>
    <x v="6"/>
    <x v="3"/>
    <x v="6"/>
    <n v="1"/>
    <n v="12.5"/>
    <n v="10.96"/>
    <s v="credit_card"/>
    <n v="9"/>
    <x v="1"/>
    <x v="2"/>
    <s v="Sao Paulo"/>
  </r>
  <r>
    <s v="edc75396403e226e7ac4e42085860602"/>
    <s v="2017-05-01"/>
    <x v="6"/>
    <x v="12"/>
    <x v="12"/>
    <n v="1"/>
    <n v="164.33"/>
    <n v="21.6"/>
    <s v="credit_card"/>
    <n v="31"/>
    <x v="1"/>
    <x v="2"/>
    <s v="Ceara"/>
  </r>
  <r>
    <s v="369b845bc7aec357372149df304bd341"/>
    <s v="2017-05-01"/>
    <x v="6"/>
    <x v="5"/>
    <x v="9"/>
    <n v="1"/>
    <n v="19.989999999999998"/>
    <n v="14.52"/>
    <s v="credit_card"/>
    <n v="5"/>
    <x v="1"/>
    <x v="5"/>
    <s v="Parana"/>
  </r>
  <r>
    <s v="3902c863a4cc7b325b57a420f8012a0e"/>
    <s v="2017-05-01"/>
    <x v="6"/>
    <x v="18"/>
    <x v="2"/>
    <n v="2"/>
    <n v="104.8"/>
    <n v="31.4"/>
    <s v="credit_card"/>
    <n v="8"/>
    <x v="1"/>
    <x v="2"/>
    <s v="Distrito Federal"/>
  </r>
  <r>
    <s v="fd9486ae13f513ac59c3f6c23bb003c7"/>
    <s v="2017-05-01"/>
    <x v="6"/>
    <x v="3"/>
    <x v="9"/>
    <n v="1"/>
    <n v="99.9"/>
    <n v="12.09"/>
    <s v="boleto"/>
    <n v="9"/>
    <x v="1"/>
    <x v="2"/>
    <s v="Sao Paulo"/>
  </r>
  <r>
    <s v="24940d1052df86d8e24f16e5adf2868e"/>
    <s v="2017-05-01"/>
    <x v="6"/>
    <x v="3"/>
    <x v="29"/>
    <n v="1"/>
    <n v="174.9"/>
    <n v="12.61"/>
    <s v="credit_card"/>
    <n v="15"/>
    <x v="1"/>
    <x v="2"/>
    <s v="Sao Paulo"/>
  </r>
  <r>
    <s v="aafd191085488777c9d6b1aa8335ddd7"/>
    <s v="2017-05-02"/>
    <x v="6"/>
    <x v="22"/>
    <x v="1"/>
    <n v="1"/>
    <n v="99.7"/>
    <n v="14.87"/>
    <s v="boleto"/>
    <n v="12"/>
    <x v="1"/>
    <x v="0"/>
    <s v="Espirito Santo"/>
  </r>
  <r>
    <s v="e37a0ddb7818d37e517904371d679c74"/>
    <s v="2017-05-02"/>
    <x v="6"/>
    <x v="3"/>
    <x v="6"/>
    <n v="1"/>
    <n v="13.98"/>
    <n v="10.96"/>
    <s v="boleto"/>
    <n v="16"/>
    <x v="1"/>
    <x v="3"/>
    <s v="Sao Paulo"/>
  </r>
  <r>
    <s v="be82da060fda4b85c7fe6ea6512f67e8"/>
    <s v="2017-05-02"/>
    <x v="6"/>
    <x v="3"/>
    <x v="1"/>
    <n v="2"/>
    <n v="90"/>
    <n v="73.5"/>
    <s v="credit_card"/>
    <n v="12"/>
    <x v="1"/>
    <x v="2"/>
    <s v="Sao Paulo"/>
  </r>
  <r>
    <s v="e0dfe8c4850a7ad0b8e41d3a4290ce49"/>
    <s v="2017-05-02"/>
    <x v="6"/>
    <x v="1"/>
    <x v="6"/>
    <n v="1"/>
    <n v="49.99"/>
    <n v="16.05"/>
    <s v="credit_card"/>
    <n v="8"/>
    <x v="1"/>
    <x v="2"/>
    <s v="Rio Grande do Sul"/>
  </r>
  <r>
    <s v="3cedecb4c098aed91d062c54ece4bca4"/>
    <s v="2017-05-02"/>
    <x v="6"/>
    <x v="3"/>
    <x v="19"/>
    <n v="2"/>
    <n v="109.89"/>
    <n v="25.29"/>
    <s v="credit_card"/>
    <n v="18"/>
    <x v="1"/>
    <x v="2"/>
    <s v="Sao Paulo"/>
  </r>
  <r>
    <s v="ffdab5e1596138d37793566aa1424d0c"/>
    <s v="2017-05-02"/>
    <x v="6"/>
    <x v="1"/>
    <x v="33"/>
    <n v="1"/>
    <n v="399.85"/>
    <n v="18.5"/>
    <s v="boleto"/>
    <n v="9"/>
    <x v="1"/>
    <x v="2"/>
    <s v="Rio Grande do Sul"/>
  </r>
  <r>
    <s v="f25ef046203c850005cd4200f7f8c190"/>
    <s v="2017-05-02"/>
    <x v="6"/>
    <x v="3"/>
    <x v="19"/>
    <n v="1"/>
    <n v="16.989999999999998"/>
    <n v="14.52"/>
    <s v="credit_card"/>
    <n v="8"/>
    <x v="1"/>
    <x v="2"/>
    <s v="Sao Paulo"/>
  </r>
  <r>
    <s v="833fbc971cf15276b9fa3a392f73b4e6"/>
    <s v="2017-05-02"/>
    <x v="6"/>
    <x v="1"/>
    <x v="1"/>
    <n v="1"/>
    <n v="119.99"/>
    <n v="25.04"/>
    <s v="credit_card"/>
    <n v="28"/>
    <x v="1"/>
    <x v="2"/>
    <s v="Rio Grande do Sul"/>
  </r>
  <r>
    <s v="0dbdc97d32b0efccbdcbdf750aee17b9"/>
    <s v="2017-05-03"/>
    <x v="6"/>
    <x v="18"/>
    <x v="9"/>
    <n v="1"/>
    <n v="64.989999999999995"/>
    <n v="16.149999999999999"/>
    <s v="boleto"/>
    <n v="9"/>
    <x v="1"/>
    <x v="2"/>
    <s v="Distrito Federal"/>
  </r>
  <r>
    <s v="41223ff2c9f99053ad5379603589764b"/>
    <s v="2017-05-03"/>
    <x v="6"/>
    <x v="7"/>
    <x v="20"/>
    <n v="1"/>
    <n v="138.9"/>
    <n v="17.71"/>
    <s v="credit_card"/>
    <n v="9"/>
    <x v="1"/>
    <x v="2"/>
    <s v="Minas Gerais"/>
  </r>
  <r>
    <s v="0394e320572c0048e41267320a28270e"/>
    <s v="2017-05-03"/>
    <x v="6"/>
    <x v="25"/>
    <x v="9"/>
    <n v="1"/>
    <n v="116"/>
    <n v="25.3"/>
    <s v="boleto"/>
    <n v="21"/>
    <x v="1"/>
    <x v="1"/>
    <s v="Amapa"/>
  </r>
  <r>
    <s v="232ed087a5c59841a1a56af1fe8d797d"/>
    <s v="2017-05-03"/>
    <x v="6"/>
    <x v="10"/>
    <x v="13"/>
    <n v="1"/>
    <n v="74.900000000000006"/>
    <n v="35.14"/>
    <s v="voucher"/>
    <n v="19"/>
    <x v="1"/>
    <x v="3"/>
    <s v="Piaui"/>
  </r>
  <r>
    <s v="4e345c55d847fa86f3500c1abfcbdb8b"/>
    <s v="2017-05-04"/>
    <x v="6"/>
    <x v="8"/>
    <x v="20"/>
    <n v="1"/>
    <n v="219.99"/>
    <n v="19.82"/>
    <s v="boleto"/>
    <n v="16"/>
    <x v="1"/>
    <x v="1"/>
    <s v="Santa Catarina"/>
  </r>
  <r>
    <s v="aef9c99ee1272a501f52167fe0c5631a"/>
    <s v="2017-05-04"/>
    <x v="6"/>
    <x v="20"/>
    <x v="9"/>
    <n v="1"/>
    <n v="199"/>
    <n v="22.02"/>
    <s v="credit_card"/>
    <n v="12"/>
    <x v="1"/>
    <x v="2"/>
    <s v="Tocantins"/>
  </r>
  <r>
    <s v="8fc027e2e96d738a4816f043f2c946ba"/>
    <s v="2017-05-04"/>
    <x v="6"/>
    <x v="21"/>
    <x v="41"/>
    <n v="1"/>
    <n v="89.9"/>
    <n v="21.08"/>
    <s v="credit_card"/>
    <n v="23"/>
    <x v="1"/>
    <x v="1"/>
    <s v="Bahia"/>
  </r>
  <r>
    <s v="6d953888a914b67350d5bc4d48f2acab"/>
    <s v="2017-05-05"/>
    <x v="6"/>
    <x v="7"/>
    <x v="1"/>
    <n v="1"/>
    <n v="101.7"/>
    <n v="15.92"/>
    <s v="credit_card"/>
    <n v="28"/>
    <x v="2"/>
    <x v="0"/>
    <s v="Minas Gerais"/>
  </r>
  <r>
    <s v="300acffc653419f09eea9de45afa0460"/>
    <s v="2017-05-05"/>
    <x v="6"/>
    <x v="9"/>
    <x v="29"/>
    <n v="1"/>
    <n v="89"/>
    <n v="24.55"/>
    <s v="credit_card"/>
    <n v="25"/>
    <x v="1"/>
    <x v="2"/>
    <s v="Sergipe"/>
  </r>
  <r>
    <s v="dcddaf0d2359e8b282ad24f1d84857bc"/>
    <s v="2017-05-05"/>
    <x v="6"/>
    <x v="6"/>
    <x v="20"/>
    <n v="1"/>
    <n v="59.9"/>
    <n v="24.55"/>
    <s v="boleto"/>
    <n v="52"/>
    <x v="2"/>
    <x v="0"/>
    <s v="Pernambuco"/>
  </r>
  <r>
    <s v="9cfff951160cff8164e3eb826dd83dd8"/>
    <s v="2017-05-05"/>
    <x v="6"/>
    <x v="3"/>
    <x v="42"/>
    <n v="1"/>
    <n v="89.9"/>
    <n v="9"/>
    <s v="credit_card"/>
    <n v="7"/>
    <x v="1"/>
    <x v="2"/>
    <s v="Sao Paulo"/>
  </r>
  <r>
    <s v="2f124d00fd77d40d0847e9c97db27ce0"/>
    <s v="2017-05-05"/>
    <x v="6"/>
    <x v="15"/>
    <x v="12"/>
    <n v="1"/>
    <n v="98"/>
    <n v="21.14"/>
    <s v="voucher"/>
    <n v="11"/>
    <x v="1"/>
    <x v="3"/>
    <s v="Mato Grosso"/>
  </r>
  <r>
    <s v="32e132ee5e808c1933c32c3c9ec17361"/>
    <s v="2017-05-05"/>
    <x v="6"/>
    <x v="21"/>
    <x v="6"/>
    <n v="1"/>
    <n v="25.99"/>
    <n v="20.399999999999999"/>
    <s v="credit_card"/>
    <n v="13"/>
    <x v="1"/>
    <x v="2"/>
    <s v="Bahia"/>
  </r>
  <r>
    <s v="9f3c15fb0dfc4d3f2d9f5e8e9323a9e5"/>
    <s v="2017-05-05"/>
    <x v="6"/>
    <x v="26"/>
    <x v="5"/>
    <n v="1"/>
    <n v="79.989999999999995"/>
    <n v="25.05"/>
    <s v="credit_card"/>
    <n v="13"/>
    <x v="1"/>
    <x v="2"/>
    <s v="Paraiba"/>
  </r>
  <r>
    <s v="17e6035d2c8a3c133174ada65347a2e4"/>
    <s v="2017-05-06"/>
    <x v="6"/>
    <x v="4"/>
    <x v="12"/>
    <n v="1"/>
    <n v="59.9"/>
    <n v="16.989999999999998"/>
    <s v="credit_card"/>
    <n v="10"/>
    <x v="1"/>
    <x v="2"/>
    <s v="Rio de Janeiro"/>
  </r>
  <r>
    <s v="84f5e6c0a0e3155e38c00f434ba90ce8"/>
    <s v="2017-05-06"/>
    <x v="6"/>
    <x v="14"/>
    <x v="36"/>
    <n v="1"/>
    <n v="35"/>
    <n v="16.11"/>
    <s v="credit_card"/>
    <n v="10"/>
    <x v="1"/>
    <x v="2"/>
    <s v="Mato Grosso do Sul"/>
  </r>
  <r>
    <s v="d9e44c3fd2ce16086619f299e92e12d8"/>
    <s v="2017-05-06"/>
    <x v="6"/>
    <x v="14"/>
    <x v="36"/>
    <n v="1"/>
    <n v="35"/>
    <n v="16.11"/>
    <s v="credit_card"/>
    <n v="10"/>
    <x v="1"/>
    <x v="2"/>
    <s v="Mato Grosso do Sul"/>
  </r>
  <r>
    <s v="2e90d155b85776a842b3b1c59aa4b340"/>
    <s v="2017-05-06"/>
    <x v="6"/>
    <x v="13"/>
    <x v="12"/>
    <n v="1"/>
    <n v="25.9"/>
    <n v="21.15"/>
    <s v="credit_card"/>
    <m/>
    <x v="0"/>
    <x v="0"/>
    <s v="Maranhao"/>
  </r>
  <r>
    <s v="e5c0d192e1f883b21e7673f73cb644b9"/>
    <s v="2017-05-06"/>
    <x v="6"/>
    <x v="3"/>
    <x v="14"/>
    <n v="1"/>
    <n v="68.900000000000006"/>
    <n v="12.82"/>
    <s v="credit_card"/>
    <n v="9"/>
    <x v="1"/>
    <x v="2"/>
    <s v="Sao Paulo"/>
  </r>
  <r>
    <s v="91342c574ec0463ab295f7591d0fc8ac"/>
    <s v="2017-05-06"/>
    <x v="6"/>
    <x v="3"/>
    <x v="4"/>
    <n v="1"/>
    <n v="75"/>
    <n v="12.03"/>
    <s v="credit_card"/>
    <n v="11"/>
    <x v="1"/>
    <x v="2"/>
    <s v="Sao Paulo"/>
  </r>
  <r>
    <s v="a26e448f7fe0273a370e603cd60933e0"/>
    <s v="2017-05-07"/>
    <x v="6"/>
    <x v="3"/>
    <x v="22"/>
    <n v="1"/>
    <n v="26.69"/>
    <n v="15.1"/>
    <s v="credit_card"/>
    <n v="8"/>
    <x v="1"/>
    <x v="2"/>
    <s v="Sao Paulo"/>
  </r>
  <r>
    <s v="dbf0ef2523a1685c333401eca1edac76"/>
    <s v="2017-05-07"/>
    <x v="6"/>
    <x v="7"/>
    <x v="7"/>
    <n v="1"/>
    <n v="249.9"/>
    <n v="17.510000000000002"/>
    <s v="credit_card"/>
    <n v="9"/>
    <x v="1"/>
    <x v="2"/>
    <s v="Minas Gerais"/>
  </r>
  <r>
    <s v="5b2b9ac65739f66309f4ca13b999dc19"/>
    <s v="2017-05-07"/>
    <x v="6"/>
    <x v="13"/>
    <x v="6"/>
    <n v="1"/>
    <n v="13.98"/>
    <n v="21.15"/>
    <s v="credit_card"/>
    <n v="24"/>
    <x v="1"/>
    <x v="0"/>
    <s v="Maranhao"/>
  </r>
  <r>
    <s v="b12e5d725658a4566286153c51727af2"/>
    <s v="2017-05-07"/>
    <x v="6"/>
    <x v="3"/>
    <x v="19"/>
    <n v="1"/>
    <n v="8.9"/>
    <n v="11.85"/>
    <s v="voucher"/>
    <n v="10"/>
    <x v="1"/>
    <x v="3"/>
    <s v="Sao Paulo"/>
  </r>
  <r>
    <s v="3948c2f40e71b2178b6cec0916332ccd"/>
    <s v="2017-05-07"/>
    <x v="6"/>
    <x v="5"/>
    <x v="19"/>
    <n v="1"/>
    <n v="26.4"/>
    <n v="14.1"/>
    <s v="credit_card"/>
    <n v="11"/>
    <x v="1"/>
    <x v="2"/>
    <s v="Parana"/>
  </r>
  <r>
    <s v="a979479c1af57af858b45dfd2d67ee04"/>
    <s v="2017-05-07"/>
    <x v="6"/>
    <x v="3"/>
    <x v="0"/>
    <n v="1"/>
    <n v="39.9"/>
    <n v="12.69"/>
    <s v="voucher"/>
    <n v="15"/>
    <x v="1"/>
    <x v="3"/>
    <s v="Sao Paulo"/>
  </r>
  <r>
    <s v="14772df2ec0499946fb20841a70659e4"/>
    <s v="2017-05-07"/>
    <x v="6"/>
    <x v="4"/>
    <x v="1"/>
    <n v="1"/>
    <n v="29.5"/>
    <n v="16.79"/>
    <s v="credit_card"/>
    <n v="8"/>
    <x v="1"/>
    <x v="2"/>
    <s v="Rio de Janeiro"/>
  </r>
  <r>
    <s v="40b24dab374c01e18e3e6f269f67c8ad"/>
    <s v="2017-05-08"/>
    <x v="6"/>
    <x v="7"/>
    <x v="14"/>
    <n v="1"/>
    <n v="45.95"/>
    <n v="15.1"/>
    <s v="credit_card"/>
    <n v="8"/>
    <x v="1"/>
    <x v="2"/>
    <s v="Minas Gerais"/>
  </r>
  <r>
    <s v="481d2cbce45c1d2281aead91bff6dcae"/>
    <s v="2017-05-08"/>
    <x v="6"/>
    <x v="5"/>
    <x v="7"/>
    <n v="2"/>
    <n v="119.8"/>
    <n v="35.340000000000003"/>
    <s v="credit_card"/>
    <n v="38"/>
    <x v="2"/>
    <x v="2"/>
    <s v="Parana"/>
  </r>
  <r>
    <s v="9562b424b05978a493db2a5122ecab1f"/>
    <s v="2017-05-08"/>
    <x v="6"/>
    <x v="3"/>
    <x v="0"/>
    <n v="1"/>
    <n v="46.99"/>
    <n v="12.69"/>
    <s v="boleto"/>
    <n v="9"/>
    <x v="1"/>
    <x v="2"/>
    <s v="Sao Paulo"/>
  </r>
  <r>
    <s v="240c0f6bd7e77f416cff9b55d12d10c1"/>
    <s v="2017-05-08"/>
    <x v="6"/>
    <x v="4"/>
    <x v="20"/>
    <n v="1"/>
    <n v="199.99"/>
    <n v="17.649999999999999"/>
    <s v="credit_card"/>
    <n v="15"/>
    <x v="1"/>
    <x v="2"/>
    <s v="Rio de Janeiro"/>
  </r>
  <r>
    <s v="4d3c0c9b78aca6355fc67075364b2b05"/>
    <s v="2017-05-08"/>
    <x v="6"/>
    <x v="5"/>
    <x v="0"/>
    <n v="1"/>
    <n v="61.9"/>
    <n v="16.190000000000001"/>
    <s v="boleto"/>
    <n v="9"/>
    <x v="1"/>
    <x v="2"/>
    <s v="Parana"/>
  </r>
  <r>
    <s v="7b3dfd5f6a78e3b430e083bf1a909da0"/>
    <s v="2017-05-08"/>
    <x v="6"/>
    <x v="1"/>
    <x v="14"/>
    <n v="1"/>
    <n v="77.75"/>
    <n v="16.3"/>
    <s v="credit_card"/>
    <n v="15"/>
    <x v="1"/>
    <x v="2"/>
    <s v="Rio Grande do Sul"/>
  </r>
  <r>
    <s v="66bb146968e449c413c58a15e510a6f8"/>
    <s v="2017-05-08"/>
    <x v="6"/>
    <x v="5"/>
    <x v="12"/>
    <n v="1"/>
    <n v="79.900000000000006"/>
    <n v="15.31"/>
    <s v="credit_card"/>
    <n v="6"/>
    <x v="1"/>
    <x v="3"/>
    <s v="Parana"/>
  </r>
  <r>
    <s v="0b0bf8f9977e22517521efeefa4b7a27"/>
    <s v="2017-05-09"/>
    <x v="6"/>
    <x v="7"/>
    <x v="14"/>
    <n v="1"/>
    <n v="146"/>
    <n v="21.51"/>
    <s v="credit_card"/>
    <n v="14"/>
    <x v="1"/>
    <x v="1"/>
    <s v="Minas Gerais"/>
  </r>
  <r>
    <s v="0b65284a1a74114ea029b7676fdc1ba3"/>
    <s v="2017-05-09"/>
    <x v="6"/>
    <x v="6"/>
    <x v="4"/>
    <n v="1"/>
    <n v="89.9"/>
    <n v="54.3"/>
    <s v="credit_card"/>
    <n v="31"/>
    <x v="1"/>
    <x v="2"/>
    <s v="Pernambuco"/>
  </r>
  <r>
    <s v="8b9fde773dec0dfd4be4beaa1ada46bf"/>
    <s v="2017-05-09"/>
    <x v="6"/>
    <x v="3"/>
    <x v="9"/>
    <n v="1"/>
    <n v="19.899999999999999"/>
    <n v="7.78"/>
    <s v="voucher"/>
    <n v="12"/>
    <x v="2"/>
    <x v="5"/>
    <s v="Sao Paulo"/>
  </r>
  <r>
    <s v="814f83a0c457db5d3220e5e7367a944d"/>
    <s v="2017-05-09"/>
    <x v="6"/>
    <x v="4"/>
    <x v="12"/>
    <n v="1"/>
    <n v="79.900000000000006"/>
    <n v="14.31"/>
    <s v="credit_card"/>
    <n v="7"/>
    <x v="1"/>
    <x v="2"/>
    <s v="Rio de Janeiro"/>
  </r>
  <r>
    <s v="e7d84e43b5d477e3b4a6fd6d90db1cac"/>
    <s v="2017-05-09"/>
    <x v="6"/>
    <x v="4"/>
    <x v="1"/>
    <n v="1"/>
    <n v="54.9"/>
    <n v="14.13"/>
    <s v="credit_card"/>
    <n v="8"/>
    <x v="1"/>
    <x v="2"/>
    <s v="Rio de Janeiro"/>
  </r>
  <r>
    <s v="b8817cf40f8cf861cbe022a3b0c61893"/>
    <s v="2017-05-09"/>
    <x v="6"/>
    <x v="21"/>
    <x v="20"/>
    <n v="2"/>
    <n v="125.98"/>
    <n v="37.36"/>
    <s v="credit_card"/>
    <n v="14"/>
    <x v="1"/>
    <x v="2"/>
    <s v="Bahia"/>
  </r>
  <r>
    <s v="23dd9b9b8eb4352e2905bf46a41e5ad2"/>
    <s v="2017-05-09"/>
    <x v="6"/>
    <x v="3"/>
    <x v="20"/>
    <n v="1"/>
    <n v="69.989999999999995"/>
    <n v="11.73"/>
    <s v="credit_card"/>
    <n v="2"/>
    <x v="1"/>
    <x v="2"/>
    <s v="Sao Paulo"/>
  </r>
  <r>
    <s v="cb00f9d32f51bf65823f130e9c146173"/>
    <s v="2017-05-10"/>
    <x v="6"/>
    <x v="7"/>
    <x v="5"/>
    <n v="1"/>
    <n v="56.99"/>
    <n v="15.15"/>
    <s v="credit_card"/>
    <n v="12"/>
    <x v="1"/>
    <x v="2"/>
    <s v="Minas Gerais"/>
  </r>
  <r>
    <s v="b0934c7d9368624b044fc218c11776e9"/>
    <s v="2017-05-10"/>
    <x v="6"/>
    <x v="21"/>
    <x v="7"/>
    <n v="1"/>
    <n v="59.9"/>
    <n v="19.66"/>
    <s v="credit_card"/>
    <n v="17"/>
    <x v="1"/>
    <x v="2"/>
    <s v="Bahia"/>
  </r>
  <r>
    <s v="177536550949ab384987dfa5e898b1cc"/>
    <s v="2017-05-11"/>
    <x v="6"/>
    <x v="23"/>
    <x v="22"/>
    <n v="1"/>
    <n v="145"/>
    <n v="26.04"/>
    <s v="credit_card"/>
    <n v="11"/>
    <x v="1"/>
    <x v="2"/>
    <s v="Rio Grande do Norte"/>
  </r>
  <r>
    <s v="c89fd00e1f223872ff105cd5abf2f659"/>
    <s v="2017-05-11"/>
    <x v="6"/>
    <x v="3"/>
    <x v="2"/>
    <n v="1"/>
    <n v="89.9"/>
    <n v="12.13"/>
    <s v="boleto"/>
    <n v="5"/>
    <x v="1"/>
    <x v="2"/>
    <s v="Sao Paulo"/>
  </r>
  <r>
    <s v="c92d9519d152fad30fdcaa7bcbdbc30c"/>
    <s v="2017-05-11"/>
    <x v="6"/>
    <x v="5"/>
    <x v="21"/>
    <n v="1"/>
    <n v="109.9"/>
    <n v="16.21"/>
    <s v="credit_card"/>
    <n v="5"/>
    <x v="1"/>
    <x v="5"/>
    <s v="Parana"/>
  </r>
  <r>
    <s v="8aec3a066f732dd927ec8fef1752415b"/>
    <s v="2017-05-11"/>
    <x v="6"/>
    <x v="5"/>
    <x v="14"/>
    <n v="1"/>
    <n v="15.9"/>
    <n v="16.11"/>
    <s v="credit_card"/>
    <m/>
    <x v="0"/>
    <x v="1"/>
    <s v="Parana"/>
  </r>
  <r>
    <s v="fa638db0d045b2d04da362622e1f48c9"/>
    <s v="2017-05-11"/>
    <x v="6"/>
    <x v="3"/>
    <x v="18"/>
    <n v="1"/>
    <n v="24.99"/>
    <n v="7.78"/>
    <s v="boleto"/>
    <n v="12"/>
    <x v="1"/>
    <x v="2"/>
    <s v="Sao Paulo"/>
  </r>
  <r>
    <s v="01835ef41c5ac66dd9ec6084fa1d0533"/>
    <s v="2017-05-11"/>
    <x v="6"/>
    <x v="4"/>
    <x v="5"/>
    <n v="1"/>
    <n v="56.99"/>
    <n v="15.15"/>
    <s v="credit_card"/>
    <n v="12"/>
    <x v="1"/>
    <x v="0"/>
    <s v="Rio de Janeiro"/>
  </r>
  <r>
    <s v="fa4a86f6961b73c40db2f5f3199705ad"/>
    <s v="2017-05-12"/>
    <x v="6"/>
    <x v="3"/>
    <x v="9"/>
    <n v="1"/>
    <n v="14.9"/>
    <n v="11.85"/>
    <s v="boleto"/>
    <n v="7"/>
    <x v="1"/>
    <x v="2"/>
    <s v="Sao Paulo"/>
  </r>
  <r>
    <s v="755eebcb667b0fc5148bdcee47fe9f28"/>
    <s v="2017-05-12"/>
    <x v="6"/>
    <x v="3"/>
    <x v="14"/>
    <n v="1"/>
    <n v="59.9"/>
    <n v="11.92"/>
    <s v="boleto"/>
    <n v="10"/>
    <x v="1"/>
    <x v="2"/>
    <s v="Sao Paulo"/>
  </r>
  <r>
    <s v="4b16d0a302a6bd19d22825d08d17d973"/>
    <s v="2017-05-13"/>
    <x v="6"/>
    <x v="7"/>
    <x v="13"/>
    <n v="1"/>
    <n v="749"/>
    <n v="70.05"/>
    <s v="credit_card"/>
    <n v="11"/>
    <x v="1"/>
    <x v="2"/>
    <s v="Minas Gerais"/>
  </r>
  <r>
    <s v="6ea1fb8b83a7703077033993d1bdc5fc"/>
    <s v="2017-05-13"/>
    <x v="6"/>
    <x v="3"/>
    <x v="6"/>
    <n v="1"/>
    <n v="39.99"/>
    <n v="11.85"/>
    <s v="credit_card"/>
    <n v="9"/>
    <x v="1"/>
    <x v="3"/>
    <s v="Sao Paulo"/>
  </r>
  <r>
    <s v="dbe715996d171c4b2877daa01c0d6aca"/>
    <s v="2017-05-14"/>
    <x v="6"/>
    <x v="1"/>
    <x v="26"/>
    <n v="1"/>
    <n v="32.9"/>
    <n v="15.1"/>
    <s v="boleto"/>
    <n v="8"/>
    <x v="1"/>
    <x v="3"/>
    <s v="Rio Grande do Sul"/>
  </r>
  <r>
    <s v="56fe40ecc356cf04f67dc6c69f010ddd"/>
    <s v="2017-05-14"/>
    <x v="6"/>
    <x v="1"/>
    <x v="14"/>
    <n v="1"/>
    <n v="629.9"/>
    <n v="29.25"/>
    <s v="credit_card"/>
    <n v="10"/>
    <x v="1"/>
    <x v="2"/>
    <s v="Rio Grande do Sul"/>
  </r>
  <r>
    <s v="2b0ff3c2ec4265091bba2e1e5d9aa762"/>
    <s v="2017-05-14"/>
    <x v="6"/>
    <x v="3"/>
    <x v="6"/>
    <n v="3"/>
    <n v="89.97"/>
    <n v="23.34"/>
    <s v="credit_card"/>
    <n v="3"/>
    <x v="1"/>
    <x v="3"/>
    <s v="Sao Paulo"/>
  </r>
  <r>
    <s v="52fbf883cea22e6627c1aa7c49ecd8f8"/>
    <s v="2017-05-14"/>
    <x v="6"/>
    <x v="10"/>
    <x v="0"/>
    <n v="1"/>
    <n v="50.9"/>
    <n v="35.68"/>
    <s v="credit_card"/>
    <n v="16"/>
    <x v="1"/>
    <x v="2"/>
    <s v="Piaui"/>
  </r>
  <r>
    <s v="22662a013483e2c073232f69182716db"/>
    <s v="2017-05-14"/>
    <x v="6"/>
    <x v="4"/>
    <x v="2"/>
    <n v="1"/>
    <n v="44.95"/>
    <n v="14.1"/>
    <s v="credit_card"/>
    <n v="16"/>
    <x v="1"/>
    <x v="3"/>
    <s v="Rio de Janeiro"/>
  </r>
  <r>
    <s v="58c4df4904044782bb1361c5cb001538"/>
    <s v="2017-05-14"/>
    <x v="6"/>
    <x v="3"/>
    <x v="20"/>
    <n v="2"/>
    <n v="388.9"/>
    <n v="19.66"/>
    <s v="credit_card"/>
    <n v="3"/>
    <x v="1"/>
    <x v="2"/>
    <s v="Sao Paulo"/>
  </r>
  <r>
    <s v="de2d0036fb45333e82bb658ced9a4fd0"/>
    <s v="2017-05-14"/>
    <x v="6"/>
    <x v="7"/>
    <x v="14"/>
    <n v="1"/>
    <n v="89.9"/>
    <n v="15.38"/>
    <s v="credit_card"/>
    <n v="9"/>
    <x v="1"/>
    <x v="2"/>
    <s v="Minas Gerais"/>
  </r>
  <r>
    <s v="e6fab5eab715bc4786f1f555aac7b32b"/>
    <s v="2017-05-15"/>
    <x v="6"/>
    <x v="4"/>
    <x v="7"/>
    <n v="1"/>
    <n v="89.15"/>
    <n v="15.38"/>
    <s v="boleto"/>
    <n v="8"/>
    <x v="1"/>
    <x v="2"/>
    <s v="Rio de Janeiro"/>
  </r>
  <r>
    <s v="2c6df2cdea838bd21bc2dc78dac3029b"/>
    <s v="2017-05-15"/>
    <x v="6"/>
    <x v="4"/>
    <x v="36"/>
    <n v="1"/>
    <n v="26"/>
    <n v="16.11"/>
    <s v="credit_card"/>
    <n v="8"/>
    <x v="1"/>
    <x v="2"/>
    <s v="Rio de Janeiro"/>
  </r>
  <r>
    <s v="ca929fa6d3db41b0d698c716875ccd26"/>
    <s v="2017-05-15"/>
    <x v="6"/>
    <x v="8"/>
    <x v="1"/>
    <n v="1"/>
    <n v="68"/>
    <n v="15.23"/>
    <s v="voucher"/>
    <n v="10"/>
    <x v="1"/>
    <x v="2"/>
    <s v="Santa Catarina"/>
  </r>
  <r>
    <s v="b83427fcf80fd88d941541011ac876f8"/>
    <s v="2017-05-15"/>
    <x v="6"/>
    <x v="5"/>
    <x v="9"/>
    <n v="1"/>
    <n v="459.9"/>
    <n v="16.97"/>
    <s v="credit_card"/>
    <n v="7"/>
    <x v="1"/>
    <x v="3"/>
    <s v="Parana"/>
  </r>
  <r>
    <s v="b6ec749459197dc03576375a5b65f5a4"/>
    <s v="2017-05-15"/>
    <x v="6"/>
    <x v="1"/>
    <x v="28"/>
    <n v="1"/>
    <n v="112.99"/>
    <n v="34.15"/>
    <s v="boleto"/>
    <n v="16"/>
    <x v="1"/>
    <x v="1"/>
    <s v="Rio Grande do Sul"/>
  </r>
  <r>
    <s v="ae83ac701e482df677985b4dfe2960dc"/>
    <s v="2017-05-15"/>
    <x v="6"/>
    <x v="3"/>
    <x v="18"/>
    <n v="1"/>
    <n v="21.99"/>
    <n v="8.27"/>
    <s v="credit_card"/>
    <m/>
    <x v="0"/>
    <x v="4"/>
    <s v="Sao Paulo"/>
  </r>
  <r>
    <s v="583dfa864ad33b5056f352e0cff6b713"/>
    <s v="2017-05-15"/>
    <x v="6"/>
    <x v="3"/>
    <x v="11"/>
    <n v="1"/>
    <n v="447"/>
    <n v="19.84"/>
    <s v="boleto"/>
    <n v="16"/>
    <x v="1"/>
    <x v="1"/>
    <s v="Sao Paulo"/>
  </r>
  <r>
    <s v="8b72765c9ae45dda52e1aeb36d56d0e6"/>
    <s v="2017-05-15"/>
    <x v="6"/>
    <x v="3"/>
    <x v="1"/>
    <n v="1"/>
    <n v="104"/>
    <n v="13.07"/>
    <s v="boleto"/>
    <n v="4"/>
    <x v="1"/>
    <x v="2"/>
    <s v="Sao Paulo"/>
  </r>
  <r>
    <s v="25f22c7921c0a8d9aece054f7daab2b8"/>
    <s v="2017-05-16"/>
    <x v="6"/>
    <x v="6"/>
    <x v="6"/>
    <n v="1"/>
    <n v="25.99"/>
    <n v="17.63"/>
    <s v="credit_card"/>
    <n v="6"/>
    <x v="1"/>
    <x v="5"/>
    <s v="Pernambuco"/>
  </r>
  <r>
    <s v="afcc3e09a357bc8f3c1caba3702d1e33"/>
    <s v="2017-05-16"/>
    <x v="6"/>
    <x v="3"/>
    <x v="6"/>
    <n v="1"/>
    <n v="290"/>
    <n v="13.53"/>
    <s v="credit_card"/>
    <n v="6"/>
    <x v="1"/>
    <x v="3"/>
    <s v="Sao Paulo"/>
  </r>
  <r>
    <s v="65d9b3fd87de7509d12d3cd45c661269"/>
    <s v="2017-05-16"/>
    <x v="6"/>
    <x v="8"/>
    <x v="0"/>
    <n v="1"/>
    <n v="207.06"/>
    <n v="17.89"/>
    <s v="credit_card"/>
    <n v="6"/>
    <x v="1"/>
    <x v="2"/>
    <s v="Santa Catarina"/>
  </r>
  <r>
    <s v="27da527c266684c5bfb86fc601060406"/>
    <s v="2017-05-16"/>
    <x v="6"/>
    <x v="1"/>
    <x v="4"/>
    <n v="1"/>
    <n v="99"/>
    <n v="14.42"/>
    <s v="credit_card"/>
    <n v="6"/>
    <x v="1"/>
    <x v="2"/>
    <s v="Rio Grande do Sul"/>
  </r>
  <r>
    <s v="d33a24a5ea67f8f5a06b0a32e53f3acf"/>
    <s v="2017-05-16"/>
    <x v="6"/>
    <x v="8"/>
    <x v="29"/>
    <n v="1"/>
    <n v="63"/>
    <n v="15.19"/>
    <s v="boleto"/>
    <n v="6"/>
    <x v="1"/>
    <x v="3"/>
    <s v="Santa Catarina"/>
  </r>
  <r>
    <s v="eccf3572dd199488a18da264de60e1b0"/>
    <s v="2017-05-16"/>
    <x v="6"/>
    <x v="7"/>
    <x v="1"/>
    <n v="1"/>
    <n v="79.989999999999995"/>
    <n v="12.69"/>
    <s v="credit_card"/>
    <n v="5"/>
    <x v="1"/>
    <x v="3"/>
    <s v="Minas Gerais"/>
  </r>
  <r>
    <s v="6c2332524797ccf47797e85207250b4a"/>
    <s v="2017-05-16"/>
    <x v="6"/>
    <x v="4"/>
    <x v="1"/>
    <n v="4"/>
    <n v="416"/>
    <n v="65.959999999999994"/>
    <s v="credit_card"/>
    <n v="6"/>
    <x v="1"/>
    <x v="0"/>
    <s v="Rio de Janeiro"/>
  </r>
  <r>
    <s v="64f475afc29a44f71955d00897cbeac5"/>
    <s v="2017-05-17"/>
    <x v="6"/>
    <x v="3"/>
    <x v="12"/>
    <n v="1"/>
    <n v="109.9"/>
    <n v="18.02"/>
    <s v="credit_card"/>
    <n v="11"/>
    <x v="1"/>
    <x v="3"/>
    <s v="Sao Paulo"/>
  </r>
  <r>
    <s v="ee86b68eb9222b0cad7da50f4f758a35"/>
    <s v="2017-05-17"/>
    <x v="6"/>
    <x v="4"/>
    <x v="43"/>
    <n v="1"/>
    <n v="110"/>
    <n v="14.52"/>
    <s v="credit_card"/>
    <n v="2"/>
    <x v="1"/>
    <x v="2"/>
    <s v="Rio de Janeiro"/>
  </r>
  <r>
    <s v="8b0357c1bad60045f29531041ed96942"/>
    <s v="2017-05-17"/>
    <x v="6"/>
    <x v="21"/>
    <x v="19"/>
    <n v="1"/>
    <n v="85.99"/>
    <n v="16.04"/>
    <s v="credit_card"/>
    <n v="21"/>
    <x v="1"/>
    <x v="1"/>
    <s v="Bahia"/>
  </r>
  <r>
    <s v="7b0991b804c1f59ff08aed876cd41c5b"/>
    <s v="2017-05-17"/>
    <x v="6"/>
    <x v="3"/>
    <x v="19"/>
    <n v="1"/>
    <n v="59.9"/>
    <n v="11.73"/>
    <s v="credit_card"/>
    <n v="1"/>
    <x v="1"/>
    <x v="0"/>
    <s v="Sao Paulo"/>
  </r>
  <r>
    <s v="4886bdc3d38b4558a42cca69e30e0808"/>
    <s v="2017-05-17"/>
    <x v="6"/>
    <x v="3"/>
    <x v="9"/>
    <n v="1"/>
    <n v="299.99"/>
    <n v="10.29"/>
    <s v="credit_card"/>
    <n v="7"/>
    <x v="1"/>
    <x v="3"/>
    <s v="Sao Paulo"/>
  </r>
  <r>
    <s v="5852550cf22fcb9c36345a0b65992ff5"/>
    <s v="2017-05-17"/>
    <x v="6"/>
    <x v="7"/>
    <x v="19"/>
    <n v="1"/>
    <n v="47.25"/>
    <n v="15.1"/>
    <s v="boleto"/>
    <n v="7"/>
    <x v="1"/>
    <x v="3"/>
    <s v="Minas Gerais"/>
  </r>
  <r>
    <s v="83e72081383fc363b9d9b2d509917824"/>
    <s v="2017-05-18"/>
    <x v="6"/>
    <x v="5"/>
    <x v="21"/>
    <n v="1"/>
    <n v="139.9"/>
    <n v="49.51"/>
    <s v="credit_card"/>
    <n v="11"/>
    <x v="1"/>
    <x v="2"/>
    <s v="Parana"/>
  </r>
  <r>
    <s v="d7265f36cbd2814e8be76a4fca48a1d8"/>
    <s v="2017-05-18"/>
    <x v="6"/>
    <x v="4"/>
    <x v="19"/>
    <n v="1"/>
    <n v="79"/>
    <n v="16.309999999999999"/>
    <s v="credit_card"/>
    <n v="14"/>
    <x v="1"/>
    <x v="2"/>
    <s v="Rio de Janeiro"/>
  </r>
  <r>
    <s v="3b7a97d5bd2789c9087188dbfa105445"/>
    <s v="2017-05-18"/>
    <x v="6"/>
    <x v="3"/>
    <x v="1"/>
    <n v="2"/>
    <n v="490"/>
    <n v="32.08"/>
    <s v="credit_card"/>
    <n v="8"/>
    <x v="1"/>
    <x v="2"/>
    <s v="Sao Paulo"/>
  </r>
  <r>
    <s v="4d3acbe72723c00c24fdbf452160d13b"/>
    <s v="2017-05-19"/>
    <x v="6"/>
    <x v="3"/>
    <x v="9"/>
    <n v="1"/>
    <n v="89.9"/>
    <n v="17.2"/>
    <s v="credit_card"/>
    <n v="10"/>
    <x v="1"/>
    <x v="2"/>
    <s v="Sao Paulo"/>
  </r>
  <r>
    <s v="404840d41d032edfc533e78d6e6ee416"/>
    <s v="2017-05-19"/>
    <x v="6"/>
    <x v="7"/>
    <x v="20"/>
    <n v="1"/>
    <n v="119.99"/>
    <n v="13.86"/>
    <s v="credit_card"/>
    <n v="6"/>
    <x v="1"/>
    <x v="2"/>
    <s v="Minas Gerais"/>
  </r>
  <r>
    <s v="7d514be6da81debca0ed96cb31d6ed12"/>
    <s v="2017-05-19"/>
    <x v="6"/>
    <x v="3"/>
    <x v="5"/>
    <n v="1"/>
    <n v="19.989999999999998"/>
    <n v="7.78"/>
    <s v="credit_card"/>
    <n v="4"/>
    <x v="1"/>
    <x v="2"/>
    <s v="Sao Paulo"/>
  </r>
  <r>
    <s v="3734ef852a0ffc47fd80c97740466f68"/>
    <s v="2017-05-19"/>
    <x v="6"/>
    <x v="3"/>
    <x v="4"/>
    <n v="1"/>
    <n v="349"/>
    <n v="14.78"/>
    <s v="credit_card"/>
    <n v="12"/>
    <x v="1"/>
    <x v="2"/>
    <s v="Sao Paulo"/>
  </r>
  <r>
    <s v="3749e1bbc7bc1d318446e7c177727a01"/>
    <s v="2017-05-19"/>
    <x v="6"/>
    <x v="4"/>
    <x v="0"/>
    <n v="1"/>
    <n v="135"/>
    <n v="20.440000000000001"/>
    <s v="credit_card"/>
    <n v="10"/>
    <x v="1"/>
    <x v="2"/>
    <s v="Rio de Janeiro"/>
  </r>
  <r>
    <s v="04d0a4d84d5dc9cc343ca4d0e4120a4d"/>
    <s v="2017-05-20"/>
    <x v="6"/>
    <x v="7"/>
    <x v="2"/>
    <n v="1"/>
    <n v="52.9"/>
    <n v="20.86"/>
    <s v="credit_card"/>
    <n v="8"/>
    <x v="1"/>
    <x v="2"/>
    <s v="Minas Gerais"/>
  </r>
  <r>
    <s v="20b6d93cb808407fbfa6438a2582538c"/>
    <s v="2017-05-20"/>
    <x v="6"/>
    <x v="3"/>
    <x v="20"/>
    <n v="1"/>
    <n v="99.99"/>
    <n v="9.51"/>
    <s v="credit_card"/>
    <n v="3"/>
    <x v="1"/>
    <x v="2"/>
    <s v="Sao Paulo"/>
  </r>
  <r>
    <s v="93be546e44a3791eed28fb2e62d9c319"/>
    <s v="2017-05-20"/>
    <x v="6"/>
    <x v="7"/>
    <x v="2"/>
    <n v="1"/>
    <n v="144.9"/>
    <n v="13.14"/>
    <s v="credit_card"/>
    <n v="4"/>
    <x v="1"/>
    <x v="2"/>
    <s v="Minas Gerais"/>
  </r>
  <r>
    <s v="1ca9b19a39f0b18a4a1470eba6eb5cda"/>
    <s v="2017-05-20"/>
    <x v="6"/>
    <x v="4"/>
    <x v="4"/>
    <n v="1"/>
    <n v="93.9"/>
    <n v="17.100000000000001"/>
    <s v="credit_card"/>
    <n v="8"/>
    <x v="1"/>
    <x v="3"/>
    <s v="Rio de Janeiro"/>
  </r>
  <r>
    <s v="cd746016263cf0a8ac68de73ee79506d"/>
    <s v="2017-05-20"/>
    <x v="6"/>
    <x v="7"/>
    <x v="21"/>
    <n v="1"/>
    <n v="259.89999999999998"/>
    <n v="86.98"/>
    <s v="credit_card"/>
    <n v="10"/>
    <x v="1"/>
    <x v="2"/>
    <s v="Minas Gerais"/>
  </r>
  <r>
    <s v="ee5dbc8989dbc768ce58b68213bfc285"/>
    <s v="2017-05-20"/>
    <x v="6"/>
    <x v="3"/>
    <x v="19"/>
    <n v="1"/>
    <n v="89.99"/>
    <n v="13.65"/>
    <s v="credit_card"/>
    <n v="6"/>
    <x v="1"/>
    <x v="2"/>
    <s v="Sao Paulo"/>
  </r>
  <r>
    <s v="90ad1e3d82f91914b8daf79afc7d79a9"/>
    <s v="2017-05-21"/>
    <x v="6"/>
    <x v="5"/>
    <x v="1"/>
    <n v="1"/>
    <n v="59.99"/>
    <n v="16.18"/>
    <s v="boleto"/>
    <n v="8"/>
    <x v="1"/>
    <x v="2"/>
    <s v="Parana"/>
  </r>
  <r>
    <s v="fa6d6d6a627b660b3cfc54477126473f"/>
    <s v="2017-05-21"/>
    <x v="6"/>
    <x v="3"/>
    <x v="6"/>
    <n v="1"/>
    <n v="37.99"/>
    <n v="11.85"/>
    <s v="credit_card"/>
    <n v="5"/>
    <x v="1"/>
    <x v="1"/>
    <s v="Sao Paulo"/>
  </r>
  <r>
    <s v="385949d678cba16e50726d65f1743d7c"/>
    <s v="2017-05-21"/>
    <x v="6"/>
    <x v="3"/>
    <x v="14"/>
    <n v="1"/>
    <n v="59.9"/>
    <n v="18"/>
    <s v="voucher"/>
    <n v="8"/>
    <x v="1"/>
    <x v="2"/>
    <s v="Sao Paulo"/>
  </r>
  <r>
    <s v="4ebf1b3adfeef9910d4580cf4feb91b1"/>
    <s v="2017-05-21"/>
    <x v="6"/>
    <x v="4"/>
    <x v="14"/>
    <n v="1"/>
    <n v="158.19999999999999"/>
    <n v="18.36"/>
    <s v="credit_card"/>
    <n v="9"/>
    <x v="1"/>
    <x v="2"/>
    <s v="Rio de Janeiro"/>
  </r>
  <r>
    <s v="bf737c2aafd98353171a777c526656df"/>
    <s v="2017-05-21"/>
    <x v="6"/>
    <x v="3"/>
    <x v="18"/>
    <n v="1"/>
    <n v="19.899999999999999"/>
    <n v="14.1"/>
    <s v="voucher"/>
    <n v="9"/>
    <x v="1"/>
    <x v="2"/>
    <s v="Sao Paulo"/>
  </r>
  <r>
    <s v="07adb4d17fca01935d0590d775e9569f"/>
    <s v="2017-05-21"/>
    <x v="6"/>
    <x v="5"/>
    <x v="26"/>
    <n v="1"/>
    <n v="69.900000000000006"/>
    <n v="19.73"/>
    <s v="boleto"/>
    <n v="15"/>
    <x v="1"/>
    <x v="3"/>
    <s v="Parana"/>
  </r>
  <r>
    <s v="62d3014a7e5b4f51c5f2bb713775aada"/>
    <s v="2017-05-21"/>
    <x v="6"/>
    <x v="3"/>
    <x v="13"/>
    <n v="1"/>
    <n v="1199.99"/>
    <n v="33.43"/>
    <s v="credit_card"/>
    <n v="8"/>
    <x v="1"/>
    <x v="5"/>
    <s v="Sao Paulo"/>
  </r>
  <r>
    <s v="f124bd0275e05b559aee8d1271442d1b"/>
    <s v="2017-05-21"/>
    <x v="6"/>
    <x v="4"/>
    <x v="21"/>
    <n v="1"/>
    <n v="109.9"/>
    <n v="14.52"/>
    <s v="credit_card"/>
    <n v="7"/>
    <x v="1"/>
    <x v="2"/>
    <s v="Rio de Janeiro"/>
  </r>
  <r>
    <s v="b4c035ccb21c24eac46fc9298084e1f7"/>
    <s v="2017-05-21"/>
    <x v="6"/>
    <x v="7"/>
    <x v="22"/>
    <n v="1"/>
    <n v="795"/>
    <n v="21.33"/>
    <s v="boleto"/>
    <n v="8"/>
    <x v="1"/>
    <x v="2"/>
    <s v="Minas Gerais"/>
  </r>
  <r>
    <s v="cc1fe613e2c3dce712d71a852ee6726f"/>
    <s v="2017-05-22"/>
    <x v="6"/>
    <x v="5"/>
    <x v="5"/>
    <n v="1"/>
    <n v="129.9"/>
    <n v="18.16"/>
    <s v="credit_card"/>
    <n v="6"/>
    <x v="1"/>
    <x v="3"/>
    <s v="Parana"/>
  </r>
  <r>
    <s v="53893bc57fd2d4ff7dc5e76ad4773540"/>
    <s v="2017-05-22"/>
    <x v="6"/>
    <x v="1"/>
    <x v="15"/>
    <n v="1"/>
    <n v="29.9"/>
    <n v="14.1"/>
    <s v="credit_card"/>
    <n v="10"/>
    <x v="1"/>
    <x v="2"/>
    <s v="Rio Grande do Sul"/>
  </r>
  <r>
    <s v="cef44224a07647470c1afcdbeaa43c92"/>
    <s v="2017-05-22"/>
    <x v="6"/>
    <x v="3"/>
    <x v="20"/>
    <n v="1"/>
    <n v="45.9"/>
    <n v="8.7200000000000006"/>
    <s v="credit_card"/>
    <n v="3"/>
    <x v="1"/>
    <x v="2"/>
    <s v="Sao Paulo"/>
  </r>
  <r>
    <s v="54ac92ea720b2574ecf18f372f41ea71"/>
    <s v="2017-05-22"/>
    <x v="6"/>
    <x v="5"/>
    <x v="7"/>
    <n v="1"/>
    <n v="28.28"/>
    <n v="16.11"/>
    <s v="voucher"/>
    <n v="7"/>
    <x v="1"/>
    <x v="2"/>
    <s v="Parana"/>
  </r>
  <r>
    <s v="2e6ca1196243627f2157c673a686ba36"/>
    <s v="2017-05-22"/>
    <x v="6"/>
    <x v="3"/>
    <x v="14"/>
    <n v="1"/>
    <n v="114.99"/>
    <n v="17.510000000000002"/>
    <s v="credit_card"/>
    <n v="9"/>
    <x v="1"/>
    <x v="2"/>
    <s v="Sao Paulo"/>
  </r>
  <r>
    <s v="d55ece0f3afa9b57b5a78038efddbbbc"/>
    <s v="2017-05-22"/>
    <x v="6"/>
    <x v="3"/>
    <x v="39"/>
    <n v="1"/>
    <n v="219"/>
    <n v="17.579999999999998"/>
    <s v="boleto"/>
    <n v="2"/>
    <x v="1"/>
    <x v="2"/>
    <s v="Sao Paulo"/>
  </r>
  <r>
    <s v="2740f9d58dd09ee632344af519b499ac"/>
    <s v="2017-05-22"/>
    <x v="6"/>
    <x v="4"/>
    <x v="1"/>
    <n v="1"/>
    <n v="1299.99"/>
    <n v="126.82"/>
    <s v="credit_card"/>
    <m/>
    <x v="0"/>
    <x v="0"/>
    <s v="Rio de Janeiro"/>
  </r>
  <r>
    <s v="bbf2756e70a99d07183bcd6fb9ef80f4"/>
    <s v="2017-05-22"/>
    <x v="6"/>
    <x v="3"/>
    <x v="7"/>
    <n v="1"/>
    <n v="449"/>
    <n v="23.63"/>
    <s v="credit_card"/>
    <n v="6"/>
    <x v="1"/>
    <x v="2"/>
    <s v="Sao Paulo"/>
  </r>
  <r>
    <s v="ce243573aa83a8e70bb99ca6133a210e"/>
    <s v="2017-05-23"/>
    <x v="6"/>
    <x v="4"/>
    <x v="14"/>
    <n v="1"/>
    <n v="139.9"/>
    <n v="25.82"/>
    <s v="credit_card"/>
    <n v="6"/>
    <x v="1"/>
    <x v="0"/>
    <s v="Rio de Janeiro"/>
  </r>
  <r>
    <s v="973e2efa6a19ac5083691b9deb4c0a51"/>
    <s v="2017-05-23"/>
    <x v="6"/>
    <x v="3"/>
    <x v="0"/>
    <n v="1"/>
    <n v="29.99"/>
    <n v="7.78"/>
    <s v="boleto"/>
    <n v="2"/>
    <x v="1"/>
    <x v="2"/>
    <s v="Sao Paulo"/>
  </r>
  <r>
    <s v="d88817e778e1757d6b7ea060be13a7f3"/>
    <s v="2017-05-23"/>
    <x v="6"/>
    <x v="3"/>
    <x v="18"/>
    <n v="2"/>
    <n v="34.799999999999997"/>
    <n v="30.2"/>
    <s v="boleto"/>
    <n v="9"/>
    <x v="1"/>
    <x v="2"/>
    <s v="Sao Paulo"/>
  </r>
  <r>
    <s v="1824231549dc0859a6ce9f7b7ada733a"/>
    <s v="2017-05-23"/>
    <x v="6"/>
    <x v="3"/>
    <x v="0"/>
    <n v="2"/>
    <n v="46.98"/>
    <n v="49.32"/>
    <s v="boleto"/>
    <n v="7"/>
    <x v="1"/>
    <x v="2"/>
    <s v="Sao Paulo"/>
  </r>
  <r>
    <s v="f33aa647f08ec9623c76b6212be92333"/>
    <s v="2017-05-23"/>
    <x v="6"/>
    <x v="18"/>
    <x v="1"/>
    <n v="1"/>
    <n v="85"/>
    <n v="15.34"/>
    <s v="boleto"/>
    <m/>
    <x v="0"/>
    <x v="0"/>
    <s v="Distrito Federal"/>
  </r>
  <r>
    <s v="2f7b0831a3de1c86dfc528f200d7332e"/>
    <s v="2017-05-23"/>
    <x v="6"/>
    <x v="7"/>
    <x v="5"/>
    <n v="2"/>
    <n v="113.98"/>
    <n v="28.3"/>
    <s v="credit_card"/>
    <n v="6"/>
    <x v="1"/>
    <x v="0"/>
    <s v="Minas Gerais"/>
  </r>
  <r>
    <s v="04211073930bd30b88b8170431a071ed"/>
    <s v="2017-05-23"/>
    <x v="6"/>
    <x v="8"/>
    <x v="1"/>
    <n v="1"/>
    <n v="18.899999999999999"/>
    <n v="15.1"/>
    <s v="boleto"/>
    <n v="10"/>
    <x v="1"/>
    <x v="2"/>
    <s v="Santa Catarina"/>
  </r>
  <r>
    <s v="a7736098008bf1d6c7f3e9e72ca06081"/>
    <s v="2017-05-23"/>
    <x v="6"/>
    <x v="3"/>
    <x v="14"/>
    <n v="2"/>
    <n v="159.80000000000001"/>
    <n v="69.44"/>
    <s v="credit_card"/>
    <n v="36"/>
    <x v="2"/>
    <x v="3"/>
    <s v="Sao Paulo"/>
  </r>
  <r>
    <s v="a0e6863a821d35dcaeb3eb109f21d443"/>
    <s v="2017-05-23"/>
    <x v="6"/>
    <x v="3"/>
    <x v="1"/>
    <n v="1"/>
    <n v="65"/>
    <n v="15.2"/>
    <s v="credit_card"/>
    <n v="10"/>
    <x v="1"/>
    <x v="2"/>
    <s v="Sao Paulo"/>
  </r>
  <r>
    <s v="262509218257310f675994ae58ffbfa9"/>
    <s v="2017-05-24"/>
    <x v="6"/>
    <x v="17"/>
    <x v="6"/>
    <n v="1"/>
    <n v="27.9"/>
    <n v="21.15"/>
    <s v="boleto"/>
    <n v="19"/>
    <x v="1"/>
    <x v="4"/>
    <s v="Rondonia"/>
  </r>
  <r>
    <s v="5e37bd369f48eb8220fb2d3460f74833"/>
    <s v="2017-05-24"/>
    <x v="6"/>
    <x v="18"/>
    <x v="4"/>
    <n v="1"/>
    <n v="31.9"/>
    <n v="14.1"/>
    <s v="voucher"/>
    <n v="12"/>
    <x v="1"/>
    <x v="2"/>
    <s v="Distrito Federal"/>
  </r>
  <r>
    <s v="3fcef6f64992de28b33bffa27537d868"/>
    <s v="2017-05-24"/>
    <x v="6"/>
    <x v="4"/>
    <x v="20"/>
    <n v="1"/>
    <n v="99.99"/>
    <n v="16.95"/>
    <s v="credit_card"/>
    <n v="6"/>
    <x v="1"/>
    <x v="3"/>
    <s v="Rio de Janeiro"/>
  </r>
  <r>
    <s v="6a5c18ff38627e8e7fd671b499d01426"/>
    <s v="2017-05-24"/>
    <x v="6"/>
    <x v="3"/>
    <x v="1"/>
    <n v="1"/>
    <n v="39.9"/>
    <n v="15.1"/>
    <s v="credit_card"/>
    <n v="8"/>
    <x v="1"/>
    <x v="2"/>
    <s v="Sao Paulo"/>
  </r>
  <r>
    <s v="68f990d7575ee4ce6070c8816664910c"/>
    <s v="2017-05-24"/>
    <x v="6"/>
    <x v="5"/>
    <x v="13"/>
    <n v="1"/>
    <n v="147.9"/>
    <n v="27.36"/>
    <s v="credit_card"/>
    <n v="14"/>
    <x v="1"/>
    <x v="2"/>
    <s v="Parana"/>
  </r>
  <r>
    <s v="7a37faa848114c1dfbe6b90f15af98fa"/>
    <s v="2017-05-24"/>
    <x v="6"/>
    <x v="3"/>
    <x v="22"/>
    <n v="1"/>
    <n v="198"/>
    <n v="16.14"/>
    <s v="credit_card"/>
    <n v="2"/>
    <x v="1"/>
    <x v="2"/>
    <s v="Sao Paulo"/>
  </r>
  <r>
    <s v="bdb7914e757d235eaea872b4c9031509"/>
    <s v="2017-05-24"/>
    <x v="6"/>
    <x v="3"/>
    <x v="20"/>
    <n v="1"/>
    <n v="239"/>
    <n v="17.43"/>
    <s v="boleto"/>
    <n v="11"/>
    <x v="1"/>
    <x v="2"/>
    <s v="Sao Paulo"/>
  </r>
  <r>
    <s v="162e41cca84030fa1901010d70ae0bed"/>
    <s v="2017-05-24"/>
    <x v="6"/>
    <x v="4"/>
    <x v="22"/>
    <n v="1"/>
    <n v="125.93"/>
    <n v="14.63"/>
    <s v="credit_card"/>
    <n v="6"/>
    <x v="1"/>
    <x v="3"/>
    <s v="Rio de Janeiro"/>
  </r>
  <r>
    <s v="698c554458e6b44e6f2f1450583c2547"/>
    <s v="2017-05-25"/>
    <x v="6"/>
    <x v="4"/>
    <x v="4"/>
    <n v="1"/>
    <n v="790.9"/>
    <n v="36.29"/>
    <s v="boleto"/>
    <n v="18"/>
    <x v="1"/>
    <x v="3"/>
    <s v="Rio de Janeiro"/>
  </r>
  <r>
    <s v="c2c0ccad6e89d372981d2f5f6a13f7a6"/>
    <s v="2017-05-25"/>
    <x v="6"/>
    <x v="7"/>
    <x v="20"/>
    <n v="1"/>
    <n v="99.99"/>
    <n v="16.46"/>
    <s v="credit_card"/>
    <n v="6"/>
    <x v="1"/>
    <x v="2"/>
    <s v="Minas Gerais"/>
  </r>
  <r>
    <s v="71ca30b49c5b34847a66dd05c3a9f8e4"/>
    <s v="2017-05-26"/>
    <x v="6"/>
    <x v="8"/>
    <x v="9"/>
    <n v="1"/>
    <n v="37.9"/>
    <n v="16.79"/>
    <s v="credit_card"/>
    <n v="32"/>
    <x v="2"/>
    <x v="1"/>
    <s v="Santa Catarina"/>
  </r>
  <r>
    <s v="5e62e50d9a6f7899a6d806fc809d99c8"/>
    <s v="2017-05-26"/>
    <x v="6"/>
    <x v="3"/>
    <x v="2"/>
    <n v="1"/>
    <n v="158.9"/>
    <n v="16.739999999999998"/>
    <s v="credit_card"/>
    <n v="6"/>
    <x v="1"/>
    <x v="0"/>
    <s v="Sao Paulo"/>
  </r>
  <r>
    <s v="b99b9831e4b244971d7fee83d5a69ee0"/>
    <s v="2017-05-26"/>
    <x v="6"/>
    <x v="5"/>
    <x v="14"/>
    <n v="1"/>
    <n v="49.9"/>
    <n v="15.1"/>
    <s v="credit_card"/>
    <n v="16"/>
    <x v="1"/>
    <x v="5"/>
    <s v="Parana"/>
  </r>
  <r>
    <s v="fec19bf476e77a007cf78400a667ad64"/>
    <s v="2017-05-27"/>
    <x v="6"/>
    <x v="3"/>
    <x v="9"/>
    <n v="1"/>
    <n v="419.99"/>
    <n v="14.44"/>
    <s v="credit_card"/>
    <n v="8"/>
    <x v="1"/>
    <x v="2"/>
    <s v="Sao Paulo"/>
  </r>
  <r>
    <s v="f979343ab80aa950517b9a9950e516ef"/>
    <s v="2017-05-27"/>
    <x v="6"/>
    <x v="1"/>
    <x v="29"/>
    <n v="1"/>
    <n v="69.900000000000006"/>
    <n v="17.739999999999998"/>
    <s v="credit_card"/>
    <n v="12"/>
    <x v="1"/>
    <x v="3"/>
    <s v="Rio Grande do Sul"/>
  </r>
  <r>
    <s v="0a02d8b1995030c91c63add1acba1fb2"/>
    <s v="2017-05-27"/>
    <x v="6"/>
    <x v="3"/>
    <x v="2"/>
    <n v="1"/>
    <n v="94.9"/>
    <n v="7.92"/>
    <s v="voucher"/>
    <n v="2"/>
    <x v="1"/>
    <x v="2"/>
    <s v="Sao Paulo"/>
  </r>
  <r>
    <s v="facc1205a81ecb0105f0a0c14bd11899"/>
    <s v="2017-05-27"/>
    <x v="6"/>
    <x v="1"/>
    <x v="1"/>
    <n v="1"/>
    <n v="154.9"/>
    <n v="18.329999999999998"/>
    <s v="credit_card"/>
    <n v="8"/>
    <x v="1"/>
    <x v="2"/>
    <s v="Rio Grande do Sul"/>
  </r>
  <r>
    <s v="7eaee8b80a41b5daabc50e02d1e45120"/>
    <s v="2017-05-27"/>
    <x v="6"/>
    <x v="7"/>
    <x v="4"/>
    <n v="1"/>
    <n v="31.9"/>
    <n v="12.48"/>
    <s v="credit_card"/>
    <n v="5"/>
    <x v="1"/>
    <x v="2"/>
    <s v="Minas Gerais"/>
  </r>
  <r>
    <s v="69bd4e4ff1a990052d8ae84b843ee045"/>
    <s v="2017-05-28"/>
    <x v="6"/>
    <x v="3"/>
    <x v="12"/>
    <n v="1"/>
    <n v="29.9"/>
    <n v="14.1"/>
    <s v="credit_card"/>
    <n v="14"/>
    <x v="1"/>
    <x v="2"/>
    <s v="Sao Paulo"/>
  </r>
  <r>
    <s v="686d1d45217e96a6db7f27537db7e4b6"/>
    <s v="2017-05-28"/>
    <x v="6"/>
    <x v="1"/>
    <x v="20"/>
    <n v="1"/>
    <n v="119.99"/>
    <n v="16.600000000000001"/>
    <s v="boleto"/>
    <n v="10"/>
    <x v="1"/>
    <x v="2"/>
    <s v="Rio Grande do Sul"/>
  </r>
  <r>
    <s v="f37d724af2a6e8663e5de52bc2f7acc3"/>
    <s v="2017-05-28"/>
    <x v="6"/>
    <x v="18"/>
    <x v="14"/>
    <n v="2"/>
    <n v="179.8"/>
    <n v="30.76"/>
    <s v="credit_card"/>
    <n v="10"/>
    <x v="1"/>
    <x v="2"/>
    <s v="Distrito Federal"/>
  </r>
  <r>
    <s v="6275bca17b337da53d3df583024784de"/>
    <s v="2017-05-28"/>
    <x v="6"/>
    <x v="7"/>
    <x v="22"/>
    <n v="1"/>
    <n v="58.71"/>
    <n v="28.81"/>
    <s v="credit_card"/>
    <n v="9"/>
    <x v="1"/>
    <x v="3"/>
    <s v="Minas Gerais"/>
  </r>
  <r>
    <s v="494df7e03a951e947ea15c177503ef84"/>
    <s v="2017-05-28"/>
    <x v="6"/>
    <x v="3"/>
    <x v="21"/>
    <n v="1"/>
    <n v="89.9"/>
    <n v="21.28"/>
    <s v="credit_card"/>
    <n v="2"/>
    <x v="1"/>
    <x v="2"/>
    <s v="Sao Paulo"/>
  </r>
  <r>
    <s v="5857c4471757f3c88440e2f2f405c7c1"/>
    <s v="2017-05-28"/>
    <x v="6"/>
    <x v="3"/>
    <x v="5"/>
    <n v="1"/>
    <n v="56.99"/>
    <n v="11.9"/>
    <s v="boleto"/>
    <n v="7"/>
    <x v="1"/>
    <x v="1"/>
    <s v="Sao Paulo"/>
  </r>
  <r>
    <s v="2f01a66f78b2de411ae9a3ca2eb73c2e"/>
    <s v="2017-05-29"/>
    <x v="6"/>
    <x v="4"/>
    <x v="0"/>
    <n v="1"/>
    <n v="59.9"/>
    <n v="14.15"/>
    <s v="credit_card"/>
    <n v="15"/>
    <x v="1"/>
    <x v="0"/>
    <s v="Rio de Janeiro"/>
  </r>
  <r>
    <s v="2b20baf94a095e002981091891209751"/>
    <s v="2017-05-29"/>
    <x v="6"/>
    <x v="3"/>
    <x v="19"/>
    <n v="1"/>
    <n v="43.98"/>
    <n v="17.600000000000001"/>
    <s v="voucher"/>
    <n v="7"/>
    <x v="1"/>
    <x v="3"/>
    <s v="Sao Paulo"/>
  </r>
  <r>
    <s v="37a17c5250faaeed1cd077f903e08994"/>
    <s v="2017-05-29"/>
    <x v="6"/>
    <x v="21"/>
    <x v="26"/>
    <n v="1"/>
    <n v="49.9"/>
    <n v="16.79"/>
    <s v="credit_card"/>
    <n v="10"/>
    <x v="1"/>
    <x v="1"/>
    <s v="Bahia"/>
  </r>
  <r>
    <s v="aecfda74ec8e7c93765ba62e09a995d2"/>
    <s v="2017-05-29"/>
    <x v="6"/>
    <x v="4"/>
    <x v="22"/>
    <n v="1"/>
    <n v="168"/>
    <n v="16.62"/>
    <s v="credit_card"/>
    <m/>
    <x v="0"/>
    <x v="3"/>
    <s v="Rio de Janeiro"/>
  </r>
  <r>
    <s v="f4d3a6f8b3c011cb012b39fdfb4817e8"/>
    <s v="2017-05-30"/>
    <x v="6"/>
    <x v="3"/>
    <x v="9"/>
    <n v="1"/>
    <n v="64.989999999999995"/>
    <n v="11.95"/>
    <s v="credit_card"/>
    <n v="6"/>
    <x v="1"/>
    <x v="2"/>
    <s v="Sao Paulo"/>
  </r>
  <r>
    <s v="9ea29024f36561184f0253cccb1b3fc7"/>
    <s v="2017-05-30"/>
    <x v="6"/>
    <x v="21"/>
    <x v="9"/>
    <n v="1"/>
    <n v="66.900000000000006"/>
    <n v="19.71"/>
    <s v="credit_card"/>
    <n v="9"/>
    <x v="1"/>
    <x v="2"/>
    <s v="Bahia"/>
  </r>
  <r>
    <s v="9282799a57b0de94393be10a4bcf120b"/>
    <s v="2017-05-30"/>
    <x v="6"/>
    <x v="18"/>
    <x v="19"/>
    <n v="1"/>
    <n v="59.9"/>
    <n v="16.670000000000002"/>
    <s v="credit_card"/>
    <n v="22"/>
    <x v="1"/>
    <x v="2"/>
    <s v="Distrito Federal"/>
  </r>
  <r>
    <s v="5859370f19fe47ef87a4b0d110e6cf67"/>
    <s v="2017-05-30"/>
    <x v="6"/>
    <x v="3"/>
    <x v="11"/>
    <n v="1"/>
    <n v="549.9"/>
    <n v="30.17"/>
    <s v="credit_card"/>
    <n v="8"/>
    <x v="1"/>
    <x v="2"/>
    <s v="Sao Paulo"/>
  </r>
  <r>
    <s v="2dad641c35a02f34b17ed17a7e2c1d0b"/>
    <s v="2017-05-30"/>
    <x v="6"/>
    <x v="1"/>
    <x v="20"/>
    <n v="1"/>
    <n v="69.989999999999995"/>
    <n v="17.739999999999998"/>
    <s v="boleto"/>
    <n v="6"/>
    <x v="1"/>
    <x v="3"/>
    <s v="Rio Grande do Sul"/>
  </r>
  <r>
    <s v="4c7061e57405537a32f8c9dd0a194d68"/>
    <s v="2017-05-30"/>
    <x v="6"/>
    <x v="3"/>
    <x v="4"/>
    <n v="5"/>
    <n v="977.5"/>
    <n v="80.600000000000009"/>
    <s v="credit_card"/>
    <n v="5"/>
    <x v="1"/>
    <x v="2"/>
    <s v="Sao Paulo"/>
  </r>
  <r>
    <s v="de9330ec1dd0af0751b5c24b612917d0"/>
    <s v="2017-05-30"/>
    <x v="6"/>
    <x v="3"/>
    <x v="19"/>
    <n v="1"/>
    <n v="46.99"/>
    <n v="17.600000000000001"/>
    <s v="boleto"/>
    <n v="13"/>
    <x v="1"/>
    <x v="1"/>
    <s v="Sao Paulo"/>
  </r>
  <r>
    <s v="8aaa6469d7ef4134e807e6b4da146012"/>
    <s v="2017-05-30"/>
    <x v="6"/>
    <x v="3"/>
    <x v="19"/>
    <n v="1"/>
    <n v="50.9"/>
    <n v="9.27"/>
    <s v="credit_card"/>
    <n v="1"/>
    <x v="1"/>
    <x v="2"/>
    <s v="Sao Paulo"/>
  </r>
  <r>
    <s v="43d782238f80b75ff6b62c0e535ce34a"/>
    <s v="2017-05-30"/>
    <x v="6"/>
    <x v="3"/>
    <x v="18"/>
    <n v="1"/>
    <n v="24.99"/>
    <n v="16.79"/>
    <s v="boleto"/>
    <n v="5"/>
    <x v="1"/>
    <x v="2"/>
    <s v="Sao Paulo"/>
  </r>
  <r>
    <s v="12e5dd0c975bc753570697dfc4901596"/>
    <s v="2017-05-30"/>
    <x v="6"/>
    <x v="4"/>
    <x v="4"/>
    <n v="1"/>
    <n v="49.99"/>
    <n v="16.11"/>
    <s v="boleto"/>
    <n v="7"/>
    <x v="1"/>
    <x v="3"/>
    <s v="Rio de Janeiro"/>
  </r>
  <r>
    <s v="1466219eb36318493e16297ec7a2d87a"/>
    <s v="2017-05-30"/>
    <x v="6"/>
    <x v="1"/>
    <x v="0"/>
    <n v="1"/>
    <n v="49"/>
    <n v="15.1"/>
    <s v="credit_card"/>
    <n v="15"/>
    <x v="1"/>
    <x v="3"/>
    <s v="Rio Grande do Sul"/>
  </r>
  <r>
    <s v="483a06928959b498933c3b7efe98a755"/>
    <s v="2017-05-31"/>
    <x v="6"/>
    <x v="5"/>
    <x v="4"/>
    <n v="1"/>
    <n v="49.99"/>
    <n v="12.48"/>
    <s v="boleto"/>
    <n v="12"/>
    <x v="1"/>
    <x v="0"/>
    <s v="Parana"/>
  </r>
  <r>
    <s v="5f8692d4a41e2be3cf2a61b57cec915b"/>
    <s v="2017-05-31"/>
    <x v="6"/>
    <x v="8"/>
    <x v="6"/>
    <n v="1"/>
    <n v="39.99"/>
    <n v="15.1"/>
    <s v="credit_card"/>
    <n v="11"/>
    <x v="1"/>
    <x v="5"/>
    <s v="Santa Catarina"/>
  </r>
  <r>
    <s v="518e50004c3dded8e8a25b96b47d116a"/>
    <s v="2017-05-31"/>
    <x v="6"/>
    <x v="3"/>
    <x v="4"/>
    <n v="1"/>
    <n v="36.9"/>
    <n v="11.85"/>
    <s v="credit_card"/>
    <n v="5"/>
    <x v="1"/>
    <x v="2"/>
    <s v="Sao Paulo"/>
  </r>
  <r>
    <s v="3f4e043996f17e6354c1f004c1ea3fe8"/>
    <s v="2017-05-31"/>
    <x v="6"/>
    <x v="2"/>
    <x v="22"/>
    <n v="1"/>
    <n v="49"/>
    <n v="14.1"/>
    <s v="boleto"/>
    <n v="9"/>
    <x v="1"/>
    <x v="2"/>
    <s v="Goias"/>
  </r>
  <r>
    <s v="9e8de01f2fe105eaf6c6092b1ae4e86c"/>
    <s v="2017-06-01"/>
    <x v="7"/>
    <x v="4"/>
    <x v="5"/>
    <n v="1"/>
    <n v="179"/>
    <n v="16"/>
    <s v="credit_card"/>
    <n v="11"/>
    <x v="1"/>
    <x v="2"/>
    <s v="Rio de Janeiro"/>
  </r>
  <r>
    <s v="4ffd6039e12a24d2083cd4a4dda4791d"/>
    <s v="2017-06-01"/>
    <x v="7"/>
    <x v="22"/>
    <x v="17"/>
    <n v="1"/>
    <n v="239"/>
    <n v="18.11"/>
    <s v="credit_card"/>
    <n v="12"/>
    <x v="1"/>
    <x v="1"/>
    <s v="Espirito Santo"/>
  </r>
  <r>
    <s v="d5bd1d1b6a86a7398fdaf030ab3a6376"/>
    <s v="2017-06-01"/>
    <x v="7"/>
    <x v="1"/>
    <x v="14"/>
    <n v="1"/>
    <n v="34.9"/>
    <n v="16.11"/>
    <s v="credit_card"/>
    <n v="10"/>
    <x v="1"/>
    <x v="2"/>
    <s v="Rio Grande do Sul"/>
  </r>
  <r>
    <s v="82e39ebd7b6c4b1949dfa6307fd2f186"/>
    <s v="2017-06-01"/>
    <x v="7"/>
    <x v="15"/>
    <x v="21"/>
    <n v="1"/>
    <n v="259.99"/>
    <n v="19.39"/>
    <s v="credit_card"/>
    <n v="12"/>
    <x v="1"/>
    <x v="2"/>
    <s v="Mato Grosso"/>
  </r>
  <r>
    <s v="2af88e292104c45837ffce587530757e"/>
    <s v="2017-06-01"/>
    <x v="7"/>
    <x v="26"/>
    <x v="5"/>
    <n v="1"/>
    <n v="219.9"/>
    <n v="22.34"/>
    <s v="credit_card"/>
    <n v="7"/>
    <x v="1"/>
    <x v="2"/>
    <s v="Paraiba"/>
  </r>
  <r>
    <s v="242800e82e3e3f0aca252d6e03e4564c"/>
    <s v="2017-06-02"/>
    <x v="7"/>
    <x v="3"/>
    <x v="20"/>
    <n v="1"/>
    <n v="2649"/>
    <n v="32.29"/>
    <s v="credit_card"/>
    <n v="26"/>
    <x v="2"/>
    <x v="2"/>
    <s v="Sao Paulo"/>
  </r>
  <r>
    <s v="27b6bbf4efdd3d4aa75ead8d62a9088c"/>
    <s v="2017-06-02"/>
    <x v="7"/>
    <x v="3"/>
    <x v="9"/>
    <n v="1"/>
    <n v="59.99"/>
    <n v="7.78"/>
    <s v="credit_card"/>
    <n v="5"/>
    <x v="1"/>
    <x v="0"/>
    <s v="Sao Paulo"/>
  </r>
  <r>
    <s v="96b796ae5c66cfff926cfe95448f1d85"/>
    <s v="2017-06-02"/>
    <x v="7"/>
    <x v="1"/>
    <x v="26"/>
    <n v="2"/>
    <n v="79.8"/>
    <n v="33.58"/>
    <s v="credit_card"/>
    <n v="10"/>
    <x v="1"/>
    <x v="2"/>
    <s v="Rio Grande do Sul"/>
  </r>
  <r>
    <s v="75c3bf5894efc8b022a84404ccd9f603"/>
    <s v="2017-06-02"/>
    <x v="7"/>
    <x v="3"/>
    <x v="0"/>
    <n v="1"/>
    <n v="59.99"/>
    <n v="9.34"/>
    <s v="boleto"/>
    <n v="5"/>
    <x v="1"/>
    <x v="2"/>
    <s v="Sao Paulo"/>
  </r>
  <r>
    <s v="57a382ec5b2ec69093d3bdc7de3ec927"/>
    <s v="2017-06-02"/>
    <x v="7"/>
    <x v="3"/>
    <x v="22"/>
    <n v="1"/>
    <n v="492.04"/>
    <n v="12.26"/>
    <s v="credit_card"/>
    <n v="5"/>
    <x v="1"/>
    <x v="1"/>
    <s v="Sao Paulo"/>
  </r>
  <r>
    <s v="3e03b1d83d3900b822663724a388a410"/>
    <s v="2017-06-02"/>
    <x v="7"/>
    <x v="3"/>
    <x v="41"/>
    <n v="1"/>
    <n v="179"/>
    <n v="12.46"/>
    <s v="credit_card"/>
    <n v="4"/>
    <x v="1"/>
    <x v="2"/>
    <s v="Sao Paulo"/>
  </r>
  <r>
    <s v="e3cabd867d0bc59470f4c3d24a7b2f2b"/>
    <s v="2017-06-03"/>
    <x v="7"/>
    <x v="7"/>
    <x v="2"/>
    <n v="1"/>
    <n v="229.99"/>
    <n v="16.36"/>
    <s v="credit_card"/>
    <n v="9"/>
    <x v="1"/>
    <x v="2"/>
    <s v="Minas Gerais"/>
  </r>
  <r>
    <s v="8ee4b4546da4178fb73e677c628a74b9"/>
    <s v="2017-06-03"/>
    <x v="7"/>
    <x v="4"/>
    <x v="19"/>
    <n v="1"/>
    <n v="34.9"/>
    <n v="20.84"/>
    <s v="credit_card"/>
    <n v="10"/>
    <x v="1"/>
    <x v="2"/>
    <s v="Rio de Janeiro"/>
  </r>
  <r>
    <s v="a7cea68c8e5f1086a3267d2972a50646"/>
    <s v="2017-06-04"/>
    <x v="7"/>
    <x v="7"/>
    <x v="22"/>
    <n v="1"/>
    <n v="66.89"/>
    <n v="27.01"/>
    <s v="boleto"/>
    <n v="15"/>
    <x v="1"/>
    <x v="3"/>
    <s v="Minas Gerais"/>
  </r>
  <r>
    <s v="daf8742a55a82df5518ff49094a4829b"/>
    <s v="2017-06-04"/>
    <x v="7"/>
    <x v="3"/>
    <x v="19"/>
    <n v="1"/>
    <n v="32"/>
    <n v="7.78"/>
    <s v="credit_card"/>
    <n v="3"/>
    <x v="1"/>
    <x v="3"/>
    <s v="Sao Paulo"/>
  </r>
  <r>
    <s v="0108fba93678555ad1cec9c267848187"/>
    <s v="2017-06-04"/>
    <x v="7"/>
    <x v="3"/>
    <x v="1"/>
    <n v="1"/>
    <n v="199"/>
    <n v="20.12"/>
    <s v="credit_card"/>
    <n v="2"/>
    <x v="1"/>
    <x v="2"/>
    <s v="Sao Paulo"/>
  </r>
  <r>
    <s v="dfc6c80c73f6b324371273bd97e19c3f"/>
    <s v="2017-06-04"/>
    <x v="7"/>
    <x v="3"/>
    <x v="1"/>
    <n v="1"/>
    <n v="59.9"/>
    <n v="9.34"/>
    <s v="credit_card"/>
    <n v="4"/>
    <x v="1"/>
    <x v="2"/>
    <s v="Sao Paulo"/>
  </r>
  <r>
    <s v="53b28c9fd34d5fa0747bfc3032b0a8e7"/>
    <s v="2017-06-04"/>
    <x v="7"/>
    <x v="12"/>
    <x v="6"/>
    <n v="1"/>
    <n v="25.99"/>
    <n v="17.63"/>
    <s v="credit_card"/>
    <n v="7"/>
    <x v="1"/>
    <x v="2"/>
    <s v="Ceara"/>
  </r>
  <r>
    <s v="dfc2207ff43ff152e5a94f9c580ffe7f"/>
    <s v="2017-06-05"/>
    <x v="7"/>
    <x v="3"/>
    <x v="25"/>
    <n v="1"/>
    <n v="51.99"/>
    <n v="14.11"/>
    <s v="credit_card"/>
    <n v="7"/>
    <x v="1"/>
    <x v="2"/>
    <s v="Sao Paulo"/>
  </r>
  <r>
    <s v="590fcec4757400bd9242620948a437b7"/>
    <s v="2017-06-05"/>
    <x v="7"/>
    <x v="5"/>
    <x v="0"/>
    <n v="1"/>
    <n v="59.55"/>
    <n v="16.18"/>
    <s v="credit_card"/>
    <n v="14"/>
    <x v="1"/>
    <x v="3"/>
    <s v="Parana"/>
  </r>
  <r>
    <s v="c6068d7bd43960fb4924a456c897d52a"/>
    <s v="2017-06-05"/>
    <x v="7"/>
    <x v="3"/>
    <x v="9"/>
    <n v="1"/>
    <n v="19.989999999999998"/>
    <n v="7.78"/>
    <s v="credit_card"/>
    <n v="2"/>
    <x v="1"/>
    <x v="2"/>
    <s v="Sao Paulo"/>
  </r>
  <r>
    <s v="805610c9f9b57b3900d462627b7ce062"/>
    <s v="2017-06-05"/>
    <x v="7"/>
    <x v="8"/>
    <x v="19"/>
    <n v="1"/>
    <n v="47.99"/>
    <n v="16.11"/>
    <s v="boleto"/>
    <n v="20"/>
    <x v="1"/>
    <x v="2"/>
    <s v="Santa Catarina"/>
  </r>
  <r>
    <s v="7dc55217695a2ec178b513fa24188247"/>
    <s v="2017-06-05"/>
    <x v="7"/>
    <x v="18"/>
    <x v="14"/>
    <n v="2"/>
    <n v="37.979999999999997"/>
    <n v="30.2"/>
    <s v="credit_card"/>
    <n v="22"/>
    <x v="1"/>
    <x v="5"/>
    <s v="Distrito Federal"/>
  </r>
  <r>
    <s v="d2a63eace67f829427a227b535bf9b5c"/>
    <s v="2017-06-05"/>
    <x v="7"/>
    <x v="7"/>
    <x v="6"/>
    <n v="1"/>
    <n v="18.989999999999998"/>
    <n v="15.1"/>
    <s v="boleto"/>
    <n v="10"/>
    <x v="1"/>
    <x v="2"/>
    <s v="Minas Gerais"/>
  </r>
  <r>
    <s v="55e62ea5906d028721528c19cdd49bb0"/>
    <s v="2017-06-05"/>
    <x v="7"/>
    <x v="3"/>
    <x v="6"/>
    <n v="1"/>
    <n v="16.5"/>
    <n v="7.78"/>
    <s v="credit_card"/>
    <n v="6"/>
    <x v="1"/>
    <x v="2"/>
    <s v="Sao Paulo"/>
  </r>
  <r>
    <s v="df2d910b8b5e5f461f67043489f9569d"/>
    <s v="2017-06-05"/>
    <x v="7"/>
    <x v="6"/>
    <x v="20"/>
    <n v="1"/>
    <n v="55.9"/>
    <n v="35.71"/>
    <s v="credit_card"/>
    <n v="21"/>
    <x v="1"/>
    <x v="0"/>
    <s v="Pernambuco"/>
  </r>
  <r>
    <s v="6967b2016aa2f75c1547e72d299a82d4"/>
    <s v="2017-06-05"/>
    <x v="7"/>
    <x v="3"/>
    <x v="0"/>
    <n v="1"/>
    <n v="44.35"/>
    <n v="13.37"/>
    <s v="credit_card"/>
    <n v="10"/>
    <x v="1"/>
    <x v="5"/>
    <s v="Sao Paulo"/>
  </r>
  <r>
    <s v="fc79d61f2a305370fd69ee2c8048d5af"/>
    <s v="2017-06-05"/>
    <x v="7"/>
    <x v="1"/>
    <x v="9"/>
    <n v="1"/>
    <n v="74.900000000000006"/>
    <n v="21.01"/>
    <s v="credit_card"/>
    <n v="7"/>
    <x v="1"/>
    <x v="2"/>
    <s v="Rio Grande do Sul"/>
  </r>
  <r>
    <s v="a1b3dfb15a60b4a575af043c73f2a3d5"/>
    <s v="2017-06-06"/>
    <x v="7"/>
    <x v="3"/>
    <x v="28"/>
    <n v="1"/>
    <n v="269.99"/>
    <n v="32.19"/>
    <s v="credit_card"/>
    <n v="13"/>
    <x v="1"/>
    <x v="2"/>
    <s v="Sao Paulo"/>
  </r>
  <r>
    <s v="c3e808e0aba3cd04567957666cdbe28d"/>
    <s v="2017-06-06"/>
    <x v="7"/>
    <x v="3"/>
    <x v="6"/>
    <n v="1"/>
    <n v="17.989999999999998"/>
    <n v="11.85"/>
    <s v="boleto"/>
    <n v="16"/>
    <x v="1"/>
    <x v="2"/>
    <s v="Sao Paulo"/>
  </r>
  <r>
    <s v="d695ec0f70b323de0ce4eda82582faac"/>
    <s v="2017-06-06"/>
    <x v="7"/>
    <x v="3"/>
    <x v="18"/>
    <n v="1"/>
    <n v="109.9"/>
    <n v="14.52"/>
    <s v="credit_card"/>
    <n v="5"/>
    <x v="1"/>
    <x v="1"/>
    <s v="Sao Paulo"/>
  </r>
  <r>
    <s v="1c81cddd8cd868c4f95fa77dde1810d7"/>
    <s v="2017-06-06"/>
    <x v="7"/>
    <x v="6"/>
    <x v="14"/>
    <n v="1"/>
    <n v="18.899999999999999"/>
    <n v="25.63"/>
    <s v="credit_card"/>
    <n v="22"/>
    <x v="1"/>
    <x v="2"/>
    <s v="Pernambuco"/>
  </r>
  <r>
    <s v="36b65b129c6d1404bbbb77935829a338"/>
    <s v="2017-06-06"/>
    <x v="7"/>
    <x v="8"/>
    <x v="4"/>
    <n v="2"/>
    <n v="49.96"/>
    <n v="25.2"/>
    <s v="boleto"/>
    <n v="5"/>
    <x v="1"/>
    <x v="3"/>
    <s v="Santa Catarina"/>
  </r>
  <r>
    <s v="814b1f69511cfbaa3b54bf7701c7a475"/>
    <s v="2017-06-06"/>
    <x v="7"/>
    <x v="5"/>
    <x v="20"/>
    <n v="1"/>
    <n v="78.099999999999994"/>
    <n v="15.31"/>
    <s v="boleto"/>
    <n v="12"/>
    <x v="1"/>
    <x v="3"/>
    <s v="Parana"/>
  </r>
  <r>
    <s v="bb5a21810a3c7edf1efb45309d98aac9"/>
    <s v="2017-06-06"/>
    <x v="7"/>
    <x v="7"/>
    <x v="1"/>
    <n v="1"/>
    <n v="59.9"/>
    <n v="16.86"/>
    <s v="credit_card"/>
    <n v="8"/>
    <x v="1"/>
    <x v="3"/>
    <s v="Minas Gerais"/>
  </r>
  <r>
    <s v="5e3f975c4be17dfadd26987a66fd8061"/>
    <s v="2017-06-06"/>
    <x v="7"/>
    <x v="3"/>
    <x v="0"/>
    <n v="1"/>
    <n v="73.349999999999994"/>
    <n v="12.85"/>
    <s v="credit_card"/>
    <n v="28"/>
    <x v="2"/>
    <x v="0"/>
    <s v="Sao Paulo"/>
  </r>
  <r>
    <s v="68c3db91b9a3d1ad879db9e54d426f4d"/>
    <s v="2017-06-07"/>
    <x v="7"/>
    <x v="7"/>
    <x v="14"/>
    <n v="1"/>
    <n v="89.9"/>
    <n v="17.88"/>
    <s v="credit_card"/>
    <n v="11"/>
    <x v="1"/>
    <x v="2"/>
    <s v="Minas Gerais"/>
  </r>
  <r>
    <s v="c348b5c61b62673ad4d11a8564de5742"/>
    <s v="2017-06-07"/>
    <x v="7"/>
    <x v="6"/>
    <x v="0"/>
    <n v="1"/>
    <n v="69.900000000000006"/>
    <n v="25.77"/>
    <s v="credit_card"/>
    <n v="47"/>
    <x v="2"/>
    <x v="0"/>
    <s v="Pernambuco"/>
  </r>
  <r>
    <s v="4527fe780d1facd3191d875fd794b233"/>
    <s v="2017-06-07"/>
    <x v="7"/>
    <x v="3"/>
    <x v="25"/>
    <n v="1"/>
    <n v="61.9"/>
    <n v="12.77"/>
    <s v="voucher"/>
    <n v="4"/>
    <x v="1"/>
    <x v="2"/>
    <s v="Sao Paulo"/>
  </r>
  <r>
    <s v="ce31aa6bc49989f71e4eb6f02f702f51"/>
    <s v="2017-06-07"/>
    <x v="7"/>
    <x v="8"/>
    <x v="1"/>
    <n v="2"/>
    <n v="59.98"/>
    <n v="19.88"/>
    <s v="credit_card"/>
    <n v="2"/>
    <x v="1"/>
    <x v="3"/>
    <s v="Santa Catarina"/>
  </r>
  <r>
    <s v="21ff4faf5460988340a9675233bd0d1b"/>
    <s v="2017-06-07"/>
    <x v="7"/>
    <x v="7"/>
    <x v="1"/>
    <n v="1"/>
    <n v="36"/>
    <n v="17.600000000000001"/>
    <s v="voucher"/>
    <n v="11"/>
    <x v="1"/>
    <x v="3"/>
    <s v="Minas Gerais"/>
  </r>
  <r>
    <s v="bda890cf0f7976e4e2af17ed814336fc"/>
    <s v="2017-06-07"/>
    <x v="7"/>
    <x v="3"/>
    <x v="40"/>
    <n v="1"/>
    <n v="28.99"/>
    <n v="7.78"/>
    <s v="credit_card"/>
    <n v="7"/>
    <x v="1"/>
    <x v="3"/>
    <s v="Sao Paulo"/>
  </r>
  <r>
    <s v="74c1ccaaf1d9e3db6f82ed04fc985989"/>
    <s v="2017-06-07"/>
    <x v="7"/>
    <x v="1"/>
    <x v="7"/>
    <n v="3"/>
    <n v="185.99"/>
    <n v="69.17"/>
    <s v="credit_card"/>
    <n v="12"/>
    <x v="1"/>
    <x v="2"/>
    <s v="Rio Grande do Sul"/>
  </r>
  <r>
    <s v="8edc3a87d7a72e4350d65c9e1c613089"/>
    <s v="2017-06-08"/>
    <x v="7"/>
    <x v="4"/>
    <x v="40"/>
    <n v="2"/>
    <n v="125.6"/>
    <n v="28.38"/>
    <s v="credit_card"/>
    <n v="11"/>
    <x v="1"/>
    <x v="0"/>
    <s v="Rio de Janeiro"/>
  </r>
  <r>
    <s v="4cd1bfe6723bb2e83a8045cbea275c65"/>
    <s v="2017-06-08"/>
    <x v="7"/>
    <x v="3"/>
    <x v="2"/>
    <n v="1"/>
    <n v="119.8"/>
    <n v="18"/>
    <s v="boleto"/>
    <n v="8"/>
    <x v="1"/>
    <x v="2"/>
    <s v="Sao Paulo"/>
  </r>
  <r>
    <s v="1db142fdab73b764609d8a15e7dd5a38"/>
    <s v="2017-06-08"/>
    <x v="7"/>
    <x v="3"/>
    <x v="13"/>
    <n v="1"/>
    <n v="379.9"/>
    <n v="13.86"/>
    <s v="credit_card"/>
    <n v="3"/>
    <x v="1"/>
    <x v="3"/>
    <s v="Sao Paulo"/>
  </r>
  <r>
    <s v="1bb50def8a9e13b440ff996070fda0e9"/>
    <s v="2017-06-08"/>
    <x v="7"/>
    <x v="3"/>
    <x v="4"/>
    <n v="1"/>
    <n v="199.9"/>
    <n v="18.649999999999999"/>
    <s v="credit_card"/>
    <n v="6"/>
    <x v="1"/>
    <x v="2"/>
    <s v="Sao Paulo"/>
  </r>
  <r>
    <s v="1313bcad758bb2cb6766488e4448de3f"/>
    <s v="2017-06-08"/>
    <x v="7"/>
    <x v="4"/>
    <x v="19"/>
    <n v="1"/>
    <n v="25.9"/>
    <n v="15.1"/>
    <s v="credit_card"/>
    <n v="6"/>
    <x v="1"/>
    <x v="2"/>
    <s v="Rio de Janeiro"/>
  </r>
  <r>
    <s v="471203d247e323c6eeb7ddbea92e69f4"/>
    <s v="2017-06-08"/>
    <x v="7"/>
    <x v="1"/>
    <x v="18"/>
    <n v="1"/>
    <n v="74.989999999999995"/>
    <n v="17.77"/>
    <s v="voucher"/>
    <n v="13"/>
    <x v="1"/>
    <x v="1"/>
    <s v="Rio Grande do Sul"/>
  </r>
  <r>
    <s v="9cef759af57cfbaf537221a36730209f"/>
    <s v="2017-06-08"/>
    <x v="7"/>
    <x v="3"/>
    <x v="18"/>
    <n v="1"/>
    <n v="49.9"/>
    <n v="11.85"/>
    <s v="credit_card"/>
    <n v="13"/>
    <x v="1"/>
    <x v="2"/>
    <s v="Sao Paulo"/>
  </r>
  <r>
    <s v="00dfb074b5c910fbd08e04691c4b712f"/>
    <s v="2017-06-08"/>
    <x v="7"/>
    <x v="3"/>
    <x v="7"/>
    <n v="1"/>
    <n v="99.5"/>
    <n v="35.07"/>
    <s v="credit_card"/>
    <n v="6"/>
    <x v="1"/>
    <x v="2"/>
    <s v="Sao Paulo"/>
  </r>
  <r>
    <s v="9f3bb89658a46c809fdd407e86914f94"/>
    <s v="2017-06-09"/>
    <x v="7"/>
    <x v="4"/>
    <x v="13"/>
    <n v="1"/>
    <n v="99"/>
    <n v="15.45"/>
    <s v="boleto"/>
    <n v="13"/>
    <x v="1"/>
    <x v="2"/>
    <s v="Rio de Janeiro"/>
  </r>
  <r>
    <s v="a589a29e4907819c966a0c4840b41ccc"/>
    <s v="2017-06-09"/>
    <x v="7"/>
    <x v="3"/>
    <x v="7"/>
    <n v="1"/>
    <n v="89"/>
    <n v="36.700000000000003"/>
    <s v="credit_card"/>
    <n v="10"/>
    <x v="1"/>
    <x v="2"/>
    <s v="Sao Paulo"/>
  </r>
  <r>
    <s v="669b9b0a3650913de5b761ff980d8c06"/>
    <s v="2017-06-09"/>
    <x v="7"/>
    <x v="23"/>
    <x v="9"/>
    <n v="1"/>
    <n v="59.99"/>
    <n v="21.22"/>
    <s v="credit_card"/>
    <n v="13"/>
    <x v="1"/>
    <x v="2"/>
    <s v="Rio Grande do Norte"/>
  </r>
  <r>
    <s v="65e7cb43b74e1b86d2625b6e5b284019"/>
    <s v="2017-06-09"/>
    <x v="7"/>
    <x v="2"/>
    <x v="9"/>
    <n v="1"/>
    <n v="59.99"/>
    <n v="14.17"/>
    <s v="credit_card"/>
    <n v="20"/>
    <x v="1"/>
    <x v="2"/>
    <s v="Goias"/>
  </r>
  <r>
    <s v="0ec6d5153abc64611b4cf42f13b38356"/>
    <s v="2017-06-09"/>
    <x v="7"/>
    <x v="3"/>
    <x v="26"/>
    <n v="1"/>
    <n v="39.9"/>
    <n v="11.85"/>
    <s v="credit_card"/>
    <n v="12"/>
    <x v="1"/>
    <x v="0"/>
    <s v="Sao Paulo"/>
  </r>
  <r>
    <s v="4d91816c61cb9557eb207bcbf0929f44"/>
    <s v="2017-06-10"/>
    <x v="7"/>
    <x v="3"/>
    <x v="22"/>
    <n v="1"/>
    <n v="78.55"/>
    <n v="17.8"/>
    <s v="credit_card"/>
    <n v="9"/>
    <x v="1"/>
    <x v="2"/>
    <s v="Sao Paulo"/>
  </r>
  <r>
    <s v="92fe548282ee3cbd8eb925bdf97cac9a"/>
    <s v="2017-06-10"/>
    <x v="7"/>
    <x v="3"/>
    <x v="5"/>
    <n v="1"/>
    <n v="179"/>
    <n v="9.4499999999999993"/>
    <s v="credit_card"/>
    <n v="5"/>
    <x v="1"/>
    <x v="1"/>
    <s v="Sao Paulo"/>
  </r>
  <r>
    <s v="452053a4ee7ad52552d9102101ff4635"/>
    <s v="2017-06-11"/>
    <x v="7"/>
    <x v="7"/>
    <x v="18"/>
    <n v="1"/>
    <n v="49"/>
    <n v="15.1"/>
    <s v="credit_card"/>
    <m/>
    <x v="0"/>
    <x v="2"/>
    <s v="Minas Gerais"/>
  </r>
  <r>
    <s v="e924fd08e03d8ac96fb7bf1291eb7c9f"/>
    <s v="2017-06-11"/>
    <x v="7"/>
    <x v="1"/>
    <x v="25"/>
    <n v="1"/>
    <n v="99.99"/>
    <n v="16.46"/>
    <s v="boleto"/>
    <n v="19"/>
    <x v="1"/>
    <x v="2"/>
    <s v="Rio Grande do Sul"/>
  </r>
  <r>
    <s v="e7a9fabed044b8b1a75e6b95dba9bd92"/>
    <s v="2017-06-11"/>
    <x v="7"/>
    <x v="7"/>
    <x v="19"/>
    <n v="1"/>
    <n v="129.99"/>
    <n v="23.71"/>
    <s v="credit_card"/>
    <n v="22"/>
    <x v="2"/>
    <x v="3"/>
    <s v="Minas Gerais"/>
  </r>
  <r>
    <s v="2c36a11b47ea60c4f373b5891a8d8488"/>
    <s v="2017-06-12"/>
    <x v="7"/>
    <x v="8"/>
    <x v="6"/>
    <n v="1"/>
    <n v="19.899999999999999"/>
    <n v="15.1"/>
    <s v="boleto"/>
    <n v="16"/>
    <x v="1"/>
    <x v="2"/>
    <s v="Santa Catarina"/>
  </r>
  <r>
    <s v="e4406088398131aed8c21c5a4ec3442b"/>
    <s v="2017-06-12"/>
    <x v="7"/>
    <x v="3"/>
    <x v="14"/>
    <n v="1"/>
    <n v="89.9"/>
    <n v="13.65"/>
    <s v="credit_card"/>
    <n v="7"/>
    <x v="1"/>
    <x v="2"/>
    <s v="Sao Paulo"/>
  </r>
  <r>
    <s v="cf294fa94a0447972779fea6fc5516b5"/>
    <s v="2017-06-12"/>
    <x v="7"/>
    <x v="7"/>
    <x v="0"/>
    <n v="1"/>
    <n v="79.900000000000006"/>
    <n v="17.809999999999999"/>
    <s v="credit_card"/>
    <n v="15"/>
    <x v="1"/>
    <x v="2"/>
    <s v="Minas Gerais"/>
  </r>
  <r>
    <s v="bd7951a7bf6dcababde910954ff2316c"/>
    <s v="2017-06-13"/>
    <x v="7"/>
    <x v="7"/>
    <x v="5"/>
    <n v="1"/>
    <n v="279"/>
    <n v="13.45"/>
    <s v="credit_card"/>
    <n v="8"/>
    <x v="1"/>
    <x v="2"/>
    <s v="Minas Gerais"/>
  </r>
  <r>
    <s v="5038751dab3b14db2b1423edc9e0397e"/>
    <s v="2017-06-13"/>
    <x v="7"/>
    <x v="3"/>
    <x v="19"/>
    <n v="1"/>
    <n v="199"/>
    <n v="48.1"/>
    <s v="boleto"/>
    <n v="9"/>
    <x v="1"/>
    <x v="5"/>
    <s v="Sao Paulo"/>
  </r>
  <r>
    <s v="3441775e7c16fbea57b763e6b2e3d049"/>
    <s v="2017-06-13"/>
    <x v="7"/>
    <x v="12"/>
    <x v="1"/>
    <n v="1"/>
    <n v="99"/>
    <n v="36.86"/>
    <s v="credit_card"/>
    <n v="13"/>
    <x v="1"/>
    <x v="3"/>
    <s v="Ceara"/>
  </r>
  <r>
    <s v="28603c1c1a61da3897ea97a1846b1d22"/>
    <s v="2017-06-13"/>
    <x v="7"/>
    <x v="3"/>
    <x v="16"/>
    <n v="1"/>
    <n v="45.5"/>
    <n v="15.1"/>
    <s v="debit_card"/>
    <n v="16"/>
    <x v="1"/>
    <x v="2"/>
    <s v="Sao Paulo"/>
  </r>
  <r>
    <s v="8f3b78080ad48c79fb6172b897c23d37"/>
    <s v="2017-06-13"/>
    <x v="7"/>
    <x v="3"/>
    <x v="6"/>
    <n v="1"/>
    <n v="17.989999999999998"/>
    <n v="7.78"/>
    <s v="boleto"/>
    <n v="9"/>
    <x v="1"/>
    <x v="0"/>
    <s v="Sao Paulo"/>
  </r>
  <r>
    <s v="f26991f83957529021b9a4146e870996"/>
    <s v="2017-06-14"/>
    <x v="7"/>
    <x v="7"/>
    <x v="0"/>
    <n v="1"/>
    <n v="47.49"/>
    <n v="16.600000000000001"/>
    <s v="credit_card"/>
    <n v="7"/>
    <x v="1"/>
    <x v="2"/>
    <s v="Minas Gerais"/>
  </r>
  <r>
    <s v="5412783dbeb40c1f689f31da23f7c38b"/>
    <s v="2017-06-14"/>
    <x v="7"/>
    <x v="4"/>
    <x v="2"/>
    <n v="1"/>
    <n v="54.9"/>
    <n v="16.14"/>
    <s v="credit_card"/>
    <n v="5"/>
    <x v="1"/>
    <x v="2"/>
    <s v="Rio de Janeiro"/>
  </r>
  <r>
    <s v="4a0d967d4e5675eeabeef5ed2d185520"/>
    <s v="2017-06-14"/>
    <x v="7"/>
    <x v="4"/>
    <x v="1"/>
    <n v="1"/>
    <n v="69.900000000000006"/>
    <n v="20.98"/>
    <s v="boleto"/>
    <n v="12"/>
    <x v="1"/>
    <x v="2"/>
    <s v="Rio de Janeiro"/>
  </r>
  <r>
    <s v="ab4db5117e6804bcb57deaafd44cf4c3"/>
    <s v="2017-06-14"/>
    <x v="7"/>
    <x v="13"/>
    <x v="20"/>
    <n v="1"/>
    <n v="45.9"/>
    <n v="35.67"/>
    <s v="credit_card"/>
    <n v="19"/>
    <x v="1"/>
    <x v="2"/>
    <s v="Maranhao"/>
  </r>
  <r>
    <s v="14a92ecd0503cd0c9f6cfb0aea76dfa7"/>
    <s v="2017-06-14"/>
    <x v="7"/>
    <x v="3"/>
    <x v="9"/>
    <n v="1"/>
    <n v="19.989999999999998"/>
    <n v="7.78"/>
    <s v="credit_card"/>
    <n v="5"/>
    <x v="1"/>
    <x v="2"/>
    <s v="Sao Paulo"/>
  </r>
  <r>
    <s v="26ac2176dfb7275b81ddf0873db31236"/>
    <s v="2017-06-14"/>
    <x v="7"/>
    <x v="3"/>
    <x v="22"/>
    <n v="1"/>
    <n v="188"/>
    <n v="12.82"/>
    <s v="credit_card"/>
    <n v="8"/>
    <x v="1"/>
    <x v="2"/>
    <s v="Sao Paulo"/>
  </r>
  <r>
    <s v="d44fc0af1ec0ebbab612f2936147f717"/>
    <s v="2017-06-15"/>
    <x v="7"/>
    <x v="4"/>
    <x v="7"/>
    <n v="1"/>
    <n v="179.9"/>
    <n v="17.02"/>
    <s v="credit_card"/>
    <n v="14"/>
    <x v="1"/>
    <x v="2"/>
    <s v="Rio de Janeiro"/>
  </r>
  <r>
    <s v="574c4ecf7699daffc21fc04eb876b8a8"/>
    <s v="2017-06-15"/>
    <x v="7"/>
    <x v="7"/>
    <x v="9"/>
    <n v="1"/>
    <n v="59.99"/>
    <n v="15.17"/>
    <s v="credit_card"/>
    <n v="10"/>
    <x v="1"/>
    <x v="2"/>
    <s v="Minas Gerais"/>
  </r>
  <r>
    <s v="5dbf3bee4c547774bf74d477748dda22"/>
    <s v="2017-06-15"/>
    <x v="7"/>
    <x v="15"/>
    <x v="13"/>
    <n v="1"/>
    <n v="1199.9000000000001"/>
    <n v="47.39"/>
    <s v="credit_card"/>
    <n v="27"/>
    <x v="1"/>
    <x v="2"/>
    <s v="Mato Grosso"/>
  </r>
  <r>
    <s v="ba6e771c39f5c537cf32b54a8d238c08"/>
    <s v="2017-06-15"/>
    <x v="7"/>
    <x v="7"/>
    <x v="4"/>
    <n v="1"/>
    <n v="24.99"/>
    <n v="16.79"/>
    <s v="credit_card"/>
    <n v="10"/>
    <x v="1"/>
    <x v="0"/>
    <s v="Minas Gerais"/>
  </r>
  <r>
    <s v="947326b280848dfde976cd7fceaa7d3b"/>
    <s v="2017-06-15"/>
    <x v="7"/>
    <x v="12"/>
    <x v="19"/>
    <n v="1"/>
    <n v="169.9"/>
    <n v="25.64"/>
    <s v="credit_card"/>
    <n v="7"/>
    <x v="1"/>
    <x v="2"/>
    <s v="Ceara"/>
  </r>
  <r>
    <s v="14d5f7d2a3755fbd4df406ef4c4b400c"/>
    <s v="2017-06-16"/>
    <x v="7"/>
    <x v="8"/>
    <x v="20"/>
    <n v="1"/>
    <n v="43.99"/>
    <n v="17.600000000000001"/>
    <s v="voucher"/>
    <n v="13"/>
    <x v="1"/>
    <x v="2"/>
    <s v="Santa Catarina"/>
  </r>
  <r>
    <s v="d1edb80f6670902ebbb11765b96873da"/>
    <s v="2017-06-16"/>
    <x v="7"/>
    <x v="1"/>
    <x v="26"/>
    <n v="1"/>
    <n v="27"/>
    <n v="12.48"/>
    <s v="credit_card"/>
    <m/>
    <x v="0"/>
    <x v="5"/>
    <s v="Rio Grande do Sul"/>
  </r>
  <r>
    <s v="1dd524259037e53865e1fbee3697183b"/>
    <s v="2017-06-16"/>
    <x v="7"/>
    <x v="3"/>
    <x v="44"/>
    <n v="1"/>
    <n v="269.99"/>
    <n v="32.92"/>
    <s v="credit_card"/>
    <n v="6"/>
    <x v="1"/>
    <x v="1"/>
    <s v="Sao Paulo"/>
  </r>
  <r>
    <s v="261894b972bbc843c4c694b4bc74e892"/>
    <s v="2017-06-16"/>
    <x v="7"/>
    <x v="1"/>
    <x v="4"/>
    <n v="1"/>
    <n v="27.9"/>
    <n v="17.63"/>
    <s v="boleto"/>
    <n v="18"/>
    <x v="1"/>
    <x v="3"/>
    <s v="Rio Grande do Sul"/>
  </r>
  <r>
    <s v="4571099e8d87a92750edfddf99e5b56a"/>
    <s v="2017-06-16"/>
    <x v="7"/>
    <x v="3"/>
    <x v="6"/>
    <n v="1"/>
    <n v="25.99"/>
    <n v="7.78"/>
    <s v="boleto"/>
    <n v="12"/>
    <x v="2"/>
    <x v="1"/>
    <s v="Sao Paulo"/>
  </r>
  <r>
    <s v="e20e66069c6d2f4cd62ea63b48bbaf4d"/>
    <s v="2017-06-16"/>
    <x v="7"/>
    <x v="2"/>
    <x v="0"/>
    <n v="1"/>
    <n v="45.9"/>
    <n v="16.11"/>
    <s v="credit_card"/>
    <n v="17"/>
    <x v="1"/>
    <x v="1"/>
    <s v="Goias"/>
  </r>
  <r>
    <s v="1103b5da42ef752c4264d8e1b942aa3f"/>
    <s v="2017-06-16"/>
    <x v="7"/>
    <x v="3"/>
    <x v="21"/>
    <n v="1"/>
    <n v="89.9"/>
    <n v="32.86"/>
    <s v="boleto"/>
    <n v="5"/>
    <x v="1"/>
    <x v="2"/>
    <s v="Sao Paulo"/>
  </r>
  <r>
    <s v="07d3db06b53989748df4ae194f6b0fde"/>
    <s v="2017-06-17"/>
    <x v="7"/>
    <x v="7"/>
    <x v="22"/>
    <n v="1"/>
    <n v="379.99"/>
    <n v="18.420000000000002"/>
    <s v="credit_card"/>
    <n v="4"/>
    <x v="1"/>
    <x v="3"/>
    <s v="Minas Gerais"/>
  </r>
  <r>
    <s v="f53a7ea7fd8dd95811fd2035733baf9e"/>
    <s v="2017-06-17"/>
    <x v="7"/>
    <x v="5"/>
    <x v="1"/>
    <n v="1"/>
    <n v="129.9"/>
    <n v="18.16"/>
    <s v="credit_card"/>
    <m/>
    <x v="0"/>
    <x v="0"/>
    <s v="Parana"/>
  </r>
  <r>
    <s v="a151248b1f51c21684d1a9a65a2c04b2"/>
    <s v="2017-06-17"/>
    <x v="7"/>
    <x v="18"/>
    <x v="6"/>
    <n v="1"/>
    <n v="15.99"/>
    <n v="14.1"/>
    <s v="credit_card"/>
    <n v="5"/>
    <x v="1"/>
    <x v="2"/>
    <s v="Distrito Federal"/>
  </r>
  <r>
    <s v="8fad1f3654133d30218cd4b6fae827ee"/>
    <s v="2017-06-18"/>
    <x v="7"/>
    <x v="3"/>
    <x v="19"/>
    <n v="1"/>
    <n v="59.9"/>
    <n v="13.44"/>
    <s v="credit_card"/>
    <n v="4"/>
    <x v="1"/>
    <x v="3"/>
    <s v="Sao Paulo"/>
  </r>
  <r>
    <s v="de4c308ea3f72fa2d3be68d18a2fedb1"/>
    <s v="2017-06-18"/>
    <x v="7"/>
    <x v="3"/>
    <x v="4"/>
    <n v="1"/>
    <n v="18.899999999999999"/>
    <n v="11.85"/>
    <s v="credit_card"/>
    <n v="9"/>
    <x v="1"/>
    <x v="2"/>
    <s v="Sao Paulo"/>
  </r>
  <r>
    <s v="5b3a926fc80185c14ef56c6fa3a45b82"/>
    <s v="2017-06-18"/>
    <x v="7"/>
    <x v="4"/>
    <x v="7"/>
    <n v="1"/>
    <n v="109.99"/>
    <n v="34.130000000000003"/>
    <s v="credit_card"/>
    <n v="11"/>
    <x v="1"/>
    <x v="2"/>
    <s v="Rio de Janeiro"/>
  </r>
  <r>
    <s v="6160672f31a87bdbafd522f69d9e5d8b"/>
    <s v="2017-06-18"/>
    <x v="7"/>
    <x v="4"/>
    <x v="9"/>
    <n v="4"/>
    <n v="59.56"/>
    <n v="56.4"/>
    <s v="credit_card"/>
    <n v="10"/>
    <x v="1"/>
    <x v="2"/>
    <s v="Rio de Janeiro"/>
  </r>
  <r>
    <s v="609614169498a0a0719e1a47cd02b408"/>
    <s v="2017-06-18"/>
    <x v="7"/>
    <x v="3"/>
    <x v="20"/>
    <n v="1"/>
    <n v="59.9"/>
    <n v="17.670000000000002"/>
    <s v="credit_card"/>
    <n v="1"/>
    <x v="1"/>
    <x v="2"/>
    <s v="Sao Paulo"/>
  </r>
  <r>
    <s v="4b62f3ef255e276bf8564f8061361886"/>
    <s v="2017-06-19"/>
    <x v="7"/>
    <x v="3"/>
    <x v="19"/>
    <n v="2"/>
    <n v="99.8"/>
    <n v="25.28"/>
    <s v="credit_card"/>
    <n v="4"/>
    <x v="1"/>
    <x v="0"/>
    <s v="Sao Paulo"/>
  </r>
  <r>
    <s v="bd7ed28cedb8147c71f09e3ab23c369f"/>
    <s v="2017-06-19"/>
    <x v="7"/>
    <x v="7"/>
    <x v="20"/>
    <n v="1"/>
    <n v="93.5"/>
    <n v="15.4"/>
    <s v="credit_card"/>
    <n v="6"/>
    <x v="1"/>
    <x v="3"/>
    <s v="Minas Gerais"/>
  </r>
  <r>
    <s v="1cd399dcea276c15247818674bb83c63"/>
    <s v="2017-06-19"/>
    <x v="7"/>
    <x v="3"/>
    <x v="12"/>
    <n v="2"/>
    <n v="39.799999999999997"/>
    <n v="23.7"/>
    <s v="boleto"/>
    <n v="14"/>
    <x v="1"/>
    <x v="1"/>
    <s v="Sao Paulo"/>
  </r>
  <r>
    <s v="3859925b9b809beadf83a70aabfca3ce"/>
    <s v="2017-06-19"/>
    <x v="7"/>
    <x v="5"/>
    <x v="4"/>
    <n v="1"/>
    <n v="61.9"/>
    <n v="12.56"/>
    <s v="boleto"/>
    <n v="7"/>
    <x v="1"/>
    <x v="2"/>
    <s v="Parana"/>
  </r>
  <r>
    <s v="d21a08b18679aca2a35ed7fe46c513d1"/>
    <s v="2017-06-19"/>
    <x v="7"/>
    <x v="3"/>
    <x v="36"/>
    <n v="1"/>
    <n v="161.6"/>
    <n v="8.8800000000000008"/>
    <s v="credit_card"/>
    <n v="3"/>
    <x v="1"/>
    <x v="0"/>
    <s v="Sao Paulo"/>
  </r>
  <r>
    <s v="ebd0eab2867a20cb181ae2222a511546"/>
    <s v="2017-06-19"/>
    <x v="7"/>
    <x v="1"/>
    <x v="4"/>
    <n v="1"/>
    <n v="155"/>
    <n v="15.84"/>
    <s v="boleto"/>
    <n v="18"/>
    <x v="1"/>
    <x v="3"/>
    <s v="Rio Grande do Sul"/>
  </r>
  <r>
    <s v="c52e91d0960446c0624a5a984188ffba"/>
    <s v="2017-06-19"/>
    <x v="7"/>
    <x v="21"/>
    <x v="13"/>
    <n v="1"/>
    <n v="1999.99"/>
    <n v="35.869999999999997"/>
    <s v="credit_card"/>
    <n v="39"/>
    <x v="2"/>
    <x v="0"/>
    <s v="Bahia"/>
  </r>
  <r>
    <s v="8e231eb804b052ee611d6c4a9300e10f"/>
    <s v="2017-06-19"/>
    <x v="7"/>
    <x v="4"/>
    <x v="22"/>
    <n v="1"/>
    <n v="59.6"/>
    <n v="16.86"/>
    <s v="credit_card"/>
    <n v="14"/>
    <x v="1"/>
    <x v="2"/>
    <s v="Rio de Janeiro"/>
  </r>
  <r>
    <s v="74131c82f1f2851457118d475695b53e"/>
    <s v="2017-06-19"/>
    <x v="7"/>
    <x v="3"/>
    <x v="0"/>
    <n v="1"/>
    <n v="10.9"/>
    <n v="11.85"/>
    <s v="boleto"/>
    <n v="10"/>
    <x v="1"/>
    <x v="2"/>
    <s v="Sao Paulo"/>
  </r>
  <r>
    <s v="1b27133663a6ff5c26254c7f8f99a4d4"/>
    <s v="2017-06-20"/>
    <x v="7"/>
    <x v="4"/>
    <x v="19"/>
    <n v="1"/>
    <n v="59.9"/>
    <n v="16.670000000000002"/>
    <s v="credit_card"/>
    <n v="3"/>
    <x v="1"/>
    <x v="2"/>
    <s v="Rio de Janeiro"/>
  </r>
  <r>
    <s v="311590adda47f81d35e863654feba9f2"/>
    <s v="2017-06-20"/>
    <x v="7"/>
    <x v="1"/>
    <x v="20"/>
    <n v="1"/>
    <n v="229.99"/>
    <n v="21.1"/>
    <s v="credit_card"/>
    <n v="6"/>
    <x v="1"/>
    <x v="2"/>
    <s v="Rio Grande do Sul"/>
  </r>
  <r>
    <s v="4a38745716bb4884b76fd3a12ad5cdd2"/>
    <s v="2017-06-20"/>
    <x v="7"/>
    <x v="3"/>
    <x v="12"/>
    <n v="1"/>
    <n v="79.900000000000006"/>
    <n v="7.81"/>
    <s v="credit_card"/>
    <n v="6"/>
    <x v="1"/>
    <x v="3"/>
    <s v="Sao Paulo"/>
  </r>
  <r>
    <s v="c4dbc879a0f2bca255b51ca96ef04847"/>
    <s v="2017-06-20"/>
    <x v="7"/>
    <x v="3"/>
    <x v="14"/>
    <n v="1"/>
    <n v="22.99"/>
    <n v="11.85"/>
    <s v="credit_card"/>
    <n v="21"/>
    <x v="2"/>
    <x v="1"/>
    <s v="Sao Paulo"/>
  </r>
  <r>
    <s v="91c72081ae9c08e96d0bc952f73e6188"/>
    <s v="2017-06-20"/>
    <x v="7"/>
    <x v="3"/>
    <x v="4"/>
    <n v="2"/>
    <n v="299.68"/>
    <n v="36.6"/>
    <s v="credit_card"/>
    <n v="6"/>
    <x v="1"/>
    <x v="2"/>
    <s v="Sao Paulo"/>
  </r>
  <r>
    <s v="18d4e6891576559aeaaef675e25d53ad"/>
    <s v="2017-06-21"/>
    <x v="7"/>
    <x v="3"/>
    <x v="13"/>
    <n v="1"/>
    <n v="19.95"/>
    <n v="28.06"/>
    <s v="credit_card"/>
    <n v="8"/>
    <x v="1"/>
    <x v="2"/>
    <s v="Sao Paulo"/>
  </r>
  <r>
    <s v="ae4a905f158c49a81cd20d36a52ccc4b"/>
    <s v="2017-06-21"/>
    <x v="7"/>
    <x v="3"/>
    <x v="13"/>
    <n v="1"/>
    <n v="75"/>
    <n v="11.73"/>
    <s v="credit_card"/>
    <n v="3"/>
    <x v="1"/>
    <x v="2"/>
    <s v="Sao Paulo"/>
  </r>
  <r>
    <s v="87f83d5d5bb0b9a13ec25c61c4a71361"/>
    <s v="2017-06-21"/>
    <x v="7"/>
    <x v="1"/>
    <x v="19"/>
    <n v="1"/>
    <n v="69.900000000000006"/>
    <n v="40.99"/>
    <s v="credit_card"/>
    <n v="23"/>
    <x v="1"/>
    <x v="1"/>
    <s v="Rio Grande do Sul"/>
  </r>
  <r>
    <s v="80856e464d96ed6573219f5d65fc7f3e"/>
    <s v="2017-06-22"/>
    <x v="7"/>
    <x v="3"/>
    <x v="6"/>
    <n v="1"/>
    <n v="94.99"/>
    <n v="8.86"/>
    <s v="credit_card"/>
    <n v="7"/>
    <x v="1"/>
    <x v="0"/>
    <s v="Sao Paulo"/>
  </r>
  <r>
    <s v="5cfaa2e60887ab4aed7d4e637efe2156"/>
    <s v="2017-06-22"/>
    <x v="7"/>
    <x v="5"/>
    <x v="7"/>
    <n v="1"/>
    <n v="32.9"/>
    <n v="17.600000000000001"/>
    <s v="credit_card"/>
    <n v="11"/>
    <x v="1"/>
    <x v="2"/>
    <s v="Parana"/>
  </r>
  <r>
    <s v="7b7aa18c12be9bec06ecb74c33609bcf"/>
    <s v="2017-06-22"/>
    <x v="7"/>
    <x v="4"/>
    <x v="1"/>
    <n v="1"/>
    <n v="99"/>
    <n v="21.09"/>
    <s v="credit_card"/>
    <n v="19"/>
    <x v="1"/>
    <x v="1"/>
    <s v="Rio de Janeiro"/>
  </r>
  <r>
    <s v="825ace52d27a25d68c72bcbdd7c66aa0"/>
    <s v="2017-06-22"/>
    <x v="7"/>
    <x v="7"/>
    <x v="19"/>
    <n v="1"/>
    <n v="89.9"/>
    <n v="21.12"/>
    <s v="credit_card"/>
    <n v="7"/>
    <x v="1"/>
    <x v="2"/>
    <s v="Minas Gerais"/>
  </r>
  <r>
    <s v="b738a048f0968575318e1a5fc8974fba"/>
    <s v="2017-06-22"/>
    <x v="7"/>
    <x v="3"/>
    <x v="4"/>
    <n v="1"/>
    <n v="35.99"/>
    <n v="8.7200000000000006"/>
    <s v="credit_card"/>
    <n v="5"/>
    <x v="1"/>
    <x v="2"/>
    <s v="Sao Paulo"/>
  </r>
  <r>
    <s v="4ef36d7c9950e291544d3a68d123992c"/>
    <s v="2017-06-23"/>
    <x v="7"/>
    <x v="4"/>
    <x v="2"/>
    <n v="1"/>
    <n v="99.99"/>
    <n v="27.24"/>
    <s v="credit_card"/>
    <n v="9"/>
    <x v="1"/>
    <x v="0"/>
    <s v="Rio de Janeiro"/>
  </r>
  <r>
    <s v="cdaa50d46a294c97f8505c6ac6145e23"/>
    <s v="2017-06-23"/>
    <x v="7"/>
    <x v="4"/>
    <x v="14"/>
    <n v="1"/>
    <n v="220"/>
    <n v="26.38"/>
    <s v="credit_card"/>
    <n v="10"/>
    <x v="1"/>
    <x v="3"/>
    <s v="Rio de Janeiro"/>
  </r>
  <r>
    <s v="2c927414e22e9898e9e0958b417f7ef5"/>
    <s v="2017-06-23"/>
    <x v="7"/>
    <x v="4"/>
    <x v="19"/>
    <n v="1"/>
    <n v="59.9"/>
    <n v="21.26"/>
    <s v="credit_card"/>
    <n v="10"/>
    <x v="1"/>
    <x v="2"/>
    <s v="Rio de Janeiro"/>
  </r>
  <r>
    <s v="84d54e2fe6fc76e34d897b32c59dd75d"/>
    <s v="2017-06-24"/>
    <x v="7"/>
    <x v="3"/>
    <x v="13"/>
    <n v="1"/>
    <n v="3.49"/>
    <n v="16.79"/>
    <s v="credit_card"/>
    <n v="8"/>
    <x v="1"/>
    <x v="2"/>
    <s v="Sao Paulo"/>
  </r>
  <r>
    <s v="ab5f88ecd8bbfe5386a0b5687ee8beba"/>
    <s v="2017-06-24"/>
    <x v="7"/>
    <x v="3"/>
    <x v="19"/>
    <n v="1"/>
    <n v="149.9"/>
    <n v="12.25"/>
    <s v="credit_card"/>
    <n v="3"/>
    <x v="1"/>
    <x v="1"/>
    <s v="Sao Paulo"/>
  </r>
  <r>
    <s v="34e28e181f142ed3b17dc370a9c22d70"/>
    <s v="2017-06-25"/>
    <x v="7"/>
    <x v="22"/>
    <x v="29"/>
    <n v="1"/>
    <n v="99"/>
    <n v="17.940000000000001"/>
    <s v="credit_card"/>
    <n v="11"/>
    <x v="1"/>
    <x v="3"/>
    <s v="Espirito Santo"/>
  </r>
  <r>
    <s v="7eeee20ce93c5e4c8e68984bb116eea0"/>
    <s v="2017-06-25"/>
    <x v="7"/>
    <x v="3"/>
    <x v="19"/>
    <n v="1"/>
    <n v="59.9"/>
    <n v="14.13"/>
    <s v="boleto"/>
    <n v="3"/>
    <x v="1"/>
    <x v="2"/>
    <s v="Sao Paulo"/>
  </r>
  <r>
    <s v="c608c480ac442c0ee8203c097fca5f3c"/>
    <s v="2017-06-25"/>
    <x v="7"/>
    <x v="1"/>
    <x v="0"/>
    <n v="1"/>
    <n v="24.75"/>
    <n v="16.11"/>
    <s v="credit_card"/>
    <n v="16"/>
    <x v="1"/>
    <x v="2"/>
    <s v="Rio Grande do Sul"/>
  </r>
  <r>
    <s v="ac8f8a6e0d980aae7905fb9b3480078d"/>
    <s v="2017-06-25"/>
    <x v="7"/>
    <x v="7"/>
    <x v="41"/>
    <n v="1"/>
    <n v="269"/>
    <n v="26.72"/>
    <s v="credit_card"/>
    <n v="12"/>
    <x v="1"/>
    <x v="3"/>
    <s v="Minas Gerais"/>
  </r>
  <r>
    <s v="752855fec9c8baf507e885780d74c273"/>
    <s v="2017-06-25"/>
    <x v="7"/>
    <x v="3"/>
    <x v="2"/>
    <n v="1"/>
    <n v="64.900000000000006"/>
    <n v="17.7"/>
    <s v="credit_card"/>
    <n v="8"/>
    <x v="1"/>
    <x v="2"/>
    <s v="Sao Paulo"/>
  </r>
  <r>
    <s v="80384df0c422c9485fe5c3d33e07ac6b"/>
    <s v="2017-06-25"/>
    <x v="7"/>
    <x v="3"/>
    <x v="25"/>
    <n v="1"/>
    <n v="59.9"/>
    <n v="15.17"/>
    <s v="credit_card"/>
    <n v="3"/>
    <x v="1"/>
    <x v="2"/>
    <s v="Sao Paulo"/>
  </r>
  <r>
    <s v="2ee09d85df9aae765e175f897b5fb99b"/>
    <s v="2017-06-26"/>
    <x v="7"/>
    <x v="7"/>
    <x v="22"/>
    <n v="1"/>
    <n v="45"/>
    <n v="14.1"/>
    <s v="credit_card"/>
    <n v="9"/>
    <x v="1"/>
    <x v="2"/>
    <s v="Minas Gerais"/>
  </r>
  <r>
    <s v="acafc483caca0c28cef0ad651d6bb9fc"/>
    <s v="2017-06-26"/>
    <x v="7"/>
    <x v="3"/>
    <x v="4"/>
    <n v="3"/>
    <n v="521.80999999999995"/>
    <n v="31.9"/>
    <s v="credit_card"/>
    <n v="6"/>
    <x v="1"/>
    <x v="2"/>
    <s v="Sao Paulo"/>
  </r>
  <r>
    <s v="4b594c50ed0279e3677e9580c4cfcfdb"/>
    <s v="2017-06-26"/>
    <x v="7"/>
    <x v="1"/>
    <x v="7"/>
    <n v="1"/>
    <n v="59.9"/>
    <n v="17.670000000000002"/>
    <s v="credit_card"/>
    <n v="14"/>
    <x v="1"/>
    <x v="2"/>
    <s v="Rio Grande do Sul"/>
  </r>
  <r>
    <s v="725d9a21b91d5ee08aaa56ef88058147"/>
    <s v="2017-06-26"/>
    <x v="7"/>
    <x v="26"/>
    <x v="26"/>
    <n v="1"/>
    <n v="69"/>
    <n v="38.03"/>
    <s v="boleto"/>
    <n v="14"/>
    <x v="1"/>
    <x v="2"/>
    <s v="Paraiba"/>
  </r>
  <r>
    <s v="a702e68bc7f4b63f299ffe8105a5ac20"/>
    <s v="2017-06-27"/>
    <x v="7"/>
    <x v="8"/>
    <x v="11"/>
    <n v="1"/>
    <n v="319"/>
    <n v="83.32"/>
    <s v="credit_card"/>
    <n v="13"/>
    <x v="1"/>
    <x v="2"/>
    <s v="Santa Catarina"/>
  </r>
  <r>
    <s v="68cf62098cbe8d4ef838a1b3d63e74ea"/>
    <s v="2017-06-27"/>
    <x v="7"/>
    <x v="21"/>
    <x v="11"/>
    <n v="1"/>
    <n v="64"/>
    <n v="19.690000000000001"/>
    <s v="credit_card"/>
    <n v="17"/>
    <x v="1"/>
    <x v="2"/>
    <s v="Bahia"/>
  </r>
  <r>
    <s v="2af4817f66a5aeb427fc06e41204bc7b"/>
    <s v="2017-06-27"/>
    <x v="7"/>
    <x v="3"/>
    <x v="25"/>
    <n v="1"/>
    <n v="12.99"/>
    <n v="9.74"/>
    <s v="credit_card"/>
    <n v="2"/>
    <x v="1"/>
    <x v="2"/>
    <s v="Sao Paulo"/>
  </r>
  <r>
    <s v="a32c1ae6b544c2e27c53db079e2a3af6"/>
    <s v="2017-06-27"/>
    <x v="7"/>
    <x v="21"/>
    <x v="20"/>
    <n v="1"/>
    <n v="499.9"/>
    <n v="22.74"/>
    <s v="credit_card"/>
    <n v="13"/>
    <x v="1"/>
    <x v="2"/>
    <s v="Bahia"/>
  </r>
  <r>
    <s v="7a45b93cba1b6ebadb4498f33f110b4e"/>
    <s v="2017-06-27"/>
    <x v="7"/>
    <x v="3"/>
    <x v="9"/>
    <n v="1"/>
    <n v="18.989999999999998"/>
    <n v="7.78"/>
    <s v="credit_card"/>
    <n v="1"/>
    <x v="1"/>
    <x v="3"/>
    <s v="Sao Paulo"/>
  </r>
  <r>
    <s v="6e8b784db4941b3dbd08146464f9f628"/>
    <s v="2017-06-28"/>
    <x v="7"/>
    <x v="11"/>
    <x v="6"/>
    <n v="1"/>
    <n v="12.5"/>
    <n v="25.63"/>
    <s v="boleto"/>
    <n v="36"/>
    <x v="2"/>
    <x v="2"/>
    <s v="Para"/>
  </r>
  <r>
    <s v="f7f27a0b991c58f8f3287801b9b26802"/>
    <s v="2017-06-28"/>
    <x v="7"/>
    <x v="4"/>
    <x v="4"/>
    <n v="1"/>
    <n v="46.9"/>
    <n v="16.600000000000001"/>
    <s v="credit_card"/>
    <n v="6"/>
    <x v="1"/>
    <x v="2"/>
    <s v="Rio de Janeiro"/>
  </r>
  <r>
    <s v="632984d58b2a50f588c4a3c559c1f8f3"/>
    <s v="2017-06-28"/>
    <x v="7"/>
    <x v="8"/>
    <x v="17"/>
    <n v="1"/>
    <n v="49"/>
    <n v="15.1"/>
    <s v="credit_card"/>
    <n v="14"/>
    <x v="1"/>
    <x v="2"/>
    <s v="Santa Catarina"/>
  </r>
  <r>
    <s v="5f92e202714f58d016aa087092c33fe7"/>
    <s v="2017-06-28"/>
    <x v="7"/>
    <x v="7"/>
    <x v="3"/>
    <n v="1"/>
    <n v="79.989999999999995"/>
    <n v="12.69"/>
    <s v="credit_card"/>
    <n v="5"/>
    <x v="1"/>
    <x v="2"/>
    <s v="Minas Gerais"/>
  </r>
  <r>
    <s v="f327645eb13511d92d672ec03773b2ae"/>
    <s v="2017-06-29"/>
    <x v="7"/>
    <x v="2"/>
    <x v="9"/>
    <n v="1"/>
    <n v="97.9"/>
    <n v="21.18"/>
    <s v="boleto"/>
    <n v="13"/>
    <x v="1"/>
    <x v="2"/>
    <s v="Goias"/>
  </r>
  <r>
    <s v="962aeb93da677a2ce2fdb8e771e4668e"/>
    <s v="2017-06-29"/>
    <x v="7"/>
    <x v="2"/>
    <x v="6"/>
    <n v="1"/>
    <n v="15.9"/>
    <n v="14.1"/>
    <s v="boleto"/>
    <n v="7"/>
    <x v="1"/>
    <x v="2"/>
    <s v="Goias"/>
  </r>
  <r>
    <s v="825c221a4e981f278e9c5ec6ead83a3f"/>
    <s v="2017-06-29"/>
    <x v="7"/>
    <x v="3"/>
    <x v="9"/>
    <n v="1"/>
    <n v="73.900000000000006"/>
    <n v="13.54"/>
    <s v="credit_card"/>
    <n v="10"/>
    <x v="1"/>
    <x v="2"/>
    <s v="Sao Paulo"/>
  </r>
  <r>
    <s v="c26b94aa87e95d1c1eb1b592f43eb223"/>
    <s v="2017-06-29"/>
    <x v="7"/>
    <x v="3"/>
    <x v="41"/>
    <n v="2"/>
    <n v="179.8"/>
    <n v="24.26"/>
    <s v="credit_card"/>
    <n v="11"/>
    <x v="1"/>
    <x v="2"/>
    <s v="Sao Paulo"/>
  </r>
  <r>
    <s v="502ffac2e1d978a412b48e2b290bfb4d"/>
    <s v="2017-06-29"/>
    <x v="7"/>
    <x v="3"/>
    <x v="1"/>
    <n v="2"/>
    <n v="35.1"/>
    <n v="50.38"/>
    <s v="boleto"/>
    <n v="34"/>
    <x v="2"/>
    <x v="2"/>
    <s v="Sao Paulo"/>
  </r>
  <r>
    <s v="8c760e278dae85ccf9365fa1653bf04e"/>
    <s v="2017-06-29"/>
    <x v="7"/>
    <x v="4"/>
    <x v="20"/>
    <n v="1"/>
    <n v="444"/>
    <n v="18.87"/>
    <s v="credit_card"/>
    <n v="13"/>
    <x v="1"/>
    <x v="2"/>
    <s v="Rio de Janeiro"/>
  </r>
  <r>
    <s v="960470e088ef6e37d9b9dd22f2cfb57e"/>
    <s v="2017-06-29"/>
    <x v="7"/>
    <x v="7"/>
    <x v="25"/>
    <n v="1"/>
    <n v="59.99"/>
    <n v="16.18"/>
    <s v="credit_card"/>
    <n v="4"/>
    <x v="1"/>
    <x v="2"/>
    <s v="Minas Gerais"/>
  </r>
  <r>
    <s v="c2a8cb0a8bf007dbb36ed1c3bda6aeae"/>
    <s v="2017-06-30"/>
    <x v="7"/>
    <x v="7"/>
    <x v="45"/>
    <n v="1"/>
    <n v="32.99"/>
    <n v="15.1"/>
    <s v="boleto"/>
    <n v="7"/>
    <x v="1"/>
    <x v="2"/>
    <s v="Minas Gerais"/>
  </r>
  <r>
    <s v="5b939ecc014a32ab25d16b70ffdb0426"/>
    <s v="2017-06-30"/>
    <x v="7"/>
    <x v="4"/>
    <x v="2"/>
    <n v="1"/>
    <n v="152.9"/>
    <n v="18.32"/>
    <s v="credit_card"/>
    <n v="11"/>
    <x v="1"/>
    <x v="2"/>
    <s v="Rio de Janeiro"/>
  </r>
  <r>
    <s v="7d1195a1ae8175a0713fbeeedb018fca"/>
    <s v="2017-06-30"/>
    <x v="7"/>
    <x v="4"/>
    <x v="3"/>
    <n v="1"/>
    <n v="8.99"/>
    <n v="15.1"/>
    <s v="credit_card"/>
    <n v="10"/>
    <x v="1"/>
    <x v="2"/>
    <s v="Rio de Janeiro"/>
  </r>
  <r>
    <s v="4624ea7637e72baa8c19beb97398173d"/>
    <s v="2017-06-30"/>
    <x v="7"/>
    <x v="2"/>
    <x v="28"/>
    <n v="1"/>
    <n v="144.94"/>
    <n v="30.85"/>
    <s v="credit_card"/>
    <n v="20"/>
    <x v="1"/>
    <x v="2"/>
    <s v="Goias"/>
  </r>
  <r>
    <s v="f100e6de2729471b754facdcdb55b3e4"/>
    <s v="2017-06-30"/>
    <x v="7"/>
    <x v="4"/>
    <x v="32"/>
    <n v="1"/>
    <n v="99.99"/>
    <n v="32.03"/>
    <s v="credit_card"/>
    <n v="7"/>
    <x v="1"/>
    <x v="2"/>
    <s v="Rio de Janeiro"/>
  </r>
  <r>
    <s v="294d16591b8d224412320d2053d48623"/>
    <s v="2017-06-30"/>
    <x v="7"/>
    <x v="3"/>
    <x v="13"/>
    <n v="1"/>
    <n v="143.80000000000001"/>
    <n v="15.76"/>
    <s v="credit_card"/>
    <n v="27"/>
    <x v="2"/>
    <x v="0"/>
    <s v="Sao Paulo"/>
  </r>
  <r>
    <s v="0581cc006c5d0b4351b5435336828add"/>
    <s v="2017-07-01"/>
    <x v="8"/>
    <x v="1"/>
    <x v="12"/>
    <n v="1"/>
    <n v="349.99"/>
    <n v="20.69"/>
    <s v="voucher"/>
    <n v="12"/>
    <x v="1"/>
    <x v="2"/>
    <s v="Rio Grande do Sul"/>
  </r>
  <r>
    <s v="5753fab4ca88fe20c5a7e8c843941287"/>
    <s v="2017-07-01"/>
    <x v="8"/>
    <x v="3"/>
    <x v="20"/>
    <n v="1"/>
    <n v="99.9"/>
    <n v="16.46"/>
    <s v="credit_card"/>
    <n v="4"/>
    <x v="1"/>
    <x v="2"/>
    <s v="Sao Paulo"/>
  </r>
  <r>
    <s v="7597c7c4c83261b22f9e17126dd703e3"/>
    <s v="2017-07-01"/>
    <x v="8"/>
    <x v="3"/>
    <x v="14"/>
    <n v="1"/>
    <n v="205"/>
    <n v="15.04"/>
    <s v="credit_card"/>
    <n v="6"/>
    <x v="1"/>
    <x v="1"/>
    <s v="Sao Paulo"/>
  </r>
  <r>
    <s v="c6c503c80e66a33d6e643178cd943e7b"/>
    <s v="2017-07-02"/>
    <x v="8"/>
    <x v="1"/>
    <x v="9"/>
    <n v="1"/>
    <n v="54.99"/>
    <n v="16.63"/>
    <s v="credit_card"/>
    <n v="11"/>
    <x v="1"/>
    <x v="5"/>
    <s v="Rio Grande do Sul"/>
  </r>
  <r>
    <s v="ef3b6bd27aca9b9f50e6ad8be5a2b8e5"/>
    <s v="2017-07-02"/>
    <x v="8"/>
    <x v="1"/>
    <x v="20"/>
    <n v="1"/>
    <n v="99.99"/>
    <n v="16.95"/>
    <s v="boleto"/>
    <n v="11"/>
    <x v="1"/>
    <x v="2"/>
    <s v="Rio Grande do Sul"/>
  </r>
  <r>
    <s v="f518949d44e76c5b33a8d2019191acae"/>
    <s v="2017-07-02"/>
    <x v="8"/>
    <x v="7"/>
    <x v="29"/>
    <n v="1"/>
    <n v="194"/>
    <n v="15.11"/>
    <s v="credit_card"/>
    <n v="7"/>
    <x v="1"/>
    <x v="2"/>
    <s v="Minas Gerais"/>
  </r>
  <r>
    <s v="3f81bec0a9a43000562b9aea4ba6c2af"/>
    <s v="2017-07-02"/>
    <x v="8"/>
    <x v="22"/>
    <x v="4"/>
    <n v="1"/>
    <n v="29.4"/>
    <n v="16.11"/>
    <s v="credit_card"/>
    <n v="22"/>
    <x v="1"/>
    <x v="2"/>
    <s v="Espirito Santo"/>
  </r>
  <r>
    <s v="eecc1b7c0a139c574d4f9f7e707bf083"/>
    <s v="2017-07-02"/>
    <x v="8"/>
    <x v="3"/>
    <x v="14"/>
    <n v="1"/>
    <n v="69.900000000000006"/>
    <n v="11.99"/>
    <s v="boleto"/>
    <n v="10"/>
    <x v="1"/>
    <x v="2"/>
    <s v="Sao Paulo"/>
  </r>
  <r>
    <s v="0cabc61e5deb17c32904e1b512204efd"/>
    <s v="2017-07-02"/>
    <x v="8"/>
    <x v="3"/>
    <x v="22"/>
    <n v="1"/>
    <n v="66.89"/>
    <n v="17.72"/>
    <s v="voucher"/>
    <n v="10"/>
    <x v="1"/>
    <x v="2"/>
    <s v="Sao Paulo"/>
  </r>
  <r>
    <s v="ab98ae53ea3aa5c0c205452e32cc099b"/>
    <s v="2017-07-03"/>
    <x v="8"/>
    <x v="4"/>
    <x v="24"/>
    <n v="1"/>
    <n v="329.9"/>
    <n v="40.15"/>
    <s v="credit_card"/>
    <n v="17"/>
    <x v="1"/>
    <x v="1"/>
    <s v="Rio de Janeiro"/>
  </r>
  <r>
    <s v="52a3cfb8a44b79a2e8d6e52ea5ff5b13"/>
    <s v="2017-07-03"/>
    <x v="8"/>
    <x v="4"/>
    <x v="17"/>
    <n v="1"/>
    <n v="12.9"/>
    <n v="16.79"/>
    <s v="credit_card"/>
    <n v="14"/>
    <x v="1"/>
    <x v="2"/>
    <s v="Rio de Janeiro"/>
  </r>
  <r>
    <s v="ea048e4dd31fbc0e639a1aade37c7f3e"/>
    <s v="2017-07-03"/>
    <x v="8"/>
    <x v="11"/>
    <x v="1"/>
    <n v="1"/>
    <n v="189.5"/>
    <n v="29.73"/>
    <s v="boleto"/>
    <n v="17"/>
    <x v="1"/>
    <x v="2"/>
    <s v="Para"/>
  </r>
  <r>
    <s v="d6f9e75b25f4d86db87bf9c7e6d14a4b"/>
    <s v="2017-07-03"/>
    <x v="8"/>
    <x v="4"/>
    <x v="2"/>
    <n v="1"/>
    <n v="218.9"/>
    <n v="18.78"/>
    <s v="credit_card"/>
    <m/>
    <x v="0"/>
    <x v="0"/>
    <s v="Rio de Janeiro"/>
  </r>
  <r>
    <s v="0cae0419c5938004fa8b8dba302552d1"/>
    <s v="2017-07-03"/>
    <x v="8"/>
    <x v="13"/>
    <x v="1"/>
    <n v="1"/>
    <n v="39.9"/>
    <n v="21.15"/>
    <s v="boleto"/>
    <n v="18"/>
    <x v="1"/>
    <x v="2"/>
    <s v="Maranhao"/>
  </r>
  <r>
    <s v="45cd1a6af2fc3bbb9c5869ace4eef304"/>
    <s v="2017-07-03"/>
    <x v="8"/>
    <x v="1"/>
    <x v="46"/>
    <n v="1"/>
    <n v="41.5"/>
    <n v="16.11"/>
    <s v="credit_card"/>
    <n v="8"/>
    <x v="1"/>
    <x v="2"/>
    <s v="Rio Grande do Sul"/>
  </r>
  <r>
    <s v="543208567174edffa48d4c3262b0343e"/>
    <s v="2017-07-03"/>
    <x v="8"/>
    <x v="4"/>
    <x v="20"/>
    <n v="1"/>
    <n v="249.9"/>
    <n v="78.77"/>
    <s v="boleto"/>
    <n v="7"/>
    <x v="1"/>
    <x v="2"/>
    <s v="Rio de Janeiro"/>
  </r>
  <r>
    <s v="c5bbc2e1ea510338b16c37d3bd7437cc"/>
    <s v="2017-07-03"/>
    <x v="8"/>
    <x v="3"/>
    <x v="25"/>
    <n v="2"/>
    <n v="155.4"/>
    <n v="23.5"/>
    <s v="credit_card"/>
    <n v="8"/>
    <x v="1"/>
    <x v="2"/>
    <s v="Sao Paulo"/>
  </r>
  <r>
    <s v="27d9d312e04f1893b26836442d680000"/>
    <s v="2017-07-04"/>
    <x v="8"/>
    <x v="3"/>
    <x v="4"/>
    <n v="1"/>
    <n v="39.9"/>
    <n v="15.1"/>
    <s v="credit_card"/>
    <n v="7"/>
    <x v="1"/>
    <x v="3"/>
    <s v="Sao Paulo"/>
  </r>
  <r>
    <s v="91c743d287fad03a614394bf50338369"/>
    <s v="2017-07-04"/>
    <x v="8"/>
    <x v="8"/>
    <x v="14"/>
    <n v="1"/>
    <n v="69.900000000000006"/>
    <n v="14.36"/>
    <s v="boleto"/>
    <n v="13"/>
    <x v="1"/>
    <x v="3"/>
    <s v="Santa Catarina"/>
  </r>
  <r>
    <s v="f7791fd674aa787f1f33ae0fc5bb0e3c"/>
    <s v="2017-07-04"/>
    <x v="8"/>
    <x v="4"/>
    <x v="4"/>
    <n v="1"/>
    <n v="708"/>
    <n v="18.71"/>
    <s v="credit_card"/>
    <n v="5"/>
    <x v="1"/>
    <x v="3"/>
    <s v="Rio de Janeiro"/>
  </r>
  <r>
    <s v="118ec9ddef528c64a545169b898e7699"/>
    <s v="2017-07-04"/>
    <x v="8"/>
    <x v="1"/>
    <x v="31"/>
    <n v="1"/>
    <n v="10.9"/>
    <n v="15.1"/>
    <s v="credit_card"/>
    <n v="7"/>
    <x v="1"/>
    <x v="0"/>
    <s v="Rio Grande do Sul"/>
  </r>
  <r>
    <s v="e1cce1b92d11a7a2edd0cbcb4de05aa5"/>
    <s v="2017-07-04"/>
    <x v="8"/>
    <x v="18"/>
    <x v="1"/>
    <n v="1"/>
    <n v="65"/>
    <n v="25.73"/>
    <s v="boleto"/>
    <n v="13"/>
    <x v="1"/>
    <x v="3"/>
    <s v="Distrito Federal"/>
  </r>
  <r>
    <s v="d65137e8832d68f38fd35e84cbacd4f5"/>
    <s v="2017-07-04"/>
    <x v="8"/>
    <x v="1"/>
    <x v="12"/>
    <n v="1"/>
    <n v="34.99"/>
    <n v="12.48"/>
    <s v="credit_card"/>
    <n v="6"/>
    <x v="1"/>
    <x v="2"/>
    <s v="Rio Grande do Sul"/>
  </r>
  <r>
    <s v="7f4fc31e180fd06c1de45a945223f877"/>
    <s v="2017-07-04"/>
    <x v="8"/>
    <x v="8"/>
    <x v="13"/>
    <n v="1"/>
    <n v="99"/>
    <n v="17.940000000000001"/>
    <s v="boleto"/>
    <n v="7"/>
    <x v="1"/>
    <x v="1"/>
    <s v="Santa Catarina"/>
  </r>
  <r>
    <s v="05c5fe623dddb59ad7462d5adf24885f"/>
    <s v="2017-07-05"/>
    <x v="8"/>
    <x v="8"/>
    <x v="25"/>
    <n v="1"/>
    <n v="144.9"/>
    <n v="21.5"/>
    <s v="credit_card"/>
    <n v="12"/>
    <x v="1"/>
    <x v="2"/>
    <s v="Santa Catarina"/>
  </r>
  <r>
    <s v="e52223f2c81fa3a68e1bbd37037abc5c"/>
    <s v="2017-07-05"/>
    <x v="8"/>
    <x v="4"/>
    <x v="19"/>
    <n v="1"/>
    <n v="24"/>
    <n v="15.1"/>
    <s v="credit_card"/>
    <n v="12"/>
    <x v="1"/>
    <x v="2"/>
    <s v="Rio de Janeiro"/>
  </r>
  <r>
    <s v="d1a6e1e7cadfe1427229d6a8afc29222"/>
    <s v="2017-07-05"/>
    <x v="8"/>
    <x v="18"/>
    <x v="4"/>
    <n v="1"/>
    <n v="149.84"/>
    <n v="18.3"/>
    <s v="credit_card"/>
    <n v="19"/>
    <x v="1"/>
    <x v="3"/>
    <s v="Distrito Federal"/>
  </r>
  <r>
    <s v="3d98c6327fa1c45b931c31e7ca2c97cb"/>
    <s v="2017-07-05"/>
    <x v="8"/>
    <x v="4"/>
    <x v="14"/>
    <n v="1"/>
    <n v="54.9"/>
    <n v="19.87"/>
    <s v="credit_card"/>
    <n v="8"/>
    <x v="1"/>
    <x v="2"/>
    <s v="Rio de Janeiro"/>
  </r>
  <r>
    <s v="16cdedbb1542ddfe411a0b979b43aa64"/>
    <s v="2017-07-05"/>
    <x v="8"/>
    <x v="1"/>
    <x v="14"/>
    <n v="2"/>
    <n v="79.8"/>
    <n v="32.22"/>
    <s v="credit_card"/>
    <n v="7"/>
    <x v="1"/>
    <x v="3"/>
    <s v="Rio Grande do Sul"/>
  </r>
  <r>
    <s v="e8f1a30189522698bfce82adf60472e7"/>
    <s v="2017-07-05"/>
    <x v="8"/>
    <x v="3"/>
    <x v="20"/>
    <n v="1"/>
    <n v="44.99"/>
    <n v="7.78"/>
    <s v="credit_card"/>
    <n v="2"/>
    <x v="1"/>
    <x v="2"/>
    <s v="Sao Paulo"/>
  </r>
  <r>
    <s v="a037897ffc90e9b89c16d0b6c55e9a0d"/>
    <s v="2017-07-06"/>
    <x v="8"/>
    <x v="23"/>
    <x v="20"/>
    <n v="1"/>
    <n v="129.99"/>
    <n v="38.46"/>
    <s v="credit_card"/>
    <n v="27"/>
    <x v="1"/>
    <x v="2"/>
    <s v="Rio Grande do Norte"/>
  </r>
  <r>
    <s v="4bdc72a43c134005e672c71df83dde1e"/>
    <s v="2017-07-06"/>
    <x v="8"/>
    <x v="7"/>
    <x v="21"/>
    <n v="1"/>
    <n v="139.9"/>
    <n v="78"/>
    <s v="credit_card"/>
    <n v="12"/>
    <x v="1"/>
    <x v="2"/>
    <s v="Minas Gerais"/>
  </r>
  <r>
    <s v="c32cfe30ac8d846c41d6695f9967bd04"/>
    <s v="2017-07-06"/>
    <x v="8"/>
    <x v="7"/>
    <x v="14"/>
    <n v="1"/>
    <n v="220"/>
    <n v="16.29"/>
    <s v="credit_card"/>
    <n v="15"/>
    <x v="1"/>
    <x v="2"/>
    <s v="Minas Gerais"/>
  </r>
  <r>
    <s v="2e2dd1119ebf597a9c05d80b5d6eeace"/>
    <s v="2017-07-06"/>
    <x v="8"/>
    <x v="3"/>
    <x v="20"/>
    <n v="1"/>
    <n v="97"/>
    <n v="8.42"/>
    <s v="credit_card"/>
    <n v="14"/>
    <x v="1"/>
    <x v="1"/>
    <s v="Sao Paulo"/>
  </r>
  <r>
    <s v="77959eeab7515802d0b17bd97ca522b7"/>
    <s v="2017-07-06"/>
    <x v="8"/>
    <x v="12"/>
    <x v="18"/>
    <n v="1"/>
    <n v="49.9"/>
    <n v="25.63"/>
    <s v="credit_card"/>
    <n v="15"/>
    <x v="1"/>
    <x v="2"/>
    <s v="Ceara"/>
  </r>
  <r>
    <s v="f14ffd28776719a57c5bbf16cce58dd4"/>
    <s v="2017-07-06"/>
    <x v="8"/>
    <x v="5"/>
    <x v="20"/>
    <n v="1"/>
    <n v="139.9"/>
    <n v="17.420000000000002"/>
    <s v="credit_card"/>
    <n v="15"/>
    <x v="1"/>
    <x v="3"/>
    <s v="Parana"/>
  </r>
  <r>
    <s v="4f5c54be4162fc29637f7fc1237ba307"/>
    <s v="2017-07-06"/>
    <x v="8"/>
    <x v="3"/>
    <x v="21"/>
    <n v="1"/>
    <n v="102.9"/>
    <n v="17.97"/>
    <s v="voucher"/>
    <n v="12"/>
    <x v="1"/>
    <x v="2"/>
    <s v="Sao Paulo"/>
  </r>
  <r>
    <s v="b8643ed80a2602a3562b8cb0d6f7a3b1"/>
    <s v="2017-07-07"/>
    <x v="8"/>
    <x v="5"/>
    <x v="17"/>
    <n v="1"/>
    <n v="14.9"/>
    <n v="12.48"/>
    <s v="boleto"/>
    <n v="10"/>
    <x v="1"/>
    <x v="2"/>
    <s v="Parana"/>
  </r>
  <r>
    <s v="1d52ecb64812aade8eda623f0a2f0c79"/>
    <s v="2017-07-07"/>
    <x v="8"/>
    <x v="3"/>
    <x v="22"/>
    <n v="1"/>
    <n v="129"/>
    <n v="8.16"/>
    <s v="credit_card"/>
    <n v="4"/>
    <x v="1"/>
    <x v="2"/>
    <s v="Sao Paulo"/>
  </r>
  <r>
    <s v="4993ef6ff0e62c90c51232f5164acb56"/>
    <s v="2017-07-07"/>
    <x v="8"/>
    <x v="21"/>
    <x v="13"/>
    <n v="1"/>
    <n v="45"/>
    <n v="16.79"/>
    <s v="credit_card"/>
    <n v="19"/>
    <x v="1"/>
    <x v="1"/>
    <s v="Bahia"/>
  </r>
  <r>
    <s v="1c8cfd2e1e836008b0ebaa67b1e6e3e9"/>
    <s v="2017-07-07"/>
    <x v="8"/>
    <x v="3"/>
    <x v="14"/>
    <n v="1"/>
    <n v="79.989999999999995"/>
    <n v="11.76"/>
    <s v="credit_card"/>
    <n v="4"/>
    <x v="1"/>
    <x v="2"/>
    <s v="Sao Paulo"/>
  </r>
  <r>
    <s v="021f26893462ec6a677baba7f06ce4c1"/>
    <s v="2017-07-07"/>
    <x v="8"/>
    <x v="3"/>
    <x v="14"/>
    <n v="1"/>
    <n v="49.95"/>
    <n v="11.85"/>
    <s v="credit_card"/>
    <n v="14"/>
    <x v="1"/>
    <x v="4"/>
    <s v="Sao Paulo"/>
  </r>
  <r>
    <s v="a6ae83eedb05638e88dace7706d71c26"/>
    <s v="2017-07-07"/>
    <x v="8"/>
    <x v="7"/>
    <x v="14"/>
    <n v="1"/>
    <n v="99.9"/>
    <n v="16.46"/>
    <s v="credit_card"/>
    <n v="12"/>
    <x v="1"/>
    <x v="2"/>
    <s v="Minas Gerais"/>
  </r>
  <r>
    <s v="ba305eaf10df01ecdb8d805b1a46d402"/>
    <s v="2017-07-07"/>
    <x v="8"/>
    <x v="3"/>
    <x v="14"/>
    <n v="1"/>
    <n v="24.9"/>
    <n v="11.85"/>
    <s v="boleto"/>
    <n v="19"/>
    <x v="1"/>
    <x v="2"/>
    <s v="Sao Paulo"/>
  </r>
  <r>
    <s v="5664fde64525f1c1c6a8ef23aa35dc22"/>
    <s v="2017-07-08"/>
    <x v="8"/>
    <x v="5"/>
    <x v="19"/>
    <n v="2"/>
    <n v="215.97"/>
    <n v="31.98"/>
    <s v="credit_card"/>
    <n v="7"/>
    <x v="1"/>
    <x v="3"/>
    <s v="Parana"/>
  </r>
  <r>
    <s v="ae5c6e1388284e38412e62dd4bdbd966"/>
    <s v="2017-07-08"/>
    <x v="8"/>
    <x v="17"/>
    <x v="9"/>
    <n v="1"/>
    <n v="258.3"/>
    <n v="24.13"/>
    <s v="credit_card"/>
    <n v="10"/>
    <x v="1"/>
    <x v="2"/>
    <s v="Rondonia"/>
  </r>
  <r>
    <s v="81d4e3ab663ca6c51e659ad5b31457e7"/>
    <s v="2017-07-08"/>
    <x v="8"/>
    <x v="8"/>
    <x v="14"/>
    <n v="1"/>
    <n v="79.989999999999995"/>
    <n v="17.809999999999999"/>
    <s v="boleto"/>
    <n v="12"/>
    <x v="1"/>
    <x v="2"/>
    <s v="Santa Catarina"/>
  </r>
  <r>
    <s v="3b681dd1f8baba1507d1f484f7f289c2"/>
    <s v="2017-07-08"/>
    <x v="8"/>
    <x v="3"/>
    <x v="26"/>
    <n v="2"/>
    <n v="196"/>
    <n v="36.770000000000003"/>
    <s v="boleto"/>
    <n v="4"/>
    <x v="1"/>
    <x v="2"/>
    <s v="Sao Paulo"/>
  </r>
  <r>
    <s v="f37d444498e3442d5896c6d98a89eb09"/>
    <s v="2017-07-08"/>
    <x v="8"/>
    <x v="3"/>
    <x v="20"/>
    <n v="1"/>
    <n v="69.989999999999995"/>
    <n v="11.73"/>
    <s v="credit_card"/>
    <n v="6"/>
    <x v="1"/>
    <x v="1"/>
    <s v="Sao Paulo"/>
  </r>
  <r>
    <s v="c577aae17cbefe7f45972f2b2f06a760"/>
    <s v="2017-07-09"/>
    <x v="8"/>
    <x v="8"/>
    <x v="24"/>
    <n v="1"/>
    <n v="49.9"/>
    <n v="16.16"/>
    <s v="credit_card"/>
    <n v="4"/>
    <x v="1"/>
    <x v="2"/>
    <s v="Santa Catarina"/>
  </r>
  <r>
    <s v="64c8df7b4890817fdc2023304306f58f"/>
    <s v="2017-07-09"/>
    <x v="8"/>
    <x v="3"/>
    <x v="17"/>
    <n v="1"/>
    <n v="12.9"/>
    <n v="12.48"/>
    <s v="boleto"/>
    <n v="16"/>
    <x v="1"/>
    <x v="2"/>
    <s v="Sao Paulo"/>
  </r>
  <r>
    <s v="352b9aec1e649ed93ea863e41dc39439"/>
    <s v="2017-07-09"/>
    <x v="8"/>
    <x v="3"/>
    <x v="6"/>
    <n v="1"/>
    <n v="25.99"/>
    <n v="7.78"/>
    <s v="boleto"/>
    <n v="2"/>
    <x v="1"/>
    <x v="2"/>
    <s v="Sao Paulo"/>
  </r>
  <r>
    <s v="b78ba2e791199cc6293f8abf411fa386"/>
    <s v="2017-07-09"/>
    <x v="8"/>
    <x v="1"/>
    <x v="2"/>
    <n v="1"/>
    <n v="138.9"/>
    <n v="13.99"/>
    <s v="credit_card"/>
    <n v="5"/>
    <x v="1"/>
    <x v="2"/>
    <s v="Rio Grande do Sul"/>
  </r>
  <r>
    <s v="2d82dd44bd4ea2cb852068142568d5ce"/>
    <s v="2017-07-09"/>
    <x v="8"/>
    <x v="7"/>
    <x v="19"/>
    <n v="1"/>
    <n v="149.9"/>
    <n v="18.3"/>
    <s v="credit_card"/>
    <n v="15"/>
    <x v="1"/>
    <x v="2"/>
    <s v="Minas Gerais"/>
  </r>
  <r>
    <s v="06ae350afd844b7e1dc14f9322504baf"/>
    <s v="2017-07-09"/>
    <x v="8"/>
    <x v="6"/>
    <x v="14"/>
    <n v="1"/>
    <n v="24.9"/>
    <n v="25.63"/>
    <s v="credit_card"/>
    <n v="26"/>
    <x v="1"/>
    <x v="3"/>
    <s v="Pernambuco"/>
  </r>
  <r>
    <s v="87dbf189fd5e4ff0a6846675d7fe9d0e"/>
    <s v="2017-07-09"/>
    <x v="8"/>
    <x v="5"/>
    <x v="9"/>
    <n v="1"/>
    <n v="104.99"/>
    <n v="14.46"/>
    <s v="credit_card"/>
    <n v="7"/>
    <x v="1"/>
    <x v="2"/>
    <s v="Parana"/>
  </r>
  <r>
    <s v="2e05e404dbee7a30852c84523f222b1e"/>
    <s v="2017-07-10"/>
    <x v="8"/>
    <x v="3"/>
    <x v="1"/>
    <n v="1"/>
    <n v="99.9"/>
    <n v="38.119999999999997"/>
    <s v="boleto"/>
    <n v="8"/>
    <x v="1"/>
    <x v="3"/>
    <s v="Sao Paulo"/>
  </r>
  <r>
    <s v="d14713175ab3ff245a441613d7242f3b"/>
    <s v="2017-07-10"/>
    <x v="8"/>
    <x v="3"/>
    <x v="28"/>
    <n v="1"/>
    <n v="199.97"/>
    <n v="36.909999999999997"/>
    <s v="credit_card"/>
    <n v="15"/>
    <x v="1"/>
    <x v="2"/>
    <s v="Sao Paulo"/>
  </r>
  <r>
    <s v="dfd3b2df64ce5d1f5378d2e211743bbc"/>
    <s v="2017-07-10"/>
    <x v="8"/>
    <x v="4"/>
    <x v="20"/>
    <n v="1"/>
    <n v="87.99"/>
    <n v="17.87"/>
    <s v="boleto"/>
    <n v="7"/>
    <x v="1"/>
    <x v="2"/>
    <s v="Rio de Janeiro"/>
  </r>
  <r>
    <s v="a824d8daf564c79aa91695c4126d0a06"/>
    <s v="2017-07-10"/>
    <x v="8"/>
    <x v="22"/>
    <x v="6"/>
    <n v="1"/>
    <n v="28.99"/>
    <n v="15.1"/>
    <s v="boleto"/>
    <n v="21"/>
    <x v="1"/>
    <x v="2"/>
    <s v="Espirito Santo"/>
  </r>
  <r>
    <s v="b11a56abf15c11b6a5c248689c6525af"/>
    <s v="2017-07-10"/>
    <x v="8"/>
    <x v="3"/>
    <x v="12"/>
    <n v="1"/>
    <n v="9.99"/>
    <n v="11.73"/>
    <s v="credit_card"/>
    <n v="2"/>
    <x v="1"/>
    <x v="2"/>
    <s v="Sao Paulo"/>
  </r>
  <r>
    <s v="6a2979d48eda14bfbe2d632638ae16a2"/>
    <s v="2017-07-10"/>
    <x v="8"/>
    <x v="2"/>
    <x v="41"/>
    <n v="2"/>
    <n v="179.8"/>
    <n v="30.76"/>
    <s v="credit_card"/>
    <n v="21"/>
    <x v="1"/>
    <x v="2"/>
    <s v="Goias"/>
  </r>
  <r>
    <s v="88639fdb042f2080a58a9ed47b6d6a70"/>
    <s v="2017-07-11"/>
    <x v="8"/>
    <x v="5"/>
    <x v="20"/>
    <n v="1"/>
    <n v="75"/>
    <n v="15.28"/>
    <s v="credit_card"/>
    <n v="14"/>
    <x v="1"/>
    <x v="2"/>
    <s v="Parana"/>
  </r>
  <r>
    <s v="5097dff6bbed76071da15d650ab36173"/>
    <s v="2017-07-11"/>
    <x v="8"/>
    <x v="7"/>
    <x v="7"/>
    <n v="1"/>
    <n v="469"/>
    <n v="29.82"/>
    <s v="boleto"/>
    <n v="14"/>
    <x v="1"/>
    <x v="2"/>
    <s v="Minas Gerais"/>
  </r>
  <r>
    <s v="e7a7c3f23a94a1094f891ae30eeeccd3"/>
    <s v="2017-07-11"/>
    <x v="8"/>
    <x v="6"/>
    <x v="29"/>
    <n v="1"/>
    <n v="139"/>
    <n v="29.37"/>
    <s v="credit_card"/>
    <n v="28"/>
    <x v="1"/>
    <x v="5"/>
    <s v="Pernambuco"/>
  </r>
  <r>
    <s v="ee0b134993ab33ad14fbebf2da7e8b59"/>
    <s v="2017-07-11"/>
    <x v="8"/>
    <x v="5"/>
    <x v="19"/>
    <n v="1"/>
    <n v="59.9"/>
    <n v="14.15"/>
    <s v="credit_card"/>
    <n v="7"/>
    <x v="1"/>
    <x v="2"/>
    <s v="Parana"/>
  </r>
  <r>
    <s v="10f34fc8a567488225794fc598c3c9f4"/>
    <s v="2017-07-11"/>
    <x v="8"/>
    <x v="3"/>
    <x v="20"/>
    <n v="1"/>
    <n v="129.99"/>
    <n v="13.93"/>
    <s v="credit_card"/>
    <n v="8"/>
    <x v="1"/>
    <x v="2"/>
    <s v="Sao Paulo"/>
  </r>
  <r>
    <s v="efe9a00980989785f6defa2602f5e4cd"/>
    <s v="2017-07-11"/>
    <x v="8"/>
    <x v="14"/>
    <x v="7"/>
    <n v="1"/>
    <n v="179.9"/>
    <n v="17.02"/>
    <s v="boleto"/>
    <n v="8"/>
    <x v="1"/>
    <x v="2"/>
    <s v="Mato Grosso do Sul"/>
  </r>
  <r>
    <s v="b29e21660ec21d241b0b2fdb161bf7d8"/>
    <s v="2017-07-11"/>
    <x v="8"/>
    <x v="3"/>
    <x v="19"/>
    <n v="1"/>
    <n v="69.900000000000006"/>
    <n v="16.739999999999998"/>
    <s v="boleto"/>
    <n v="8"/>
    <x v="1"/>
    <x v="3"/>
    <s v="Sao Paulo"/>
  </r>
  <r>
    <s v="9695b39a3c85c3d4651b63f03864fd38"/>
    <s v="2017-07-11"/>
    <x v="8"/>
    <x v="14"/>
    <x v="11"/>
    <n v="1"/>
    <n v="16.989999999999998"/>
    <n v="16.79"/>
    <s v="credit_card"/>
    <n v="12"/>
    <x v="1"/>
    <x v="2"/>
    <s v="Mato Grosso do Sul"/>
  </r>
  <r>
    <s v="a97107c0b3df262ab4454ad8c3a91d0b"/>
    <s v="2017-07-11"/>
    <x v="8"/>
    <x v="3"/>
    <x v="14"/>
    <n v="1"/>
    <n v="69.900000000000006"/>
    <n v="11.99"/>
    <s v="credit_card"/>
    <n v="6"/>
    <x v="1"/>
    <x v="3"/>
    <s v="Sao Paulo"/>
  </r>
  <r>
    <s v="804e0b86e8fe8f4b319d850c87dd79bd"/>
    <s v="2017-07-11"/>
    <x v="8"/>
    <x v="3"/>
    <x v="22"/>
    <n v="1"/>
    <n v="29"/>
    <n v="7.78"/>
    <s v="credit_card"/>
    <n v="19"/>
    <x v="2"/>
    <x v="1"/>
    <s v="Sao Paulo"/>
  </r>
  <r>
    <s v="b5247f083ab1483738dc1a173aac237a"/>
    <s v="2017-07-11"/>
    <x v="8"/>
    <x v="1"/>
    <x v="28"/>
    <n v="1"/>
    <n v="209.99"/>
    <n v="66.28"/>
    <s v="credit_card"/>
    <n v="19"/>
    <x v="1"/>
    <x v="1"/>
    <s v="Rio Grande do Sul"/>
  </r>
  <r>
    <s v="f16d36e918e76d6b9afabb3d8189f313"/>
    <s v="2017-07-12"/>
    <x v="8"/>
    <x v="3"/>
    <x v="26"/>
    <n v="2"/>
    <n v="118"/>
    <n v="15.56"/>
    <s v="credit_card"/>
    <n v="1"/>
    <x v="1"/>
    <x v="3"/>
    <s v="Sao Paulo"/>
  </r>
  <r>
    <s v="1f3128e8dcdc994a80f83cff1c576a35"/>
    <s v="2017-07-12"/>
    <x v="8"/>
    <x v="8"/>
    <x v="13"/>
    <n v="1"/>
    <n v="44.9"/>
    <n v="13.5"/>
    <s v="credit_card"/>
    <n v="24"/>
    <x v="1"/>
    <x v="0"/>
    <s v="Santa Catarina"/>
  </r>
  <r>
    <s v="3f5abd933258e53656eb4368f0762fec"/>
    <s v="2017-07-12"/>
    <x v="8"/>
    <x v="3"/>
    <x v="22"/>
    <n v="1"/>
    <n v="209.99"/>
    <n v="13.81"/>
    <s v="credit_card"/>
    <n v="7"/>
    <x v="1"/>
    <x v="2"/>
    <s v="Sao Paulo"/>
  </r>
  <r>
    <s v="a173a87bc70963a0ab33b92dd6f193dd"/>
    <s v="2017-07-12"/>
    <x v="8"/>
    <x v="21"/>
    <x v="1"/>
    <n v="1"/>
    <n v="59.99"/>
    <n v="16.989999999999998"/>
    <s v="credit_card"/>
    <n v="12"/>
    <x v="1"/>
    <x v="2"/>
    <s v="Bahia"/>
  </r>
  <r>
    <s v="d9bc6265a0fd5fd74e4c1db0ee72d753"/>
    <s v="2017-07-12"/>
    <x v="8"/>
    <x v="8"/>
    <x v="9"/>
    <n v="1"/>
    <n v="119.9"/>
    <n v="15.59"/>
    <s v="credit_card"/>
    <n v="23"/>
    <x v="2"/>
    <x v="0"/>
    <s v="Santa Catarina"/>
  </r>
  <r>
    <s v="73d34a2bf529090b8e28797f2169823c"/>
    <s v="2017-07-13"/>
    <x v="8"/>
    <x v="7"/>
    <x v="14"/>
    <n v="1"/>
    <n v="205"/>
    <n v="26.27"/>
    <s v="credit_card"/>
    <n v="11"/>
    <x v="1"/>
    <x v="2"/>
    <s v="Minas Gerais"/>
  </r>
  <r>
    <s v="20bc33ea85750fd7d20d7b72c5c4b36d"/>
    <s v="2017-07-13"/>
    <x v="8"/>
    <x v="5"/>
    <x v="28"/>
    <n v="2"/>
    <n v="399.88"/>
    <n v="173.12"/>
    <s v="credit_card"/>
    <n v="17"/>
    <x v="1"/>
    <x v="0"/>
    <s v="Parana"/>
  </r>
  <r>
    <s v="788981eeae5e313081bd50e623f540f8"/>
    <s v="2017-07-13"/>
    <x v="8"/>
    <x v="3"/>
    <x v="14"/>
    <n v="1"/>
    <n v="22.9"/>
    <n v="11.85"/>
    <s v="boleto"/>
    <n v="12"/>
    <x v="1"/>
    <x v="0"/>
    <s v="Sao Paulo"/>
  </r>
  <r>
    <s v="4140fb83a84c614859497ddf5333334f"/>
    <s v="2017-07-13"/>
    <x v="8"/>
    <x v="4"/>
    <x v="14"/>
    <n v="1"/>
    <n v="27.4"/>
    <n v="15.1"/>
    <s v="credit_card"/>
    <n v="14"/>
    <x v="1"/>
    <x v="2"/>
    <s v="Rio de Janeiro"/>
  </r>
  <r>
    <s v="a867d77ca2a1f66f8ef67750c711d074"/>
    <s v="2017-07-13"/>
    <x v="8"/>
    <x v="3"/>
    <x v="29"/>
    <n v="1"/>
    <n v="48.9"/>
    <n v="13.37"/>
    <s v="credit_card"/>
    <n v="6"/>
    <x v="1"/>
    <x v="2"/>
    <s v="Sao Paulo"/>
  </r>
  <r>
    <s v="9f59586295a7d2e6c788a21e6cf5d8a9"/>
    <s v="2017-07-13"/>
    <x v="8"/>
    <x v="2"/>
    <x v="22"/>
    <n v="1"/>
    <n v="49"/>
    <n v="14.1"/>
    <s v="voucher"/>
    <n v="7"/>
    <x v="1"/>
    <x v="2"/>
    <s v="Goias"/>
  </r>
  <r>
    <s v="b4860a5b1e68976794cbe548c4ecf0a7"/>
    <s v="2017-07-13"/>
    <x v="8"/>
    <x v="3"/>
    <x v="4"/>
    <n v="1"/>
    <n v="149"/>
    <n v="16.48"/>
    <s v="boleto"/>
    <n v="8"/>
    <x v="1"/>
    <x v="3"/>
    <s v="Sao Paulo"/>
  </r>
  <r>
    <s v="67ff6057a78f38214118680c4a286f2c"/>
    <s v="2017-07-14"/>
    <x v="8"/>
    <x v="3"/>
    <x v="21"/>
    <n v="1"/>
    <n v="54.9"/>
    <n v="13.4"/>
    <s v="boleto"/>
    <n v="18"/>
    <x v="1"/>
    <x v="2"/>
    <s v="Sao Paulo"/>
  </r>
  <r>
    <s v="261f7ff907490323f35d83f257331429"/>
    <s v="2017-07-14"/>
    <x v="8"/>
    <x v="4"/>
    <x v="14"/>
    <n v="1"/>
    <n v="142"/>
    <n v="15.74"/>
    <s v="credit_card"/>
    <n v="12"/>
    <x v="1"/>
    <x v="2"/>
    <s v="Rio de Janeiro"/>
  </r>
  <r>
    <s v="483911cb189b99a0f8f7278c240c2975"/>
    <s v="2017-07-14"/>
    <x v="8"/>
    <x v="7"/>
    <x v="14"/>
    <n v="1"/>
    <n v="29.99"/>
    <n v="15.1"/>
    <s v="credit_card"/>
    <n v="16"/>
    <x v="1"/>
    <x v="2"/>
    <s v="Minas Gerais"/>
  </r>
  <r>
    <s v="d4f742f7a223add48641c06ac0b96a25"/>
    <s v="2017-07-14"/>
    <x v="8"/>
    <x v="3"/>
    <x v="41"/>
    <n v="1"/>
    <n v="229"/>
    <n v="17.23"/>
    <s v="boleto"/>
    <n v="9"/>
    <x v="1"/>
    <x v="0"/>
    <s v="Sao Paulo"/>
  </r>
  <r>
    <s v="35a3fda780d64bcef27e2922fe37b24d"/>
    <s v="2017-07-15"/>
    <x v="8"/>
    <x v="21"/>
    <x v="22"/>
    <n v="1"/>
    <n v="49"/>
    <n v="16.79"/>
    <s v="credit_card"/>
    <n v="16"/>
    <x v="1"/>
    <x v="2"/>
    <s v="Bahia"/>
  </r>
  <r>
    <s v="7cc511af09f6c0b54385d08aaca28680"/>
    <s v="2017-07-15"/>
    <x v="8"/>
    <x v="3"/>
    <x v="9"/>
    <n v="1"/>
    <n v="31.99"/>
    <n v="11.85"/>
    <s v="voucher"/>
    <n v="10"/>
    <x v="1"/>
    <x v="2"/>
    <s v="Sao Paulo"/>
  </r>
  <r>
    <s v="ab6ccded40dba2056dfa826368b5adf3"/>
    <s v="2017-07-15"/>
    <x v="8"/>
    <x v="3"/>
    <x v="14"/>
    <n v="1"/>
    <n v="22.9"/>
    <n v="11.85"/>
    <s v="boleto"/>
    <n v="12"/>
    <x v="1"/>
    <x v="3"/>
    <s v="Sao Paulo"/>
  </r>
  <r>
    <s v="87a7993a41d542a5b33757b3a453efb0"/>
    <s v="2017-07-15"/>
    <x v="8"/>
    <x v="1"/>
    <x v="5"/>
    <n v="1"/>
    <n v="56.99"/>
    <n v="15.15"/>
    <s v="boleto"/>
    <n v="13"/>
    <x v="1"/>
    <x v="2"/>
    <s v="Rio Grande do Sul"/>
  </r>
  <r>
    <s v="19b9083421d73aac95bbafa1972dbc45"/>
    <s v="2017-07-15"/>
    <x v="8"/>
    <x v="3"/>
    <x v="19"/>
    <n v="1"/>
    <n v="26"/>
    <n v="8.27"/>
    <s v="credit_card"/>
    <n v="2"/>
    <x v="1"/>
    <x v="3"/>
    <s v="Sao Paulo"/>
  </r>
  <r>
    <s v="ee4d37f7666f4649a942fad1192bb2f4"/>
    <s v="2017-07-16"/>
    <x v="8"/>
    <x v="18"/>
    <x v="22"/>
    <n v="1"/>
    <n v="248"/>
    <n v="19.02"/>
    <s v="credit_card"/>
    <n v="8"/>
    <x v="1"/>
    <x v="2"/>
    <s v="Distrito Federal"/>
  </r>
  <r>
    <s v="1d24b01e4ad4214409a4cfea16ab3000"/>
    <s v="2017-07-16"/>
    <x v="8"/>
    <x v="3"/>
    <x v="14"/>
    <n v="1"/>
    <n v="70.739999999999995"/>
    <n v="12.84"/>
    <s v="credit_card"/>
    <n v="8"/>
    <x v="1"/>
    <x v="5"/>
    <s v="Sao Paulo"/>
  </r>
  <r>
    <s v="06a6627d9cc91a04e9d146bf65fee0a2"/>
    <s v="2017-07-16"/>
    <x v="8"/>
    <x v="3"/>
    <x v="14"/>
    <n v="1"/>
    <n v="99.9"/>
    <n v="13.72"/>
    <s v="credit_card"/>
    <n v="5"/>
    <x v="1"/>
    <x v="3"/>
    <s v="Sao Paulo"/>
  </r>
  <r>
    <s v="ec75a563a9c1e88a534f34f1280b0c8b"/>
    <s v="2017-07-16"/>
    <x v="8"/>
    <x v="3"/>
    <x v="0"/>
    <n v="1"/>
    <n v="45.9"/>
    <n v="12.69"/>
    <s v="boleto"/>
    <n v="8"/>
    <x v="1"/>
    <x v="2"/>
    <s v="Sao Paulo"/>
  </r>
  <r>
    <s v="2721cdbb603d7ab34553d2e44a6f9ae0"/>
    <s v="2017-07-16"/>
    <x v="8"/>
    <x v="7"/>
    <x v="4"/>
    <n v="1"/>
    <n v="89"/>
    <n v="15.37"/>
    <s v="boleto"/>
    <n v="8"/>
    <x v="1"/>
    <x v="5"/>
    <s v="Minas Gerais"/>
  </r>
  <r>
    <s v="b40cc33d658c4e802526de2bf8a56d43"/>
    <s v="2017-07-17"/>
    <x v="8"/>
    <x v="4"/>
    <x v="19"/>
    <n v="1"/>
    <n v="23.9"/>
    <n v="15.11"/>
    <s v="boleto"/>
    <n v="11"/>
    <x v="1"/>
    <x v="5"/>
    <s v="Rio de Janeiro"/>
  </r>
  <r>
    <s v="79c6130ca63ec6a1dfbf2b33fa9a87c6"/>
    <s v="2017-07-17"/>
    <x v="8"/>
    <x v="8"/>
    <x v="9"/>
    <n v="1"/>
    <n v="49.99"/>
    <n v="15.1"/>
    <s v="credit_card"/>
    <n v="8"/>
    <x v="1"/>
    <x v="2"/>
    <s v="Santa Catarina"/>
  </r>
  <r>
    <s v="969845b1c24ed7c5f3d07b64667967f8"/>
    <s v="2017-07-17"/>
    <x v="8"/>
    <x v="3"/>
    <x v="14"/>
    <n v="1"/>
    <n v="105.9"/>
    <n v="13.76"/>
    <s v="credit_card"/>
    <n v="7"/>
    <x v="1"/>
    <x v="3"/>
    <s v="Sao Paulo"/>
  </r>
  <r>
    <s v="dfc5a5525471e9341af3ad103adbef79"/>
    <s v="2017-07-17"/>
    <x v="8"/>
    <x v="8"/>
    <x v="1"/>
    <n v="1"/>
    <n v="128.9"/>
    <n v="20.14"/>
    <s v="boleto"/>
    <n v="15"/>
    <x v="1"/>
    <x v="3"/>
    <s v="Santa Catarina"/>
  </r>
  <r>
    <s v="2d5b43766328f55157cae1e85e1dd475"/>
    <s v="2017-07-17"/>
    <x v="8"/>
    <x v="7"/>
    <x v="6"/>
    <n v="1"/>
    <n v="45"/>
    <n v="11.85"/>
    <s v="credit_card"/>
    <n v="10"/>
    <x v="1"/>
    <x v="3"/>
    <s v="Minas Gerais"/>
  </r>
  <r>
    <s v="090df55d4945ec96f88731875465407d"/>
    <s v="2017-07-17"/>
    <x v="8"/>
    <x v="3"/>
    <x v="7"/>
    <n v="1"/>
    <n v="59.9"/>
    <n v="13.44"/>
    <s v="credit_card"/>
    <n v="8"/>
    <x v="1"/>
    <x v="3"/>
    <s v="Sao Paulo"/>
  </r>
  <r>
    <s v="3eb78d52f39f1e6f40814845897b7453"/>
    <s v="2017-07-17"/>
    <x v="8"/>
    <x v="4"/>
    <x v="26"/>
    <n v="1"/>
    <n v="34.9"/>
    <n v="14.1"/>
    <s v="credit_card"/>
    <n v="8"/>
    <x v="1"/>
    <x v="2"/>
    <s v="Rio de Janeiro"/>
  </r>
  <r>
    <s v="b124d85cd6e55467812fa1bab3dce946"/>
    <s v="2017-07-17"/>
    <x v="8"/>
    <x v="3"/>
    <x v="5"/>
    <n v="1"/>
    <n v="56.99"/>
    <n v="7.78"/>
    <s v="credit_card"/>
    <n v="3"/>
    <x v="1"/>
    <x v="2"/>
    <s v="Sao Paulo"/>
  </r>
  <r>
    <s v="d2545da4dd93f38a15c5babeef77209e"/>
    <s v="2017-07-18"/>
    <x v="8"/>
    <x v="24"/>
    <x v="2"/>
    <n v="1"/>
    <n v="113.9"/>
    <n v="38.35"/>
    <s v="credit_card"/>
    <n v="22"/>
    <x v="1"/>
    <x v="2"/>
    <s v="Alagoas"/>
  </r>
  <r>
    <s v="9dc7932b1c116c2d56c1a2c52442d0cb"/>
    <s v="2017-07-18"/>
    <x v="8"/>
    <x v="18"/>
    <x v="7"/>
    <n v="1"/>
    <n v="552.5"/>
    <n v="21.12"/>
    <s v="credit_card"/>
    <n v="13"/>
    <x v="1"/>
    <x v="2"/>
    <s v="Distrito Federal"/>
  </r>
  <r>
    <s v="cae1cef56202db2581379f836268bfda"/>
    <s v="2017-07-18"/>
    <x v="8"/>
    <x v="3"/>
    <x v="11"/>
    <n v="1"/>
    <n v="16.989999999999998"/>
    <n v="15.1"/>
    <s v="boleto"/>
    <n v="14"/>
    <x v="1"/>
    <x v="2"/>
    <s v="Sao Paulo"/>
  </r>
  <r>
    <s v="76d4ae1832cf14e630c878e83e011442"/>
    <s v="2017-07-18"/>
    <x v="8"/>
    <x v="3"/>
    <x v="0"/>
    <n v="1"/>
    <n v="44.55"/>
    <n v="12.69"/>
    <s v="credit_card"/>
    <n v="10"/>
    <x v="1"/>
    <x v="2"/>
    <s v="Sao Paulo"/>
  </r>
  <r>
    <s v="66dd11eed8eb0d72f0acf755122c4a13"/>
    <s v="2017-07-18"/>
    <x v="8"/>
    <x v="10"/>
    <x v="2"/>
    <n v="1"/>
    <n v="77.8"/>
    <n v="38.090000000000003"/>
    <s v="credit_card"/>
    <n v="10"/>
    <x v="1"/>
    <x v="2"/>
    <s v="Piaui"/>
  </r>
  <r>
    <s v="c63112181863ee049837cf2a0ecbfab7"/>
    <s v="2017-07-19"/>
    <x v="8"/>
    <x v="3"/>
    <x v="14"/>
    <n v="1"/>
    <n v="205"/>
    <n v="15.04"/>
    <s v="credit_card"/>
    <n v="8"/>
    <x v="1"/>
    <x v="1"/>
    <s v="Sao Paulo"/>
  </r>
  <r>
    <s v="d6f69373bd8e19dddb4c20e6d01ea72e"/>
    <s v="2017-07-19"/>
    <x v="8"/>
    <x v="7"/>
    <x v="19"/>
    <n v="1"/>
    <n v="52.9"/>
    <n v="15.12"/>
    <s v="credit_card"/>
    <n v="18"/>
    <x v="1"/>
    <x v="2"/>
    <s v="Minas Gerais"/>
  </r>
  <r>
    <s v="69a2a91fc2f5cf8fd09cf5e9ed2b56ff"/>
    <s v="2017-07-19"/>
    <x v="8"/>
    <x v="3"/>
    <x v="7"/>
    <n v="1"/>
    <n v="65.7"/>
    <n v="7.78"/>
    <s v="credit_card"/>
    <n v="1"/>
    <x v="1"/>
    <x v="2"/>
    <s v="Sao Paulo"/>
  </r>
  <r>
    <s v="f8207caf0d0b8d07ebb64c397a72793a"/>
    <s v="2017-07-19"/>
    <x v="8"/>
    <x v="3"/>
    <x v="9"/>
    <n v="1"/>
    <n v="203.6"/>
    <n v="12.63"/>
    <s v="boleto"/>
    <n v="3"/>
    <x v="1"/>
    <x v="2"/>
    <s v="Sao Paulo"/>
  </r>
  <r>
    <s v="ee76c8b8bd42ca7913d033a9dea1383f"/>
    <s v="2017-07-20"/>
    <x v="8"/>
    <x v="2"/>
    <x v="14"/>
    <n v="1"/>
    <n v="205"/>
    <n v="26.27"/>
    <s v="credit_card"/>
    <n v="14"/>
    <x v="1"/>
    <x v="1"/>
    <s v="Goias"/>
  </r>
  <r>
    <s v="7d4101163410b1380268da3933e691f1"/>
    <s v="2017-07-20"/>
    <x v="8"/>
    <x v="21"/>
    <x v="14"/>
    <n v="2"/>
    <n v="179.8"/>
    <n v="34.14"/>
    <s v="credit_card"/>
    <n v="5"/>
    <x v="1"/>
    <x v="5"/>
    <s v="Bahia"/>
  </r>
  <r>
    <s v="78532828d00531b29b635848828001f9"/>
    <s v="2017-07-20"/>
    <x v="8"/>
    <x v="7"/>
    <x v="13"/>
    <n v="1"/>
    <n v="49.9"/>
    <n v="26.89"/>
    <s v="boleto"/>
    <n v="6"/>
    <x v="1"/>
    <x v="2"/>
    <s v="Minas Gerais"/>
  </r>
  <r>
    <s v="0a8b7ed1fb705a8af99575dc742cd328"/>
    <s v="2017-07-20"/>
    <x v="8"/>
    <x v="3"/>
    <x v="13"/>
    <n v="1"/>
    <n v="52.9"/>
    <n v="13.39"/>
    <s v="credit_card"/>
    <n v="8"/>
    <x v="1"/>
    <x v="2"/>
    <s v="Sao Paulo"/>
  </r>
  <r>
    <s v="1427ef2af9580d8d943b1f0ed1f8e050"/>
    <s v="2017-07-20"/>
    <x v="8"/>
    <x v="7"/>
    <x v="21"/>
    <n v="1"/>
    <n v="78.900000000000006"/>
    <n v="13.61"/>
    <s v="credit_card"/>
    <n v="6"/>
    <x v="1"/>
    <x v="2"/>
    <s v="Minas Gerais"/>
  </r>
  <r>
    <s v="99f48f57d8e3a6f6bcc13902ee0067c7"/>
    <s v="2017-07-20"/>
    <x v="8"/>
    <x v="1"/>
    <x v="36"/>
    <n v="1"/>
    <n v="59.9"/>
    <n v="16.18"/>
    <s v="credit_card"/>
    <n v="11"/>
    <x v="1"/>
    <x v="2"/>
    <s v="Rio Grande do Sul"/>
  </r>
  <r>
    <s v="e5bc812e034a9041261c8637e4dc4497"/>
    <s v="2017-07-20"/>
    <x v="8"/>
    <x v="3"/>
    <x v="19"/>
    <n v="6"/>
    <n v="35.400000000000013"/>
    <n v="56.04"/>
    <s v="credit_card"/>
    <n v="8"/>
    <x v="1"/>
    <x v="2"/>
    <s v="Sao Paulo"/>
  </r>
  <r>
    <s v="1eeff18e275e2d98a4701b328d2214c0"/>
    <s v="2017-07-20"/>
    <x v="8"/>
    <x v="4"/>
    <x v="12"/>
    <n v="1"/>
    <n v="79.900000000000006"/>
    <n v="17"/>
    <s v="credit_card"/>
    <n v="7"/>
    <x v="1"/>
    <x v="2"/>
    <s v="Rio de Janeiro"/>
  </r>
  <r>
    <s v="59a0b1e1b934789d033dfb98797d9d34"/>
    <s v="2017-07-20"/>
    <x v="8"/>
    <x v="26"/>
    <x v="21"/>
    <n v="1"/>
    <n v="121.9"/>
    <n v="38.4"/>
    <s v="boleto"/>
    <n v="12"/>
    <x v="1"/>
    <x v="3"/>
    <s v="Paraiba"/>
  </r>
  <r>
    <s v="788dadfe475fc16d5e7562f1a5fa8e82"/>
    <s v="2017-07-20"/>
    <x v="8"/>
    <x v="3"/>
    <x v="12"/>
    <n v="1"/>
    <n v="119.9"/>
    <n v="13.18"/>
    <s v="credit_card"/>
    <n v="7"/>
    <x v="1"/>
    <x v="2"/>
    <s v="Sao Paulo"/>
  </r>
  <r>
    <s v="90168dcfab7b04546b03342f246250e0"/>
    <s v="2017-07-21"/>
    <x v="8"/>
    <x v="3"/>
    <x v="22"/>
    <n v="1"/>
    <n v="29"/>
    <n v="7.78"/>
    <s v="credit_card"/>
    <n v="4"/>
    <x v="1"/>
    <x v="0"/>
    <s v="Sao Paulo"/>
  </r>
  <r>
    <s v="ca228c2c6dc307c077c98d26bb8de09d"/>
    <s v="2017-07-21"/>
    <x v="8"/>
    <x v="4"/>
    <x v="5"/>
    <n v="1"/>
    <n v="56.99"/>
    <n v="14.15"/>
    <s v="credit_card"/>
    <n v="10"/>
    <x v="1"/>
    <x v="2"/>
    <s v="Rio de Janeiro"/>
  </r>
  <r>
    <s v="bf237ea364c3113c48cb2815b7bbe2c9"/>
    <s v="2017-07-21"/>
    <x v="8"/>
    <x v="3"/>
    <x v="34"/>
    <n v="1"/>
    <n v="72"/>
    <n v="13.52"/>
    <s v="credit_card"/>
    <n v="11"/>
    <x v="1"/>
    <x v="2"/>
    <s v="Sao Paulo"/>
  </r>
  <r>
    <s v="64f342fec608b8d7ec942b807e01652d"/>
    <s v="2017-07-21"/>
    <x v="8"/>
    <x v="3"/>
    <x v="7"/>
    <n v="2"/>
    <n v="119.8"/>
    <n v="24.96"/>
    <s v="credit_card"/>
    <n v="7"/>
    <x v="1"/>
    <x v="2"/>
    <s v="Sao Paulo"/>
  </r>
  <r>
    <s v="12b69999b64f73f3cdfa23512584c8d5"/>
    <s v="2017-07-22"/>
    <x v="8"/>
    <x v="17"/>
    <x v="17"/>
    <n v="1"/>
    <n v="16.899999999999999"/>
    <n v="42.38"/>
    <s v="credit_card"/>
    <n v="17"/>
    <x v="1"/>
    <x v="3"/>
    <s v="Rondonia"/>
  </r>
  <r>
    <s v="332c91ab63b630c1ecd7d5b100ce43bd"/>
    <s v="2017-07-22"/>
    <x v="8"/>
    <x v="12"/>
    <x v="14"/>
    <n v="1"/>
    <n v="205"/>
    <n v="38.57"/>
    <s v="boleto"/>
    <n v="19"/>
    <x v="1"/>
    <x v="3"/>
    <s v="Ceara"/>
  </r>
  <r>
    <s v="793c2f0661686b1d7e18efec8c4b43be"/>
    <s v="2017-07-22"/>
    <x v="8"/>
    <x v="5"/>
    <x v="21"/>
    <n v="1"/>
    <n v="84.9"/>
    <n v="19.829999999999998"/>
    <s v="credit_card"/>
    <n v="10"/>
    <x v="1"/>
    <x v="2"/>
    <s v="Parana"/>
  </r>
  <r>
    <s v="b172a003a35f407e54bc6d8ba4c5b1fa"/>
    <s v="2017-07-22"/>
    <x v="8"/>
    <x v="12"/>
    <x v="6"/>
    <n v="1"/>
    <n v="39.99"/>
    <n v="17.63"/>
    <s v="credit_card"/>
    <n v="20"/>
    <x v="1"/>
    <x v="2"/>
    <s v="Ceara"/>
  </r>
  <r>
    <s v="2dea508202fbd39c677502defdef2d21"/>
    <s v="2017-07-22"/>
    <x v="8"/>
    <x v="3"/>
    <x v="20"/>
    <n v="1"/>
    <n v="499.9"/>
    <n v="14.7"/>
    <s v="credit_card"/>
    <n v="3"/>
    <x v="1"/>
    <x v="2"/>
    <s v="Sao Paulo"/>
  </r>
  <r>
    <s v="77cee551ec0bfd054f82bd2495d2fcd6"/>
    <s v="2017-07-22"/>
    <x v="8"/>
    <x v="4"/>
    <x v="14"/>
    <n v="2"/>
    <n v="197.98"/>
    <n v="42.36"/>
    <s v="boleto"/>
    <n v="13"/>
    <x v="1"/>
    <x v="2"/>
    <s v="Rio de Janeiro"/>
  </r>
  <r>
    <s v="9c77966338b7a4afae520a5723c937a3"/>
    <s v="2017-07-22"/>
    <x v="8"/>
    <x v="4"/>
    <x v="14"/>
    <n v="1"/>
    <n v="59.9"/>
    <n v="16.18"/>
    <s v="voucher"/>
    <n v="22"/>
    <x v="1"/>
    <x v="1"/>
    <s v="Rio de Janeiro"/>
  </r>
  <r>
    <s v="8e1e84cffb2c5174a4d5d9026c0a5013"/>
    <s v="2017-07-23"/>
    <x v="8"/>
    <x v="3"/>
    <x v="14"/>
    <n v="1"/>
    <n v="34.9"/>
    <n v="16.600000000000001"/>
    <s v="credit_card"/>
    <n v="10"/>
    <x v="1"/>
    <x v="2"/>
    <s v="Sao Paulo"/>
  </r>
  <r>
    <s v="317e9689b222bc8a5b08dfcb0c91b515"/>
    <s v="2017-07-23"/>
    <x v="8"/>
    <x v="1"/>
    <x v="26"/>
    <n v="1"/>
    <n v="29.9"/>
    <n v="15.1"/>
    <s v="boleto"/>
    <n v="18"/>
    <x v="1"/>
    <x v="3"/>
    <s v="Rio Grande do Sul"/>
  </r>
  <r>
    <s v="d9bd19ff1f9e434a5d633944430a97ec"/>
    <s v="2017-07-23"/>
    <x v="8"/>
    <x v="3"/>
    <x v="0"/>
    <n v="1"/>
    <n v="169"/>
    <n v="14.79"/>
    <s v="credit_card"/>
    <n v="2"/>
    <x v="1"/>
    <x v="0"/>
    <s v="Sao Paulo"/>
  </r>
  <r>
    <s v="710e2c5ff9a94d1abd06aee65f2ab524"/>
    <s v="2017-07-23"/>
    <x v="8"/>
    <x v="3"/>
    <x v="1"/>
    <n v="1"/>
    <n v="169.9"/>
    <n v="17.440000000000001"/>
    <s v="credit_card"/>
    <n v="8"/>
    <x v="1"/>
    <x v="3"/>
    <s v="Sao Paulo"/>
  </r>
  <r>
    <s v="b3ba9e96f5d04c8c20e37e9ffd2e79a8"/>
    <s v="2017-07-24"/>
    <x v="8"/>
    <x v="3"/>
    <x v="19"/>
    <n v="1"/>
    <n v="85"/>
    <n v="11.8"/>
    <s v="credit_card"/>
    <n v="1"/>
    <x v="1"/>
    <x v="2"/>
    <s v="Sao Paulo"/>
  </r>
  <r>
    <s v="0205c3dd6f4d8e348ee72fffd114fec4"/>
    <s v="2017-07-24"/>
    <x v="8"/>
    <x v="12"/>
    <x v="5"/>
    <n v="1"/>
    <n v="56.99"/>
    <n v="17.68"/>
    <s v="credit_card"/>
    <n v="16"/>
    <x v="1"/>
    <x v="3"/>
    <s v="Ceara"/>
  </r>
  <r>
    <s v="52b72b336dbd155b3d75bb3fcc799ac3"/>
    <s v="2017-07-24"/>
    <x v="8"/>
    <x v="3"/>
    <x v="18"/>
    <n v="1"/>
    <n v="49"/>
    <n v="7.78"/>
    <s v="credit_card"/>
    <n v="1"/>
    <x v="1"/>
    <x v="2"/>
    <s v="Sao Paulo"/>
  </r>
  <r>
    <s v="e2f058d7261e0cfb0eea8f8d556269ef"/>
    <s v="2017-07-24"/>
    <x v="8"/>
    <x v="3"/>
    <x v="21"/>
    <n v="1"/>
    <n v="54.9"/>
    <n v="14.13"/>
    <s v="credit_card"/>
    <n v="8"/>
    <x v="1"/>
    <x v="2"/>
    <s v="Sao Paulo"/>
  </r>
  <r>
    <s v="6704cecb75359214b2a2c7ddb894b89e"/>
    <s v="2017-07-24"/>
    <x v="8"/>
    <x v="3"/>
    <x v="9"/>
    <n v="1"/>
    <n v="79"/>
    <n v="19.79"/>
    <s v="credit_card"/>
    <n v="7"/>
    <x v="1"/>
    <x v="2"/>
    <s v="Sao Paulo"/>
  </r>
  <r>
    <s v="1e098529b9705a78dba4c6b24ee2ef35"/>
    <s v="2017-07-24"/>
    <x v="8"/>
    <x v="3"/>
    <x v="18"/>
    <n v="1"/>
    <n v="69"/>
    <n v="7.78"/>
    <s v="credit_card"/>
    <n v="2"/>
    <x v="1"/>
    <x v="2"/>
    <s v="Sao Paulo"/>
  </r>
  <r>
    <s v="2c8ae71873abf8c37c3dbf4322dc9a24"/>
    <s v="2017-07-24"/>
    <x v="8"/>
    <x v="12"/>
    <x v="9"/>
    <n v="1"/>
    <n v="98"/>
    <n v="27.23"/>
    <s v="credit_card"/>
    <n v="16"/>
    <x v="1"/>
    <x v="2"/>
    <s v="Ceara"/>
  </r>
  <r>
    <s v="f9697e263e9eec082f1ced4fa81d2faa"/>
    <s v="2017-07-24"/>
    <x v="8"/>
    <x v="14"/>
    <x v="14"/>
    <n v="2"/>
    <n v="236"/>
    <n v="33.17"/>
    <s v="boleto"/>
    <n v="7"/>
    <x v="1"/>
    <x v="5"/>
    <s v="Mato Grosso do Sul"/>
  </r>
  <r>
    <s v="3e10da3f366b635d6a1e0d380b32da95"/>
    <s v="2017-07-25"/>
    <x v="8"/>
    <x v="10"/>
    <x v="0"/>
    <n v="1"/>
    <n v="59.9"/>
    <n v="44.27"/>
    <s v="credit_card"/>
    <n v="13"/>
    <x v="1"/>
    <x v="2"/>
    <s v="Piaui"/>
  </r>
  <r>
    <s v="e7c984c7684388a750178a7187b29cc4"/>
    <s v="2017-07-25"/>
    <x v="8"/>
    <x v="3"/>
    <x v="19"/>
    <n v="1"/>
    <n v="79.08"/>
    <n v="17.8"/>
    <s v="credit_card"/>
    <n v="6"/>
    <x v="1"/>
    <x v="3"/>
    <s v="Sao Paulo"/>
  </r>
  <r>
    <s v="d228a9c137a2d23357ac9c661da7285e"/>
    <s v="2017-07-25"/>
    <x v="8"/>
    <x v="3"/>
    <x v="6"/>
    <n v="1"/>
    <n v="75"/>
    <n v="9.27"/>
    <s v="credit_card"/>
    <n v="6"/>
    <x v="1"/>
    <x v="3"/>
    <s v="Sao Paulo"/>
  </r>
  <r>
    <s v="49a898ddad77a56cfcf158749854222f"/>
    <s v="2017-07-25"/>
    <x v="8"/>
    <x v="7"/>
    <x v="20"/>
    <n v="1"/>
    <n v="499.9"/>
    <n v="20.75"/>
    <s v="credit_card"/>
    <n v="7"/>
    <x v="1"/>
    <x v="3"/>
    <s v="Minas Gerais"/>
  </r>
  <r>
    <s v="f081180e44957b00bf43b18a823e8819"/>
    <s v="2017-07-25"/>
    <x v="8"/>
    <x v="3"/>
    <x v="1"/>
    <n v="1"/>
    <n v="58.9"/>
    <n v="11.73"/>
    <s v="boleto"/>
    <n v="3"/>
    <x v="1"/>
    <x v="1"/>
    <s v="Sao Paulo"/>
  </r>
  <r>
    <s v="ef70e4d6b81be0fc423f1b77e4481e44"/>
    <s v="2017-07-25"/>
    <x v="8"/>
    <x v="3"/>
    <x v="30"/>
    <n v="1"/>
    <n v="19.47"/>
    <n v="9.27"/>
    <s v="credit_card"/>
    <n v="3"/>
    <x v="1"/>
    <x v="2"/>
    <s v="Sao Paulo"/>
  </r>
  <r>
    <s v="f09f3f77745d7ca1975a8c080123a68a"/>
    <s v="2017-07-25"/>
    <x v="8"/>
    <x v="3"/>
    <x v="2"/>
    <n v="1"/>
    <n v="124.99"/>
    <n v="15.69"/>
    <s v="credit_card"/>
    <n v="7"/>
    <x v="1"/>
    <x v="2"/>
    <s v="Sao Paulo"/>
  </r>
  <r>
    <s v="019b8e16e30c8b9ad9bf87e039a27765"/>
    <s v="2017-07-25"/>
    <x v="8"/>
    <x v="3"/>
    <x v="1"/>
    <n v="1"/>
    <n v="99.99"/>
    <n v="13.72"/>
    <s v="credit_card"/>
    <n v="9"/>
    <x v="1"/>
    <x v="1"/>
    <s v="Sao Paulo"/>
  </r>
  <r>
    <s v="f28f39649e3b855c1e269fde05f2629f"/>
    <s v="2017-07-26"/>
    <x v="8"/>
    <x v="3"/>
    <x v="9"/>
    <n v="1"/>
    <n v="89.99"/>
    <n v="7.88"/>
    <s v="credit_card"/>
    <n v="6"/>
    <x v="1"/>
    <x v="3"/>
    <s v="Sao Paulo"/>
  </r>
  <r>
    <s v="9b7130a90e8f2c23cba417fd1e9be425"/>
    <s v="2017-07-26"/>
    <x v="8"/>
    <x v="3"/>
    <x v="19"/>
    <n v="1"/>
    <n v="56.9"/>
    <n v="9.27"/>
    <s v="credit_card"/>
    <n v="2"/>
    <x v="1"/>
    <x v="2"/>
    <s v="Sao Paulo"/>
  </r>
  <r>
    <s v="c02a5571a92c4122218c6471c440567a"/>
    <s v="2017-07-26"/>
    <x v="8"/>
    <x v="3"/>
    <x v="19"/>
    <n v="1"/>
    <n v="84.9"/>
    <n v="17.84"/>
    <s v="credit_card"/>
    <n v="8"/>
    <x v="1"/>
    <x v="2"/>
    <s v="Sao Paulo"/>
  </r>
  <r>
    <s v="2d59688444fe2c77837f198bb74f4485"/>
    <s v="2017-07-26"/>
    <x v="8"/>
    <x v="1"/>
    <x v="29"/>
    <n v="1"/>
    <n v="69.900000000000006"/>
    <n v="17.739999999999998"/>
    <s v="credit_card"/>
    <n v="8"/>
    <x v="1"/>
    <x v="2"/>
    <s v="Rio Grande do Sul"/>
  </r>
  <r>
    <s v="871f526d138c30fdbcecbcf72a3588b5"/>
    <s v="2017-07-26"/>
    <x v="8"/>
    <x v="8"/>
    <x v="4"/>
    <n v="1"/>
    <n v="69"/>
    <n v="16.920000000000002"/>
    <s v="credit_card"/>
    <n v="10"/>
    <x v="1"/>
    <x v="2"/>
    <s v="Santa Catarina"/>
  </r>
  <r>
    <s v="cf418da45661447c99c40a5786bca1a8"/>
    <s v="2017-07-27"/>
    <x v="8"/>
    <x v="3"/>
    <x v="9"/>
    <n v="1"/>
    <n v="129.78"/>
    <n v="9.7200000000000006"/>
    <s v="credit_card"/>
    <n v="5"/>
    <x v="1"/>
    <x v="3"/>
    <s v="Sao Paulo"/>
  </r>
  <r>
    <s v="18a4fa1a7c0e324a18cc81cdf6bc577a"/>
    <s v="2017-07-27"/>
    <x v="8"/>
    <x v="3"/>
    <x v="4"/>
    <n v="1"/>
    <n v="69"/>
    <n v="12.82"/>
    <s v="boleto"/>
    <n v="5"/>
    <x v="1"/>
    <x v="2"/>
    <s v="Sao Paulo"/>
  </r>
  <r>
    <s v="ba8d16a572292d042403094d3c0fc354"/>
    <s v="2017-07-27"/>
    <x v="8"/>
    <x v="15"/>
    <x v="6"/>
    <n v="1"/>
    <n v="26.99"/>
    <n v="16.79"/>
    <s v="credit_card"/>
    <n v="14"/>
    <x v="1"/>
    <x v="3"/>
    <s v="Mato Grosso"/>
  </r>
  <r>
    <s v="1e55ec3322465b5b6dc07d7f5ef45f99"/>
    <s v="2017-07-27"/>
    <x v="8"/>
    <x v="6"/>
    <x v="14"/>
    <n v="1"/>
    <n v="57.31"/>
    <n v="26.94"/>
    <s v="credit_card"/>
    <n v="40"/>
    <x v="2"/>
    <x v="0"/>
    <s v="Pernambuco"/>
  </r>
  <r>
    <s v="7bc2a035233bdec3f84bef1cc364a2bb"/>
    <s v="2017-07-27"/>
    <x v="8"/>
    <x v="5"/>
    <x v="13"/>
    <n v="1"/>
    <n v="29.9"/>
    <n v="15.1"/>
    <s v="voucher"/>
    <n v="15"/>
    <x v="1"/>
    <x v="2"/>
    <s v="Parana"/>
  </r>
  <r>
    <s v="d41cca426db55a5cffe764e4ebfc5527"/>
    <s v="2017-07-27"/>
    <x v="8"/>
    <x v="7"/>
    <x v="18"/>
    <n v="1"/>
    <n v="49.9"/>
    <n v="15.1"/>
    <s v="boleto"/>
    <n v="11"/>
    <x v="1"/>
    <x v="2"/>
    <s v="Minas Gerais"/>
  </r>
  <r>
    <s v="0ce15b4615f37580142c31f7da6147e3"/>
    <s v="2017-07-27"/>
    <x v="8"/>
    <x v="3"/>
    <x v="19"/>
    <n v="1"/>
    <n v="25.9"/>
    <n v="15.1"/>
    <s v="boleto"/>
    <n v="7"/>
    <x v="1"/>
    <x v="2"/>
    <s v="Sao Paulo"/>
  </r>
  <r>
    <s v="2c36e21ba9c9ffb56e431113b7af7073"/>
    <s v="2017-07-28"/>
    <x v="8"/>
    <x v="22"/>
    <x v="13"/>
    <n v="1"/>
    <n v="28.75"/>
    <n v="14.1"/>
    <s v="credit_card"/>
    <n v="10"/>
    <x v="1"/>
    <x v="5"/>
    <s v="Espirito Santo"/>
  </r>
  <r>
    <s v="3303092810c37e9ab22a711ae3afb197"/>
    <s v="2017-07-28"/>
    <x v="8"/>
    <x v="4"/>
    <x v="34"/>
    <n v="1"/>
    <n v="469"/>
    <n v="90.26"/>
    <s v="credit_card"/>
    <n v="18"/>
    <x v="1"/>
    <x v="1"/>
    <s v="Rio de Janeiro"/>
  </r>
  <r>
    <s v="31e2d0fd6a89e7bd4d343d5de73a68ea"/>
    <s v="2017-07-28"/>
    <x v="8"/>
    <x v="13"/>
    <x v="12"/>
    <n v="1"/>
    <n v="388"/>
    <n v="32.130000000000003"/>
    <s v="credit_card"/>
    <n v="22"/>
    <x v="1"/>
    <x v="0"/>
    <s v="Maranhao"/>
  </r>
  <r>
    <s v="a1e3ae78b2bf6dedf2c6a37f96e17900"/>
    <s v="2017-07-28"/>
    <x v="8"/>
    <x v="3"/>
    <x v="0"/>
    <n v="3"/>
    <n v="554.70000000000005"/>
    <n v="106.38"/>
    <s v="boleto"/>
    <n v="6"/>
    <x v="1"/>
    <x v="2"/>
    <s v="Sao Paulo"/>
  </r>
  <r>
    <s v="742a36775534b588ed2a62ba4c2d9cd7"/>
    <s v="2017-07-28"/>
    <x v="8"/>
    <x v="3"/>
    <x v="47"/>
    <n v="1"/>
    <n v="45"/>
    <n v="9.94"/>
    <s v="boleto"/>
    <n v="15"/>
    <x v="1"/>
    <x v="3"/>
    <s v="Sao Paulo"/>
  </r>
  <r>
    <s v="d036b12f69efa48855cbfa30a2db23c6"/>
    <s v="2017-07-28"/>
    <x v="8"/>
    <x v="3"/>
    <x v="20"/>
    <n v="1"/>
    <n v="229.99"/>
    <n v="14.16"/>
    <s v="credit_card"/>
    <n v="1"/>
    <x v="1"/>
    <x v="2"/>
    <s v="Sao Paulo"/>
  </r>
  <r>
    <s v="fac313dbb6add2eb12c5dc3cb6e6e807"/>
    <s v="2017-07-28"/>
    <x v="8"/>
    <x v="7"/>
    <x v="29"/>
    <n v="1"/>
    <n v="29.9"/>
    <n v="17.600000000000001"/>
    <s v="credit_card"/>
    <n v="5"/>
    <x v="1"/>
    <x v="2"/>
    <s v="Minas Gerais"/>
  </r>
  <r>
    <s v="7ddd225286ba5817d36116c8d2300407"/>
    <s v="2017-07-28"/>
    <x v="8"/>
    <x v="7"/>
    <x v="0"/>
    <n v="1"/>
    <n v="75"/>
    <n v="20.02"/>
    <s v="credit_card"/>
    <n v="10"/>
    <x v="1"/>
    <x v="3"/>
    <s v="Minas Gerais"/>
  </r>
  <r>
    <s v="5d0603425fc99ce2d2f5b3eec417a09c"/>
    <s v="2017-07-28"/>
    <x v="8"/>
    <x v="8"/>
    <x v="1"/>
    <n v="1"/>
    <n v="65.900000000000006"/>
    <n v="15.22"/>
    <s v="credit_card"/>
    <n v="19"/>
    <x v="1"/>
    <x v="2"/>
    <s v="Santa Catarina"/>
  </r>
  <r>
    <s v="8e0ea21ee6cfe4bbb2269955fb3967cc"/>
    <s v="2017-07-28"/>
    <x v="8"/>
    <x v="5"/>
    <x v="13"/>
    <n v="2"/>
    <n v="290"/>
    <n v="90.94"/>
    <s v="credit_card"/>
    <n v="10"/>
    <x v="1"/>
    <x v="5"/>
    <s v="Parana"/>
  </r>
  <r>
    <s v="a1b9f97c297857f45e57da6387381de5"/>
    <s v="2017-07-29"/>
    <x v="8"/>
    <x v="5"/>
    <x v="18"/>
    <n v="1"/>
    <n v="49.9"/>
    <n v="15.1"/>
    <s v="credit_card"/>
    <n v="11"/>
    <x v="1"/>
    <x v="2"/>
    <s v="Parana"/>
  </r>
  <r>
    <s v="24afc354365baea8f460c85b4d78b9e4"/>
    <s v="2017-07-29"/>
    <x v="8"/>
    <x v="7"/>
    <x v="48"/>
    <n v="1"/>
    <n v="155"/>
    <n v="15.84"/>
    <s v="credit_card"/>
    <n v="9"/>
    <x v="1"/>
    <x v="3"/>
    <s v="Minas Gerais"/>
  </r>
  <r>
    <s v="152066afaaba08a8a38cb198f0b9b38a"/>
    <s v="2017-07-29"/>
    <x v="8"/>
    <x v="4"/>
    <x v="2"/>
    <n v="1"/>
    <n v="37.9"/>
    <n v="12.48"/>
    <s v="boleto"/>
    <n v="9"/>
    <x v="1"/>
    <x v="2"/>
    <s v="Rio de Janeiro"/>
  </r>
  <r>
    <s v="38b40f7c313e9e6b08f38e7bce6d93fd"/>
    <s v="2017-07-29"/>
    <x v="8"/>
    <x v="13"/>
    <x v="18"/>
    <n v="1"/>
    <n v="49.9"/>
    <n v="34.15"/>
    <s v="credit_card"/>
    <n v="17"/>
    <x v="1"/>
    <x v="2"/>
    <s v="Maranhao"/>
  </r>
  <r>
    <s v="58ce513a55c740a3a81e8c8b75e2582a"/>
    <s v="2017-07-29"/>
    <x v="8"/>
    <x v="3"/>
    <x v="5"/>
    <n v="1"/>
    <n v="56.99"/>
    <n v="8.7200000000000006"/>
    <s v="credit_card"/>
    <m/>
    <x v="0"/>
    <x v="0"/>
    <s v="Sao Paulo"/>
  </r>
  <r>
    <s v="a5be0f3a1b2874d7a949d0234acd688f"/>
    <s v="2017-07-29"/>
    <x v="8"/>
    <x v="3"/>
    <x v="0"/>
    <n v="1"/>
    <n v="249.9"/>
    <n v="62.49"/>
    <s v="credit_card"/>
    <n v="16"/>
    <x v="1"/>
    <x v="0"/>
    <s v="Sao Paulo"/>
  </r>
  <r>
    <s v="1ecad0e8ea57760ebd5ea7863ec48b06"/>
    <s v="2017-07-29"/>
    <x v="8"/>
    <x v="3"/>
    <x v="20"/>
    <n v="2"/>
    <n v="459.98"/>
    <n v="34.479999999999997"/>
    <s v="credit_card"/>
    <n v="6"/>
    <x v="1"/>
    <x v="0"/>
    <s v="Sao Paulo"/>
  </r>
  <r>
    <s v="3282d3194ddf7794d2ac89795ed74cd1"/>
    <s v="2017-07-29"/>
    <x v="8"/>
    <x v="16"/>
    <x v="6"/>
    <n v="1"/>
    <n v="189.9"/>
    <n v="22.13"/>
    <s v="credit_card"/>
    <n v="8"/>
    <x v="1"/>
    <x v="2"/>
    <s v="Amazonas"/>
  </r>
  <r>
    <s v="12aef789cfc998f5f44ddf27c24e354d"/>
    <s v="2017-07-29"/>
    <x v="8"/>
    <x v="13"/>
    <x v="20"/>
    <n v="1"/>
    <n v="99.99"/>
    <n v="38.25"/>
    <s v="credit_card"/>
    <n v="13"/>
    <x v="1"/>
    <x v="0"/>
    <s v="Maranhao"/>
  </r>
  <r>
    <s v="a9fa8567c21a5f8e4450af02a87f26cb"/>
    <s v="2017-07-29"/>
    <x v="8"/>
    <x v="8"/>
    <x v="1"/>
    <n v="1"/>
    <n v="112"/>
    <n v="16.54"/>
    <s v="credit_card"/>
    <n v="18"/>
    <x v="1"/>
    <x v="2"/>
    <s v="Santa Catarina"/>
  </r>
  <r>
    <s v="b029a781059e5676835a903e614e845d"/>
    <s v="2017-07-29"/>
    <x v="8"/>
    <x v="7"/>
    <x v="11"/>
    <n v="1"/>
    <n v="103.99"/>
    <n v="21.22"/>
    <s v="credit_card"/>
    <n v="9"/>
    <x v="1"/>
    <x v="2"/>
    <s v="Minas Gerais"/>
  </r>
  <r>
    <s v="bb0053cdec4b5850b4682e029eb3347f"/>
    <s v="2017-07-30"/>
    <x v="8"/>
    <x v="3"/>
    <x v="0"/>
    <n v="3"/>
    <n v="206.05"/>
    <n v="39.81"/>
    <s v="credit_card"/>
    <n v="8"/>
    <x v="1"/>
    <x v="0"/>
    <s v="Sao Paulo"/>
  </r>
  <r>
    <s v="d0843f8d9dcf8320e48984dd4a52d652"/>
    <s v="2017-07-30"/>
    <x v="8"/>
    <x v="3"/>
    <x v="14"/>
    <n v="1"/>
    <n v="54.9"/>
    <n v="13.08"/>
    <s v="credit_card"/>
    <n v="1"/>
    <x v="1"/>
    <x v="2"/>
    <s v="Sao Paulo"/>
  </r>
  <r>
    <s v="f1d6d7277ac0980ac1b522e9502d87c9"/>
    <s v="2017-07-30"/>
    <x v="8"/>
    <x v="5"/>
    <x v="14"/>
    <n v="1"/>
    <n v="59.9"/>
    <n v="15.17"/>
    <s v="credit_card"/>
    <n v="11"/>
    <x v="1"/>
    <x v="2"/>
    <s v="Parana"/>
  </r>
  <r>
    <s v="cf5e18822d6c886902d93a7a709a8950"/>
    <s v="2017-07-31"/>
    <x v="8"/>
    <x v="7"/>
    <x v="4"/>
    <n v="1"/>
    <n v="7.99"/>
    <n v="16.11"/>
    <s v="credit_card"/>
    <n v="8"/>
    <x v="1"/>
    <x v="2"/>
    <s v="Minas Gerais"/>
  </r>
  <r>
    <s v="ee95946f63d71c44f715e74b27adb2cd"/>
    <s v="2017-07-31"/>
    <x v="8"/>
    <x v="8"/>
    <x v="22"/>
    <n v="1"/>
    <n v="129"/>
    <n v="15.65"/>
    <s v="credit_card"/>
    <n v="9"/>
    <x v="1"/>
    <x v="0"/>
    <s v="Santa Catarina"/>
  </r>
  <r>
    <s v="b5e50b7fddcc5f12ecb97b4d5f455f61"/>
    <s v="2017-07-31"/>
    <x v="8"/>
    <x v="7"/>
    <x v="1"/>
    <n v="1"/>
    <n v="181"/>
    <n v="21.76"/>
    <s v="credit_card"/>
    <n v="10"/>
    <x v="1"/>
    <x v="2"/>
    <s v="Minas Gerais"/>
  </r>
  <r>
    <s v="0360de67db844d693e3060a8b79eac4b"/>
    <s v="2017-07-31"/>
    <x v="8"/>
    <x v="4"/>
    <x v="4"/>
    <n v="1"/>
    <n v="49.9"/>
    <n v="15.1"/>
    <s v="credit_card"/>
    <n v="14"/>
    <x v="1"/>
    <x v="2"/>
    <s v="Rio de Janeiro"/>
  </r>
  <r>
    <s v="20073b5a4f4e82bae239dda7b336ca5e"/>
    <s v="2017-08-01"/>
    <x v="9"/>
    <x v="7"/>
    <x v="9"/>
    <n v="1"/>
    <n v="169"/>
    <n v="15.93"/>
    <s v="credit_card"/>
    <n v="9"/>
    <x v="1"/>
    <x v="2"/>
    <s v="Minas Gerais"/>
  </r>
  <r>
    <s v="2e6d2d54826e3dc0cf96b86f6d029dbf"/>
    <s v="2017-08-01"/>
    <x v="9"/>
    <x v="3"/>
    <x v="4"/>
    <n v="1"/>
    <n v="49.99"/>
    <n v="12.48"/>
    <s v="voucher"/>
    <n v="11"/>
    <x v="1"/>
    <x v="1"/>
    <s v="Sao Paulo"/>
  </r>
  <r>
    <s v="f4ab3840a4f72a98a950099cfcb83502"/>
    <s v="2017-08-01"/>
    <x v="9"/>
    <x v="1"/>
    <x v="17"/>
    <n v="1"/>
    <n v="18.899999999999999"/>
    <n v="15.1"/>
    <s v="boleto"/>
    <n v="20"/>
    <x v="1"/>
    <x v="2"/>
    <s v="Rio Grande do Sul"/>
  </r>
  <r>
    <s v="4259e68b0021b91e05471e07a45c813c"/>
    <s v="2017-08-01"/>
    <x v="9"/>
    <x v="21"/>
    <x v="1"/>
    <n v="2"/>
    <n v="229.98"/>
    <n v="37.29"/>
    <s v="credit_card"/>
    <n v="6"/>
    <x v="1"/>
    <x v="0"/>
    <s v="Bahia"/>
  </r>
  <r>
    <s v="6b4186f5efd99b748d530675413ef6cb"/>
    <s v="2017-08-01"/>
    <x v="9"/>
    <x v="22"/>
    <x v="4"/>
    <n v="1"/>
    <n v="44.99"/>
    <n v="25.63"/>
    <s v="boleto"/>
    <n v="10"/>
    <x v="1"/>
    <x v="1"/>
    <s v="Espirito Santo"/>
  </r>
  <r>
    <s v="afd3ddd9caf7a0969cc51740136d4a4f"/>
    <s v="2017-08-01"/>
    <x v="9"/>
    <x v="12"/>
    <x v="6"/>
    <n v="1"/>
    <n v="35.99"/>
    <n v="17.63"/>
    <s v="credit_card"/>
    <n v="13"/>
    <x v="1"/>
    <x v="1"/>
    <s v="Ceara"/>
  </r>
  <r>
    <s v="58293f63cf0304768ab4811c0f4dbe17"/>
    <s v="2017-08-01"/>
    <x v="9"/>
    <x v="3"/>
    <x v="31"/>
    <n v="1"/>
    <n v="99"/>
    <n v="14.42"/>
    <s v="credit_card"/>
    <n v="10"/>
    <x v="1"/>
    <x v="4"/>
    <s v="Sao Paulo"/>
  </r>
  <r>
    <s v="9f746b29d9c50effb250e5b99c2c8874"/>
    <s v="2017-08-01"/>
    <x v="9"/>
    <x v="3"/>
    <x v="19"/>
    <n v="1"/>
    <n v="19.899999999999999"/>
    <n v="8.7200000000000006"/>
    <s v="boleto"/>
    <n v="5"/>
    <x v="1"/>
    <x v="3"/>
    <s v="Sao Paulo"/>
  </r>
  <r>
    <s v="15e4f54bacc1f99c567ae071a016fa9b"/>
    <s v="2017-08-01"/>
    <x v="9"/>
    <x v="12"/>
    <x v="2"/>
    <n v="1"/>
    <n v="299.99"/>
    <n v="39.65"/>
    <s v="credit_card"/>
    <n v="13"/>
    <x v="1"/>
    <x v="2"/>
    <s v="Ceara"/>
  </r>
  <r>
    <s v="ec1b5ec39466f6bb902936532ae76e6a"/>
    <s v="2017-08-01"/>
    <x v="9"/>
    <x v="21"/>
    <x v="45"/>
    <n v="1"/>
    <n v="32.99"/>
    <n v="16.79"/>
    <s v="credit_card"/>
    <n v="23"/>
    <x v="1"/>
    <x v="1"/>
    <s v="Bahia"/>
  </r>
  <r>
    <s v="8a8b616382f617096bdf45e1b3e7e3f5"/>
    <s v="2017-08-02"/>
    <x v="9"/>
    <x v="3"/>
    <x v="4"/>
    <n v="1"/>
    <n v="708"/>
    <n v="13.24"/>
    <s v="credit_card"/>
    <n v="12"/>
    <x v="1"/>
    <x v="2"/>
    <s v="Sao Paulo"/>
  </r>
  <r>
    <s v="3cd02e6bd648bb14fb1f20e140ee4e15"/>
    <s v="2017-08-02"/>
    <x v="9"/>
    <x v="2"/>
    <x v="19"/>
    <n v="1"/>
    <n v="167.99"/>
    <n v="36.5"/>
    <s v="credit_card"/>
    <n v="13"/>
    <x v="1"/>
    <x v="1"/>
    <s v="Goias"/>
  </r>
  <r>
    <s v="7ce665a17cd6cb68137dc2816937a8a5"/>
    <s v="2017-08-02"/>
    <x v="9"/>
    <x v="7"/>
    <x v="26"/>
    <n v="1"/>
    <n v="97"/>
    <n v="16.93"/>
    <s v="credit_card"/>
    <n v="7"/>
    <x v="1"/>
    <x v="2"/>
    <s v="Minas Gerais"/>
  </r>
  <r>
    <s v="99444a1ae54c5cdeb0dc5e97b57aa6e5"/>
    <s v="2017-08-02"/>
    <x v="9"/>
    <x v="3"/>
    <x v="41"/>
    <n v="1"/>
    <n v="6.99"/>
    <n v="11.85"/>
    <s v="voucher"/>
    <n v="6"/>
    <x v="1"/>
    <x v="5"/>
    <s v="Sao Paulo"/>
  </r>
  <r>
    <s v="3b5066af438aa1723c4e22290fe8dabd"/>
    <s v="2017-08-02"/>
    <x v="9"/>
    <x v="7"/>
    <x v="0"/>
    <n v="2"/>
    <n v="99.8"/>
    <n v="32.22"/>
    <s v="boleto"/>
    <n v="9"/>
    <x v="1"/>
    <x v="0"/>
    <s v="Minas Gerais"/>
  </r>
  <r>
    <s v="dde56e42843e19685d241a25e192184e"/>
    <s v="2017-08-03"/>
    <x v="9"/>
    <x v="12"/>
    <x v="3"/>
    <n v="1"/>
    <n v="102"/>
    <n v="34.51"/>
    <s v="credit_card"/>
    <n v="25"/>
    <x v="1"/>
    <x v="2"/>
    <s v="Ceara"/>
  </r>
  <r>
    <s v="32eb9533178668935fffbc324671e9d2"/>
    <s v="2017-08-03"/>
    <x v="9"/>
    <x v="21"/>
    <x v="20"/>
    <n v="1"/>
    <n v="87.99"/>
    <n v="19.86"/>
    <s v="credit_card"/>
    <n v="20"/>
    <x v="1"/>
    <x v="2"/>
    <s v="Bahia"/>
  </r>
  <r>
    <s v="186efcd656d8ac4332156f594df02572"/>
    <s v="2017-08-03"/>
    <x v="9"/>
    <x v="4"/>
    <x v="44"/>
    <n v="1"/>
    <n v="749"/>
    <n v="90.4"/>
    <s v="credit_card"/>
    <n v="12"/>
    <x v="1"/>
    <x v="1"/>
    <s v="Rio de Janeiro"/>
  </r>
  <r>
    <s v="dc9470b246bc5c83e5e72f1897971fcb"/>
    <s v="2017-08-03"/>
    <x v="9"/>
    <x v="7"/>
    <x v="5"/>
    <n v="2"/>
    <n v="39.4"/>
    <n v="29.4"/>
    <s v="credit_card"/>
    <n v="4"/>
    <x v="1"/>
    <x v="2"/>
    <s v="Minas Gerais"/>
  </r>
  <r>
    <s v="f10c009ca3eae0609b1ad632f68dcf67"/>
    <s v="2017-08-03"/>
    <x v="9"/>
    <x v="3"/>
    <x v="6"/>
    <n v="1"/>
    <n v="199"/>
    <n v="8.65"/>
    <s v="credit_card"/>
    <n v="1"/>
    <x v="1"/>
    <x v="2"/>
    <s v="Sao Paulo"/>
  </r>
  <r>
    <s v="834bdbe2274206828a57e58fef7f4935"/>
    <s v="2017-08-03"/>
    <x v="9"/>
    <x v="7"/>
    <x v="25"/>
    <n v="1"/>
    <n v="69.900000000000006"/>
    <n v="9.74"/>
    <s v="credit_card"/>
    <n v="4"/>
    <x v="1"/>
    <x v="2"/>
    <s v="Minas Gerais"/>
  </r>
  <r>
    <s v="584bd08b6d0a61391b57b2ac26416887"/>
    <s v="2017-08-03"/>
    <x v="9"/>
    <x v="3"/>
    <x v="20"/>
    <n v="1"/>
    <n v="62.99"/>
    <n v="11.73"/>
    <s v="boleto"/>
    <n v="2"/>
    <x v="1"/>
    <x v="2"/>
    <s v="Sao Paulo"/>
  </r>
  <r>
    <s v="465e8161fdbe4ef42b3b8371bd96100e"/>
    <s v="2017-08-04"/>
    <x v="9"/>
    <x v="3"/>
    <x v="13"/>
    <n v="1"/>
    <n v="143.80000000000001"/>
    <n v="18.899999999999999"/>
    <s v="credit_card"/>
    <n v="9"/>
    <x v="1"/>
    <x v="2"/>
    <s v="Sao Paulo"/>
  </r>
  <r>
    <s v="e31526204c93b55b21e55ef3e5a45f36"/>
    <s v="2017-08-04"/>
    <x v="9"/>
    <x v="4"/>
    <x v="4"/>
    <n v="1"/>
    <n v="27.9"/>
    <n v="14.1"/>
    <s v="credit_card"/>
    <n v="17"/>
    <x v="1"/>
    <x v="3"/>
    <s v="Rio de Janeiro"/>
  </r>
  <r>
    <s v="a3a15a66006f9f79c98af9fce34528c8"/>
    <s v="2017-08-04"/>
    <x v="9"/>
    <x v="3"/>
    <x v="4"/>
    <n v="1"/>
    <n v="279"/>
    <n v="9.2100000000000009"/>
    <s v="boleto"/>
    <n v="11"/>
    <x v="1"/>
    <x v="2"/>
    <s v="Sao Paulo"/>
  </r>
  <r>
    <s v="a7652ffa94af425f684a2d55cc06945e"/>
    <s v="2017-08-04"/>
    <x v="9"/>
    <x v="8"/>
    <x v="0"/>
    <n v="1"/>
    <n v="39"/>
    <n v="16.79"/>
    <s v="boleto"/>
    <n v="18"/>
    <x v="1"/>
    <x v="2"/>
    <s v="Santa Catarina"/>
  </r>
  <r>
    <s v="7f2527b00aba2c4ea2631cbf2a1d0f68"/>
    <s v="2017-08-04"/>
    <x v="9"/>
    <x v="19"/>
    <x v="20"/>
    <n v="1"/>
    <n v="99.99"/>
    <n v="30.23"/>
    <s v="credit_card"/>
    <n v="12"/>
    <x v="1"/>
    <x v="0"/>
    <s v="Acre"/>
  </r>
  <r>
    <s v="832079e71d5ee058d10e1ee1abe0e0f9"/>
    <s v="2017-08-04"/>
    <x v="9"/>
    <x v="3"/>
    <x v="12"/>
    <n v="1"/>
    <n v="139"/>
    <n v="14.7"/>
    <s v="credit_card"/>
    <n v="13"/>
    <x v="1"/>
    <x v="1"/>
    <s v="Sao Paulo"/>
  </r>
  <r>
    <s v="aa3666ac800f7d6ee11840a2d5f74ee6"/>
    <s v="2017-08-04"/>
    <x v="9"/>
    <x v="6"/>
    <x v="14"/>
    <n v="1"/>
    <n v="205"/>
    <n v="38.57"/>
    <s v="credit_card"/>
    <n v="44"/>
    <x v="2"/>
    <x v="0"/>
    <s v="Pernambuco"/>
  </r>
  <r>
    <s v="5f7577cc4d04d08a6edae39a0b96e281"/>
    <s v="2017-08-04"/>
    <x v="9"/>
    <x v="4"/>
    <x v="5"/>
    <n v="1"/>
    <n v="56.99"/>
    <n v="14.15"/>
    <s v="boleto"/>
    <n v="18"/>
    <x v="1"/>
    <x v="1"/>
    <s v="Rio de Janeiro"/>
  </r>
  <r>
    <s v="a316607f76b8992b9ef01d8e7ee6933a"/>
    <s v="2017-08-04"/>
    <x v="9"/>
    <x v="8"/>
    <x v="18"/>
    <n v="1"/>
    <n v="29.9"/>
    <n v="15.1"/>
    <s v="credit_card"/>
    <n v="11"/>
    <x v="1"/>
    <x v="2"/>
    <s v="Santa Catarina"/>
  </r>
  <r>
    <s v="660023f633ebbca40bbf5962692b2411"/>
    <s v="2017-08-05"/>
    <x v="9"/>
    <x v="1"/>
    <x v="22"/>
    <n v="1"/>
    <n v="29.9"/>
    <n v="16.11"/>
    <s v="credit_card"/>
    <n v="10"/>
    <x v="1"/>
    <x v="2"/>
    <s v="Rio Grande do Sul"/>
  </r>
  <r>
    <s v="b8465ebdeb16d7b97b28e61f894afb70"/>
    <s v="2017-08-05"/>
    <x v="9"/>
    <x v="1"/>
    <x v="9"/>
    <n v="1"/>
    <n v="76.989999999999995"/>
    <n v="15.29"/>
    <s v="credit_card"/>
    <n v="12"/>
    <x v="1"/>
    <x v="2"/>
    <s v="Rio Grande do Sul"/>
  </r>
  <r>
    <s v="3cef2febcf9500f2509317c92f432e8c"/>
    <s v="2017-08-05"/>
    <x v="9"/>
    <x v="8"/>
    <x v="18"/>
    <n v="1"/>
    <n v="29.99"/>
    <n v="15.1"/>
    <s v="credit_card"/>
    <n v="9"/>
    <x v="1"/>
    <x v="2"/>
    <s v="Santa Catarina"/>
  </r>
  <r>
    <s v="01643942766bdec224d5593041f714e6"/>
    <s v="2017-08-05"/>
    <x v="9"/>
    <x v="18"/>
    <x v="4"/>
    <n v="1"/>
    <n v="32.5"/>
    <n v="15.1"/>
    <s v="credit_card"/>
    <n v="17"/>
    <x v="1"/>
    <x v="0"/>
    <s v="Distrito Federal"/>
  </r>
  <r>
    <s v="e8d3219c027c07fb152bc267d5e437fc"/>
    <s v="2017-08-05"/>
    <x v="9"/>
    <x v="3"/>
    <x v="24"/>
    <n v="1"/>
    <n v="424"/>
    <n v="104.41"/>
    <s v="credit_card"/>
    <n v="27"/>
    <x v="1"/>
    <x v="0"/>
    <s v="Sao Paulo"/>
  </r>
  <r>
    <s v="32335927ea896fd9993fa6f6715e1605"/>
    <s v="2017-08-05"/>
    <x v="9"/>
    <x v="13"/>
    <x v="20"/>
    <n v="1"/>
    <n v="159"/>
    <n v="36.43"/>
    <s v="credit_card"/>
    <n v="16"/>
    <x v="1"/>
    <x v="2"/>
    <s v="Maranhao"/>
  </r>
  <r>
    <s v="a880b806f0a6467ea8044335fc629ff9"/>
    <s v="2017-08-05"/>
    <x v="9"/>
    <x v="3"/>
    <x v="6"/>
    <n v="1"/>
    <n v="399.9"/>
    <n v="14.3"/>
    <s v="credit_card"/>
    <n v="6"/>
    <x v="1"/>
    <x v="3"/>
    <s v="Sao Paulo"/>
  </r>
  <r>
    <s v="99b5479599753883c7355ca6cb95b2c1"/>
    <s v="2017-08-07"/>
    <x v="9"/>
    <x v="12"/>
    <x v="5"/>
    <n v="2"/>
    <n v="678"/>
    <n v="41.82"/>
    <s v="credit_card"/>
    <n v="9"/>
    <x v="1"/>
    <x v="3"/>
    <s v="Ceara"/>
  </r>
  <r>
    <s v="64b474e9995eb9740db3190013984b6b"/>
    <s v="2017-08-07"/>
    <x v="9"/>
    <x v="3"/>
    <x v="0"/>
    <n v="1"/>
    <n v="29.9"/>
    <n v="25.63"/>
    <s v="credit_card"/>
    <n v="8"/>
    <x v="1"/>
    <x v="2"/>
    <s v="Sao Paulo"/>
  </r>
  <r>
    <s v="90214a4751f75ee8783bed5037f9b0db"/>
    <s v="2017-08-07"/>
    <x v="9"/>
    <x v="9"/>
    <x v="13"/>
    <n v="1"/>
    <n v="19.989999999999998"/>
    <n v="25.63"/>
    <s v="credit_card"/>
    <n v="9"/>
    <x v="1"/>
    <x v="2"/>
    <s v="Sergipe"/>
  </r>
  <r>
    <s v="c3e544a509d5603803d4f6eaedcaf0b8"/>
    <s v="2017-08-07"/>
    <x v="9"/>
    <x v="3"/>
    <x v="12"/>
    <n v="1"/>
    <n v="59.9"/>
    <n v="15.18"/>
    <s v="credit_card"/>
    <n v="3"/>
    <x v="1"/>
    <x v="2"/>
    <s v="Sao Paulo"/>
  </r>
  <r>
    <s v="3e64ee45a339ce09c4e27564b45ba09e"/>
    <s v="2017-08-07"/>
    <x v="9"/>
    <x v="7"/>
    <x v="21"/>
    <n v="1"/>
    <n v="94.9"/>
    <n v="14.39"/>
    <s v="boleto"/>
    <n v="7"/>
    <x v="1"/>
    <x v="2"/>
    <s v="Minas Gerais"/>
  </r>
  <r>
    <s v="be06d9f698d7e74899f4cf223ae62995"/>
    <s v="2017-08-07"/>
    <x v="9"/>
    <x v="3"/>
    <x v="1"/>
    <n v="1"/>
    <n v="99.9"/>
    <n v="13.25"/>
    <s v="credit_card"/>
    <n v="11"/>
    <x v="2"/>
    <x v="2"/>
    <s v="Sao Paulo"/>
  </r>
  <r>
    <s v="8431f8b44d5d90252e64059e253c308d"/>
    <s v="2017-08-07"/>
    <x v="9"/>
    <x v="3"/>
    <x v="0"/>
    <n v="2"/>
    <n v="99.8"/>
    <n v="17.440000000000001"/>
    <s v="credit_card"/>
    <n v="8"/>
    <x v="1"/>
    <x v="3"/>
    <s v="Sao Paulo"/>
  </r>
  <r>
    <s v="719312efa72d95b357250140f48b778f"/>
    <s v="2017-08-07"/>
    <x v="9"/>
    <x v="4"/>
    <x v="21"/>
    <n v="1"/>
    <n v="67"/>
    <n v="16.23"/>
    <s v="credit_card"/>
    <n v="8"/>
    <x v="1"/>
    <x v="3"/>
    <s v="Rio de Janeiro"/>
  </r>
  <r>
    <s v="5f216fa78a2bb7be5bc7468efd986ed3"/>
    <s v="2017-08-08"/>
    <x v="9"/>
    <x v="3"/>
    <x v="14"/>
    <n v="1"/>
    <n v="200"/>
    <n v="15.01"/>
    <s v="credit_card"/>
    <n v="2"/>
    <x v="1"/>
    <x v="2"/>
    <s v="Sao Paulo"/>
  </r>
  <r>
    <s v="2b18686c9329e1cd201d6d4015268ca9"/>
    <s v="2017-08-08"/>
    <x v="9"/>
    <x v="3"/>
    <x v="2"/>
    <n v="1"/>
    <n v="129.99"/>
    <n v="13.25"/>
    <s v="credit_card"/>
    <n v="3"/>
    <x v="1"/>
    <x v="2"/>
    <s v="Sao Paulo"/>
  </r>
  <r>
    <s v="0c469ff5fde3323c2a8b99387f46bb19"/>
    <s v="2017-08-08"/>
    <x v="9"/>
    <x v="2"/>
    <x v="14"/>
    <n v="1"/>
    <n v="89.9"/>
    <n v="15.38"/>
    <s v="credit_card"/>
    <n v="22"/>
    <x v="1"/>
    <x v="1"/>
    <s v="Goias"/>
  </r>
  <r>
    <s v="dc7be79976943eeae2bd3e4530b511fd"/>
    <s v="2017-08-08"/>
    <x v="9"/>
    <x v="1"/>
    <x v="9"/>
    <n v="1"/>
    <n v="82.9"/>
    <n v="15.33"/>
    <s v="credit_card"/>
    <n v="33"/>
    <x v="2"/>
    <x v="0"/>
    <s v="Rio Grande do Sul"/>
  </r>
  <r>
    <s v="0e0cb073422fcdc0645935e23d672736"/>
    <s v="2017-08-08"/>
    <x v="9"/>
    <x v="1"/>
    <x v="4"/>
    <n v="1"/>
    <n v="263.99"/>
    <n v="15.6"/>
    <s v="credit_card"/>
    <n v="8"/>
    <x v="1"/>
    <x v="2"/>
    <s v="Rio Grande do Sul"/>
  </r>
  <r>
    <s v="2e71a5c523cd61c4d906ebc8203ef215"/>
    <s v="2017-08-08"/>
    <x v="9"/>
    <x v="3"/>
    <x v="1"/>
    <n v="1"/>
    <n v="69.900000000000006"/>
    <n v="16.12"/>
    <s v="credit_card"/>
    <n v="3"/>
    <x v="1"/>
    <x v="3"/>
    <s v="Sao Paulo"/>
  </r>
  <r>
    <s v="5d4ef7be8a0a3d0f0991bfc92e6bce32"/>
    <s v="2017-08-08"/>
    <x v="9"/>
    <x v="5"/>
    <x v="14"/>
    <n v="1"/>
    <n v="69.900000000000006"/>
    <n v="15.24"/>
    <s v="credit_card"/>
    <n v="9"/>
    <x v="1"/>
    <x v="2"/>
    <s v="Parana"/>
  </r>
  <r>
    <s v="4f08e1d966e9e49ca0677134ce4c2c57"/>
    <s v="2017-08-08"/>
    <x v="9"/>
    <x v="2"/>
    <x v="1"/>
    <n v="1"/>
    <n v="169"/>
    <n v="25.73"/>
    <s v="voucher"/>
    <n v="13"/>
    <x v="1"/>
    <x v="2"/>
    <s v="Goias"/>
  </r>
  <r>
    <s v="0cda3f4a118f3654ee4e487e867fa036"/>
    <s v="2017-08-09"/>
    <x v="9"/>
    <x v="1"/>
    <x v="29"/>
    <n v="1"/>
    <n v="89"/>
    <n v="17.87"/>
    <s v="boleto"/>
    <n v="7"/>
    <x v="1"/>
    <x v="2"/>
    <s v="Rio Grande do Sul"/>
  </r>
  <r>
    <s v="7e308fe1aed001a0b8ba1e7f017cafa8"/>
    <s v="2017-08-09"/>
    <x v="9"/>
    <x v="14"/>
    <x v="48"/>
    <n v="1"/>
    <n v="190"/>
    <n v="16.079999999999998"/>
    <s v="credit_card"/>
    <n v="15"/>
    <x v="1"/>
    <x v="2"/>
    <s v="Mato Grosso do Sul"/>
  </r>
  <r>
    <s v="ec60b0d63f32dc9f14da8503a72af821"/>
    <s v="2017-08-09"/>
    <x v="9"/>
    <x v="7"/>
    <x v="18"/>
    <n v="1"/>
    <n v="150"/>
    <n v="15.8"/>
    <s v="credit_card"/>
    <n v="14"/>
    <x v="1"/>
    <x v="2"/>
    <s v="Minas Gerais"/>
  </r>
  <r>
    <s v="e4d70620497883d192090b7a6d48441d"/>
    <s v="2017-08-09"/>
    <x v="9"/>
    <x v="11"/>
    <x v="17"/>
    <n v="1"/>
    <n v="14.9"/>
    <n v="42.38"/>
    <s v="boleto"/>
    <n v="20"/>
    <x v="1"/>
    <x v="2"/>
    <s v="Para"/>
  </r>
  <r>
    <s v="b5e0fde1c337ebf2f84dbcddde845156"/>
    <s v="2017-08-09"/>
    <x v="9"/>
    <x v="4"/>
    <x v="29"/>
    <n v="1"/>
    <n v="109.9"/>
    <n v="15.52"/>
    <s v="credit_card"/>
    <n v="9"/>
    <x v="1"/>
    <x v="2"/>
    <s v="Rio de Janeiro"/>
  </r>
  <r>
    <s v="f4b166c60fee8f28f16c05ad386fdc09"/>
    <s v="2017-08-09"/>
    <x v="9"/>
    <x v="4"/>
    <x v="22"/>
    <n v="1"/>
    <n v="44"/>
    <n v="14.1"/>
    <s v="credit_card"/>
    <n v="6"/>
    <x v="1"/>
    <x v="1"/>
    <s v="Rio de Janeiro"/>
  </r>
  <r>
    <s v="61cfa60003f1d98a86cc3562f13b2ea0"/>
    <s v="2017-08-09"/>
    <x v="9"/>
    <x v="4"/>
    <x v="20"/>
    <n v="1"/>
    <n v="44.9"/>
    <n v="9.94"/>
    <s v="voucher"/>
    <n v="7"/>
    <x v="1"/>
    <x v="0"/>
    <s v="Rio de Janeiro"/>
  </r>
  <r>
    <s v="7f21d3ca84edda19b1982865712ca42e"/>
    <s v="2017-08-09"/>
    <x v="9"/>
    <x v="3"/>
    <x v="0"/>
    <n v="1"/>
    <n v="10.99"/>
    <n v="11.85"/>
    <s v="boleto"/>
    <n v="11"/>
    <x v="1"/>
    <x v="3"/>
    <s v="Sao Paulo"/>
  </r>
  <r>
    <s v="3806e97292af7b9430f6981372925843"/>
    <s v="2017-08-09"/>
    <x v="9"/>
    <x v="4"/>
    <x v="1"/>
    <n v="2"/>
    <n v="79.8"/>
    <n v="32.22"/>
    <s v="credit_card"/>
    <n v="11"/>
    <x v="1"/>
    <x v="2"/>
    <s v="Rio de Janeiro"/>
  </r>
  <r>
    <s v="76a144984e527482dad02200366231c1"/>
    <s v="2017-08-09"/>
    <x v="9"/>
    <x v="7"/>
    <x v="11"/>
    <n v="1"/>
    <n v="239.9"/>
    <n v="16.43"/>
    <s v="credit_card"/>
    <n v="7"/>
    <x v="1"/>
    <x v="2"/>
    <s v="Minas Gerais"/>
  </r>
  <r>
    <s v="27981b144a3edfc540ff14f416ff7311"/>
    <s v="2017-08-09"/>
    <x v="9"/>
    <x v="3"/>
    <x v="2"/>
    <n v="1"/>
    <n v="19.899999999999999"/>
    <n v="11.85"/>
    <s v="credit_card"/>
    <n v="3"/>
    <x v="1"/>
    <x v="2"/>
    <s v="Sao Paulo"/>
  </r>
  <r>
    <s v="ef3cef230796c0133556a0a8f013f6fe"/>
    <s v="2017-08-10"/>
    <x v="9"/>
    <x v="4"/>
    <x v="4"/>
    <n v="1"/>
    <n v="64.900000000000006"/>
    <n v="15.2"/>
    <s v="credit_card"/>
    <n v="15"/>
    <x v="1"/>
    <x v="3"/>
    <s v="Rio de Janeiro"/>
  </r>
  <r>
    <s v="5802a2af7adc078756b394ca9f492087"/>
    <s v="2017-08-10"/>
    <x v="9"/>
    <x v="3"/>
    <x v="29"/>
    <n v="1"/>
    <n v="279.89999999999998"/>
    <n v="17.59"/>
    <s v="credit_card"/>
    <n v="5"/>
    <x v="1"/>
    <x v="2"/>
    <s v="Sao Paulo"/>
  </r>
  <r>
    <s v="cd7293cd82a7c818940f97bef67c4d62"/>
    <s v="2017-08-10"/>
    <x v="9"/>
    <x v="2"/>
    <x v="20"/>
    <n v="1"/>
    <n v="98.9"/>
    <n v="9.26"/>
    <s v="boleto"/>
    <n v="5"/>
    <x v="1"/>
    <x v="2"/>
    <s v="Goias"/>
  </r>
  <r>
    <s v="f98f3e577848e635602f831c276ba700"/>
    <s v="2017-08-10"/>
    <x v="9"/>
    <x v="4"/>
    <x v="7"/>
    <n v="1"/>
    <n v="14.46"/>
    <n v="15.1"/>
    <s v="boleto"/>
    <n v="7"/>
    <x v="1"/>
    <x v="2"/>
    <s v="Rio de Janeiro"/>
  </r>
  <r>
    <s v="1565c265f6580c91569b142d96aaa19d"/>
    <s v="2017-08-10"/>
    <x v="9"/>
    <x v="3"/>
    <x v="4"/>
    <n v="1"/>
    <n v="39.9"/>
    <n v="17.920000000000002"/>
    <s v="credit_card"/>
    <n v="10"/>
    <x v="1"/>
    <x v="2"/>
    <s v="Sao Paulo"/>
  </r>
  <r>
    <s v="2b234cbc0fc80ec00c9ab6f0ca1aca88"/>
    <s v="2017-08-10"/>
    <x v="9"/>
    <x v="3"/>
    <x v="21"/>
    <n v="1"/>
    <n v="85.9"/>
    <n v="14.33"/>
    <s v="credit_card"/>
    <n v="4"/>
    <x v="1"/>
    <x v="2"/>
    <s v="Sao Paulo"/>
  </r>
  <r>
    <s v="3ce5ed82ae32a886fd55be9b9e7b8405"/>
    <s v="2017-08-10"/>
    <x v="9"/>
    <x v="2"/>
    <x v="14"/>
    <n v="1"/>
    <n v="233.8"/>
    <n v="94.94"/>
    <s v="credit_card"/>
    <n v="13"/>
    <x v="1"/>
    <x v="2"/>
    <s v="Goias"/>
  </r>
  <r>
    <s v="6af8d729a1717c4ba85c7bdc83278656"/>
    <s v="2017-08-10"/>
    <x v="9"/>
    <x v="3"/>
    <x v="22"/>
    <n v="1"/>
    <n v="350"/>
    <n v="13.95"/>
    <s v="credit_card"/>
    <n v="7"/>
    <x v="1"/>
    <x v="2"/>
    <s v="Sao Paulo"/>
  </r>
  <r>
    <s v="a2271e2c867442b21df827861d9f8ef0"/>
    <s v="2017-08-10"/>
    <x v="9"/>
    <x v="7"/>
    <x v="12"/>
    <n v="1"/>
    <n v="388"/>
    <n v="18.350000000000001"/>
    <s v="boleto"/>
    <n v="15"/>
    <x v="1"/>
    <x v="2"/>
    <s v="Minas Gerais"/>
  </r>
  <r>
    <s v="b1af0e84814ea77191dddbb863dc896a"/>
    <s v="2017-08-11"/>
    <x v="9"/>
    <x v="7"/>
    <x v="1"/>
    <n v="1"/>
    <n v="52.5"/>
    <n v="26.91"/>
    <s v="credit_card"/>
    <n v="11"/>
    <x v="1"/>
    <x v="2"/>
    <s v="Minas Gerais"/>
  </r>
  <r>
    <s v="300e2dfe7d37393693973f78426a0807"/>
    <s v="2017-08-11"/>
    <x v="9"/>
    <x v="3"/>
    <x v="2"/>
    <n v="1"/>
    <n v="34.99"/>
    <n v="8.7200000000000006"/>
    <s v="credit_card"/>
    <n v="4"/>
    <x v="1"/>
    <x v="2"/>
    <s v="Sao Paulo"/>
  </r>
  <r>
    <s v="c94517a93bb24f22495c95eb3f90adc5"/>
    <s v="2017-08-11"/>
    <x v="9"/>
    <x v="4"/>
    <x v="14"/>
    <n v="2"/>
    <n v="91.9"/>
    <n v="30.2"/>
    <s v="credit_card"/>
    <n v="18"/>
    <x v="1"/>
    <x v="3"/>
    <s v="Rio de Janeiro"/>
  </r>
  <r>
    <s v="5256aac1d939c4bbc931cc7c1c78a419"/>
    <s v="2017-08-12"/>
    <x v="9"/>
    <x v="3"/>
    <x v="34"/>
    <n v="1"/>
    <n v="108"/>
    <n v="29.13"/>
    <s v="credit_card"/>
    <n v="4"/>
    <x v="1"/>
    <x v="2"/>
    <s v="Sao Paulo"/>
  </r>
  <r>
    <s v="e1deab080b7d765ab23ffbbeaf062466"/>
    <s v="2017-08-12"/>
    <x v="9"/>
    <x v="3"/>
    <x v="39"/>
    <n v="1"/>
    <n v="170"/>
    <n v="27.51"/>
    <s v="credit_card"/>
    <n v="22"/>
    <x v="1"/>
    <x v="2"/>
    <s v="Sao Paulo"/>
  </r>
  <r>
    <s v="d374e958c5246d608c3baeca9ddccb16"/>
    <s v="2017-08-12"/>
    <x v="9"/>
    <x v="21"/>
    <x v="0"/>
    <n v="1"/>
    <n v="39.99"/>
    <n v="16.79"/>
    <s v="credit_card"/>
    <n v="8"/>
    <x v="1"/>
    <x v="2"/>
    <s v="Bahia"/>
  </r>
  <r>
    <s v="ab12a70fb1db89901f89c16464249395"/>
    <s v="2017-08-13"/>
    <x v="9"/>
    <x v="4"/>
    <x v="14"/>
    <n v="1"/>
    <n v="89.9"/>
    <n v="17.88"/>
    <s v="credit_card"/>
    <n v="15"/>
    <x v="1"/>
    <x v="1"/>
    <s v="Rio de Janeiro"/>
  </r>
  <r>
    <s v="ec84e555ec0c06ea52e4cd6051f68802"/>
    <s v="2017-08-13"/>
    <x v="9"/>
    <x v="7"/>
    <x v="44"/>
    <n v="1"/>
    <n v="217"/>
    <n v="78.81"/>
    <s v="credit_card"/>
    <n v="11"/>
    <x v="1"/>
    <x v="3"/>
    <s v="Minas Gerais"/>
  </r>
  <r>
    <s v="3733b36d82377a01ed4386abf60df35d"/>
    <s v="2017-08-13"/>
    <x v="9"/>
    <x v="5"/>
    <x v="4"/>
    <n v="1"/>
    <n v="139.99"/>
    <n v="45.06"/>
    <s v="credit_card"/>
    <n v="9"/>
    <x v="1"/>
    <x v="2"/>
    <s v="Parana"/>
  </r>
  <r>
    <s v="621a8d2076a3738d27d6f6b2ad81a906"/>
    <s v="2017-08-13"/>
    <x v="9"/>
    <x v="7"/>
    <x v="1"/>
    <n v="1"/>
    <n v="69.900000000000006"/>
    <n v="16.25"/>
    <s v="credit_card"/>
    <n v="10"/>
    <x v="1"/>
    <x v="2"/>
    <s v="Minas Gerais"/>
  </r>
  <r>
    <s v="d0acfe7fdbf94c390d7b20b589fa9bbd"/>
    <s v="2017-08-13"/>
    <x v="9"/>
    <x v="5"/>
    <x v="2"/>
    <n v="1"/>
    <n v="165.9"/>
    <n v="21.07"/>
    <s v="credit_card"/>
    <n v="3"/>
    <x v="1"/>
    <x v="2"/>
    <s v="Parana"/>
  </r>
  <r>
    <s v="0de9e77cb8416394c1d74300fd08213f"/>
    <s v="2017-08-13"/>
    <x v="9"/>
    <x v="1"/>
    <x v="19"/>
    <n v="1"/>
    <n v="33"/>
    <n v="17.600000000000001"/>
    <s v="debit_card"/>
    <n v="31"/>
    <x v="2"/>
    <x v="3"/>
    <s v="Rio Grande do Sul"/>
  </r>
  <r>
    <s v="9b9a7ecc01bac06fcf3c50980c5ed885"/>
    <s v="2017-08-13"/>
    <x v="9"/>
    <x v="1"/>
    <x v="20"/>
    <n v="1"/>
    <n v="199.99"/>
    <n v="18.97"/>
    <s v="credit_card"/>
    <n v="11"/>
    <x v="1"/>
    <x v="2"/>
    <s v="Rio Grande do Sul"/>
  </r>
  <r>
    <s v="bb24bc48ede5999f7be893f8d0024291"/>
    <s v="2017-08-13"/>
    <x v="9"/>
    <x v="3"/>
    <x v="26"/>
    <n v="1"/>
    <n v="104.9"/>
    <n v="12.23"/>
    <s v="credit_card"/>
    <n v="5"/>
    <x v="1"/>
    <x v="2"/>
    <s v="Sao Paulo"/>
  </r>
  <r>
    <s v="c57cf7b41f793c7c74b7e51f236eb57f"/>
    <s v="2017-08-13"/>
    <x v="9"/>
    <x v="7"/>
    <x v="29"/>
    <n v="1"/>
    <n v="59.9"/>
    <n v="18.04"/>
    <s v="boleto"/>
    <n v="12"/>
    <x v="1"/>
    <x v="3"/>
    <s v="Minas Gerais"/>
  </r>
  <r>
    <s v="beb460eb01804a14aaee60f14c3247b5"/>
    <s v="2017-08-13"/>
    <x v="9"/>
    <x v="7"/>
    <x v="9"/>
    <n v="1"/>
    <n v="58.99"/>
    <n v="17.66"/>
    <s v="credit_card"/>
    <n v="7"/>
    <x v="1"/>
    <x v="3"/>
    <s v="Minas Gerais"/>
  </r>
  <r>
    <s v="114e0ad5d9cd8931d7541e1331bdb503"/>
    <s v="2017-08-14"/>
    <x v="9"/>
    <x v="7"/>
    <x v="14"/>
    <n v="1"/>
    <n v="69.900000000000006"/>
    <n v="14.22"/>
    <s v="credit_card"/>
    <m/>
    <x v="0"/>
    <x v="2"/>
    <s v="Minas Gerais"/>
  </r>
  <r>
    <s v="c1446140c078144be23c01e9858697b6"/>
    <s v="2017-08-14"/>
    <x v="9"/>
    <x v="3"/>
    <x v="18"/>
    <n v="1"/>
    <n v="49"/>
    <n v="11.85"/>
    <s v="credit_card"/>
    <n v="9"/>
    <x v="1"/>
    <x v="2"/>
    <s v="Sao Paulo"/>
  </r>
  <r>
    <s v="fbea6a49d91331a6874627ab4aca845f"/>
    <s v="2017-08-14"/>
    <x v="9"/>
    <x v="3"/>
    <x v="1"/>
    <n v="1"/>
    <n v="39.9"/>
    <n v="8.7200000000000006"/>
    <s v="boleto"/>
    <n v="7"/>
    <x v="1"/>
    <x v="2"/>
    <s v="Sao Paulo"/>
  </r>
  <r>
    <s v="fffe18544ffabc95dfada21779c9644f"/>
    <s v="2017-08-14"/>
    <x v="9"/>
    <x v="3"/>
    <x v="4"/>
    <n v="1"/>
    <n v="55.99"/>
    <n v="8.7200000000000006"/>
    <s v="credit_card"/>
    <n v="1"/>
    <x v="1"/>
    <x v="2"/>
    <s v="Sao Paulo"/>
  </r>
  <r>
    <s v="27ae4a0be8ab218e05e205f6fcacb88b"/>
    <s v="2017-08-14"/>
    <x v="9"/>
    <x v="3"/>
    <x v="9"/>
    <n v="1"/>
    <n v="49.99"/>
    <n v="11.73"/>
    <s v="boleto"/>
    <n v="5"/>
    <x v="1"/>
    <x v="2"/>
    <s v="Sao Paulo"/>
  </r>
  <r>
    <s v="d8bf59eb5386f2c3d82cfa4ced3c6183"/>
    <s v="2017-08-14"/>
    <x v="9"/>
    <x v="3"/>
    <x v="0"/>
    <n v="2"/>
    <n v="118"/>
    <n v="25.5"/>
    <s v="credit_card"/>
    <n v="8"/>
    <x v="1"/>
    <x v="3"/>
    <s v="Sao Paulo"/>
  </r>
  <r>
    <s v="806d3b5f15557ad3d5288d340271151f"/>
    <s v="2017-08-14"/>
    <x v="9"/>
    <x v="18"/>
    <x v="46"/>
    <n v="1"/>
    <n v="38.99"/>
    <n v="15.11"/>
    <s v="credit_card"/>
    <n v="9"/>
    <x v="1"/>
    <x v="1"/>
    <s v="Distrito Federal"/>
  </r>
  <r>
    <s v="85abf987df0b38005eb6c91fb55374c9"/>
    <s v="2017-08-14"/>
    <x v="9"/>
    <x v="3"/>
    <x v="0"/>
    <n v="1"/>
    <n v="36.9"/>
    <n v="8.7200000000000006"/>
    <s v="credit_card"/>
    <n v="4"/>
    <x v="1"/>
    <x v="2"/>
    <s v="Sao Paulo"/>
  </r>
  <r>
    <s v="dee33d9b548acb609e8b6eb6f540f4b3"/>
    <s v="2017-08-14"/>
    <x v="9"/>
    <x v="4"/>
    <x v="17"/>
    <n v="1"/>
    <n v="18"/>
    <n v="14.1"/>
    <s v="credit_card"/>
    <n v="11"/>
    <x v="1"/>
    <x v="2"/>
    <s v="Rio de Janeiro"/>
  </r>
  <r>
    <s v="95efc26128229ac33bfc67d4fce8fa28"/>
    <s v="2017-08-14"/>
    <x v="9"/>
    <x v="6"/>
    <x v="18"/>
    <n v="1"/>
    <n v="49.9"/>
    <n v="17.63"/>
    <s v="credit_card"/>
    <n v="14"/>
    <x v="1"/>
    <x v="2"/>
    <s v="Pernambuco"/>
  </r>
  <r>
    <s v="5ea01f5660c8d089b604b2d1ddaab334"/>
    <s v="2017-08-14"/>
    <x v="9"/>
    <x v="3"/>
    <x v="18"/>
    <n v="1"/>
    <n v="49"/>
    <n v="7.78"/>
    <s v="boleto"/>
    <n v="1"/>
    <x v="1"/>
    <x v="5"/>
    <s v="Sao Paulo"/>
  </r>
  <r>
    <s v="2c8166a4f7d0752f25e70f45565db8b9"/>
    <s v="2017-08-14"/>
    <x v="9"/>
    <x v="21"/>
    <x v="18"/>
    <n v="1"/>
    <n v="39.99"/>
    <n v="16.79"/>
    <s v="credit_card"/>
    <n v="6"/>
    <x v="1"/>
    <x v="2"/>
    <s v="Bahia"/>
  </r>
  <r>
    <s v="1aeb6136411ab7da012863ac27055dcf"/>
    <s v="2017-08-15"/>
    <x v="9"/>
    <x v="3"/>
    <x v="6"/>
    <n v="1"/>
    <n v="14.99"/>
    <n v="11.85"/>
    <s v="credit_card"/>
    <n v="10"/>
    <x v="1"/>
    <x v="3"/>
    <s v="Sao Paulo"/>
  </r>
  <r>
    <s v="9b228d02d9abe567855fe2f934772858"/>
    <s v="2017-08-15"/>
    <x v="9"/>
    <x v="8"/>
    <x v="12"/>
    <n v="1"/>
    <n v="263.99"/>
    <n v="87.01"/>
    <s v="boleto"/>
    <n v="17"/>
    <x v="1"/>
    <x v="3"/>
    <s v="Santa Catarina"/>
  </r>
  <r>
    <s v="fd85717bc49c767347b7b46317392d7d"/>
    <s v="2017-08-15"/>
    <x v="9"/>
    <x v="3"/>
    <x v="5"/>
    <n v="1"/>
    <n v="56.99"/>
    <n v="8.7200000000000006"/>
    <s v="credit_card"/>
    <n v="14"/>
    <x v="1"/>
    <x v="2"/>
    <s v="Sao Paulo"/>
  </r>
  <r>
    <s v="461b40d4fc35428f6d7f4df87ae2b5b5"/>
    <s v="2017-08-15"/>
    <x v="9"/>
    <x v="3"/>
    <x v="19"/>
    <n v="1"/>
    <n v="99.99"/>
    <n v="89.93"/>
    <s v="credit_card"/>
    <n v="34"/>
    <x v="2"/>
    <x v="3"/>
    <s v="Sao Paulo"/>
  </r>
  <r>
    <s v="25857521bead5be64bf8305c71db1fa2"/>
    <s v="2017-08-15"/>
    <x v="9"/>
    <x v="26"/>
    <x v="9"/>
    <n v="1"/>
    <n v="24.9"/>
    <n v="42.38"/>
    <s v="credit_card"/>
    <n v="34"/>
    <x v="1"/>
    <x v="2"/>
    <s v="Paraiba"/>
  </r>
  <r>
    <s v="f0a35c83ab3251347b674f0f3e0d01f1"/>
    <s v="2017-08-15"/>
    <x v="9"/>
    <x v="8"/>
    <x v="29"/>
    <n v="1"/>
    <n v="89"/>
    <n v="17.84"/>
    <s v="credit_card"/>
    <n v="13"/>
    <x v="1"/>
    <x v="2"/>
    <s v="Santa Catarina"/>
  </r>
  <r>
    <s v="e5cba854ed90614d4334d4c5fa4fcbcf"/>
    <s v="2017-08-16"/>
    <x v="9"/>
    <x v="3"/>
    <x v="1"/>
    <n v="1"/>
    <n v="29.9"/>
    <n v="11.85"/>
    <s v="credit_card"/>
    <n v="7"/>
    <x v="1"/>
    <x v="2"/>
    <s v="Sao Paulo"/>
  </r>
  <r>
    <s v="b1cd8dc65cf496b0742bc29954dd322d"/>
    <s v="2017-08-16"/>
    <x v="9"/>
    <x v="3"/>
    <x v="14"/>
    <n v="1"/>
    <n v="27.9"/>
    <n v="11.85"/>
    <s v="credit_card"/>
    <n v="8"/>
    <x v="1"/>
    <x v="2"/>
    <s v="Sao Paulo"/>
  </r>
  <r>
    <s v="1836232055a6243d56ca67b74cb77aea"/>
    <s v="2017-08-16"/>
    <x v="9"/>
    <x v="4"/>
    <x v="7"/>
    <n v="1"/>
    <n v="59.9"/>
    <n v="17.670000000000002"/>
    <s v="credit_card"/>
    <n v="12"/>
    <x v="1"/>
    <x v="2"/>
    <s v="Rio de Janeiro"/>
  </r>
  <r>
    <s v="a2703dddc710908105939e9272116d13"/>
    <s v="2017-08-16"/>
    <x v="9"/>
    <x v="3"/>
    <x v="36"/>
    <n v="1"/>
    <n v="152.25"/>
    <n v="8.81"/>
    <s v="credit_card"/>
    <n v="5"/>
    <x v="1"/>
    <x v="2"/>
    <s v="Sao Paulo"/>
  </r>
  <r>
    <s v="5e292fb98b7d86213aea4a9bd5681a42"/>
    <s v="2017-08-16"/>
    <x v="9"/>
    <x v="1"/>
    <x v="11"/>
    <n v="1"/>
    <n v="18.899999999999999"/>
    <n v="16.11"/>
    <s v="boleto"/>
    <n v="9"/>
    <x v="1"/>
    <x v="0"/>
    <s v="Rio Grande do Sul"/>
  </r>
  <r>
    <s v="07a97e5f41dfa29925b661eee8e73c26"/>
    <s v="2017-08-16"/>
    <x v="9"/>
    <x v="20"/>
    <x v="4"/>
    <n v="1"/>
    <n v="59"/>
    <n v="25.69"/>
    <s v="credit_card"/>
    <n v="13"/>
    <x v="1"/>
    <x v="2"/>
    <s v="Tocantins"/>
  </r>
  <r>
    <s v="25005bc2e7ea41ec988bdd233a251703"/>
    <s v="2017-08-17"/>
    <x v="9"/>
    <x v="3"/>
    <x v="12"/>
    <n v="1"/>
    <n v="110"/>
    <n v="14.5"/>
    <s v="boleto"/>
    <n v="12"/>
    <x v="1"/>
    <x v="2"/>
    <s v="Sao Paulo"/>
  </r>
  <r>
    <s v="adc9f082768884dcb46b8b3d26851ca0"/>
    <s v="2017-08-17"/>
    <x v="9"/>
    <x v="3"/>
    <x v="14"/>
    <n v="1"/>
    <n v="200"/>
    <n v="15.01"/>
    <s v="boleto"/>
    <n v="5"/>
    <x v="1"/>
    <x v="2"/>
    <s v="Sao Paulo"/>
  </r>
  <r>
    <s v="e95356181d857128f9a0eb779ad36381"/>
    <s v="2017-08-17"/>
    <x v="9"/>
    <x v="3"/>
    <x v="3"/>
    <n v="1"/>
    <n v="19.899999999999999"/>
    <n v="11.85"/>
    <s v="boleto"/>
    <n v="7"/>
    <x v="1"/>
    <x v="2"/>
    <s v="Sao Paulo"/>
  </r>
  <r>
    <s v="846d9f177cd197194d2933fdf0dcc68b"/>
    <s v="2017-08-17"/>
    <x v="9"/>
    <x v="21"/>
    <x v="36"/>
    <n v="1"/>
    <n v="69.900000000000006"/>
    <n v="19.73"/>
    <s v="credit_card"/>
    <n v="12"/>
    <x v="1"/>
    <x v="3"/>
    <s v="Bahia"/>
  </r>
  <r>
    <s v="5727f102c85ddd314cc3158d4e044e94"/>
    <s v="2017-08-17"/>
    <x v="9"/>
    <x v="3"/>
    <x v="7"/>
    <n v="1"/>
    <n v="59.9"/>
    <n v="13.44"/>
    <s v="credit_card"/>
    <n v="11"/>
    <x v="1"/>
    <x v="2"/>
    <s v="Sao Paulo"/>
  </r>
  <r>
    <s v="d43f8d7052d9022a8fe3a804942298ce"/>
    <s v="2017-08-17"/>
    <x v="9"/>
    <x v="7"/>
    <x v="16"/>
    <n v="2"/>
    <n v="119.8"/>
    <n v="32.36"/>
    <s v="credit_card"/>
    <n v="18"/>
    <x v="1"/>
    <x v="2"/>
    <s v="Minas Gerais"/>
  </r>
  <r>
    <s v="51031dc347b31f2f5d84655a08e10e9e"/>
    <s v="2017-08-17"/>
    <x v="9"/>
    <x v="14"/>
    <x v="9"/>
    <n v="1"/>
    <n v="119.9"/>
    <n v="18.09"/>
    <s v="credit_card"/>
    <n v="14"/>
    <x v="1"/>
    <x v="3"/>
    <s v="Mato Grosso do Sul"/>
  </r>
  <r>
    <s v="ecd6c4b673e81e3ba899f65b2135ce70"/>
    <s v="2017-08-17"/>
    <x v="9"/>
    <x v="3"/>
    <x v="1"/>
    <n v="1"/>
    <n v="39.9"/>
    <n v="8.7200000000000006"/>
    <s v="credit_card"/>
    <n v="7"/>
    <x v="1"/>
    <x v="2"/>
    <s v="Sao Paulo"/>
  </r>
  <r>
    <s v="ec9e227f8a374794d57840d65e9a8ace"/>
    <s v="2017-08-17"/>
    <x v="9"/>
    <x v="3"/>
    <x v="4"/>
    <n v="1"/>
    <n v="48"/>
    <n v="9.94"/>
    <s v="credit_card"/>
    <n v="1"/>
    <x v="1"/>
    <x v="2"/>
    <s v="Sao Paulo"/>
  </r>
  <r>
    <s v="5d9d34ab320a65d476024f1146155415"/>
    <s v="2017-08-17"/>
    <x v="9"/>
    <x v="7"/>
    <x v="12"/>
    <n v="1"/>
    <n v="829"/>
    <n v="18.82"/>
    <s v="credit_card"/>
    <n v="13"/>
    <x v="1"/>
    <x v="0"/>
    <s v="Minas Gerais"/>
  </r>
  <r>
    <s v="e4b96fef250adf4067371705b2289e3c"/>
    <s v="2017-08-17"/>
    <x v="9"/>
    <x v="5"/>
    <x v="22"/>
    <n v="2"/>
    <n v="59.98"/>
    <n v="32.22"/>
    <s v="boleto"/>
    <n v="5"/>
    <x v="1"/>
    <x v="1"/>
    <s v="Parana"/>
  </r>
  <r>
    <s v="817e8b5495d2b31da82dfe5a89aacdba"/>
    <s v="2017-08-17"/>
    <x v="9"/>
    <x v="4"/>
    <x v="42"/>
    <n v="1"/>
    <n v="264.89999999999998"/>
    <n v="16.600000000000001"/>
    <s v="credit_card"/>
    <n v="8"/>
    <x v="1"/>
    <x v="2"/>
    <s v="Rio de Janeiro"/>
  </r>
  <r>
    <s v="0b843f953899d9a1d084c1f5163027c0"/>
    <s v="2017-08-17"/>
    <x v="9"/>
    <x v="1"/>
    <x v="19"/>
    <n v="1"/>
    <n v="82.5"/>
    <n v="39.57"/>
    <s v="credit_card"/>
    <n v="17"/>
    <x v="1"/>
    <x v="3"/>
    <s v="Rio Grande do Sul"/>
  </r>
  <r>
    <s v="89d3b46e266c588a70dcac017b613004"/>
    <s v="2017-08-18"/>
    <x v="9"/>
    <x v="3"/>
    <x v="0"/>
    <n v="1"/>
    <n v="29.99"/>
    <n v="11.85"/>
    <s v="credit_card"/>
    <n v="9"/>
    <x v="1"/>
    <x v="2"/>
    <s v="Sao Paulo"/>
  </r>
  <r>
    <s v="4aa0a4cc479d198113baae85bbb801c8"/>
    <s v="2017-08-18"/>
    <x v="9"/>
    <x v="3"/>
    <x v="29"/>
    <n v="1"/>
    <n v="59.98"/>
    <n v="21.26"/>
    <s v="credit_card"/>
    <n v="7"/>
    <x v="1"/>
    <x v="2"/>
    <s v="Sao Paulo"/>
  </r>
  <r>
    <s v="b93500c13882d8874fa1d03641499551"/>
    <s v="2017-08-18"/>
    <x v="9"/>
    <x v="3"/>
    <x v="5"/>
    <n v="1"/>
    <n v="85.9"/>
    <n v="10.02"/>
    <s v="credit_card"/>
    <n v="3"/>
    <x v="1"/>
    <x v="2"/>
    <s v="Sao Paulo"/>
  </r>
  <r>
    <s v="05aac5a18dcd77932007f57de8650622"/>
    <s v="2017-08-18"/>
    <x v="9"/>
    <x v="3"/>
    <x v="4"/>
    <n v="1"/>
    <n v="155"/>
    <n v="14.11"/>
    <s v="credit_card"/>
    <n v="6"/>
    <x v="1"/>
    <x v="2"/>
    <s v="Sao Paulo"/>
  </r>
  <r>
    <s v="20c87f647466d582c7f188b6dc4c6b14"/>
    <s v="2017-08-18"/>
    <x v="9"/>
    <x v="3"/>
    <x v="1"/>
    <n v="1"/>
    <n v="59.9"/>
    <n v="13.44"/>
    <s v="credit_card"/>
    <n v="16"/>
    <x v="1"/>
    <x v="2"/>
    <s v="Sao Paulo"/>
  </r>
  <r>
    <s v="5c5a4d0be78ff48f67dd7f81fd56d905"/>
    <s v="2017-08-18"/>
    <x v="9"/>
    <x v="4"/>
    <x v="7"/>
    <n v="1"/>
    <n v="59.9"/>
    <n v="17.670000000000002"/>
    <s v="credit_card"/>
    <n v="28"/>
    <x v="1"/>
    <x v="2"/>
    <s v="Rio de Janeiro"/>
  </r>
  <r>
    <s v="2d063770853ccc944a0eea618c125f82"/>
    <s v="2017-08-18"/>
    <x v="9"/>
    <x v="3"/>
    <x v="17"/>
    <n v="1"/>
    <n v="14.9"/>
    <n v="12.48"/>
    <s v="boleto"/>
    <n v="7"/>
    <x v="1"/>
    <x v="3"/>
    <s v="Sao Paulo"/>
  </r>
  <r>
    <s v="e392e762463125f6436ee6719c03e4ff"/>
    <s v="2017-08-19"/>
    <x v="9"/>
    <x v="7"/>
    <x v="21"/>
    <n v="2"/>
    <n v="77.8"/>
    <n v="26.74"/>
    <s v="credit_card"/>
    <n v="8"/>
    <x v="1"/>
    <x v="2"/>
    <s v="Minas Gerais"/>
  </r>
  <r>
    <s v="caf07fcb4e0d35fb5e9f6e3eeb294ada"/>
    <s v="2017-08-19"/>
    <x v="9"/>
    <x v="3"/>
    <x v="9"/>
    <n v="1"/>
    <n v="104"/>
    <n v="15.48"/>
    <s v="credit_card"/>
    <n v="8"/>
    <x v="1"/>
    <x v="2"/>
    <s v="Sao Paulo"/>
  </r>
  <r>
    <s v="94559fe2283a8ce81e14d3fee1d4e928"/>
    <s v="2017-08-19"/>
    <x v="9"/>
    <x v="3"/>
    <x v="14"/>
    <n v="1"/>
    <n v="182"/>
    <n v="12.48"/>
    <s v="credit_card"/>
    <n v="2"/>
    <x v="1"/>
    <x v="2"/>
    <s v="Sao Paulo"/>
  </r>
  <r>
    <s v="8306cf8a11247ad0a271068a168cd83d"/>
    <s v="2017-08-19"/>
    <x v="9"/>
    <x v="7"/>
    <x v="1"/>
    <n v="1"/>
    <n v="74.989999999999995"/>
    <n v="17.77"/>
    <s v="credit_card"/>
    <n v="6"/>
    <x v="1"/>
    <x v="2"/>
    <s v="Minas Gerais"/>
  </r>
  <r>
    <s v="6d238ce1fb32d1ef6e4422764a7f76cc"/>
    <s v="2017-08-19"/>
    <x v="9"/>
    <x v="2"/>
    <x v="20"/>
    <n v="1"/>
    <n v="134.99"/>
    <n v="16.7"/>
    <s v="credit_card"/>
    <n v="13"/>
    <x v="1"/>
    <x v="2"/>
    <s v="Goias"/>
  </r>
  <r>
    <s v="23dc1dae65a022e0f216c057e1ad3b72"/>
    <s v="2017-08-19"/>
    <x v="9"/>
    <x v="3"/>
    <x v="1"/>
    <n v="1"/>
    <n v="49.99"/>
    <n v="16.11"/>
    <s v="boleto"/>
    <n v="16"/>
    <x v="1"/>
    <x v="3"/>
    <s v="Sao Paulo"/>
  </r>
  <r>
    <s v="f1e63d984de289ace77245034ae6cbdb"/>
    <s v="2017-08-19"/>
    <x v="9"/>
    <x v="4"/>
    <x v="9"/>
    <n v="1"/>
    <n v="64.900000000000006"/>
    <n v="19.690000000000001"/>
    <s v="credit_card"/>
    <n v="17"/>
    <x v="1"/>
    <x v="1"/>
    <s v="Rio de Janeiro"/>
  </r>
  <r>
    <s v="ab96ffdb4db7fa3807bfb7a512f2f519"/>
    <s v="2017-08-20"/>
    <x v="9"/>
    <x v="3"/>
    <x v="12"/>
    <n v="1"/>
    <n v="128.5"/>
    <n v="12.85"/>
    <s v="credit_card"/>
    <n v="2"/>
    <x v="1"/>
    <x v="2"/>
    <s v="Sao Paulo"/>
  </r>
  <r>
    <s v="1e7c4d7f10431cde9911c1c659a6e3fd"/>
    <s v="2017-08-20"/>
    <x v="9"/>
    <x v="23"/>
    <x v="2"/>
    <n v="1"/>
    <n v="45.9"/>
    <n v="21.15"/>
    <s v="credit_card"/>
    <n v="16"/>
    <x v="1"/>
    <x v="2"/>
    <s v="Rio Grande do Norte"/>
  </r>
  <r>
    <s v="fcfa8ef8103d78c6f2dd57ec67713360"/>
    <s v="2017-08-20"/>
    <x v="9"/>
    <x v="21"/>
    <x v="5"/>
    <n v="1"/>
    <n v="56.99"/>
    <n v="15.84"/>
    <s v="credit_card"/>
    <n v="7"/>
    <x v="1"/>
    <x v="2"/>
    <s v="Bahia"/>
  </r>
  <r>
    <s v="4a57c473825a49217f1360b23fce6e65"/>
    <s v="2017-08-20"/>
    <x v="9"/>
    <x v="7"/>
    <x v="6"/>
    <n v="1"/>
    <n v="109.9"/>
    <n v="15.52"/>
    <s v="credit_card"/>
    <n v="9"/>
    <x v="1"/>
    <x v="2"/>
    <s v="Minas Gerais"/>
  </r>
  <r>
    <s v="633bd8dd4d19125b69aeee2526f79779"/>
    <s v="2017-08-20"/>
    <x v="9"/>
    <x v="2"/>
    <x v="18"/>
    <n v="1"/>
    <n v="39.99"/>
    <n v="15.1"/>
    <s v="voucher"/>
    <n v="11"/>
    <x v="1"/>
    <x v="2"/>
    <s v="Goias"/>
  </r>
  <r>
    <s v="8c0badb93d803736320343323266425b"/>
    <s v="2017-08-20"/>
    <x v="9"/>
    <x v="3"/>
    <x v="18"/>
    <n v="1"/>
    <n v="49.99"/>
    <n v="7.78"/>
    <s v="credit_card"/>
    <n v="1"/>
    <x v="1"/>
    <x v="3"/>
    <s v="Sao Paulo"/>
  </r>
  <r>
    <s v="e6645cd574bfc71b276a102797036491"/>
    <s v="2017-08-21"/>
    <x v="9"/>
    <x v="1"/>
    <x v="20"/>
    <n v="1"/>
    <n v="86.8"/>
    <n v="14.36"/>
    <s v="boleto"/>
    <n v="28"/>
    <x v="1"/>
    <x v="2"/>
    <s v="Rio Grande do Sul"/>
  </r>
  <r>
    <s v="761d1ebbd0e356d78eb6a1a50cb16662"/>
    <s v="2017-08-21"/>
    <x v="9"/>
    <x v="4"/>
    <x v="0"/>
    <n v="2"/>
    <n v="118"/>
    <n v="32.340000000000003"/>
    <s v="credit_card"/>
    <n v="7"/>
    <x v="1"/>
    <x v="0"/>
    <s v="Rio de Janeiro"/>
  </r>
  <r>
    <s v="0dad7d1ff2920dfb357bfda892dca601"/>
    <s v="2017-08-21"/>
    <x v="9"/>
    <x v="3"/>
    <x v="14"/>
    <n v="1"/>
    <n v="49.95"/>
    <n v="11.85"/>
    <s v="credit_card"/>
    <n v="7"/>
    <x v="1"/>
    <x v="3"/>
    <s v="Sao Paulo"/>
  </r>
  <r>
    <s v="7159e54dc429b82335398dcb355162f1"/>
    <s v="2017-08-21"/>
    <x v="9"/>
    <x v="3"/>
    <x v="5"/>
    <n v="1"/>
    <n v="56.99"/>
    <n v="8.7200000000000006"/>
    <s v="credit_card"/>
    <n v="6"/>
    <x v="1"/>
    <x v="2"/>
    <s v="Sao Paulo"/>
  </r>
  <r>
    <s v="b91c737fed536d40ce17d84edd88fac7"/>
    <s v="2017-08-21"/>
    <x v="9"/>
    <x v="5"/>
    <x v="3"/>
    <n v="1"/>
    <n v="19.899999999999999"/>
    <n v="15.1"/>
    <s v="boleto"/>
    <n v="10"/>
    <x v="1"/>
    <x v="2"/>
    <s v="Parana"/>
  </r>
  <r>
    <s v="0494d7ef89583fcaf33a1cea4bcfeec2"/>
    <s v="2017-08-21"/>
    <x v="9"/>
    <x v="17"/>
    <x v="18"/>
    <n v="1"/>
    <n v="29.9"/>
    <n v="34.15"/>
    <s v="boleto"/>
    <n v="15"/>
    <x v="1"/>
    <x v="2"/>
    <s v="Rondonia"/>
  </r>
  <r>
    <s v="bee5bc36d798e3675faa04ac679620dc"/>
    <s v="2017-08-21"/>
    <x v="9"/>
    <x v="5"/>
    <x v="20"/>
    <n v="1"/>
    <n v="89.99"/>
    <n v="17.88"/>
    <s v="credit_card"/>
    <n v="9"/>
    <x v="1"/>
    <x v="3"/>
    <s v="Parana"/>
  </r>
  <r>
    <s v="28d7626c30f05e9a92ae5a3910f6f603"/>
    <s v="2017-08-21"/>
    <x v="9"/>
    <x v="3"/>
    <x v="18"/>
    <n v="1"/>
    <n v="28.9"/>
    <n v="14.1"/>
    <s v="credit_card"/>
    <n v="2"/>
    <x v="1"/>
    <x v="2"/>
    <s v="Sao Paulo"/>
  </r>
  <r>
    <s v="3645d00093a926152b82312c5db8984f"/>
    <s v="2017-08-21"/>
    <x v="9"/>
    <x v="4"/>
    <x v="31"/>
    <n v="2"/>
    <n v="1589.96"/>
    <n v="27.88"/>
    <s v="credit_card"/>
    <n v="6"/>
    <x v="1"/>
    <x v="2"/>
    <s v="Rio de Janeiro"/>
  </r>
  <r>
    <s v="0b1bd7cdeb2d703ebe602a2989a86f9a"/>
    <s v="2017-08-21"/>
    <x v="9"/>
    <x v="17"/>
    <x v="6"/>
    <n v="1"/>
    <n v="16.989999999999998"/>
    <n v="34.15"/>
    <s v="credit_card"/>
    <n v="24"/>
    <x v="1"/>
    <x v="3"/>
    <s v="Rondonia"/>
  </r>
  <r>
    <s v="4519eb4d4f31920150447454d2a0b560"/>
    <s v="2017-08-21"/>
    <x v="9"/>
    <x v="3"/>
    <x v="49"/>
    <n v="1"/>
    <n v="61"/>
    <n v="9.34"/>
    <s v="credit_card"/>
    <n v="2"/>
    <x v="1"/>
    <x v="2"/>
    <s v="Sao Paulo"/>
  </r>
  <r>
    <s v="73d31477d79e7d244fe031d4b2c9c58d"/>
    <s v="2017-08-21"/>
    <x v="9"/>
    <x v="3"/>
    <x v="9"/>
    <n v="1"/>
    <n v="34.99"/>
    <n v="7.78"/>
    <s v="credit_card"/>
    <n v="3"/>
    <x v="1"/>
    <x v="2"/>
    <s v="Sao Paulo"/>
  </r>
  <r>
    <s v="b92fc3d1e14e2ff2051230fda1012db2"/>
    <s v="2017-08-21"/>
    <x v="9"/>
    <x v="3"/>
    <x v="9"/>
    <n v="1"/>
    <n v="23.99"/>
    <n v="7.78"/>
    <s v="voucher"/>
    <n v="3"/>
    <x v="1"/>
    <x v="2"/>
    <s v="Sao Paulo"/>
  </r>
  <r>
    <s v="431fe12f4d24d8f61a0947c0bc842a04"/>
    <s v="2017-08-22"/>
    <x v="9"/>
    <x v="4"/>
    <x v="0"/>
    <n v="1"/>
    <n v="46.99"/>
    <n v="16.11"/>
    <s v="credit_card"/>
    <n v="17"/>
    <x v="1"/>
    <x v="1"/>
    <s v="Rio de Janeiro"/>
  </r>
  <r>
    <s v="3bc85ea22011e6a4c0677bd7a985f76b"/>
    <s v="2017-08-22"/>
    <x v="9"/>
    <x v="3"/>
    <x v="9"/>
    <n v="1"/>
    <n v="59.9"/>
    <n v="15.86"/>
    <s v="credit_card"/>
    <n v="6"/>
    <x v="1"/>
    <x v="2"/>
    <s v="Sao Paulo"/>
  </r>
  <r>
    <s v="9b80fe8a497834eb67892e43db08b915"/>
    <s v="2017-08-22"/>
    <x v="9"/>
    <x v="7"/>
    <x v="6"/>
    <n v="1"/>
    <n v="49.99"/>
    <n v="16.11"/>
    <s v="credit_card"/>
    <n v="7"/>
    <x v="1"/>
    <x v="2"/>
    <s v="Minas Gerais"/>
  </r>
  <r>
    <s v="6956c7a7b6e1be46fa34926ef6aea60f"/>
    <s v="2017-08-22"/>
    <x v="9"/>
    <x v="3"/>
    <x v="29"/>
    <n v="3"/>
    <n v="149.69999999999999"/>
    <n v="55.95"/>
    <s v="credit_card"/>
    <n v="12"/>
    <x v="1"/>
    <x v="3"/>
    <s v="Sao Paulo"/>
  </r>
  <r>
    <s v="3503ca07647fc40291e999ca3e3ea490"/>
    <s v="2017-08-22"/>
    <x v="9"/>
    <x v="7"/>
    <x v="0"/>
    <n v="1"/>
    <n v="39.99"/>
    <n v="16.600000000000001"/>
    <s v="credit_card"/>
    <n v="17"/>
    <x v="1"/>
    <x v="2"/>
    <s v="Minas Gerais"/>
  </r>
  <r>
    <s v="661db6fa562954c6c672ee765c51a014"/>
    <s v="2017-08-22"/>
    <x v="9"/>
    <x v="4"/>
    <x v="5"/>
    <n v="1"/>
    <n v="56.99"/>
    <n v="14.15"/>
    <s v="credit_card"/>
    <n v="10"/>
    <x v="1"/>
    <x v="2"/>
    <s v="Rio de Janeiro"/>
  </r>
  <r>
    <s v="c870ed0988202f0b857a393392831d06"/>
    <s v="2017-08-22"/>
    <x v="9"/>
    <x v="3"/>
    <x v="23"/>
    <n v="1"/>
    <n v="27.92"/>
    <n v="9.94"/>
    <s v="credit_card"/>
    <n v="3"/>
    <x v="1"/>
    <x v="2"/>
    <s v="Sao Paulo"/>
  </r>
  <r>
    <s v="2cf60e81bd122e58c99e87fa99fd24cb"/>
    <s v="2017-08-22"/>
    <x v="9"/>
    <x v="6"/>
    <x v="24"/>
    <n v="1"/>
    <n v="79.900000000000006"/>
    <n v="25.84"/>
    <s v="credit_card"/>
    <n v="21"/>
    <x v="1"/>
    <x v="2"/>
    <s v="Pernambuco"/>
  </r>
  <r>
    <s v="046ce63db7db8b9160b6231429c8ea66"/>
    <s v="2017-08-23"/>
    <x v="9"/>
    <x v="10"/>
    <x v="26"/>
    <n v="1"/>
    <n v="115"/>
    <n v="34.61"/>
    <s v="credit_card"/>
    <n v="22"/>
    <x v="1"/>
    <x v="3"/>
    <s v="Piaui"/>
  </r>
  <r>
    <s v="5f71bc83356f39cf9e9b8004f39a989a"/>
    <s v="2017-08-23"/>
    <x v="9"/>
    <x v="22"/>
    <x v="0"/>
    <n v="1"/>
    <n v="199.94"/>
    <n v="41.79"/>
    <s v="boleto"/>
    <n v="19"/>
    <x v="1"/>
    <x v="3"/>
    <s v="Espirito Santo"/>
  </r>
  <r>
    <s v="80b0bd0c8f8cb86ae0c2dddb11693b07"/>
    <s v="2017-08-23"/>
    <x v="9"/>
    <x v="3"/>
    <x v="14"/>
    <n v="1"/>
    <n v="164.9"/>
    <n v="12.36"/>
    <s v="boleto"/>
    <n v="9"/>
    <x v="1"/>
    <x v="2"/>
    <s v="Sao Paulo"/>
  </r>
  <r>
    <s v="aa32183a575c0f3e9a0f2cfae712d030"/>
    <s v="2017-08-23"/>
    <x v="9"/>
    <x v="1"/>
    <x v="1"/>
    <n v="1"/>
    <n v="69.900000000000006"/>
    <n v="20.98"/>
    <s v="credit_card"/>
    <n v="14"/>
    <x v="1"/>
    <x v="0"/>
    <s v="Rio Grande do Sul"/>
  </r>
  <r>
    <s v="bb23ee96defc419b4137ae66d0c0e44e"/>
    <s v="2017-08-23"/>
    <x v="9"/>
    <x v="1"/>
    <x v="13"/>
    <n v="1"/>
    <n v="29.9"/>
    <n v="16.11"/>
    <s v="credit_card"/>
    <n v="19"/>
    <x v="1"/>
    <x v="2"/>
    <s v="Rio Grande do Sul"/>
  </r>
  <r>
    <s v="27d7ae4ad298e3686566ac8e9ff928e5"/>
    <s v="2017-08-24"/>
    <x v="9"/>
    <x v="11"/>
    <x v="6"/>
    <n v="1"/>
    <n v="140"/>
    <n v="26.01"/>
    <s v="credit_card"/>
    <n v="36"/>
    <x v="1"/>
    <x v="2"/>
    <s v="Para"/>
  </r>
  <r>
    <s v="7c018c94d1f3d9ac7affec4cde6e111f"/>
    <s v="2017-08-24"/>
    <x v="9"/>
    <x v="17"/>
    <x v="14"/>
    <n v="1"/>
    <n v="117.99"/>
    <n v="43.24"/>
    <s v="boleto"/>
    <n v="21"/>
    <x v="1"/>
    <x v="2"/>
    <s v="Rondonia"/>
  </r>
  <r>
    <s v="6149716112b7db1b76332e704d944cbb"/>
    <s v="2017-08-24"/>
    <x v="9"/>
    <x v="3"/>
    <x v="0"/>
    <n v="1"/>
    <n v="49.9"/>
    <n v="11.85"/>
    <s v="boleto"/>
    <n v="4"/>
    <x v="1"/>
    <x v="2"/>
    <s v="Sao Paulo"/>
  </r>
  <r>
    <s v="bc46a904b86fbf6c3d2f49a74fab7e66"/>
    <s v="2017-08-24"/>
    <x v="9"/>
    <x v="3"/>
    <x v="0"/>
    <n v="1"/>
    <n v="55"/>
    <n v="13.41"/>
    <s v="credit_card"/>
    <n v="12"/>
    <x v="1"/>
    <x v="2"/>
    <s v="Sao Paulo"/>
  </r>
  <r>
    <s v="42769a5163a34297f4458dbccf206b36"/>
    <s v="2017-08-24"/>
    <x v="9"/>
    <x v="4"/>
    <x v="14"/>
    <n v="1"/>
    <n v="99.99"/>
    <n v="25.54"/>
    <s v="credit_card"/>
    <n v="12"/>
    <x v="1"/>
    <x v="2"/>
    <s v="Rio de Janeiro"/>
  </r>
  <r>
    <s v="2fc8432d4f906403e2bf04d81163b220"/>
    <s v="2017-08-24"/>
    <x v="9"/>
    <x v="3"/>
    <x v="3"/>
    <n v="1"/>
    <n v="19.899999999999999"/>
    <n v="11.85"/>
    <s v="credit_card"/>
    <n v="13"/>
    <x v="1"/>
    <x v="1"/>
    <s v="Sao Paulo"/>
  </r>
  <r>
    <s v="5f49f31e537f8f1a496454b48edbe34d"/>
    <s v="2017-08-24"/>
    <x v="9"/>
    <x v="3"/>
    <x v="19"/>
    <n v="2"/>
    <n v="56.7"/>
    <n v="70.75"/>
    <s v="credit_card"/>
    <n v="4"/>
    <x v="1"/>
    <x v="0"/>
    <s v="Sao Paulo"/>
  </r>
  <r>
    <s v="ca860fbc7c3132b89e9e134a00652215"/>
    <s v="2017-08-25"/>
    <x v="9"/>
    <x v="4"/>
    <x v="14"/>
    <n v="1"/>
    <n v="195"/>
    <n v="0"/>
    <s v="boleto"/>
    <n v="17"/>
    <x v="1"/>
    <x v="5"/>
    <s v="Rio de Janeiro"/>
  </r>
  <r>
    <s v="4e7994addb0e4622199601af5b9c9ed3"/>
    <s v="2017-08-25"/>
    <x v="9"/>
    <x v="4"/>
    <x v="19"/>
    <n v="1"/>
    <n v="34.9"/>
    <n v="14.1"/>
    <s v="boleto"/>
    <n v="12"/>
    <x v="1"/>
    <x v="2"/>
    <s v="Rio de Janeiro"/>
  </r>
  <r>
    <s v="18dd3f41a84cc95b6106008449cba262"/>
    <s v="2017-08-25"/>
    <x v="9"/>
    <x v="15"/>
    <x v="9"/>
    <n v="1"/>
    <n v="84.99"/>
    <n v="17.03"/>
    <s v="boleto"/>
    <n v="26"/>
    <x v="1"/>
    <x v="3"/>
    <s v="Mato Grosso"/>
  </r>
  <r>
    <s v="aadd5a22c7d1dd16b1fe905a302d70e2"/>
    <s v="2017-08-25"/>
    <x v="9"/>
    <x v="3"/>
    <x v="14"/>
    <n v="1"/>
    <n v="105.6"/>
    <n v="13.08"/>
    <s v="boleto"/>
    <n v="19"/>
    <x v="1"/>
    <x v="2"/>
    <s v="Sao Paulo"/>
  </r>
  <r>
    <s v="397e13bec7fab1213075383e4cdd11f7"/>
    <s v="2017-08-25"/>
    <x v="9"/>
    <x v="11"/>
    <x v="14"/>
    <n v="1"/>
    <n v="395"/>
    <n v="28.05"/>
    <s v="credit_card"/>
    <n v="24"/>
    <x v="1"/>
    <x v="2"/>
    <s v="Para"/>
  </r>
  <r>
    <s v="74d77b51e4f28bc2b7a17ec496e2dff6"/>
    <s v="2017-08-25"/>
    <x v="9"/>
    <x v="15"/>
    <x v="9"/>
    <n v="1"/>
    <n v="67.900000000000006"/>
    <n v="19.72"/>
    <s v="credit_card"/>
    <n v="19"/>
    <x v="1"/>
    <x v="2"/>
    <s v="Mato Grosso"/>
  </r>
  <r>
    <s v="139dbedc84f28f9d9da423fb52a57f80"/>
    <s v="2017-08-26"/>
    <x v="9"/>
    <x v="21"/>
    <x v="5"/>
    <n v="1"/>
    <n v="129.9"/>
    <n v="23.78"/>
    <s v="credit_card"/>
    <n v="13"/>
    <x v="1"/>
    <x v="2"/>
    <s v="Bahia"/>
  </r>
  <r>
    <s v="371f13dd168ce30a881e0db8cf3929fb"/>
    <s v="2017-08-26"/>
    <x v="9"/>
    <x v="13"/>
    <x v="41"/>
    <n v="1"/>
    <n v="599"/>
    <n v="66.87"/>
    <s v="credit_card"/>
    <n v="17"/>
    <x v="1"/>
    <x v="2"/>
    <s v="Maranhao"/>
  </r>
  <r>
    <s v="7d4bd3fbe5a300f9dc51aa3c63ad011e"/>
    <s v="2017-08-26"/>
    <x v="9"/>
    <x v="3"/>
    <x v="29"/>
    <n v="1"/>
    <n v="59.9"/>
    <n v="25.26"/>
    <s v="boleto"/>
    <n v="6"/>
    <x v="1"/>
    <x v="2"/>
    <s v="Sao Paulo"/>
  </r>
  <r>
    <s v="b132b4c680aad57c36a5686db90d88d5"/>
    <s v="2017-08-26"/>
    <x v="9"/>
    <x v="3"/>
    <x v="20"/>
    <n v="1"/>
    <n v="129.99"/>
    <n v="12.11"/>
    <s v="credit_card"/>
    <n v="5"/>
    <x v="1"/>
    <x v="3"/>
    <s v="Sao Paulo"/>
  </r>
  <r>
    <s v="13506ea47f50a6c01fa3dce68138ee1f"/>
    <s v="2017-08-26"/>
    <x v="9"/>
    <x v="24"/>
    <x v="7"/>
    <n v="1"/>
    <n v="59.9"/>
    <n v="37.97"/>
    <s v="credit_card"/>
    <n v="18"/>
    <x v="1"/>
    <x v="3"/>
    <s v="Alagoas"/>
  </r>
  <r>
    <s v="568e71250d146ee4bf4b6f85617c6843"/>
    <s v="2017-08-27"/>
    <x v="9"/>
    <x v="3"/>
    <x v="26"/>
    <n v="1"/>
    <n v="39.9"/>
    <n v="14.1"/>
    <s v="voucher"/>
    <n v="7"/>
    <x v="1"/>
    <x v="2"/>
    <s v="Sao Paulo"/>
  </r>
  <r>
    <s v="db869ac5d1058a4b8528b9006d73ad06"/>
    <s v="2017-08-27"/>
    <x v="9"/>
    <x v="21"/>
    <x v="20"/>
    <n v="1"/>
    <n v="599"/>
    <n v="72.34"/>
    <s v="credit_card"/>
    <n v="24"/>
    <x v="1"/>
    <x v="2"/>
    <s v="Bahia"/>
  </r>
  <r>
    <s v="241592e5920372dd08fcb5c8c6fbac75"/>
    <s v="2017-08-27"/>
    <x v="9"/>
    <x v="7"/>
    <x v="14"/>
    <n v="1"/>
    <n v="67.099999999999994"/>
    <n v="15.22"/>
    <s v="boleto"/>
    <n v="15"/>
    <x v="1"/>
    <x v="1"/>
    <s v="Minas Gerais"/>
  </r>
  <r>
    <s v="c52d67553f681ea84724bf36d9fb13c8"/>
    <s v="2017-08-27"/>
    <x v="9"/>
    <x v="8"/>
    <x v="1"/>
    <n v="1"/>
    <n v="645"/>
    <n v="19.260000000000002"/>
    <s v="credit_card"/>
    <n v="24"/>
    <x v="1"/>
    <x v="1"/>
    <s v="Santa Catarina"/>
  </r>
  <r>
    <s v="15fc22aad8d1b227891ce61eff4128cd"/>
    <s v="2017-08-27"/>
    <x v="9"/>
    <x v="4"/>
    <x v="0"/>
    <n v="1"/>
    <n v="160"/>
    <n v="14.87"/>
    <s v="credit_card"/>
    <n v="15"/>
    <x v="1"/>
    <x v="5"/>
    <s v="Rio de Janeiro"/>
  </r>
  <r>
    <s v="b8cfc70398c982df76df0917f55d96b9"/>
    <s v="2017-08-27"/>
    <x v="9"/>
    <x v="7"/>
    <x v="2"/>
    <n v="1"/>
    <n v="156.9"/>
    <n v="14.12"/>
    <s v="credit_card"/>
    <n v="5"/>
    <x v="1"/>
    <x v="2"/>
    <s v="Minas Gerais"/>
  </r>
  <r>
    <s v="60639cf6e21b03e84ac060960347b628"/>
    <s v="2017-08-27"/>
    <x v="9"/>
    <x v="7"/>
    <x v="25"/>
    <n v="1"/>
    <n v="36.799999999999997"/>
    <n v="16.600000000000001"/>
    <s v="credit_card"/>
    <n v="13"/>
    <x v="1"/>
    <x v="1"/>
    <s v="Minas Gerais"/>
  </r>
  <r>
    <s v="9cd88e173978b7414b46e60ddc882ae2"/>
    <s v="2017-08-27"/>
    <x v="9"/>
    <x v="4"/>
    <x v="7"/>
    <n v="2"/>
    <n v="119.8"/>
    <n v="35.340000000000003"/>
    <s v="credit_card"/>
    <n v="9"/>
    <x v="1"/>
    <x v="2"/>
    <s v="Rio de Janeiro"/>
  </r>
  <r>
    <s v="26e05207defbabc549b477ecdd135e06"/>
    <s v="2017-08-28"/>
    <x v="9"/>
    <x v="6"/>
    <x v="25"/>
    <n v="1"/>
    <n v="74.900000000000006"/>
    <n v="25.8"/>
    <s v="credit_card"/>
    <n v="7"/>
    <x v="1"/>
    <x v="1"/>
    <s v="Pernambuco"/>
  </r>
  <r>
    <s v="e22a3e8048469ea68906f666d446c25c"/>
    <s v="2017-08-28"/>
    <x v="9"/>
    <x v="3"/>
    <x v="50"/>
    <n v="1"/>
    <n v="139"/>
    <n v="21.46"/>
    <s v="credit_card"/>
    <n v="8"/>
    <x v="1"/>
    <x v="2"/>
    <s v="Sao Paulo"/>
  </r>
  <r>
    <s v="bf61fe4ac0f160dc7067f5d0eb8e3bdb"/>
    <s v="2017-08-28"/>
    <x v="9"/>
    <x v="3"/>
    <x v="4"/>
    <n v="2"/>
    <n v="39.979999999999997"/>
    <n v="17.440000000000001"/>
    <s v="credit_card"/>
    <n v="1"/>
    <x v="1"/>
    <x v="2"/>
    <s v="Sao Paulo"/>
  </r>
  <r>
    <s v="e1f36f0422520d149a51a3e55d98b066"/>
    <s v="2017-08-28"/>
    <x v="9"/>
    <x v="4"/>
    <x v="28"/>
    <n v="1"/>
    <n v="135.9"/>
    <n v="25.79"/>
    <s v="boleto"/>
    <n v="9"/>
    <x v="1"/>
    <x v="2"/>
    <s v="Rio de Janeiro"/>
  </r>
  <r>
    <s v="15054f27c8947786f3ca73a3b74f33ad"/>
    <s v="2017-08-28"/>
    <x v="9"/>
    <x v="3"/>
    <x v="6"/>
    <n v="1"/>
    <n v="39.9"/>
    <n v="15.1"/>
    <s v="credit_card"/>
    <n v="3"/>
    <x v="1"/>
    <x v="2"/>
    <s v="Sao Paulo"/>
  </r>
  <r>
    <s v="1a496064ceafeee379d9a37e8010e7e5"/>
    <s v="2017-08-28"/>
    <x v="9"/>
    <x v="3"/>
    <x v="0"/>
    <n v="1"/>
    <n v="45.9"/>
    <n v="12.69"/>
    <s v="credit_card"/>
    <n v="8"/>
    <x v="1"/>
    <x v="4"/>
    <s v="Sao Paulo"/>
  </r>
  <r>
    <s v="0b127810f86631fa896fd74a421045f8"/>
    <s v="2017-08-28"/>
    <x v="9"/>
    <x v="4"/>
    <x v="7"/>
    <n v="2"/>
    <n v="119.8"/>
    <n v="35.340000000000003"/>
    <s v="credit_card"/>
    <n v="8"/>
    <x v="1"/>
    <x v="2"/>
    <s v="Rio de Janeiro"/>
  </r>
  <r>
    <s v="c42e30b51c34dbcb30e27a10e1ab33bd"/>
    <s v="2017-08-28"/>
    <x v="9"/>
    <x v="14"/>
    <x v="20"/>
    <n v="1"/>
    <n v="99.99"/>
    <n v="16.95"/>
    <s v="credit_card"/>
    <n v="7"/>
    <x v="1"/>
    <x v="1"/>
    <s v="Mato Grosso do Sul"/>
  </r>
  <r>
    <s v="6490b668b6a0a9e14980564181095055"/>
    <s v="2017-08-28"/>
    <x v="9"/>
    <x v="8"/>
    <x v="5"/>
    <n v="1"/>
    <n v="15.9"/>
    <n v="15.1"/>
    <s v="boleto"/>
    <n v="11"/>
    <x v="1"/>
    <x v="1"/>
    <s v="Santa Catarina"/>
  </r>
  <r>
    <s v="7272b5bc978cef58523fad8731e5a12b"/>
    <s v="2017-08-28"/>
    <x v="9"/>
    <x v="5"/>
    <x v="1"/>
    <n v="1"/>
    <n v="139.9"/>
    <n v="17.420000000000002"/>
    <s v="credit_card"/>
    <n v="14"/>
    <x v="1"/>
    <x v="2"/>
    <s v="Parana"/>
  </r>
  <r>
    <s v="9fae83d9b8b2e49831f7017a29632728"/>
    <s v="2017-08-28"/>
    <x v="9"/>
    <x v="3"/>
    <x v="20"/>
    <n v="1"/>
    <n v="69.989999999999995"/>
    <n v="13.51"/>
    <s v="credit_card"/>
    <n v="4"/>
    <x v="1"/>
    <x v="3"/>
    <s v="Sao Paulo"/>
  </r>
  <r>
    <s v="273f82958d907705dde15be4062c6888"/>
    <s v="2017-08-28"/>
    <x v="9"/>
    <x v="21"/>
    <x v="9"/>
    <n v="1"/>
    <n v="23.99"/>
    <n v="16.79"/>
    <s v="credit_card"/>
    <n v="8"/>
    <x v="1"/>
    <x v="2"/>
    <s v="Bahia"/>
  </r>
  <r>
    <s v="84163f7d458a14345eac02a371e544de"/>
    <s v="2017-08-28"/>
    <x v="9"/>
    <x v="7"/>
    <x v="19"/>
    <n v="1"/>
    <n v="89.9"/>
    <n v="16.39"/>
    <s v="credit_card"/>
    <n v="8"/>
    <x v="1"/>
    <x v="2"/>
    <s v="Minas Gerais"/>
  </r>
  <r>
    <s v="5ad7d897998f9bab0176a1c82b7437ea"/>
    <s v="2017-08-28"/>
    <x v="9"/>
    <x v="8"/>
    <x v="9"/>
    <n v="1"/>
    <n v="76.989999999999995"/>
    <n v="14.29"/>
    <s v="credit_card"/>
    <n v="17"/>
    <x v="1"/>
    <x v="2"/>
    <s v="Santa Catarina"/>
  </r>
  <r>
    <s v="b8585b755e4a6d296c78133909d74022"/>
    <s v="2017-08-28"/>
    <x v="9"/>
    <x v="3"/>
    <x v="14"/>
    <n v="1"/>
    <n v="24.9"/>
    <n v="11.85"/>
    <s v="credit_card"/>
    <n v="9"/>
    <x v="1"/>
    <x v="2"/>
    <s v="Sao Paulo"/>
  </r>
  <r>
    <s v="34636c8ebf156ff646392967b52f97af"/>
    <s v="2017-08-28"/>
    <x v="9"/>
    <x v="4"/>
    <x v="20"/>
    <n v="1"/>
    <n v="610"/>
    <n v="65.010000000000005"/>
    <s v="credit_card"/>
    <n v="16"/>
    <x v="1"/>
    <x v="2"/>
    <s v="Rio de Janeiro"/>
  </r>
  <r>
    <s v="25df55b3cb298807a64158bf3b4d26d1"/>
    <s v="2017-08-29"/>
    <x v="9"/>
    <x v="3"/>
    <x v="9"/>
    <n v="1"/>
    <n v="150"/>
    <n v="8.7899999999999991"/>
    <s v="credit_card"/>
    <n v="3"/>
    <x v="1"/>
    <x v="3"/>
    <s v="Sao Paulo"/>
  </r>
  <r>
    <s v="a75d4b7463897480462a9e3f3f9ad8d2"/>
    <s v="2017-08-29"/>
    <x v="9"/>
    <x v="3"/>
    <x v="0"/>
    <n v="1"/>
    <n v="249.9"/>
    <n v="62.49"/>
    <s v="credit_card"/>
    <n v="13"/>
    <x v="1"/>
    <x v="2"/>
    <s v="Sao Paulo"/>
  </r>
  <r>
    <s v="03952349aca310eeba691019501388de"/>
    <s v="2017-08-29"/>
    <x v="9"/>
    <x v="5"/>
    <x v="15"/>
    <n v="1"/>
    <n v="84.9"/>
    <n v="17.84"/>
    <s v="boleto"/>
    <n v="28"/>
    <x v="1"/>
    <x v="3"/>
    <s v="Parana"/>
  </r>
  <r>
    <s v="63773910895f35751c9a1eb0ba5530c9"/>
    <s v="2017-08-29"/>
    <x v="9"/>
    <x v="3"/>
    <x v="17"/>
    <n v="1"/>
    <n v="18.899999999999999"/>
    <n v="12.48"/>
    <s v="credit_card"/>
    <n v="14"/>
    <x v="1"/>
    <x v="3"/>
    <s v="Sao Paulo"/>
  </r>
  <r>
    <s v="0121cfa7c946e6589f50d7012d3eb5eb"/>
    <s v="2017-08-30"/>
    <x v="9"/>
    <x v="3"/>
    <x v="12"/>
    <n v="1"/>
    <n v="29.99"/>
    <n v="16.79"/>
    <s v="credit_card"/>
    <n v="7"/>
    <x v="1"/>
    <x v="2"/>
    <s v="Sao Paulo"/>
  </r>
  <r>
    <s v="703028d4e0b49bc9632bb3b92150adb2"/>
    <s v="2017-08-30"/>
    <x v="9"/>
    <x v="3"/>
    <x v="20"/>
    <n v="2"/>
    <n v="77.8"/>
    <n v="30.2"/>
    <s v="credit_card"/>
    <n v="16"/>
    <x v="1"/>
    <x v="2"/>
    <s v="Sao Paulo"/>
  </r>
  <r>
    <s v="56f46fb5630f80cde51dfe4f07de78bb"/>
    <s v="2017-08-30"/>
    <x v="9"/>
    <x v="15"/>
    <x v="7"/>
    <n v="1"/>
    <n v="59.9"/>
    <n v="19.66"/>
    <s v="credit_card"/>
    <n v="14"/>
    <x v="1"/>
    <x v="3"/>
    <s v="Mato Grosso"/>
  </r>
  <r>
    <s v="b7b6e52282e462db3a8fd56c2d27389c"/>
    <s v="2017-08-30"/>
    <x v="9"/>
    <x v="3"/>
    <x v="9"/>
    <n v="1"/>
    <n v="15.48"/>
    <n v="11.85"/>
    <s v="credit_card"/>
    <n v="5"/>
    <x v="1"/>
    <x v="2"/>
    <s v="Sao Paulo"/>
  </r>
  <r>
    <s v="0899b756a6357ed330e0620ad548d70d"/>
    <s v="2017-08-30"/>
    <x v="9"/>
    <x v="3"/>
    <x v="13"/>
    <n v="1"/>
    <n v="117.99"/>
    <n v="9.64"/>
    <s v="credit_card"/>
    <n v="5"/>
    <x v="1"/>
    <x v="3"/>
    <s v="Sao Paulo"/>
  </r>
  <r>
    <s v="8756f67f8fca03ed9d9f098a2148c32d"/>
    <s v="2017-08-30"/>
    <x v="9"/>
    <x v="5"/>
    <x v="22"/>
    <n v="1"/>
    <n v="19.899999999999999"/>
    <n v="15.1"/>
    <s v="credit_card"/>
    <n v="13"/>
    <x v="1"/>
    <x v="2"/>
    <s v="Parana"/>
  </r>
  <r>
    <s v="1e1bb536916a9964978ee59e6d6d0cca"/>
    <s v="2017-08-30"/>
    <x v="9"/>
    <x v="23"/>
    <x v="2"/>
    <n v="2"/>
    <n v="99.98"/>
    <n v="42.3"/>
    <s v="credit_card"/>
    <n v="2"/>
    <x v="1"/>
    <x v="2"/>
    <s v="Rio Grande do Norte"/>
  </r>
  <r>
    <s v="5d667669da71ab257891582b76d37194"/>
    <s v="2017-08-30"/>
    <x v="9"/>
    <x v="3"/>
    <x v="19"/>
    <n v="1"/>
    <n v="139.9"/>
    <n v="21.47"/>
    <s v="credit_card"/>
    <n v="8"/>
    <x v="1"/>
    <x v="1"/>
    <s v="Sao Paulo"/>
  </r>
  <r>
    <s v="63abb9284ecee60580728402681f03eb"/>
    <s v="2017-08-31"/>
    <x v="9"/>
    <x v="4"/>
    <x v="14"/>
    <n v="1"/>
    <n v="130.99"/>
    <n v="18.170000000000002"/>
    <s v="credit_card"/>
    <n v="15"/>
    <x v="1"/>
    <x v="2"/>
    <s v="Rio de Janeiro"/>
  </r>
  <r>
    <s v="a8b34e4d3af0e20aff71bb5392bf8953"/>
    <s v="2017-08-31"/>
    <x v="9"/>
    <x v="3"/>
    <x v="4"/>
    <n v="1"/>
    <n v="269"/>
    <n v="10.7"/>
    <s v="credit_card"/>
    <n v="6"/>
    <x v="1"/>
    <x v="3"/>
    <s v="Sao Paulo"/>
  </r>
  <r>
    <s v="b5199c66306c07a949f9a9069f7fda57"/>
    <s v="2017-08-31"/>
    <x v="9"/>
    <x v="7"/>
    <x v="9"/>
    <n v="1"/>
    <n v="325"/>
    <n v="17.02"/>
    <s v="credit_card"/>
    <n v="12"/>
    <x v="1"/>
    <x v="2"/>
    <s v="Minas Gerais"/>
  </r>
  <r>
    <s v="a3c476831ccceb4aace3b6e6e60a2f50"/>
    <s v="2017-08-31"/>
    <x v="9"/>
    <x v="3"/>
    <x v="1"/>
    <n v="1"/>
    <n v="14.9"/>
    <n v="7.78"/>
    <s v="voucher"/>
    <n v="4"/>
    <x v="1"/>
    <x v="2"/>
    <s v="Sao Paulo"/>
  </r>
  <r>
    <s v="889d953454eb01607e1ded9e6c9e1657"/>
    <s v="2017-08-31"/>
    <x v="9"/>
    <x v="3"/>
    <x v="5"/>
    <n v="1"/>
    <n v="56.99"/>
    <n v="8.7200000000000006"/>
    <s v="credit_card"/>
    <n v="6"/>
    <x v="1"/>
    <x v="2"/>
    <s v="Sao Paulo"/>
  </r>
  <r>
    <s v="ed1a38eb0ec41e0051d7efc7552388dd"/>
    <s v="2017-08-31"/>
    <x v="9"/>
    <x v="3"/>
    <x v="34"/>
    <n v="1"/>
    <n v="18.5"/>
    <n v="7.78"/>
    <s v="boleto"/>
    <n v="11"/>
    <x v="1"/>
    <x v="3"/>
    <s v="Sao Paulo"/>
  </r>
  <r>
    <s v="334e118f51cc0e200822d5f117db5f19"/>
    <s v="2017-08-31"/>
    <x v="9"/>
    <x v="3"/>
    <x v="26"/>
    <n v="2"/>
    <n v="39.799999999999997"/>
    <n v="23.7"/>
    <s v="credit_card"/>
    <n v="1"/>
    <x v="1"/>
    <x v="5"/>
    <s v="Sao Paulo"/>
  </r>
  <r>
    <s v="7e7854ea93e1ac916da1c6a44feef201"/>
    <s v="2017-08-31"/>
    <x v="9"/>
    <x v="3"/>
    <x v="14"/>
    <n v="1"/>
    <n v="195"/>
    <n v="14.97"/>
    <s v="credit_card"/>
    <n v="5"/>
    <x v="1"/>
    <x v="2"/>
    <s v="Sao Paulo"/>
  </r>
  <r>
    <s v="cf72398d0690f841271b695bbfda82d2"/>
    <s v="2017-09-01"/>
    <x v="10"/>
    <x v="3"/>
    <x v="41"/>
    <n v="1"/>
    <n v="269"/>
    <n v="15.49"/>
    <s v="credit_card"/>
    <n v="9"/>
    <x v="1"/>
    <x v="2"/>
    <s v="Sao Paulo"/>
  </r>
  <r>
    <s v="2b37d2f506ce5ca2dfa10f9ba271e609"/>
    <s v="2017-09-01"/>
    <x v="10"/>
    <x v="3"/>
    <x v="7"/>
    <n v="3"/>
    <n v="179.7"/>
    <n v="40.32"/>
    <s v="credit_card"/>
    <n v="11"/>
    <x v="1"/>
    <x v="1"/>
    <s v="Sao Paulo"/>
  </r>
  <r>
    <s v="1fab4ac9d85079b3da72a11475ae1685"/>
    <s v="2017-09-01"/>
    <x v="10"/>
    <x v="3"/>
    <x v="22"/>
    <n v="1"/>
    <n v="229.9"/>
    <n v="13.11"/>
    <s v="credit_card"/>
    <n v="7"/>
    <x v="1"/>
    <x v="2"/>
    <s v="Sao Paulo"/>
  </r>
  <r>
    <s v="5a211401338dee5fa1388f6b4b70b456"/>
    <s v="2017-09-01"/>
    <x v="10"/>
    <x v="1"/>
    <x v="4"/>
    <n v="1"/>
    <n v="42.79"/>
    <n v="25.63"/>
    <s v="credit_card"/>
    <n v="7"/>
    <x v="1"/>
    <x v="2"/>
    <s v="Rio Grande do Sul"/>
  </r>
  <r>
    <s v="2346e1104a4b18a23e6dc6a87c2d1b8c"/>
    <s v="2017-09-01"/>
    <x v="10"/>
    <x v="21"/>
    <x v="12"/>
    <n v="1"/>
    <n v="89.9"/>
    <n v="17.07"/>
    <s v="boleto"/>
    <n v="13"/>
    <x v="1"/>
    <x v="2"/>
    <s v="Bahia"/>
  </r>
  <r>
    <s v="db9458d0bbfff27cf6ff5b9342087fd0"/>
    <s v="2017-09-01"/>
    <x v="10"/>
    <x v="4"/>
    <x v="1"/>
    <n v="2"/>
    <n v="119.8"/>
    <n v="33.72"/>
    <s v="credit_card"/>
    <n v="10"/>
    <x v="1"/>
    <x v="2"/>
    <s v="Rio de Janeiro"/>
  </r>
  <r>
    <s v="17ece7ee59d823d55795a356168275e4"/>
    <s v="2017-09-02"/>
    <x v="10"/>
    <x v="3"/>
    <x v="1"/>
    <n v="1"/>
    <n v="195.9"/>
    <n v="26.21"/>
    <s v="credit_card"/>
    <n v="9"/>
    <x v="1"/>
    <x v="2"/>
    <s v="Sao Paulo"/>
  </r>
  <r>
    <s v="14433250d2268548a917e1a0bdfd19c1"/>
    <s v="2017-09-02"/>
    <x v="10"/>
    <x v="3"/>
    <x v="19"/>
    <n v="1"/>
    <n v="19.899999999999999"/>
    <n v="11.85"/>
    <s v="credit_card"/>
    <n v="12"/>
    <x v="1"/>
    <x v="2"/>
    <s v="Sao Paulo"/>
  </r>
  <r>
    <s v="6d7bfd3551f91299c7e4b7f0922e9e75"/>
    <s v="2017-09-02"/>
    <x v="10"/>
    <x v="3"/>
    <x v="20"/>
    <n v="1"/>
    <n v="610"/>
    <n v="37.54"/>
    <s v="credit_card"/>
    <n v="6"/>
    <x v="1"/>
    <x v="2"/>
    <s v="Sao Paulo"/>
  </r>
  <r>
    <s v="47420d7f7e141ae9974351d8a438f759"/>
    <s v="2017-09-02"/>
    <x v="10"/>
    <x v="7"/>
    <x v="12"/>
    <n v="1"/>
    <n v="49.9"/>
    <n v="15.1"/>
    <s v="credit_card"/>
    <n v="10"/>
    <x v="1"/>
    <x v="2"/>
    <s v="Minas Gerais"/>
  </r>
  <r>
    <s v="8bf12a5b441bd86a1edbccb6137c9b0b"/>
    <s v="2017-09-02"/>
    <x v="10"/>
    <x v="3"/>
    <x v="12"/>
    <n v="1"/>
    <n v="3.85"/>
    <n v="7.78"/>
    <s v="credit_card"/>
    <n v="11"/>
    <x v="1"/>
    <x v="2"/>
    <s v="Sao Paulo"/>
  </r>
  <r>
    <s v="d99e6849f7676dade195f20c26f0eb4f"/>
    <s v="2017-09-02"/>
    <x v="10"/>
    <x v="7"/>
    <x v="1"/>
    <n v="1"/>
    <n v="120"/>
    <n v="15.59"/>
    <s v="credit_card"/>
    <n v="5"/>
    <x v="1"/>
    <x v="2"/>
    <s v="Minas Gerais"/>
  </r>
  <r>
    <s v="5b87678fe5651f0c1e5ee9bb16108947"/>
    <s v="2017-09-03"/>
    <x v="10"/>
    <x v="3"/>
    <x v="21"/>
    <n v="1"/>
    <n v="98.9"/>
    <n v="14.42"/>
    <s v="boleto"/>
    <n v="12"/>
    <x v="1"/>
    <x v="2"/>
    <s v="Sao Paulo"/>
  </r>
  <r>
    <s v="b708a78d59d407b8733f3f3e9b11596e"/>
    <s v="2017-09-03"/>
    <x v="10"/>
    <x v="18"/>
    <x v="1"/>
    <n v="1"/>
    <n v="199.9"/>
    <n v="21.89"/>
    <s v="credit_card"/>
    <n v="10"/>
    <x v="1"/>
    <x v="1"/>
    <s v="Distrito Federal"/>
  </r>
  <r>
    <s v="ff50008f24df5da8799bd7804c77686c"/>
    <s v="2017-09-03"/>
    <x v="10"/>
    <x v="8"/>
    <x v="13"/>
    <n v="1"/>
    <n v="18"/>
    <n v="15.1"/>
    <s v="credit_card"/>
    <n v="10"/>
    <x v="1"/>
    <x v="2"/>
    <s v="Santa Catarina"/>
  </r>
  <r>
    <s v="d891fcff7f5720b6a87ecd0a3dbf0c27"/>
    <s v="2017-09-03"/>
    <x v="10"/>
    <x v="1"/>
    <x v="0"/>
    <n v="1"/>
    <n v="89.9"/>
    <n v="15.39"/>
    <s v="credit_card"/>
    <n v="5"/>
    <x v="1"/>
    <x v="2"/>
    <s v="Rio Grande do Sul"/>
  </r>
  <r>
    <s v="33481c8e76159f5a3318911105d58475"/>
    <s v="2017-09-03"/>
    <x v="10"/>
    <x v="1"/>
    <x v="3"/>
    <n v="1"/>
    <n v="36.76"/>
    <n v="15.1"/>
    <s v="credit_card"/>
    <n v="16"/>
    <x v="1"/>
    <x v="0"/>
    <s v="Rio Grande do Sul"/>
  </r>
  <r>
    <s v="98dc9b1a84fd406155ed39ab4027c61e"/>
    <s v="2017-09-03"/>
    <x v="10"/>
    <x v="7"/>
    <x v="6"/>
    <n v="1"/>
    <n v="24.9"/>
    <n v="15.1"/>
    <s v="credit_card"/>
    <n v="5"/>
    <x v="1"/>
    <x v="3"/>
    <s v="Minas Gerais"/>
  </r>
  <r>
    <s v="eb79e3366c1e8ef5a331f96b5c73995f"/>
    <s v="2017-09-04"/>
    <x v="10"/>
    <x v="4"/>
    <x v="7"/>
    <n v="2"/>
    <n v="119.8"/>
    <n v="35.340000000000003"/>
    <s v="boleto"/>
    <n v="14"/>
    <x v="1"/>
    <x v="2"/>
    <s v="Rio de Janeiro"/>
  </r>
  <r>
    <s v="c465b4dc1929898adffb867fb70fbadd"/>
    <s v="2017-09-04"/>
    <x v="10"/>
    <x v="3"/>
    <x v="12"/>
    <n v="2"/>
    <n v="114.8"/>
    <n v="15.56"/>
    <s v="boleto"/>
    <n v="7"/>
    <x v="1"/>
    <x v="2"/>
    <s v="Sao Paulo"/>
  </r>
  <r>
    <s v="79ecc3e68b2d54e056223964de8bca98"/>
    <s v="2017-09-04"/>
    <x v="10"/>
    <x v="4"/>
    <x v="9"/>
    <n v="1"/>
    <n v="118.33"/>
    <n v="18.079999999999998"/>
    <s v="voucher"/>
    <n v="7"/>
    <x v="1"/>
    <x v="2"/>
    <s v="Rio de Janeiro"/>
  </r>
  <r>
    <s v="e0409d7f1bbf560cbc2472a046339c3c"/>
    <s v="2017-09-04"/>
    <x v="10"/>
    <x v="7"/>
    <x v="9"/>
    <n v="1"/>
    <n v="119.9"/>
    <n v="18.09"/>
    <s v="credit_card"/>
    <n v="15"/>
    <x v="1"/>
    <x v="3"/>
    <s v="Minas Gerais"/>
  </r>
  <r>
    <s v="41a207671f292d00ffea01b171f2a30b"/>
    <s v="2017-09-04"/>
    <x v="10"/>
    <x v="3"/>
    <x v="22"/>
    <n v="2"/>
    <n v="84"/>
    <n v="15.56"/>
    <s v="credit_card"/>
    <n v="1"/>
    <x v="1"/>
    <x v="2"/>
    <s v="Sao Paulo"/>
  </r>
  <r>
    <s v="281f470497aa1a0af6a1d6024b3eba93"/>
    <s v="2017-09-05"/>
    <x v="10"/>
    <x v="4"/>
    <x v="9"/>
    <n v="1"/>
    <n v="199"/>
    <n v="26.23"/>
    <s v="credit_card"/>
    <n v="9"/>
    <x v="1"/>
    <x v="2"/>
    <s v="Rio de Janeiro"/>
  </r>
  <r>
    <s v="0334c2700a7e8ac0f3efeb36b4a91e68"/>
    <s v="2017-09-06"/>
    <x v="10"/>
    <x v="1"/>
    <x v="2"/>
    <n v="1"/>
    <n v="55"/>
    <n v="16.149999999999999"/>
    <s v="credit_card"/>
    <n v="12"/>
    <x v="1"/>
    <x v="1"/>
    <s v="Rio Grande do Sul"/>
  </r>
  <r>
    <s v="3517c4c24184e3c518a1c8319dc60765"/>
    <s v="2017-09-06"/>
    <x v="10"/>
    <x v="3"/>
    <x v="5"/>
    <n v="1"/>
    <n v="119.9"/>
    <n v="21.33"/>
    <s v="credit_card"/>
    <n v="13"/>
    <x v="1"/>
    <x v="2"/>
    <s v="Sao Paulo"/>
  </r>
  <r>
    <s v="e5c4134a422573e560cba643f9318bc1"/>
    <s v="2017-09-06"/>
    <x v="10"/>
    <x v="15"/>
    <x v="20"/>
    <n v="1"/>
    <n v="105"/>
    <n v="22.6"/>
    <s v="credit_card"/>
    <n v="7"/>
    <x v="1"/>
    <x v="2"/>
    <s v="Mato Grosso"/>
  </r>
  <r>
    <s v="6eec08eba397611760a7ccd3cd4aa98b"/>
    <s v="2017-09-06"/>
    <x v="10"/>
    <x v="3"/>
    <x v="12"/>
    <n v="1"/>
    <n v="25"/>
    <n v="7.78"/>
    <s v="boleto"/>
    <n v="6"/>
    <x v="1"/>
    <x v="1"/>
    <s v="Sao Paulo"/>
  </r>
  <r>
    <s v="6c77310ef232ed3cc83889e26f3b5159"/>
    <s v="2017-09-06"/>
    <x v="10"/>
    <x v="4"/>
    <x v="9"/>
    <n v="1"/>
    <n v="58.99"/>
    <n v="16.66"/>
    <s v="credit_card"/>
    <n v="11"/>
    <x v="1"/>
    <x v="0"/>
    <s v="Rio de Janeiro"/>
  </r>
  <r>
    <s v="09e3a74fe474342885a70d1b2452c1e2"/>
    <s v="2017-09-06"/>
    <x v="10"/>
    <x v="21"/>
    <x v="19"/>
    <n v="1"/>
    <n v="50"/>
    <n v="47.79"/>
    <s v="boleto"/>
    <n v="35"/>
    <x v="2"/>
    <x v="0"/>
    <s v="Bahia"/>
  </r>
  <r>
    <s v="56d8f7fb6d7398024039c2b7dff3fd0d"/>
    <s v="2017-09-06"/>
    <x v="10"/>
    <x v="4"/>
    <x v="9"/>
    <n v="1"/>
    <n v="59"/>
    <n v="105.33"/>
    <s v="credit_card"/>
    <n v="6"/>
    <x v="1"/>
    <x v="0"/>
    <s v="Rio de Janeiro"/>
  </r>
  <r>
    <s v="7672a59c69b073e25dba933ef431d182"/>
    <s v="2017-09-06"/>
    <x v="10"/>
    <x v="7"/>
    <x v="12"/>
    <n v="1"/>
    <n v="151.19999999999999"/>
    <n v="18.309999999999999"/>
    <s v="credit_card"/>
    <n v="13"/>
    <x v="1"/>
    <x v="2"/>
    <s v="Minas Gerais"/>
  </r>
  <r>
    <s v="4638df545f7ab35cb2e4ed4bcb490e17"/>
    <s v="2017-09-07"/>
    <x v="10"/>
    <x v="4"/>
    <x v="9"/>
    <n v="1"/>
    <n v="760"/>
    <n v="142.35"/>
    <s v="credit_card"/>
    <n v="29"/>
    <x v="2"/>
    <x v="3"/>
    <s v="Rio de Janeiro"/>
  </r>
  <r>
    <s v="7ed7d32f98587cf0d5aee4ccec43e11e"/>
    <s v="2017-09-07"/>
    <x v="10"/>
    <x v="3"/>
    <x v="0"/>
    <n v="1"/>
    <n v="31"/>
    <n v="7.78"/>
    <s v="credit_card"/>
    <n v="4"/>
    <x v="1"/>
    <x v="3"/>
    <s v="Sao Paulo"/>
  </r>
  <r>
    <s v="71400888e53ed1698734799716d213f8"/>
    <s v="2017-09-07"/>
    <x v="10"/>
    <x v="5"/>
    <x v="9"/>
    <n v="1"/>
    <n v="109.99"/>
    <n v="16.53"/>
    <s v="credit_card"/>
    <n v="11"/>
    <x v="1"/>
    <x v="2"/>
    <s v="Parana"/>
  </r>
  <r>
    <s v="81e4c4d7594a8111a17da1f1b399ba07"/>
    <s v="2017-09-07"/>
    <x v="10"/>
    <x v="1"/>
    <x v="25"/>
    <n v="1"/>
    <n v="89.99"/>
    <n v="16.39"/>
    <s v="credit_card"/>
    <n v="18"/>
    <x v="1"/>
    <x v="2"/>
    <s v="Rio Grande do Sul"/>
  </r>
  <r>
    <s v="eeee28417bb0a24c511c9b96a03fb29b"/>
    <s v="2017-09-07"/>
    <x v="10"/>
    <x v="3"/>
    <x v="20"/>
    <n v="1"/>
    <n v="119.99"/>
    <n v="12.04"/>
    <s v="credit_card"/>
    <n v="5"/>
    <x v="1"/>
    <x v="3"/>
    <s v="Sao Paulo"/>
  </r>
  <r>
    <s v="bc23a8b8a743eb2f2b66eb86a77f8740"/>
    <s v="2017-09-07"/>
    <x v="10"/>
    <x v="4"/>
    <x v="4"/>
    <n v="1"/>
    <n v="98"/>
    <n v="17.97"/>
    <s v="credit_card"/>
    <n v="10"/>
    <x v="1"/>
    <x v="3"/>
    <s v="Rio de Janeiro"/>
  </r>
  <r>
    <s v="a2a3400730e376777caa534221041eff"/>
    <s v="2017-09-07"/>
    <x v="10"/>
    <x v="22"/>
    <x v="26"/>
    <n v="1"/>
    <n v="279.99"/>
    <n v="19.21"/>
    <s v="credit_card"/>
    <n v="11"/>
    <x v="1"/>
    <x v="3"/>
    <s v="Espirito Santo"/>
  </r>
  <r>
    <s v="a9514842c946fff73632509db47cc683"/>
    <s v="2017-09-07"/>
    <x v="10"/>
    <x v="18"/>
    <x v="0"/>
    <n v="1"/>
    <n v="69.900000000000006"/>
    <n v="16.739999999999998"/>
    <s v="credit_card"/>
    <n v="15"/>
    <x v="1"/>
    <x v="1"/>
    <s v="Distrito Federal"/>
  </r>
  <r>
    <s v="11c601407b62dd629716ee3ff3efa95b"/>
    <s v="2017-09-08"/>
    <x v="10"/>
    <x v="23"/>
    <x v="9"/>
    <n v="1"/>
    <n v="53"/>
    <n v="21.17"/>
    <s v="credit_card"/>
    <n v="24"/>
    <x v="1"/>
    <x v="2"/>
    <s v="Rio Grande do Norte"/>
  </r>
  <r>
    <s v="ee72cc3828a08dc0672d88d212db3452"/>
    <s v="2017-09-08"/>
    <x v="10"/>
    <x v="1"/>
    <x v="0"/>
    <n v="1"/>
    <n v="23.9"/>
    <n v="42.38"/>
    <s v="credit_card"/>
    <n v="27"/>
    <x v="1"/>
    <x v="2"/>
    <s v="Rio Grande do Sul"/>
  </r>
  <r>
    <s v="2d41f565da57c810b338c40361477c5f"/>
    <s v="2017-09-08"/>
    <x v="10"/>
    <x v="8"/>
    <x v="25"/>
    <n v="1"/>
    <n v="189.99"/>
    <n v="18.579999999999998"/>
    <s v="credit_card"/>
    <n v="20"/>
    <x v="1"/>
    <x v="2"/>
    <s v="Santa Catarina"/>
  </r>
  <r>
    <s v="adcb2eeef370c9bf98f5d1e975397950"/>
    <s v="2017-09-08"/>
    <x v="10"/>
    <x v="3"/>
    <x v="17"/>
    <n v="1"/>
    <n v="17.899999999999999"/>
    <n v="12.48"/>
    <s v="boleto"/>
    <n v="13"/>
    <x v="1"/>
    <x v="2"/>
    <s v="Sao Paulo"/>
  </r>
  <r>
    <s v="81d6162a00e7332a42e9f26375953d74"/>
    <s v="2017-09-08"/>
    <x v="10"/>
    <x v="18"/>
    <x v="9"/>
    <n v="1"/>
    <n v="89.9"/>
    <n v="15.38"/>
    <s v="credit_card"/>
    <n v="6"/>
    <x v="1"/>
    <x v="2"/>
    <s v="Distrito Federal"/>
  </r>
  <r>
    <s v="f6974499820661b92dd1922750d6f0d0"/>
    <s v="2017-09-09"/>
    <x v="10"/>
    <x v="3"/>
    <x v="0"/>
    <n v="1"/>
    <n v="49.9"/>
    <n v="8.7200000000000006"/>
    <s v="credit_card"/>
    <n v="3"/>
    <x v="1"/>
    <x v="2"/>
    <s v="Sao Paulo"/>
  </r>
  <r>
    <s v="6779036ed0ba358b53a569a733f3e408"/>
    <s v="2017-09-09"/>
    <x v="10"/>
    <x v="13"/>
    <x v="0"/>
    <n v="1"/>
    <n v="299"/>
    <n v="54.45"/>
    <s v="boleto"/>
    <n v="30"/>
    <x v="2"/>
    <x v="1"/>
    <s v="Maranhao"/>
  </r>
  <r>
    <s v="59ff850287c170ca0c5844a659a456a0"/>
    <s v="2017-09-09"/>
    <x v="10"/>
    <x v="3"/>
    <x v="1"/>
    <n v="2"/>
    <n v="59.8"/>
    <n v="23.7"/>
    <s v="credit_card"/>
    <n v="10"/>
    <x v="1"/>
    <x v="2"/>
    <s v="Sao Paulo"/>
  </r>
  <r>
    <s v="23923af7b4df1da5db096c921e728325"/>
    <s v="2017-09-09"/>
    <x v="10"/>
    <x v="3"/>
    <x v="4"/>
    <n v="1"/>
    <n v="15"/>
    <n v="11.85"/>
    <s v="credit_card"/>
    <n v="5"/>
    <x v="1"/>
    <x v="2"/>
    <s v="Sao Paulo"/>
  </r>
  <r>
    <s v="0e905ed8f17c6568a12cad104c041e34"/>
    <s v="2017-09-09"/>
    <x v="10"/>
    <x v="4"/>
    <x v="14"/>
    <n v="1"/>
    <n v="45.95"/>
    <n v="15.1"/>
    <s v="credit_card"/>
    <n v="16"/>
    <x v="1"/>
    <x v="1"/>
    <s v="Rio de Janeiro"/>
  </r>
  <r>
    <s v="b9222683e55758e925b1931565b4f343"/>
    <s v="2017-09-09"/>
    <x v="10"/>
    <x v="3"/>
    <x v="6"/>
    <n v="1"/>
    <n v="299.99"/>
    <n v="22.9"/>
    <s v="credit_card"/>
    <n v="6"/>
    <x v="1"/>
    <x v="1"/>
    <s v="Sao Paulo"/>
  </r>
  <r>
    <s v="d01892cabdc79c6a7592dbe80c5d7192"/>
    <s v="2017-09-10"/>
    <x v="10"/>
    <x v="3"/>
    <x v="1"/>
    <n v="1"/>
    <n v="159.9"/>
    <n v="14.14"/>
    <s v="credit_card"/>
    <n v="9"/>
    <x v="1"/>
    <x v="2"/>
    <s v="Sao Paulo"/>
  </r>
  <r>
    <s v="9b1d71b20edcf15ab15e0bb4a932f23f"/>
    <s v="2017-09-10"/>
    <x v="10"/>
    <x v="18"/>
    <x v="42"/>
    <n v="1"/>
    <n v="79"/>
    <n v="16.309999999999999"/>
    <s v="credit_card"/>
    <n v="25"/>
    <x v="2"/>
    <x v="0"/>
    <s v="Distrito Federal"/>
  </r>
  <r>
    <s v="5251ac9886fbf2953b24c9f45364837e"/>
    <s v="2017-09-10"/>
    <x v="10"/>
    <x v="8"/>
    <x v="5"/>
    <n v="1"/>
    <n v="39.5"/>
    <n v="15.1"/>
    <s v="credit_card"/>
    <n v="5"/>
    <x v="1"/>
    <x v="2"/>
    <s v="Santa Catarina"/>
  </r>
  <r>
    <s v="0cda834be88c6e549a9895efe5e0b49f"/>
    <s v="2017-09-10"/>
    <x v="10"/>
    <x v="3"/>
    <x v="44"/>
    <n v="2"/>
    <n v="190.9"/>
    <n v="52.22"/>
    <s v="credit_card"/>
    <n v="15"/>
    <x v="1"/>
    <x v="1"/>
    <s v="Sao Paulo"/>
  </r>
  <r>
    <s v="c2376b3688a7b2bad91daeccb5097ffc"/>
    <s v="2017-09-10"/>
    <x v="10"/>
    <x v="21"/>
    <x v="20"/>
    <n v="1"/>
    <n v="99.99"/>
    <n v="19.940000000000001"/>
    <s v="boleto"/>
    <n v="16"/>
    <x v="1"/>
    <x v="2"/>
    <s v="Bahia"/>
  </r>
  <r>
    <s v="06a07c0ad4e1811f48e86d2c56c7b705"/>
    <s v="2017-09-10"/>
    <x v="10"/>
    <x v="3"/>
    <x v="1"/>
    <n v="1"/>
    <n v="205"/>
    <n v="14.45"/>
    <s v="credit_card"/>
    <n v="8"/>
    <x v="1"/>
    <x v="2"/>
    <s v="Sao Paulo"/>
  </r>
  <r>
    <s v="a23760b9274db6304cc3cc0085583693"/>
    <s v="2017-09-10"/>
    <x v="10"/>
    <x v="21"/>
    <x v="22"/>
    <n v="2"/>
    <n v="300"/>
    <n v="34.979999999999997"/>
    <s v="credit_card"/>
    <n v="36"/>
    <x v="2"/>
    <x v="3"/>
    <s v="Bahia"/>
  </r>
  <r>
    <s v="810c5451b24e7565d14608ed85dd3624"/>
    <s v="2017-09-10"/>
    <x v="10"/>
    <x v="3"/>
    <x v="21"/>
    <n v="1"/>
    <n v="43.9"/>
    <n v="16.11"/>
    <s v="voucher"/>
    <n v="8"/>
    <x v="1"/>
    <x v="1"/>
    <s v="Sao Paulo"/>
  </r>
  <r>
    <s v="81c277d38bfc8beca560a53fac3646f5"/>
    <s v="2017-09-11"/>
    <x v="10"/>
    <x v="3"/>
    <x v="1"/>
    <n v="1"/>
    <n v="24.99"/>
    <n v="8.7200000000000006"/>
    <s v="voucher"/>
    <n v="2"/>
    <x v="1"/>
    <x v="2"/>
    <s v="Sao Paulo"/>
  </r>
  <r>
    <s v="3ca5fa29d024e3690f532e492d590cc1"/>
    <s v="2017-09-11"/>
    <x v="10"/>
    <x v="4"/>
    <x v="20"/>
    <n v="1"/>
    <n v="99.99"/>
    <n v="16.95"/>
    <s v="credit_card"/>
    <n v="22"/>
    <x v="2"/>
    <x v="0"/>
    <s v="Rio de Janeiro"/>
  </r>
  <r>
    <s v="91a3c41404860e70eb6fbca545645af0"/>
    <s v="2017-09-11"/>
    <x v="10"/>
    <x v="12"/>
    <x v="11"/>
    <n v="1"/>
    <n v="890"/>
    <n v="92.85"/>
    <s v="boleto"/>
    <n v="18"/>
    <x v="1"/>
    <x v="3"/>
    <s v="Ceara"/>
  </r>
  <r>
    <s v="a92334f188d0def0f230671c7dec9b0e"/>
    <s v="2017-09-11"/>
    <x v="10"/>
    <x v="1"/>
    <x v="9"/>
    <n v="2"/>
    <n v="273.8"/>
    <n v="54.74"/>
    <s v="credit_card"/>
    <n v="3"/>
    <x v="1"/>
    <x v="5"/>
    <s v="Rio Grande do Sul"/>
  </r>
  <r>
    <s v="5e9b8f318db11da788bebae8b16069f0"/>
    <s v="2017-09-12"/>
    <x v="10"/>
    <x v="3"/>
    <x v="17"/>
    <n v="1"/>
    <n v="27.9"/>
    <n v="15.1"/>
    <s v="credit_card"/>
    <n v="2"/>
    <x v="1"/>
    <x v="2"/>
    <s v="Sao Paulo"/>
  </r>
  <r>
    <s v="260ae6dba7f42f9c5e74b4e76a922f08"/>
    <s v="2017-09-12"/>
    <x v="10"/>
    <x v="3"/>
    <x v="1"/>
    <n v="2"/>
    <n v="319.98"/>
    <n v="26.92"/>
    <s v="credit_card"/>
    <n v="6"/>
    <x v="1"/>
    <x v="1"/>
    <s v="Sao Paulo"/>
  </r>
  <r>
    <s v="0a18d00cb652fc5698d4e3c3e01e7da0"/>
    <s v="2017-09-12"/>
    <x v="10"/>
    <x v="3"/>
    <x v="0"/>
    <n v="1"/>
    <n v="89.9"/>
    <n v="9.44"/>
    <s v="credit_card"/>
    <n v="2"/>
    <x v="1"/>
    <x v="1"/>
    <s v="Sao Paulo"/>
  </r>
  <r>
    <s v="acec051085be2d0f06efc5fd2f9037c9"/>
    <s v="2017-09-12"/>
    <x v="10"/>
    <x v="3"/>
    <x v="22"/>
    <n v="1"/>
    <n v="55"/>
    <n v="11.89"/>
    <s v="credit_card"/>
    <n v="8"/>
    <x v="1"/>
    <x v="2"/>
    <s v="Sao Paulo"/>
  </r>
  <r>
    <s v="f80549a97eb203e1566e026ab66f045b"/>
    <s v="2017-09-12"/>
    <x v="10"/>
    <x v="3"/>
    <x v="4"/>
    <n v="10"/>
    <n v="1379"/>
    <n v="388.1"/>
    <s v="boleto"/>
    <n v="14"/>
    <x v="1"/>
    <x v="0"/>
    <s v="Sao Paulo"/>
  </r>
  <r>
    <s v="7989e2c3bb311324f824d365b87fa0cf"/>
    <s v="2017-09-12"/>
    <x v="10"/>
    <x v="21"/>
    <x v="6"/>
    <n v="2"/>
    <n v="51.98"/>
    <n v="31.58"/>
    <s v="boleto"/>
    <n v="27"/>
    <x v="2"/>
    <x v="0"/>
    <s v="Bahia"/>
  </r>
  <r>
    <s v="633f4fc75774571fccaef584dfce5a7b"/>
    <s v="2017-09-12"/>
    <x v="10"/>
    <x v="26"/>
    <x v="7"/>
    <n v="1"/>
    <n v="59.9"/>
    <n v="37.97"/>
    <s v="credit_card"/>
    <n v="102"/>
    <x v="2"/>
    <x v="4"/>
    <s v="Paraiba"/>
  </r>
  <r>
    <s v="3d782e9c655f398bd57fc44d3f02b515"/>
    <s v="2017-09-12"/>
    <x v="10"/>
    <x v="3"/>
    <x v="19"/>
    <n v="1"/>
    <n v="55"/>
    <n v="11.89"/>
    <s v="credit_card"/>
    <n v="8"/>
    <x v="1"/>
    <x v="2"/>
    <s v="Sao Paulo"/>
  </r>
  <r>
    <s v="fc34a24a0463d8668b0c6e270eb71358"/>
    <s v="2017-09-12"/>
    <x v="10"/>
    <x v="5"/>
    <x v="9"/>
    <n v="1"/>
    <n v="79.900000000000006"/>
    <n v="15.31"/>
    <s v="credit_card"/>
    <n v="6"/>
    <x v="1"/>
    <x v="2"/>
    <s v="Parana"/>
  </r>
  <r>
    <s v="4ba950df08c74788b24c665c7e40d4ae"/>
    <s v="2017-09-12"/>
    <x v="10"/>
    <x v="3"/>
    <x v="12"/>
    <n v="1"/>
    <n v="172.33"/>
    <n v="18.489999999999998"/>
    <s v="credit_card"/>
    <n v="10"/>
    <x v="1"/>
    <x v="2"/>
    <s v="Sao Paulo"/>
  </r>
  <r>
    <s v="d9eb574d9db751d3a86c7bf179ec2853"/>
    <s v="2017-09-12"/>
    <x v="10"/>
    <x v="12"/>
    <x v="0"/>
    <n v="1"/>
    <n v="99.99"/>
    <n v="25.15"/>
    <s v="credit_card"/>
    <n v="14"/>
    <x v="1"/>
    <x v="0"/>
    <s v="Ceara"/>
  </r>
  <r>
    <s v="4574345c7d99730212061b6152f81928"/>
    <s v="2017-09-12"/>
    <x v="10"/>
    <x v="3"/>
    <x v="18"/>
    <n v="4"/>
    <n v="919.6"/>
    <n v="68.2"/>
    <s v="credit_card"/>
    <n v="10"/>
    <x v="1"/>
    <x v="0"/>
    <s v="Sao Paulo"/>
  </r>
  <r>
    <s v="6d781e62fc99f1af77ad37974cb0a1b4"/>
    <s v="2017-09-12"/>
    <x v="10"/>
    <x v="7"/>
    <x v="2"/>
    <n v="1"/>
    <n v="74.8"/>
    <n v="17.77"/>
    <s v="credit_card"/>
    <n v="10"/>
    <x v="1"/>
    <x v="2"/>
    <s v="Minas Gerais"/>
  </r>
  <r>
    <s v="9c983856364a24ce56bf39aea9bb118a"/>
    <s v="2017-09-13"/>
    <x v="10"/>
    <x v="21"/>
    <x v="1"/>
    <n v="2"/>
    <n v="119.8"/>
    <n v="33.72"/>
    <s v="boleto"/>
    <n v="20"/>
    <x v="1"/>
    <x v="2"/>
    <s v="Bahia"/>
  </r>
  <r>
    <s v="e1c58cc2bf1f241d4ab2e557f7ab52a6"/>
    <s v="2017-09-13"/>
    <x v="10"/>
    <x v="3"/>
    <x v="19"/>
    <n v="1"/>
    <n v="82.59"/>
    <n v="13.6"/>
    <s v="boleto"/>
    <n v="6"/>
    <x v="1"/>
    <x v="2"/>
    <s v="Sao Paulo"/>
  </r>
  <r>
    <s v="a6aeb116d2cb5013eb8a94585b71ffef"/>
    <s v="2017-09-13"/>
    <x v="10"/>
    <x v="3"/>
    <x v="12"/>
    <n v="1"/>
    <n v="50"/>
    <n v="9.34"/>
    <s v="credit_card"/>
    <n v="3"/>
    <x v="1"/>
    <x v="2"/>
    <s v="Sao Paulo"/>
  </r>
  <r>
    <s v="0aeb0613e8d42e1a7f122908bee18eca"/>
    <s v="2017-09-13"/>
    <x v="10"/>
    <x v="24"/>
    <x v="5"/>
    <n v="1"/>
    <n v="56.99"/>
    <n v="21.2"/>
    <s v="credit_card"/>
    <n v="43"/>
    <x v="2"/>
    <x v="0"/>
    <s v="Alagoas"/>
  </r>
  <r>
    <s v="ba6e041bd3e8e33cf1c2f2db99db6673"/>
    <s v="2017-09-13"/>
    <x v="10"/>
    <x v="6"/>
    <x v="0"/>
    <n v="1"/>
    <n v="89.9"/>
    <n v="27.17"/>
    <s v="credit_card"/>
    <n v="15"/>
    <x v="1"/>
    <x v="2"/>
    <s v="Pernambuco"/>
  </r>
  <r>
    <s v="6fc329fc5cf04756f90764baf31daa17"/>
    <s v="2017-09-14"/>
    <x v="10"/>
    <x v="1"/>
    <x v="5"/>
    <n v="1"/>
    <n v="56.99"/>
    <n v="14.15"/>
    <s v="credit_card"/>
    <n v="15"/>
    <x v="1"/>
    <x v="2"/>
    <s v="Rio Grande do Sul"/>
  </r>
  <r>
    <s v="fdc4c75dff7c1545dd19c597436d6f1e"/>
    <s v="2017-09-14"/>
    <x v="10"/>
    <x v="3"/>
    <x v="2"/>
    <n v="2"/>
    <n v="109.9"/>
    <n v="25.44"/>
    <s v="credit_card"/>
    <n v="27"/>
    <x v="2"/>
    <x v="0"/>
    <s v="Sao Paulo"/>
  </r>
  <r>
    <s v="31a8fcbeaa65f2a7dec1abee188ffcc9"/>
    <s v="2017-09-14"/>
    <x v="10"/>
    <x v="7"/>
    <x v="19"/>
    <n v="1"/>
    <n v="156.88999999999999"/>
    <n v="31.85"/>
    <s v="boleto"/>
    <n v="13"/>
    <x v="1"/>
    <x v="3"/>
    <s v="Minas Gerais"/>
  </r>
  <r>
    <s v="a8f60b9282c2f8e193d23d668bb74fa3"/>
    <s v="2017-09-14"/>
    <x v="10"/>
    <x v="18"/>
    <x v="51"/>
    <n v="2"/>
    <n v="117.8"/>
    <n v="32.340000000000003"/>
    <s v="credit_card"/>
    <n v="13"/>
    <x v="1"/>
    <x v="2"/>
    <s v="Distrito Federal"/>
  </r>
  <r>
    <s v="d1a10e07647c7845b8590cec57d589c1"/>
    <s v="2017-09-14"/>
    <x v="10"/>
    <x v="4"/>
    <x v="22"/>
    <n v="1"/>
    <n v="499.9"/>
    <n v="17.25"/>
    <s v="credit_card"/>
    <n v="12"/>
    <x v="1"/>
    <x v="2"/>
    <s v="Rio de Janeiro"/>
  </r>
  <r>
    <s v="edde00d72b1354fd951171a2c702f5ae"/>
    <s v="2017-09-14"/>
    <x v="10"/>
    <x v="4"/>
    <x v="22"/>
    <n v="2"/>
    <n v="62.89"/>
    <n v="34.71"/>
    <s v="boleto"/>
    <n v="11"/>
    <x v="1"/>
    <x v="2"/>
    <s v="Rio de Janeiro"/>
  </r>
  <r>
    <s v="c6c26ee904fd7f85a965423bec883fe6"/>
    <s v="2017-09-15"/>
    <x v="10"/>
    <x v="3"/>
    <x v="48"/>
    <n v="1"/>
    <n v="89.9"/>
    <n v="9.44"/>
    <s v="credit_card"/>
    <m/>
    <x v="0"/>
    <x v="5"/>
    <s v="Sao Paulo"/>
  </r>
  <r>
    <s v="057e5b8975ad03882989369de7b803ff"/>
    <s v="2017-09-15"/>
    <x v="10"/>
    <x v="3"/>
    <x v="29"/>
    <n v="1"/>
    <n v="69"/>
    <n v="13.5"/>
    <s v="boleto"/>
    <n v="7"/>
    <x v="1"/>
    <x v="3"/>
    <s v="Sao Paulo"/>
  </r>
  <r>
    <s v="7cf741fd7bc734654dac45dbc67a998e"/>
    <s v="2017-09-15"/>
    <x v="10"/>
    <x v="26"/>
    <x v="1"/>
    <n v="1"/>
    <n v="42.9"/>
    <n v="22.67"/>
    <s v="boleto"/>
    <n v="19"/>
    <x v="1"/>
    <x v="2"/>
    <s v="Paraiba"/>
  </r>
  <r>
    <s v="9afd9ae98cb2fcc3bc5b893594ccf663"/>
    <s v="2017-09-15"/>
    <x v="10"/>
    <x v="4"/>
    <x v="19"/>
    <n v="3"/>
    <n v="39.69"/>
    <n v="45.3"/>
    <s v="credit_card"/>
    <n v="10"/>
    <x v="1"/>
    <x v="1"/>
    <s v="Rio de Janeiro"/>
  </r>
  <r>
    <s v="4cca039d4d51fb8f0e1e302327c30de5"/>
    <s v="2017-09-15"/>
    <x v="10"/>
    <x v="5"/>
    <x v="6"/>
    <n v="1"/>
    <n v="18.989999999999998"/>
    <n v="15.1"/>
    <s v="boleto"/>
    <n v="12"/>
    <x v="1"/>
    <x v="0"/>
    <s v="Parana"/>
  </r>
  <r>
    <s v="12788af294f51dd5ba2aaed208a45969"/>
    <s v="2017-09-15"/>
    <x v="10"/>
    <x v="4"/>
    <x v="1"/>
    <n v="1"/>
    <n v="59.9"/>
    <n v="17.989999999999998"/>
    <s v="credit_card"/>
    <n v="17"/>
    <x v="1"/>
    <x v="2"/>
    <s v="Rio de Janeiro"/>
  </r>
  <r>
    <s v="a9eff8f70def39eb9133c1861c49ee76"/>
    <s v="2017-09-15"/>
    <x v="10"/>
    <x v="3"/>
    <x v="52"/>
    <n v="1"/>
    <n v="69"/>
    <n v="33.840000000000003"/>
    <s v="credit_card"/>
    <n v="14"/>
    <x v="1"/>
    <x v="2"/>
    <s v="Sao Paulo"/>
  </r>
  <r>
    <s v="09f8cd8a102b3f3fa2d5db0c6aee489a"/>
    <s v="2017-09-15"/>
    <x v="10"/>
    <x v="10"/>
    <x v="53"/>
    <n v="1"/>
    <n v="730"/>
    <n v="80.13"/>
    <s v="credit_card"/>
    <n v="13"/>
    <x v="1"/>
    <x v="2"/>
    <s v="Piaui"/>
  </r>
  <r>
    <s v="e2b405ccb5839931cae6f89767eada9b"/>
    <s v="2017-09-15"/>
    <x v="10"/>
    <x v="21"/>
    <x v="4"/>
    <n v="1"/>
    <n v="47.7"/>
    <n v="15.79"/>
    <s v="credit_card"/>
    <n v="11"/>
    <x v="1"/>
    <x v="2"/>
    <s v="Bahia"/>
  </r>
  <r>
    <s v="3e83b4493a5781b84799b5516cb2667c"/>
    <s v="2017-09-15"/>
    <x v="10"/>
    <x v="3"/>
    <x v="14"/>
    <n v="1"/>
    <n v="69.989999999999995"/>
    <n v="12.83"/>
    <s v="credit_card"/>
    <n v="11"/>
    <x v="1"/>
    <x v="3"/>
    <s v="Sao Paulo"/>
  </r>
  <r>
    <s v="8a9da308d726841021141d81dea615b1"/>
    <s v="2017-09-15"/>
    <x v="10"/>
    <x v="3"/>
    <x v="25"/>
    <n v="1"/>
    <n v="94.9"/>
    <n v="11.87"/>
    <s v="credit_card"/>
    <n v="13"/>
    <x v="2"/>
    <x v="1"/>
    <s v="Sao Paulo"/>
  </r>
  <r>
    <s v="441e21387d52f5f2e85249669881fc79"/>
    <s v="2017-09-16"/>
    <x v="10"/>
    <x v="3"/>
    <x v="14"/>
    <n v="1"/>
    <n v="209.9"/>
    <n v="15.22"/>
    <s v="credit_card"/>
    <n v="5"/>
    <x v="1"/>
    <x v="4"/>
    <s v="Sao Paulo"/>
  </r>
  <r>
    <s v="aac15589b232e9722429d3a06a547b6d"/>
    <s v="2017-09-16"/>
    <x v="10"/>
    <x v="8"/>
    <x v="14"/>
    <n v="1"/>
    <n v="158"/>
    <n v="25.95"/>
    <s v="credit_card"/>
    <n v="11"/>
    <x v="1"/>
    <x v="3"/>
    <s v="Santa Catarina"/>
  </r>
  <r>
    <s v="225f6489f45108e98290969c71097baf"/>
    <s v="2017-09-16"/>
    <x v="10"/>
    <x v="3"/>
    <x v="14"/>
    <n v="1"/>
    <n v="157"/>
    <n v="17.809999999999999"/>
    <s v="boleto"/>
    <n v="8"/>
    <x v="1"/>
    <x v="2"/>
    <s v="Sao Paulo"/>
  </r>
  <r>
    <s v="6b5a2cfa488fc5324f22cafe995bd8eb"/>
    <s v="2017-09-16"/>
    <x v="10"/>
    <x v="3"/>
    <x v="14"/>
    <n v="1"/>
    <n v="157"/>
    <n v="14.7"/>
    <s v="credit_card"/>
    <n v="4"/>
    <x v="1"/>
    <x v="3"/>
    <s v="Sao Paulo"/>
  </r>
  <r>
    <s v="cc5a504c7761122bceafca452e63c2de"/>
    <s v="2017-09-16"/>
    <x v="10"/>
    <x v="6"/>
    <x v="15"/>
    <n v="1"/>
    <n v="157.9"/>
    <n v="29.51"/>
    <s v="credit_card"/>
    <n v="11"/>
    <x v="1"/>
    <x v="2"/>
    <s v="Pernambuco"/>
  </r>
  <r>
    <s v="a1567768e86bf73e0df3f99f8c570017"/>
    <s v="2017-09-16"/>
    <x v="10"/>
    <x v="3"/>
    <x v="0"/>
    <n v="1"/>
    <n v="59.55"/>
    <n v="13.44"/>
    <s v="boleto"/>
    <n v="17"/>
    <x v="1"/>
    <x v="3"/>
    <s v="Sao Paulo"/>
  </r>
  <r>
    <s v="c3514a3dc150acbbf0ab547f1cdc1fe4"/>
    <s v="2017-09-16"/>
    <x v="10"/>
    <x v="7"/>
    <x v="20"/>
    <n v="1"/>
    <n v="292.99"/>
    <n v="34.5"/>
    <s v="credit_card"/>
    <m/>
    <x v="0"/>
    <x v="0"/>
    <s v="Minas Gerais"/>
  </r>
  <r>
    <s v="01e1617e546dc1fd372e089ab515ae34"/>
    <s v="2017-09-17"/>
    <x v="10"/>
    <x v="2"/>
    <x v="19"/>
    <n v="1"/>
    <n v="76.099999999999994"/>
    <n v="20.02"/>
    <s v="credit_card"/>
    <n v="9"/>
    <x v="1"/>
    <x v="2"/>
    <s v="Goias"/>
  </r>
  <r>
    <s v="0ff1419cb5d96f6355fc067f02c8936a"/>
    <s v="2017-09-17"/>
    <x v="10"/>
    <x v="7"/>
    <x v="13"/>
    <n v="1"/>
    <n v="117.3"/>
    <n v="25.66"/>
    <s v="credit_card"/>
    <n v="5"/>
    <x v="1"/>
    <x v="3"/>
    <s v="Minas Gerais"/>
  </r>
  <r>
    <s v="d27c9535dfd56cfe107bc9eac1ac3e31"/>
    <s v="2017-09-17"/>
    <x v="10"/>
    <x v="3"/>
    <x v="22"/>
    <n v="1"/>
    <n v="138"/>
    <n v="12.47"/>
    <s v="credit_card"/>
    <n v="7"/>
    <x v="1"/>
    <x v="3"/>
    <s v="Sao Paulo"/>
  </r>
  <r>
    <s v="39ab7695b7b3ea8282b3e9b10f0dae4f"/>
    <s v="2017-09-18"/>
    <x v="10"/>
    <x v="3"/>
    <x v="13"/>
    <n v="1"/>
    <n v="19"/>
    <n v="8.27"/>
    <s v="credit_card"/>
    <n v="1"/>
    <x v="1"/>
    <x v="3"/>
    <s v="Sao Paulo"/>
  </r>
  <r>
    <s v="5644acc16afa3e61aae7f559e573ccbe"/>
    <s v="2017-09-18"/>
    <x v="10"/>
    <x v="21"/>
    <x v="9"/>
    <n v="1"/>
    <n v="57.81"/>
    <n v="16.84"/>
    <s v="credit_card"/>
    <n v="15"/>
    <x v="1"/>
    <x v="2"/>
    <s v="Bahia"/>
  </r>
  <r>
    <s v="983d1042c129f87546062d2d27f73020"/>
    <s v="2017-09-18"/>
    <x v="10"/>
    <x v="4"/>
    <x v="29"/>
    <n v="1"/>
    <n v="99"/>
    <n v="17.940000000000001"/>
    <s v="credit_card"/>
    <n v="50"/>
    <x v="2"/>
    <x v="3"/>
    <s v="Rio de Janeiro"/>
  </r>
  <r>
    <s v="a6a167269a035bae64d9f5a38172c5c7"/>
    <s v="2017-09-18"/>
    <x v="10"/>
    <x v="3"/>
    <x v="1"/>
    <n v="1"/>
    <n v="36"/>
    <n v="7.78"/>
    <s v="credit_card"/>
    <n v="1"/>
    <x v="1"/>
    <x v="2"/>
    <s v="Sao Paulo"/>
  </r>
  <r>
    <s v="652e317bb6d649095346bf24ba207c15"/>
    <s v="2017-09-18"/>
    <x v="10"/>
    <x v="2"/>
    <x v="14"/>
    <n v="1"/>
    <n v="113.57"/>
    <n v="18.04"/>
    <s v="credit_card"/>
    <n v="22"/>
    <x v="1"/>
    <x v="5"/>
    <s v="Goias"/>
  </r>
  <r>
    <s v="ed0b6f8c8617370e53735a5d963bb5b6"/>
    <s v="2017-09-18"/>
    <x v="10"/>
    <x v="3"/>
    <x v="14"/>
    <n v="4"/>
    <n v="67.599999999999994"/>
    <n v="31.13"/>
    <s v="credit_card"/>
    <n v="4"/>
    <x v="1"/>
    <x v="5"/>
    <s v="Sao Paulo"/>
  </r>
  <r>
    <s v="5b7f6445ca01d94adfe256eaa9a37ada"/>
    <s v="2017-09-19"/>
    <x v="10"/>
    <x v="21"/>
    <x v="14"/>
    <n v="1"/>
    <n v="65.900000000000006"/>
    <n v="16.899999999999999"/>
    <s v="credit_card"/>
    <n v="20"/>
    <x v="1"/>
    <x v="3"/>
    <s v="Bahia"/>
  </r>
  <r>
    <s v="319d398b7ec933febdefe3104dcb8679"/>
    <s v="2017-09-19"/>
    <x v="10"/>
    <x v="7"/>
    <x v="5"/>
    <n v="1"/>
    <n v="84.99"/>
    <n v="15.34"/>
    <s v="credit_card"/>
    <n v="6"/>
    <x v="1"/>
    <x v="2"/>
    <s v="Minas Gerais"/>
  </r>
  <r>
    <s v="8748f09f5b3de56a89acecb0b56618ae"/>
    <s v="2017-09-19"/>
    <x v="10"/>
    <x v="3"/>
    <x v="25"/>
    <n v="1"/>
    <n v="36.799999999999997"/>
    <n v="11.73"/>
    <s v="credit_card"/>
    <n v="1"/>
    <x v="1"/>
    <x v="3"/>
    <s v="Sao Paulo"/>
  </r>
  <r>
    <s v="eb7469eb92114d9ad0fec862b33ed95d"/>
    <s v="2017-09-19"/>
    <x v="10"/>
    <x v="3"/>
    <x v="13"/>
    <n v="2"/>
    <n v="33.799999999999997"/>
    <n v="23.7"/>
    <s v="credit_card"/>
    <n v="7"/>
    <x v="1"/>
    <x v="1"/>
    <s v="Sao Paulo"/>
  </r>
  <r>
    <s v="5290363ff55b49b6310cf80238d88572"/>
    <s v="2017-09-19"/>
    <x v="10"/>
    <x v="3"/>
    <x v="26"/>
    <n v="1"/>
    <n v="39.9"/>
    <n v="14.1"/>
    <s v="credit_card"/>
    <n v="8"/>
    <x v="1"/>
    <x v="2"/>
    <s v="Sao Paulo"/>
  </r>
  <r>
    <s v="8dc2ffdf42cced0aea6a7e723bda3942"/>
    <s v="2017-09-19"/>
    <x v="10"/>
    <x v="1"/>
    <x v="7"/>
    <n v="1"/>
    <n v="59.9"/>
    <n v="17.670000000000002"/>
    <s v="credit_card"/>
    <n v="14"/>
    <x v="1"/>
    <x v="2"/>
    <s v="Rio Grande do Sul"/>
  </r>
  <r>
    <s v="0098dbda25722a3f019fe252a0cd10b3"/>
    <s v="2017-09-19"/>
    <x v="10"/>
    <x v="2"/>
    <x v="14"/>
    <n v="1"/>
    <n v="143.54"/>
    <n v="21.49"/>
    <s v="boleto"/>
    <n v="13"/>
    <x v="1"/>
    <x v="3"/>
    <s v="Goias"/>
  </r>
  <r>
    <s v="762e43a4ec270117f892451cad4a1bb7"/>
    <s v="2017-09-19"/>
    <x v="10"/>
    <x v="4"/>
    <x v="19"/>
    <n v="1"/>
    <n v="9.6"/>
    <n v="16.11"/>
    <s v="credit_card"/>
    <n v="13"/>
    <x v="1"/>
    <x v="2"/>
    <s v="Rio de Janeiro"/>
  </r>
  <r>
    <s v="b8e9df924b8a1dca22c4920e9d6b33bc"/>
    <s v="2017-09-19"/>
    <x v="10"/>
    <x v="3"/>
    <x v="14"/>
    <n v="1"/>
    <n v="59.99"/>
    <n v="13.44"/>
    <s v="boleto"/>
    <n v="9"/>
    <x v="1"/>
    <x v="2"/>
    <s v="Sao Paulo"/>
  </r>
  <r>
    <s v="906e820b85dd6c8ef9a4aa5581aa277b"/>
    <s v="2017-09-19"/>
    <x v="10"/>
    <x v="3"/>
    <x v="18"/>
    <n v="1"/>
    <n v="49.9"/>
    <n v="7.78"/>
    <s v="credit_card"/>
    <n v="2"/>
    <x v="1"/>
    <x v="2"/>
    <s v="Sao Paulo"/>
  </r>
  <r>
    <s v="1c95c0aa3b0fc5495c09cbba1793b9d8"/>
    <s v="2017-09-19"/>
    <x v="10"/>
    <x v="14"/>
    <x v="18"/>
    <n v="1"/>
    <n v="29.99"/>
    <n v="17.63"/>
    <s v="credit_card"/>
    <n v="6"/>
    <x v="1"/>
    <x v="3"/>
    <s v="Mato Grosso do Sul"/>
  </r>
  <r>
    <s v="25e08e5a23ab24f86595aadbe50bc739"/>
    <s v="2017-09-19"/>
    <x v="10"/>
    <x v="8"/>
    <x v="14"/>
    <n v="1"/>
    <n v="95"/>
    <n v="17.920000000000002"/>
    <s v="credit_card"/>
    <n v="24"/>
    <x v="2"/>
    <x v="1"/>
    <s v="Santa Catarina"/>
  </r>
  <r>
    <s v="174c83fcd9eb7abaaba69d49ea92ba96"/>
    <s v="2017-09-20"/>
    <x v="10"/>
    <x v="3"/>
    <x v="4"/>
    <n v="1"/>
    <n v="199"/>
    <n v="22.23"/>
    <s v="boleto"/>
    <m/>
    <x v="0"/>
    <x v="0"/>
    <s v="Sao Paulo"/>
  </r>
  <r>
    <s v="cd1c9899cfb848c241d0b93fdfc10df9"/>
    <s v="2017-09-20"/>
    <x v="10"/>
    <x v="8"/>
    <x v="0"/>
    <n v="1"/>
    <n v="10.9"/>
    <n v="15.1"/>
    <s v="boleto"/>
    <m/>
    <x v="0"/>
    <x v="0"/>
    <s v="Santa Catarina"/>
  </r>
  <r>
    <s v="a95424d8e778a0353400a1215b82210d"/>
    <s v="2017-09-20"/>
    <x v="10"/>
    <x v="21"/>
    <x v="20"/>
    <n v="1"/>
    <n v="59.99"/>
    <n v="19.66"/>
    <s v="credit_card"/>
    <n v="14"/>
    <x v="1"/>
    <x v="2"/>
    <s v="Bahia"/>
  </r>
  <r>
    <s v="2fb6a72b0a07a304bba3ff03e02728e5"/>
    <s v="2017-09-20"/>
    <x v="10"/>
    <x v="3"/>
    <x v="5"/>
    <n v="1"/>
    <n v="129.99"/>
    <n v="9.1"/>
    <s v="credit_card"/>
    <n v="5"/>
    <x v="1"/>
    <x v="2"/>
    <s v="Sao Paulo"/>
  </r>
  <r>
    <s v="d905856c062516e1bd43377034e5c615"/>
    <s v="2017-09-20"/>
    <x v="10"/>
    <x v="3"/>
    <x v="9"/>
    <n v="1"/>
    <n v="254"/>
    <n v="13.28"/>
    <s v="credit_card"/>
    <n v="43"/>
    <x v="2"/>
    <x v="4"/>
    <s v="Sao Paulo"/>
  </r>
  <r>
    <s v="19530a2973e25dffb52a39210f27ebb0"/>
    <s v="2017-09-20"/>
    <x v="10"/>
    <x v="3"/>
    <x v="25"/>
    <n v="1"/>
    <n v="94.9"/>
    <n v="11.87"/>
    <s v="credit_card"/>
    <n v="1"/>
    <x v="1"/>
    <x v="5"/>
    <s v="Sao Paulo"/>
  </r>
  <r>
    <s v="25aa51228f73fcd38cfebfe6e20edf6f"/>
    <s v="2017-09-20"/>
    <x v="10"/>
    <x v="7"/>
    <x v="26"/>
    <n v="1"/>
    <n v="98.99"/>
    <n v="13.71"/>
    <s v="credit_card"/>
    <n v="13"/>
    <x v="1"/>
    <x v="2"/>
    <s v="Minas Gerais"/>
  </r>
  <r>
    <s v="5e0140671ad91ce830fb2b33a3210d1b"/>
    <s v="2017-09-20"/>
    <x v="10"/>
    <x v="24"/>
    <x v="42"/>
    <n v="1"/>
    <n v="89"/>
    <n v="21.42"/>
    <s v="credit_card"/>
    <n v="29"/>
    <x v="2"/>
    <x v="2"/>
    <s v="Alagoas"/>
  </r>
  <r>
    <s v="1a1aa9714d0f88e8a2b20b0c7c037d0b"/>
    <s v="2017-09-21"/>
    <x v="10"/>
    <x v="4"/>
    <x v="6"/>
    <n v="1"/>
    <n v="79.900000000000006"/>
    <n v="15.31"/>
    <s v="boleto"/>
    <n v="10"/>
    <x v="1"/>
    <x v="0"/>
    <s v="Rio de Janeiro"/>
  </r>
  <r>
    <s v="c6eb7d8978a0d7a7e592ef611e4daf04"/>
    <s v="2017-09-21"/>
    <x v="10"/>
    <x v="7"/>
    <x v="48"/>
    <n v="2"/>
    <n v="119.8"/>
    <n v="30.34"/>
    <s v="credit_card"/>
    <n v="8"/>
    <x v="1"/>
    <x v="2"/>
    <s v="Minas Gerais"/>
  </r>
  <r>
    <s v="37ce508071e29f853c9a6af4fb9be089"/>
    <s v="2017-09-21"/>
    <x v="10"/>
    <x v="3"/>
    <x v="14"/>
    <n v="2"/>
    <n v="208.98"/>
    <n v="29.44"/>
    <s v="credit_card"/>
    <n v="5"/>
    <x v="1"/>
    <x v="2"/>
    <s v="Sao Paulo"/>
  </r>
  <r>
    <s v="5ea8db638f6283a19f2554c746ab4496"/>
    <s v="2017-09-21"/>
    <x v="10"/>
    <x v="3"/>
    <x v="14"/>
    <n v="1"/>
    <n v="89.9"/>
    <n v="13.65"/>
    <s v="credit_card"/>
    <n v="8"/>
    <x v="1"/>
    <x v="2"/>
    <s v="Sao Paulo"/>
  </r>
  <r>
    <s v="6efae6c7b38cde4c5833376accaedb02"/>
    <s v="2017-09-21"/>
    <x v="10"/>
    <x v="1"/>
    <x v="14"/>
    <n v="2"/>
    <n v="226.99"/>
    <n v="39.33"/>
    <s v="credit_card"/>
    <n v="11"/>
    <x v="1"/>
    <x v="0"/>
    <s v="Rio Grande do Sul"/>
  </r>
  <r>
    <s v="27cd425460b501230b37206f151711a6"/>
    <s v="2017-09-21"/>
    <x v="10"/>
    <x v="3"/>
    <x v="9"/>
    <n v="1"/>
    <n v="39.9"/>
    <n v="16.11"/>
    <s v="credit_card"/>
    <n v="12"/>
    <x v="1"/>
    <x v="2"/>
    <s v="Sao Paulo"/>
  </r>
  <r>
    <s v="baf84f7968a36e1c25ec1794330d5cbf"/>
    <s v="2017-09-21"/>
    <x v="10"/>
    <x v="18"/>
    <x v="21"/>
    <n v="1"/>
    <n v="45.6"/>
    <n v="17.63"/>
    <s v="credit_card"/>
    <n v="12"/>
    <x v="1"/>
    <x v="1"/>
    <s v="Distrito Federal"/>
  </r>
  <r>
    <s v="bbdf47a1093584db5d4cd4e557c07183"/>
    <s v="2017-09-21"/>
    <x v="10"/>
    <x v="8"/>
    <x v="1"/>
    <n v="1"/>
    <n v="19.989999999999998"/>
    <n v="16.11"/>
    <s v="credit_card"/>
    <n v="18"/>
    <x v="1"/>
    <x v="3"/>
    <s v="Santa Catarina"/>
  </r>
  <r>
    <s v="84d27863cf4593bdc358f6b17240a3c5"/>
    <s v="2017-09-22"/>
    <x v="10"/>
    <x v="7"/>
    <x v="5"/>
    <n v="1"/>
    <n v="84.99"/>
    <n v="14.34"/>
    <s v="boleto"/>
    <n v="11"/>
    <x v="1"/>
    <x v="2"/>
    <s v="Minas Gerais"/>
  </r>
  <r>
    <s v="25913c4e9f83eb27225747d956516af8"/>
    <s v="2017-09-22"/>
    <x v="10"/>
    <x v="7"/>
    <x v="22"/>
    <n v="1"/>
    <n v="69"/>
    <n v="14.23"/>
    <s v="boleto"/>
    <n v="13"/>
    <x v="1"/>
    <x v="1"/>
    <s v="Minas Gerais"/>
  </r>
  <r>
    <s v="e2b182ec1154718a19aaa02dfd8c4722"/>
    <s v="2017-09-22"/>
    <x v="10"/>
    <x v="7"/>
    <x v="2"/>
    <n v="1"/>
    <n v="38.89"/>
    <n v="17.600000000000001"/>
    <s v="boleto"/>
    <n v="14"/>
    <x v="1"/>
    <x v="2"/>
    <s v="Minas Gerais"/>
  </r>
  <r>
    <s v="7828ebfebc66999cec37ddc06c63870f"/>
    <s v="2017-09-22"/>
    <x v="10"/>
    <x v="21"/>
    <x v="2"/>
    <n v="1"/>
    <n v="49"/>
    <n v="16.79"/>
    <s v="credit_card"/>
    <n v="17"/>
    <x v="1"/>
    <x v="3"/>
    <s v="Bahia"/>
  </r>
  <r>
    <s v="8981058485651cba8b7d9c332fd47047"/>
    <s v="2017-09-22"/>
    <x v="10"/>
    <x v="3"/>
    <x v="1"/>
    <n v="1"/>
    <n v="103"/>
    <n v="12.22"/>
    <s v="credit_card"/>
    <n v="4"/>
    <x v="1"/>
    <x v="2"/>
    <s v="Sao Paulo"/>
  </r>
  <r>
    <s v="acf63fc70f653d6bd063dafc3701eafe"/>
    <s v="2017-09-22"/>
    <x v="10"/>
    <x v="3"/>
    <x v="1"/>
    <n v="1"/>
    <n v="149.99"/>
    <n v="19.93"/>
    <s v="credit_card"/>
    <n v="11"/>
    <x v="1"/>
    <x v="2"/>
    <s v="Sao Paulo"/>
  </r>
  <r>
    <s v="4b50640b1e15eabd0db5c82c7c1d8037"/>
    <s v="2017-09-22"/>
    <x v="10"/>
    <x v="5"/>
    <x v="30"/>
    <n v="1"/>
    <n v="56.97"/>
    <n v="16.16"/>
    <s v="credit_card"/>
    <n v="7"/>
    <x v="1"/>
    <x v="2"/>
    <s v="Parana"/>
  </r>
  <r>
    <s v="e5ddbd23174123100cd4e3eb36be5b2b"/>
    <s v="2017-09-23"/>
    <x v="10"/>
    <x v="4"/>
    <x v="5"/>
    <n v="1"/>
    <n v="13.99"/>
    <n v="14.1"/>
    <s v="boleto"/>
    <n v="6"/>
    <x v="1"/>
    <x v="1"/>
    <s v="Rio de Janeiro"/>
  </r>
  <r>
    <s v="9c9b21a2db3ef4c7109f69f7f3614d71"/>
    <s v="2017-09-23"/>
    <x v="10"/>
    <x v="11"/>
    <x v="1"/>
    <n v="1"/>
    <n v="279.99"/>
    <n v="37.32"/>
    <s v="credit_card"/>
    <n v="18"/>
    <x v="1"/>
    <x v="2"/>
    <s v="Para"/>
  </r>
  <r>
    <s v="13ec45fa1c7f7faeb411e7b318ea9b44"/>
    <s v="2017-09-23"/>
    <x v="10"/>
    <x v="3"/>
    <x v="9"/>
    <n v="2"/>
    <n v="25.8"/>
    <n v="15.56"/>
    <s v="credit_card"/>
    <n v="2"/>
    <x v="1"/>
    <x v="0"/>
    <s v="Sao Paulo"/>
  </r>
  <r>
    <s v="799bc9658260598f040a6a7943b73415"/>
    <s v="2017-09-23"/>
    <x v="10"/>
    <x v="7"/>
    <x v="2"/>
    <n v="1"/>
    <n v="349.99"/>
    <n v="19.7"/>
    <s v="credit_card"/>
    <n v="10"/>
    <x v="1"/>
    <x v="2"/>
    <s v="Minas Gerais"/>
  </r>
  <r>
    <s v="2fe8db5111a36b97b092a2daa4771e74"/>
    <s v="2017-09-24"/>
    <x v="10"/>
    <x v="7"/>
    <x v="14"/>
    <n v="2"/>
    <n v="160"/>
    <n v="35.619999999999997"/>
    <s v="credit_card"/>
    <n v="4"/>
    <x v="1"/>
    <x v="2"/>
    <s v="Minas Gerais"/>
  </r>
  <r>
    <s v="047d317db3c34ff477eee816660e44f0"/>
    <s v="2017-09-24"/>
    <x v="10"/>
    <x v="3"/>
    <x v="22"/>
    <n v="1"/>
    <n v="134.9"/>
    <n v="12.44"/>
    <s v="boleto"/>
    <n v="9"/>
    <x v="1"/>
    <x v="3"/>
    <s v="Sao Paulo"/>
  </r>
  <r>
    <s v="d4b9a0a5998cc96610a91b5de647f440"/>
    <s v="2017-09-24"/>
    <x v="10"/>
    <x v="17"/>
    <x v="22"/>
    <n v="1"/>
    <n v="56"/>
    <n v="21.19"/>
    <s v="credit_card"/>
    <n v="15"/>
    <x v="1"/>
    <x v="2"/>
    <s v="Rondonia"/>
  </r>
  <r>
    <s v="bd47e5f8eaab83d29f99b4079683de37"/>
    <s v="2017-09-24"/>
    <x v="10"/>
    <x v="4"/>
    <x v="16"/>
    <n v="1"/>
    <n v="69.900000000000006"/>
    <n v="18.059999999999999"/>
    <s v="credit_card"/>
    <n v="15"/>
    <x v="1"/>
    <x v="2"/>
    <s v="Rio de Janeiro"/>
  </r>
  <r>
    <s v="776ee45444a92a50bfafdbc1054ec316"/>
    <s v="2017-09-25"/>
    <x v="10"/>
    <x v="5"/>
    <x v="1"/>
    <n v="1"/>
    <n v="99"/>
    <n v="16.940000000000001"/>
    <s v="credit_card"/>
    <n v="6"/>
    <x v="1"/>
    <x v="3"/>
    <s v="Parana"/>
  </r>
  <r>
    <s v="dd8895e91847869a1317a8ef7313e241"/>
    <s v="2017-09-25"/>
    <x v="10"/>
    <x v="3"/>
    <x v="14"/>
    <n v="1"/>
    <n v="147.13"/>
    <n v="16.66"/>
    <s v="credit_card"/>
    <n v="10"/>
    <x v="1"/>
    <x v="3"/>
    <s v="Sao Paulo"/>
  </r>
  <r>
    <s v="52a1973044aa5f46769841ea77ffc2ed"/>
    <s v="2017-09-25"/>
    <x v="10"/>
    <x v="6"/>
    <x v="9"/>
    <n v="1"/>
    <n v="89.99"/>
    <n v="17.91"/>
    <s v="credit_card"/>
    <n v="13"/>
    <x v="1"/>
    <x v="3"/>
    <s v="Pernambuco"/>
  </r>
  <r>
    <s v="865877542f1840626ccdfc88e0b74684"/>
    <s v="2017-09-25"/>
    <x v="10"/>
    <x v="1"/>
    <x v="9"/>
    <n v="1"/>
    <n v="84.99"/>
    <n v="15.35"/>
    <s v="credit_card"/>
    <n v="14"/>
    <x v="1"/>
    <x v="2"/>
    <s v="Rio Grande do Sul"/>
  </r>
  <r>
    <s v="17c552e9739b1fd0c1385b93eeb07953"/>
    <s v="2017-09-25"/>
    <x v="10"/>
    <x v="7"/>
    <x v="9"/>
    <n v="1"/>
    <n v="117.79"/>
    <n v="17.260000000000002"/>
    <s v="boleto"/>
    <n v="7"/>
    <x v="1"/>
    <x v="2"/>
    <s v="Minas Gerais"/>
  </r>
  <r>
    <s v="7b9d78f5bc4b271094f1e7c107c3142d"/>
    <s v="2017-09-25"/>
    <x v="10"/>
    <x v="7"/>
    <x v="2"/>
    <n v="1"/>
    <n v="99.9"/>
    <n v="17.95"/>
    <s v="credit_card"/>
    <n v="8"/>
    <x v="1"/>
    <x v="0"/>
    <s v="Minas Gerais"/>
  </r>
  <r>
    <s v="eab0944c40c304c769e5c24309caa8cc"/>
    <s v="2017-09-26"/>
    <x v="10"/>
    <x v="3"/>
    <x v="9"/>
    <n v="1"/>
    <n v="39.9"/>
    <n v="8.7200000000000006"/>
    <s v="credit_card"/>
    <n v="13"/>
    <x v="1"/>
    <x v="3"/>
    <s v="Sao Paulo"/>
  </r>
  <r>
    <s v="00fed9e582d5a3e38566872eec164ac6"/>
    <s v="2017-09-26"/>
    <x v="10"/>
    <x v="4"/>
    <x v="14"/>
    <n v="2"/>
    <n v="359.98"/>
    <n v="52.2"/>
    <s v="credit_card"/>
    <n v="13"/>
    <x v="1"/>
    <x v="2"/>
    <s v="Rio de Janeiro"/>
  </r>
  <r>
    <s v="3c34298915dda196e053873162f24bf4"/>
    <s v="2017-09-26"/>
    <x v="10"/>
    <x v="3"/>
    <x v="22"/>
    <n v="1"/>
    <n v="258.89999999999998"/>
    <n v="16.559999999999999"/>
    <s v="credit_card"/>
    <n v="6"/>
    <x v="1"/>
    <x v="2"/>
    <s v="Sao Paulo"/>
  </r>
  <r>
    <s v="fd856e3b03eb3e97aff228fc3914ae39"/>
    <s v="2017-09-26"/>
    <x v="10"/>
    <x v="3"/>
    <x v="0"/>
    <n v="2"/>
    <n v="135.80000000000001"/>
    <n v="26.34"/>
    <s v="credit_card"/>
    <n v="10"/>
    <x v="1"/>
    <x v="2"/>
    <s v="Sao Paulo"/>
  </r>
  <r>
    <s v="c0a5ad81be45e1a04365870aab5cfb4f"/>
    <s v="2017-09-26"/>
    <x v="10"/>
    <x v="8"/>
    <x v="33"/>
    <n v="1"/>
    <n v="320"/>
    <n v="11.66"/>
    <s v="boleto"/>
    <n v="7"/>
    <x v="1"/>
    <x v="2"/>
    <s v="Santa Catarina"/>
  </r>
  <r>
    <s v="05c63e6b53127320a7768d19898ac320"/>
    <s v="2017-09-26"/>
    <x v="10"/>
    <x v="18"/>
    <x v="19"/>
    <n v="1"/>
    <n v="69.900000000000006"/>
    <n v="16.739999999999998"/>
    <s v="credit_card"/>
    <m/>
    <x v="0"/>
    <x v="0"/>
    <s v="Distrito Federal"/>
  </r>
  <r>
    <s v="28bc142035cc9a8ee9aa0288221ee056"/>
    <s v="2017-09-26"/>
    <x v="10"/>
    <x v="3"/>
    <x v="2"/>
    <n v="1"/>
    <n v="20"/>
    <n v="11.85"/>
    <s v="credit_card"/>
    <n v="5"/>
    <x v="1"/>
    <x v="3"/>
    <s v="Sao Paulo"/>
  </r>
  <r>
    <s v="00d29386638bbfd1331a2cd7ab91b5b5"/>
    <s v="2017-09-26"/>
    <x v="10"/>
    <x v="3"/>
    <x v="6"/>
    <n v="1"/>
    <n v="20.99"/>
    <n v="11.85"/>
    <s v="credit_card"/>
    <n v="8"/>
    <x v="1"/>
    <x v="2"/>
    <s v="Sao Paulo"/>
  </r>
  <r>
    <s v="7ad292313f72d59700c72169ba543021"/>
    <s v="2017-09-26"/>
    <x v="10"/>
    <x v="3"/>
    <x v="21"/>
    <n v="1"/>
    <n v="37.9"/>
    <n v="13.37"/>
    <s v="credit_card"/>
    <n v="7"/>
    <x v="1"/>
    <x v="2"/>
    <s v="Sao Paulo"/>
  </r>
  <r>
    <s v="8a0ff8191c4dd240e18114ec66889ec5"/>
    <s v="2017-09-26"/>
    <x v="10"/>
    <x v="4"/>
    <x v="4"/>
    <n v="1"/>
    <n v="150"/>
    <n v="16.809999999999999"/>
    <s v="credit_card"/>
    <n v="15"/>
    <x v="1"/>
    <x v="3"/>
    <s v="Rio de Janeiro"/>
  </r>
  <r>
    <s v="de983bdf0e92645dd32e0ba39d8e7dd8"/>
    <s v="2017-09-26"/>
    <x v="10"/>
    <x v="22"/>
    <x v="1"/>
    <n v="1"/>
    <n v="169.9"/>
    <n v="21.59"/>
    <s v="boleto"/>
    <n v="20"/>
    <x v="1"/>
    <x v="2"/>
    <s v="Espirito Santo"/>
  </r>
  <r>
    <s v="5f82563eed1525084af012688a78398a"/>
    <s v="2017-09-26"/>
    <x v="10"/>
    <x v="8"/>
    <x v="0"/>
    <n v="1"/>
    <n v="54.9"/>
    <n v="16.14"/>
    <s v="credit_card"/>
    <n v="8"/>
    <x v="1"/>
    <x v="2"/>
    <s v="Santa Catarina"/>
  </r>
  <r>
    <s v="d5027313478d5f0f54b719e6f96d095f"/>
    <s v="2017-09-27"/>
    <x v="10"/>
    <x v="4"/>
    <x v="13"/>
    <n v="1"/>
    <n v="143.80000000000001"/>
    <n v="23.33"/>
    <s v="credit_card"/>
    <n v="6"/>
    <x v="1"/>
    <x v="2"/>
    <s v="Rio de Janeiro"/>
  </r>
  <r>
    <s v="f09126bf1e12e8ed060f26f510be949f"/>
    <s v="2017-09-27"/>
    <x v="10"/>
    <x v="7"/>
    <x v="9"/>
    <n v="1"/>
    <n v="72.34"/>
    <n v="16.760000000000002"/>
    <s v="credit_card"/>
    <n v="8"/>
    <x v="1"/>
    <x v="2"/>
    <s v="Minas Gerais"/>
  </r>
  <r>
    <s v="df3166e4db1badb2414e9e95790a1771"/>
    <s v="2017-09-27"/>
    <x v="10"/>
    <x v="3"/>
    <x v="0"/>
    <n v="1"/>
    <n v="12.99"/>
    <n v="8.7200000000000006"/>
    <s v="credit_card"/>
    <n v="2"/>
    <x v="1"/>
    <x v="4"/>
    <s v="Sao Paulo"/>
  </r>
  <r>
    <s v="6dcdbb1cc784cdf5844882a1f99e8d59"/>
    <s v="2017-09-27"/>
    <x v="10"/>
    <x v="6"/>
    <x v="28"/>
    <n v="1"/>
    <n v="179.98"/>
    <n v="116.88"/>
    <s v="credit_card"/>
    <n v="14"/>
    <x v="1"/>
    <x v="2"/>
    <s v="Pernambuco"/>
  </r>
  <r>
    <s v="d9971834a50b8fc323aa7f527978169d"/>
    <s v="2017-09-27"/>
    <x v="10"/>
    <x v="3"/>
    <x v="2"/>
    <n v="2"/>
    <n v="76.5"/>
    <n v="32.22"/>
    <s v="credit_card"/>
    <n v="8"/>
    <x v="1"/>
    <x v="2"/>
    <s v="Sao Paulo"/>
  </r>
  <r>
    <s v="7388afc4743da7d6e532b7fd086b4357"/>
    <s v="2017-09-28"/>
    <x v="10"/>
    <x v="4"/>
    <x v="12"/>
    <n v="1"/>
    <n v="159.99"/>
    <n v="57.79"/>
    <s v="boleto"/>
    <n v="18"/>
    <x v="1"/>
    <x v="3"/>
    <s v="Rio de Janeiro"/>
  </r>
  <r>
    <s v="aac66aa37e3c8d0fcc9571062fabb261"/>
    <s v="2017-09-28"/>
    <x v="10"/>
    <x v="7"/>
    <x v="20"/>
    <n v="1"/>
    <n v="25"/>
    <n v="17.920000000000002"/>
    <s v="credit_card"/>
    <n v="19"/>
    <x v="1"/>
    <x v="1"/>
    <s v="Minas Gerais"/>
  </r>
  <r>
    <s v="987b7884b5b6e23a2b4d35d8213815a2"/>
    <s v="2017-09-28"/>
    <x v="10"/>
    <x v="21"/>
    <x v="14"/>
    <n v="2"/>
    <n v="438.9"/>
    <n v="49.68"/>
    <s v="credit_card"/>
    <n v="21"/>
    <x v="1"/>
    <x v="2"/>
    <s v="Bahia"/>
  </r>
  <r>
    <s v="0b1651a280049a50402bc56d50785c3c"/>
    <s v="2017-09-28"/>
    <x v="10"/>
    <x v="1"/>
    <x v="23"/>
    <n v="1"/>
    <n v="43.3"/>
    <n v="15.11"/>
    <s v="boleto"/>
    <n v="18"/>
    <x v="1"/>
    <x v="2"/>
    <s v="Rio Grande do Sul"/>
  </r>
  <r>
    <s v="a701b3fe16d0e0734d666d1872df2ca4"/>
    <s v="2017-09-28"/>
    <x v="10"/>
    <x v="1"/>
    <x v="22"/>
    <n v="1"/>
    <n v="159.9"/>
    <n v="15.87"/>
    <s v="credit_card"/>
    <n v="11"/>
    <x v="1"/>
    <x v="2"/>
    <s v="Rio Grande do Sul"/>
  </r>
  <r>
    <s v="2036e90fc219932b90e4da6211a01758"/>
    <s v="2017-09-28"/>
    <x v="10"/>
    <x v="7"/>
    <x v="22"/>
    <n v="1"/>
    <n v="248"/>
    <n v="16.489999999999998"/>
    <s v="credit_card"/>
    <n v="11"/>
    <x v="1"/>
    <x v="2"/>
    <s v="Minas Gerais"/>
  </r>
  <r>
    <s v="a5d3d2b978722a86e82f2b7bd0567840"/>
    <s v="2017-09-28"/>
    <x v="10"/>
    <x v="3"/>
    <x v="14"/>
    <n v="2"/>
    <n v="106.89"/>
    <n v="28.85"/>
    <s v="boleto"/>
    <n v="14"/>
    <x v="1"/>
    <x v="0"/>
    <s v="Sao Paulo"/>
  </r>
  <r>
    <s v="38feb0b0bd51324506094a2c9f8bbc6f"/>
    <s v="2017-09-29"/>
    <x v="10"/>
    <x v="3"/>
    <x v="2"/>
    <n v="1"/>
    <n v="25"/>
    <n v="12.69"/>
    <s v="credit_card"/>
    <n v="14"/>
    <x v="1"/>
    <x v="3"/>
    <s v="Sao Paulo"/>
  </r>
  <r>
    <s v="12f55fbb20dd8ff71113349776b5642a"/>
    <s v="2017-09-29"/>
    <x v="10"/>
    <x v="3"/>
    <x v="22"/>
    <n v="1"/>
    <n v="132.6"/>
    <n v="15.68"/>
    <s v="credit_card"/>
    <n v="10"/>
    <x v="1"/>
    <x v="2"/>
    <s v="Sao Paulo"/>
  </r>
  <r>
    <s v="7d39dfbe41d0fcf4a1bf8a09cfd50a31"/>
    <s v="2017-09-29"/>
    <x v="10"/>
    <x v="1"/>
    <x v="2"/>
    <n v="1"/>
    <n v="139.99"/>
    <n v="15.74"/>
    <s v="credit_card"/>
    <n v="10"/>
    <x v="1"/>
    <x v="2"/>
    <s v="Rio Grande do Sul"/>
  </r>
  <r>
    <s v="bf941d5fc1bc7b644937b66246ad2150"/>
    <s v="2017-09-29"/>
    <x v="10"/>
    <x v="4"/>
    <x v="9"/>
    <n v="1"/>
    <n v="59.99"/>
    <n v="15.18"/>
    <s v="credit_card"/>
    <n v="14"/>
    <x v="1"/>
    <x v="2"/>
    <s v="Rio de Janeiro"/>
  </r>
  <r>
    <s v="b910a2d8eecd9eded28fdfc3cbb94880"/>
    <s v="2017-09-29"/>
    <x v="10"/>
    <x v="3"/>
    <x v="14"/>
    <n v="1"/>
    <n v="64.900000000000006"/>
    <n v="7.78"/>
    <s v="credit_card"/>
    <n v="6"/>
    <x v="1"/>
    <x v="3"/>
    <s v="Sao Paulo"/>
  </r>
  <r>
    <s v="96e5b56d000b07dd7bb1972eb42a0e79"/>
    <s v="2017-09-29"/>
    <x v="10"/>
    <x v="3"/>
    <x v="0"/>
    <n v="1"/>
    <n v="18.5"/>
    <n v="11.85"/>
    <s v="credit_card"/>
    <n v="9"/>
    <x v="1"/>
    <x v="2"/>
    <s v="Sao Paulo"/>
  </r>
  <r>
    <s v="03caa2c082116e1d31e67e9ae3700499"/>
    <s v="2017-09-29"/>
    <x v="10"/>
    <x v="4"/>
    <x v="45"/>
    <n v="8"/>
    <n v="13440"/>
    <n v="224.08"/>
    <s v="credit_card"/>
    <n v="18"/>
    <x v="1"/>
    <x v="0"/>
    <s v="Rio de Janeiro"/>
  </r>
  <r>
    <s v="05b6dcf764ce18df76138d88dba0aa7d"/>
    <s v="2017-09-30"/>
    <x v="10"/>
    <x v="21"/>
    <x v="11"/>
    <n v="1"/>
    <n v="17.8"/>
    <n v="16.920000000000002"/>
    <s v="boleto"/>
    <n v="17"/>
    <x v="1"/>
    <x v="2"/>
    <s v="Bahia"/>
  </r>
  <r>
    <s v="d8fdddcd258b88c4919c52ce44756a39"/>
    <s v="2017-09-30"/>
    <x v="10"/>
    <x v="3"/>
    <x v="3"/>
    <n v="1"/>
    <n v="29.9"/>
    <n v="14.1"/>
    <s v="credit_card"/>
    <n v="4"/>
    <x v="1"/>
    <x v="3"/>
    <s v="Sao Paulo"/>
  </r>
  <r>
    <s v="61d9e1e95fdfd5f0732643e5dbc1634d"/>
    <s v="2017-09-30"/>
    <x v="10"/>
    <x v="4"/>
    <x v="0"/>
    <n v="1"/>
    <n v="149.9"/>
    <n v="15.8"/>
    <s v="credit_card"/>
    <n v="13"/>
    <x v="1"/>
    <x v="2"/>
    <s v="Rio de Janeiro"/>
  </r>
  <r>
    <s v="f4da7d0ac805794a8e666416f2c20f60"/>
    <s v="2017-09-30"/>
    <x v="10"/>
    <x v="3"/>
    <x v="14"/>
    <n v="1"/>
    <n v="26.9"/>
    <n v="11.85"/>
    <s v="credit_card"/>
    <n v="11"/>
    <x v="1"/>
    <x v="1"/>
    <s v="Sao Paulo"/>
  </r>
  <r>
    <s v="38ab0898b5328ea3498a9a8c5bbf977e"/>
    <s v="2017-09-30"/>
    <x v="10"/>
    <x v="3"/>
    <x v="1"/>
    <n v="1"/>
    <n v="69.900000000000006"/>
    <n v="16.25"/>
    <s v="credit_card"/>
    <n v="25"/>
    <x v="2"/>
    <x v="3"/>
    <s v="Sao Paulo"/>
  </r>
  <r>
    <s v="0a62a2ee479a419db8aebf78129b2f5e"/>
    <s v="2017-10-01"/>
    <x v="11"/>
    <x v="5"/>
    <x v="14"/>
    <n v="1"/>
    <n v="113.57"/>
    <n v="18.04"/>
    <s v="credit_card"/>
    <n v="11"/>
    <x v="1"/>
    <x v="3"/>
    <s v="Parana"/>
  </r>
  <r>
    <s v="5fce8f6bc4ab72e0f367e21d181bf6d2"/>
    <s v="2017-10-01"/>
    <x v="11"/>
    <x v="7"/>
    <x v="7"/>
    <n v="1"/>
    <n v="59.9"/>
    <n v="17.670000000000002"/>
    <s v="credit_card"/>
    <n v="8"/>
    <x v="1"/>
    <x v="2"/>
    <s v="Minas Gerais"/>
  </r>
  <r>
    <s v="a32f136cacf2a9b45eaeb507057b33f2"/>
    <s v="2017-10-01"/>
    <x v="11"/>
    <x v="3"/>
    <x v="1"/>
    <n v="1"/>
    <n v="99"/>
    <n v="16.940000000000001"/>
    <s v="credit_card"/>
    <n v="5"/>
    <x v="1"/>
    <x v="2"/>
    <s v="Sao Paulo"/>
  </r>
  <r>
    <s v="492d9d1a1eb3b5a079dff6d1eb3f4b67"/>
    <s v="2017-10-02"/>
    <x v="11"/>
    <x v="7"/>
    <x v="1"/>
    <n v="1"/>
    <n v="113"/>
    <n v="21.28"/>
    <s v="credit_card"/>
    <n v="7"/>
    <x v="1"/>
    <x v="1"/>
    <s v="Minas Gerais"/>
  </r>
  <r>
    <s v="140d5c0a692987d62971b1e5f8c02397"/>
    <s v="2017-10-02"/>
    <x v="11"/>
    <x v="3"/>
    <x v="14"/>
    <n v="1"/>
    <n v="27.99"/>
    <n v="11.85"/>
    <s v="credit_card"/>
    <n v="6"/>
    <x v="1"/>
    <x v="3"/>
    <s v="Sao Paulo"/>
  </r>
  <r>
    <s v="4b5bd8e6ef37808d82dab7b2a81b18d4"/>
    <s v="2017-10-02"/>
    <x v="11"/>
    <x v="3"/>
    <x v="4"/>
    <n v="1"/>
    <n v="155"/>
    <n v="13.43"/>
    <s v="credit_card"/>
    <m/>
    <x v="0"/>
    <x v="0"/>
    <s v="Sao Paulo"/>
  </r>
  <r>
    <s v="8f6467bcaef44e076b48a04fa38557f3"/>
    <s v="2017-10-02"/>
    <x v="11"/>
    <x v="3"/>
    <x v="2"/>
    <n v="1"/>
    <n v="29"/>
    <n v="12.69"/>
    <s v="credit_card"/>
    <n v="5"/>
    <x v="1"/>
    <x v="2"/>
    <s v="Sao Paulo"/>
  </r>
  <r>
    <s v="9706023383737a509d67fdd3eaf88e54"/>
    <s v="2017-10-02"/>
    <x v="11"/>
    <x v="4"/>
    <x v="29"/>
    <n v="1"/>
    <n v="99"/>
    <n v="17.940000000000001"/>
    <s v="voucher"/>
    <n v="8"/>
    <x v="1"/>
    <x v="0"/>
    <s v="Rio de Janeiro"/>
  </r>
  <r>
    <s v="c768b1d3a1541f992ff2a94488a364d7"/>
    <s v="2017-10-03"/>
    <x v="11"/>
    <x v="21"/>
    <x v="0"/>
    <n v="1"/>
    <n v="39.99"/>
    <n v="17.920000000000002"/>
    <s v="boleto"/>
    <n v="19"/>
    <x v="1"/>
    <x v="3"/>
    <s v="Bahia"/>
  </r>
  <r>
    <s v="e4223b96432f4984fc69390438d80861"/>
    <s v="2017-10-03"/>
    <x v="11"/>
    <x v="1"/>
    <x v="6"/>
    <n v="1"/>
    <n v="18.899999999999999"/>
    <n v="15.1"/>
    <s v="credit_card"/>
    <n v="6"/>
    <x v="1"/>
    <x v="0"/>
    <s v="Rio Grande do Sul"/>
  </r>
  <r>
    <s v="496fbba28bbf72d2b8a2a55cb32b1935"/>
    <s v="2017-10-03"/>
    <x v="11"/>
    <x v="1"/>
    <x v="2"/>
    <n v="1"/>
    <n v="59.9"/>
    <n v="15.17"/>
    <s v="credit_card"/>
    <n v="13"/>
    <x v="1"/>
    <x v="3"/>
    <s v="Rio Grande do Sul"/>
  </r>
  <r>
    <s v="32a125a6a8216eaa745d0e33eabc4218"/>
    <s v="2017-10-03"/>
    <x v="11"/>
    <x v="3"/>
    <x v="14"/>
    <n v="1"/>
    <n v="104"/>
    <n v="12.23"/>
    <s v="boleto"/>
    <n v="14"/>
    <x v="1"/>
    <x v="0"/>
    <s v="Sao Paulo"/>
  </r>
  <r>
    <s v="2e8d9e986f6497677962424952e47f48"/>
    <s v="2017-10-03"/>
    <x v="11"/>
    <x v="7"/>
    <x v="7"/>
    <n v="1"/>
    <n v="129.99"/>
    <n v="25.75"/>
    <s v="credit_card"/>
    <n v="6"/>
    <x v="1"/>
    <x v="2"/>
    <s v="Minas Gerais"/>
  </r>
  <r>
    <s v="5df3e4bdf3b11255c6c73bd401826bae"/>
    <s v="2017-10-03"/>
    <x v="11"/>
    <x v="4"/>
    <x v="5"/>
    <n v="2"/>
    <n v="11.8"/>
    <n v="30.2"/>
    <s v="credit_card"/>
    <n v="10"/>
    <x v="1"/>
    <x v="3"/>
    <s v="Rio de Janeiro"/>
  </r>
  <r>
    <s v="110d11411569c88d2745d55180027f3e"/>
    <s v="2017-10-03"/>
    <x v="11"/>
    <x v="3"/>
    <x v="19"/>
    <n v="1"/>
    <n v="49.9"/>
    <n v="20.84"/>
    <s v="credit_card"/>
    <n v="6"/>
    <x v="1"/>
    <x v="3"/>
    <s v="Sao Paulo"/>
  </r>
  <r>
    <s v="894ad6777d752962423e37b3d4e8a83a"/>
    <s v="2017-10-04"/>
    <x v="11"/>
    <x v="17"/>
    <x v="4"/>
    <n v="1"/>
    <n v="149.99"/>
    <n v="88.06"/>
    <s v="credit_card"/>
    <n v="19"/>
    <x v="1"/>
    <x v="2"/>
    <s v="Rondonia"/>
  </r>
  <r>
    <s v="870262a84754d5ee151a8be2554a5bc6"/>
    <s v="2017-10-04"/>
    <x v="11"/>
    <x v="3"/>
    <x v="19"/>
    <n v="1"/>
    <n v="139"/>
    <n v="25.81"/>
    <s v="credit_card"/>
    <n v="14"/>
    <x v="1"/>
    <x v="4"/>
    <s v="Sao Paulo"/>
  </r>
  <r>
    <s v="6ab8dac189301e155d1ff9208d98db3f"/>
    <s v="2017-10-04"/>
    <x v="11"/>
    <x v="3"/>
    <x v="25"/>
    <n v="1"/>
    <n v="59.9"/>
    <n v="11.73"/>
    <s v="voucher"/>
    <n v="3"/>
    <x v="1"/>
    <x v="1"/>
    <s v="Sao Paulo"/>
  </r>
  <r>
    <s v="94a6ebbfa1179d1c4fcc0eef4e3f423c"/>
    <s v="2017-10-04"/>
    <x v="11"/>
    <x v="6"/>
    <x v="6"/>
    <n v="1"/>
    <n v="119.9"/>
    <n v="26.12"/>
    <s v="boleto"/>
    <n v="22"/>
    <x v="1"/>
    <x v="1"/>
    <s v="Pernambuco"/>
  </r>
  <r>
    <s v="04132c02a610a19773963143ba1b5bb4"/>
    <s v="2017-10-04"/>
    <x v="11"/>
    <x v="10"/>
    <x v="44"/>
    <n v="1"/>
    <n v="599.5"/>
    <n v="75.33"/>
    <s v="credit_card"/>
    <n v="19"/>
    <x v="1"/>
    <x v="2"/>
    <s v="Piaui"/>
  </r>
  <r>
    <s v="3ab974ac744bd19a111d5e19f0a90649"/>
    <s v="2017-10-04"/>
    <x v="11"/>
    <x v="4"/>
    <x v="4"/>
    <n v="1"/>
    <n v="78.900000000000006"/>
    <n v="16.989999999999998"/>
    <s v="credit_card"/>
    <n v="13"/>
    <x v="1"/>
    <x v="2"/>
    <s v="Rio de Janeiro"/>
  </r>
  <r>
    <s v="d4304f4104fca54e2a93b03e5b04962b"/>
    <s v="2017-10-04"/>
    <x v="11"/>
    <x v="7"/>
    <x v="14"/>
    <n v="2"/>
    <n v="147.99"/>
    <n v="33.17"/>
    <s v="credit_card"/>
    <n v="7"/>
    <x v="1"/>
    <x v="3"/>
    <s v="Minas Gerais"/>
  </r>
  <r>
    <s v="ad9d381a3928b29277b01f1a357a7d2d"/>
    <s v="2017-10-04"/>
    <x v="11"/>
    <x v="3"/>
    <x v="1"/>
    <n v="1"/>
    <n v="279.99"/>
    <n v="29.32"/>
    <s v="credit_card"/>
    <n v="12"/>
    <x v="1"/>
    <x v="2"/>
    <s v="Sao Paulo"/>
  </r>
  <r>
    <s v="165db2f7901b38055fe76db6894683d2"/>
    <s v="2017-10-04"/>
    <x v="11"/>
    <x v="3"/>
    <x v="9"/>
    <n v="1"/>
    <n v="33.49"/>
    <n v="7.78"/>
    <s v="credit_card"/>
    <n v="2"/>
    <x v="1"/>
    <x v="2"/>
    <s v="Sao Paulo"/>
  </r>
  <r>
    <s v="8aa5b35619d1aeb3068187d868c9aa41"/>
    <s v="2017-10-04"/>
    <x v="11"/>
    <x v="3"/>
    <x v="14"/>
    <n v="1"/>
    <n v="173"/>
    <n v="14.23"/>
    <s v="credit_card"/>
    <n v="9"/>
    <x v="1"/>
    <x v="2"/>
    <s v="Sao Paulo"/>
  </r>
  <r>
    <s v="c3fd670b03599718895218d479f660b6"/>
    <s v="2017-10-04"/>
    <x v="11"/>
    <x v="4"/>
    <x v="22"/>
    <n v="1"/>
    <n v="899.99"/>
    <n v="21.05"/>
    <s v="boleto"/>
    <n v="14"/>
    <x v="1"/>
    <x v="1"/>
    <s v="Rio de Janeiro"/>
  </r>
  <r>
    <s v="2301a0f5629f3d66f880849265f50515"/>
    <s v="2017-10-04"/>
    <x v="11"/>
    <x v="7"/>
    <x v="18"/>
    <n v="1"/>
    <n v="69"/>
    <n v="15.23"/>
    <s v="credit_card"/>
    <n v="6"/>
    <x v="1"/>
    <x v="3"/>
    <s v="Minas Gerais"/>
  </r>
  <r>
    <s v="363aa2fb205fb8cc8568919310f793aa"/>
    <s v="2017-10-04"/>
    <x v="11"/>
    <x v="21"/>
    <x v="5"/>
    <n v="1"/>
    <n v="143"/>
    <n v="38.549999999999997"/>
    <s v="credit_card"/>
    <n v="12"/>
    <x v="1"/>
    <x v="2"/>
    <s v="Bahia"/>
  </r>
  <r>
    <s v="1f4c55439dfb0750759521284d322815"/>
    <s v="2017-10-05"/>
    <x v="11"/>
    <x v="3"/>
    <x v="9"/>
    <n v="1"/>
    <n v="79.900000000000006"/>
    <n v="18.8"/>
    <s v="credit_card"/>
    <n v="8"/>
    <x v="1"/>
    <x v="5"/>
    <s v="Sao Paulo"/>
  </r>
  <r>
    <s v="aa6f6f661c3e88e007c6cb03ca1e55e3"/>
    <s v="2017-10-05"/>
    <x v="11"/>
    <x v="3"/>
    <x v="4"/>
    <n v="1"/>
    <n v="105"/>
    <n v="21.57"/>
    <s v="credit_card"/>
    <n v="4"/>
    <x v="1"/>
    <x v="2"/>
    <s v="Sao Paulo"/>
  </r>
  <r>
    <s v="ed77ae1d4803934a1131cadffb78b41b"/>
    <s v="2017-10-05"/>
    <x v="11"/>
    <x v="3"/>
    <x v="4"/>
    <n v="4"/>
    <n v="599.52"/>
    <n v="73.2"/>
    <s v="credit_card"/>
    <n v="14"/>
    <x v="1"/>
    <x v="3"/>
    <s v="Sao Paulo"/>
  </r>
  <r>
    <s v="46a960198503941a98246a108f151e0b"/>
    <s v="2017-10-05"/>
    <x v="11"/>
    <x v="7"/>
    <x v="0"/>
    <n v="3"/>
    <n v="234"/>
    <n v="45.900000000000013"/>
    <s v="credit_card"/>
    <n v="21"/>
    <x v="1"/>
    <x v="3"/>
    <s v="Minas Gerais"/>
  </r>
  <r>
    <s v="431edc9c63424518da8f273659cafa77"/>
    <s v="2017-10-05"/>
    <x v="11"/>
    <x v="4"/>
    <x v="4"/>
    <n v="1"/>
    <n v="99.9"/>
    <n v="23.02"/>
    <s v="credit_card"/>
    <n v="6"/>
    <x v="1"/>
    <x v="2"/>
    <s v="Rio de Janeiro"/>
  </r>
  <r>
    <s v="a6bf292dae65f520a1f47f4df440654a"/>
    <s v="2017-10-05"/>
    <x v="11"/>
    <x v="7"/>
    <x v="9"/>
    <n v="1"/>
    <n v="34.99"/>
    <n v="17.600000000000001"/>
    <s v="credit_card"/>
    <n v="6"/>
    <x v="1"/>
    <x v="2"/>
    <s v="Minas Gerais"/>
  </r>
  <r>
    <s v="472da07b7704c63a67ef872b922ab5c3"/>
    <s v="2017-10-05"/>
    <x v="11"/>
    <x v="3"/>
    <x v="1"/>
    <n v="1"/>
    <n v="69.900000000000006"/>
    <n v="16.12"/>
    <s v="debit_card"/>
    <n v="5"/>
    <x v="1"/>
    <x v="2"/>
    <s v="Sao Paulo"/>
  </r>
  <r>
    <s v="6aa12b7bccdfe9396d5feb50030e1b3f"/>
    <s v="2017-10-06"/>
    <x v="11"/>
    <x v="3"/>
    <x v="19"/>
    <n v="1"/>
    <n v="69.900000000000006"/>
    <n v="16.12"/>
    <s v="credit_card"/>
    <n v="5"/>
    <x v="1"/>
    <x v="2"/>
    <s v="Sao Paulo"/>
  </r>
  <r>
    <s v="166848a10d57ced4d9e4b34c593b5627"/>
    <s v="2017-10-06"/>
    <x v="11"/>
    <x v="3"/>
    <x v="8"/>
    <n v="1"/>
    <n v="1699.99"/>
    <n v="87.73"/>
    <s v="credit_card"/>
    <n v="19"/>
    <x v="1"/>
    <x v="2"/>
    <s v="Sao Paulo"/>
  </r>
  <r>
    <s v="90558ff73a60e332ae75a7eef8d36b83"/>
    <s v="2017-10-06"/>
    <x v="11"/>
    <x v="2"/>
    <x v="3"/>
    <n v="1"/>
    <n v="139.99"/>
    <n v="14.73"/>
    <s v="credit_card"/>
    <n v="10"/>
    <x v="1"/>
    <x v="2"/>
    <s v="Goias"/>
  </r>
  <r>
    <s v="ee491eb103d02acce80f7c5950def51d"/>
    <s v="2017-10-06"/>
    <x v="11"/>
    <x v="1"/>
    <x v="2"/>
    <n v="1"/>
    <n v="49.9"/>
    <n v="14.1"/>
    <s v="voucher"/>
    <n v="12"/>
    <x v="1"/>
    <x v="2"/>
    <s v="Rio Grande do Sul"/>
  </r>
  <r>
    <s v="72fcaaf6f276ca11244c4a82bb009eaf"/>
    <s v="2017-10-07"/>
    <x v="11"/>
    <x v="4"/>
    <x v="14"/>
    <n v="1"/>
    <n v="47.99"/>
    <n v="15.1"/>
    <s v="credit_card"/>
    <n v="12"/>
    <x v="1"/>
    <x v="2"/>
    <s v="Rio de Janeiro"/>
  </r>
  <r>
    <s v="a82e51ce2f7042d9be38b0cee1764b46"/>
    <s v="2017-10-07"/>
    <x v="11"/>
    <x v="3"/>
    <x v="9"/>
    <n v="1"/>
    <n v="16"/>
    <n v="7.78"/>
    <s v="credit_card"/>
    <n v="3"/>
    <x v="1"/>
    <x v="2"/>
    <s v="Sao Paulo"/>
  </r>
  <r>
    <s v="28c3c716d01cc934376d3bebea04da92"/>
    <s v="2017-10-07"/>
    <x v="11"/>
    <x v="1"/>
    <x v="17"/>
    <n v="1"/>
    <n v="18.899999999999999"/>
    <n v="15.1"/>
    <s v="credit_card"/>
    <n v="18"/>
    <x v="1"/>
    <x v="5"/>
    <s v="Rio Grande do Sul"/>
  </r>
  <r>
    <s v="d4a07b48835f3637cdf8baeab13c8a9a"/>
    <s v="2017-10-07"/>
    <x v="11"/>
    <x v="4"/>
    <x v="53"/>
    <n v="1"/>
    <n v="1599.99"/>
    <n v="35.65"/>
    <s v="credit_card"/>
    <n v="13"/>
    <x v="1"/>
    <x v="2"/>
    <s v="Rio de Janeiro"/>
  </r>
  <r>
    <s v="6d2fc09d62a66a0e432cb3d6e98a504e"/>
    <s v="2017-10-07"/>
    <x v="11"/>
    <x v="3"/>
    <x v="2"/>
    <n v="1"/>
    <n v="79.900000000000006"/>
    <n v="11.76"/>
    <s v="credit_card"/>
    <n v="6"/>
    <x v="1"/>
    <x v="3"/>
    <s v="Sao Paulo"/>
  </r>
  <r>
    <s v="64aa2d5878fc863f40dc4698a4feff6e"/>
    <s v="2017-10-08"/>
    <x v="11"/>
    <x v="4"/>
    <x v="1"/>
    <n v="1"/>
    <n v="120"/>
    <n v="8.26"/>
    <s v="boleto"/>
    <n v="8"/>
    <x v="1"/>
    <x v="2"/>
    <s v="Rio de Janeiro"/>
  </r>
  <r>
    <s v="65a94ea3c1392f150ad232c92d64c3f8"/>
    <s v="2017-10-08"/>
    <x v="11"/>
    <x v="3"/>
    <x v="14"/>
    <n v="1"/>
    <n v="51"/>
    <n v="12.7"/>
    <s v="credit_card"/>
    <n v="8"/>
    <x v="1"/>
    <x v="2"/>
    <s v="Sao Paulo"/>
  </r>
  <r>
    <s v="e213ae13799e8736ebbc653d21a441e5"/>
    <s v="2017-10-08"/>
    <x v="11"/>
    <x v="4"/>
    <x v="14"/>
    <n v="1"/>
    <n v="45.9"/>
    <n v="15.11"/>
    <s v="credit_card"/>
    <n v="23"/>
    <x v="2"/>
    <x v="2"/>
    <s v="Rio de Janeiro"/>
  </r>
  <r>
    <s v="f67ed27c364607b4afba7d4d7b32f524"/>
    <s v="2017-10-08"/>
    <x v="11"/>
    <x v="3"/>
    <x v="0"/>
    <n v="1"/>
    <n v="199.99"/>
    <n v="37.49"/>
    <s v="credit_card"/>
    <n v="1"/>
    <x v="1"/>
    <x v="2"/>
    <s v="Sao Paulo"/>
  </r>
  <r>
    <s v="39686ff32951169c125d4f2bf5666774"/>
    <s v="2017-10-08"/>
    <x v="11"/>
    <x v="7"/>
    <x v="12"/>
    <n v="1"/>
    <n v="64.989999999999995"/>
    <n v="12.58"/>
    <s v="credit_card"/>
    <n v="5"/>
    <x v="1"/>
    <x v="2"/>
    <s v="Minas Gerais"/>
  </r>
  <r>
    <s v="bf3f150adb6cc38e1f3e6517534b24f6"/>
    <s v="2017-10-08"/>
    <x v="11"/>
    <x v="9"/>
    <x v="7"/>
    <n v="1"/>
    <n v="69"/>
    <n v="38.03"/>
    <s v="credit_card"/>
    <n v="18"/>
    <x v="1"/>
    <x v="3"/>
    <s v="Sergipe"/>
  </r>
  <r>
    <s v="956fa289d4963732b9c806fcc3eb3d57"/>
    <s v="2017-10-08"/>
    <x v="11"/>
    <x v="4"/>
    <x v="6"/>
    <n v="1"/>
    <n v="299.99"/>
    <n v="27.38"/>
    <s v="boleto"/>
    <n v="23"/>
    <x v="1"/>
    <x v="2"/>
    <s v="Rio de Janeiro"/>
  </r>
  <r>
    <s v="93bf5323e2c3624fdc56fc6083bc71d4"/>
    <s v="2017-10-08"/>
    <x v="11"/>
    <x v="1"/>
    <x v="2"/>
    <n v="1"/>
    <n v="129.9"/>
    <n v="14.64"/>
    <s v="boleto"/>
    <n v="5"/>
    <x v="1"/>
    <x v="2"/>
    <s v="Rio Grande do Sul"/>
  </r>
  <r>
    <s v="a486dfd6ae353f3b1b11f8670c57f60d"/>
    <s v="2017-10-08"/>
    <x v="11"/>
    <x v="3"/>
    <x v="19"/>
    <n v="1"/>
    <n v="59.9"/>
    <n v="14.13"/>
    <s v="credit_card"/>
    <n v="5"/>
    <x v="1"/>
    <x v="1"/>
    <s v="Sao Paulo"/>
  </r>
  <r>
    <s v="71a378f8b8ef5f17a1518d5bf92f57c4"/>
    <s v="2017-10-09"/>
    <x v="11"/>
    <x v="21"/>
    <x v="13"/>
    <n v="1"/>
    <n v="117.48"/>
    <n v="17.260000000000002"/>
    <s v="boleto"/>
    <n v="15"/>
    <x v="1"/>
    <x v="3"/>
    <s v="Bahia"/>
  </r>
  <r>
    <s v="fd4bcae925b879102eb780d2bfc495a8"/>
    <s v="2017-10-09"/>
    <x v="11"/>
    <x v="3"/>
    <x v="4"/>
    <n v="1"/>
    <n v="399.5"/>
    <n v="15.82"/>
    <s v="boleto"/>
    <n v="10"/>
    <x v="1"/>
    <x v="2"/>
    <s v="Sao Paulo"/>
  </r>
  <r>
    <s v="561d2ce55a3b6c040a6ba77fa5428056"/>
    <s v="2017-10-09"/>
    <x v="11"/>
    <x v="4"/>
    <x v="5"/>
    <n v="1"/>
    <n v="75.900000000000006"/>
    <n v="14.28"/>
    <s v="boleto"/>
    <n v="36"/>
    <x v="1"/>
    <x v="0"/>
    <s v="Rio de Janeiro"/>
  </r>
  <r>
    <s v="be92e1caeb7ca0fd9ec8a0db83c1c7cc"/>
    <s v="2017-10-09"/>
    <x v="11"/>
    <x v="1"/>
    <x v="4"/>
    <n v="1"/>
    <n v="119"/>
    <n v="13.85"/>
    <s v="credit_card"/>
    <n v="14"/>
    <x v="1"/>
    <x v="3"/>
    <s v="Rio Grande do Sul"/>
  </r>
  <r>
    <s v="30eb68f1adec947261593a874308f991"/>
    <s v="2017-10-09"/>
    <x v="11"/>
    <x v="18"/>
    <x v="36"/>
    <n v="1"/>
    <n v="699"/>
    <n v="57.49"/>
    <s v="credit_card"/>
    <n v="22"/>
    <x v="2"/>
    <x v="2"/>
    <s v="Distrito Federal"/>
  </r>
  <r>
    <s v="f7b820ea870eadff426970af299e9384"/>
    <s v="2017-10-09"/>
    <x v="11"/>
    <x v="4"/>
    <x v="54"/>
    <n v="2"/>
    <n v="179.98"/>
    <n v="33.76"/>
    <s v="credit_card"/>
    <n v="7"/>
    <x v="1"/>
    <x v="2"/>
    <s v="Rio de Janeiro"/>
  </r>
  <r>
    <s v="da00a701a6b06de5995ee998ae82ce43"/>
    <s v="2017-10-09"/>
    <x v="11"/>
    <x v="7"/>
    <x v="6"/>
    <n v="1"/>
    <n v="35"/>
    <n v="15.1"/>
    <s v="credit_card"/>
    <n v="17"/>
    <x v="2"/>
    <x v="2"/>
    <s v="Minas Gerais"/>
  </r>
  <r>
    <s v="ed9f2f1d49ae779e0d1953d6197fbe43"/>
    <s v="2017-10-09"/>
    <x v="11"/>
    <x v="8"/>
    <x v="12"/>
    <n v="1"/>
    <n v="58.9"/>
    <n v="18"/>
    <s v="boleto"/>
    <n v="11"/>
    <x v="1"/>
    <x v="0"/>
    <s v="Santa Catarina"/>
  </r>
  <r>
    <s v="8ab12616ff9cf79ce869bcfd0c7dec3f"/>
    <s v="2017-10-09"/>
    <x v="11"/>
    <x v="3"/>
    <x v="25"/>
    <n v="1"/>
    <n v="89.9"/>
    <n v="29.42"/>
    <s v="credit_card"/>
    <n v="10"/>
    <x v="1"/>
    <x v="3"/>
    <s v="Sao Paulo"/>
  </r>
  <r>
    <s v="232a2ccad012f3cb2ebe4ea479e0b1af"/>
    <s v="2017-10-09"/>
    <x v="11"/>
    <x v="4"/>
    <x v="6"/>
    <n v="1"/>
    <n v="19.989999999999998"/>
    <n v="14.1"/>
    <s v="boleto"/>
    <n v="8"/>
    <x v="1"/>
    <x v="2"/>
    <s v="Rio de Janeiro"/>
  </r>
  <r>
    <s v="e8e5d972d73d38807a474519f2f23658"/>
    <s v="2017-10-10"/>
    <x v="11"/>
    <x v="4"/>
    <x v="20"/>
    <n v="1"/>
    <n v="99.9"/>
    <n v="15.46"/>
    <s v="credit_card"/>
    <n v="6"/>
    <x v="1"/>
    <x v="3"/>
    <s v="Rio de Janeiro"/>
  </r>
  <r>
    <s v="680d7235e89a19239f2562d940e7c86d"/>
    <s v="2017-10-10"/>
    <x v="11"/>
    <x v="12"/>
    <x v="9"/>
    <n v="1"/>
    <n v="359"/>
    <n v="27.79"/>
    <s v="credit_card"/>
    <n v="24"/>
    <x v="1"/>
    <x v="2"/>
    <s v="Ceara"/>
  </r>
  <r>
    <s v="f71548efb94082ec81596149dba6bc12"/>
    <s v="2017-10-10"/>
    <x v="11"/>
    <x v="4"/>
    <x v="21"/>
    <n v="1"/>
    <n v="43.9"/>
    <n v="16.11"/>
    <s v="credit_card"/>
    <n v="7"/>
    <x v="1"/>
    <x v="2"/>
    <s v="Rio de Janeiro"/>
  </r>
  <r>
    <s v="e23115216f6b79bda05036f94744a2dd"/>
    <s v="2017-10-10"/>
    <x v="11"/>
    <x v="3"/>
    <x v="19"/>
    <n v="1"/>
    <n v="44.9"/>
    <n v="11.73"/>
    <s v="boleto"/>
    <n v="16"/>
    <x v="2"/>
    <x v="3"/>
    <s v="Sao Paulo"/>
  </r>
  <r>
    <s v="3aa7ede1b23edf1284d91439d5ccaadc"/>
    <s v="2017-10-11"/>
    <x v="11"/>
    <x v="5"/>
    <x v="19"/>
    <n v="2"/>
    <n v="178.9"/>
    <n v="34.74"/>
    <s v="credit_card"/>
    <n v="6"/>
    <x v="1"/>
    <x v="0"/>
    <s v="Parana"/>
  </r>
  <r>
    <s v="84e18f4b5b541150af97e94f3cc0b2a7"/>
    <s v="2017-10-11"/>
    <x v="11"/>
    <x v="13"/>
    <x v="6"/>
    <n v="2"/>
    <n v="39.799999999999997"/>
    <n v="42.3"/>
    <s v="credit_card"/>
    <n v="26"/>
    <x v="2"/>
    <x v="0"/>
    <s v="Maranhao"/>
  </r>
  <r>
    <s v="91501d5292dbe67f25d3c8867cd67f44"/>
    <s v="2017-10-11"/>
    <x v="11"/>
    <x v="8"/>
    <x v="6"/>
    <n v="1"/>
    <n v="17.989999999999998"/>
    <n v="16.11"/>
    <s v="credit_card"/>
    <n v="9"/>
    <x v="1"/>
    <x v="2"/>
    <s v="Santa Catarina"/>
  </r>
  <r>
    <s v="0b98d69e5b550f6727dc0beb88d1694b"/>
    <s v="2017-10-11"/>
    <x v="11"/>
    <x v="3"/>
    <x v="2"/>
    <n v="1"/>
    <n v="329.9"/>
    <n v="67.400000000000006"/>
    <s v="credit_card"/>
    <n v="13"/>
    <x v="1"/>
    <x v="2"/>
    <s v="Sao Paulo"/>
  </r>
  <r>
    <s v="d2edbdf7b05aec925d270f089e79443e"/>
    <s v="2017-10-11"/>
    <x v="11"/>
    <x v="3"/>
    <x v="4"/>
    <n v="2"/>
    <n v="351.81"/>
    <n v="21.3"/>
    <s v="credit_card"/>
    <n v="9"/>
    <x v="1"/>
    <x v="4"/>
    <s v="Sao Paulo"/>
  </r>
  <r>
    <s v="2cc93fd6f68e6cfcb968814de8a14296"/>
    <s v="2017-10-11"/>
    <x v="11"/>
    <x v="3"/>
    <x v="26"/>
    <n v="1"/>
    <n v="1989"/>
    <n v="34.58"/>
    <s v="credit_card"/>
    <m/>
    <x v="0"/>
    <x v="3"/>
    <s v="Sao Paulo"/>
  </r>
  <r>
    <s v="848a8ddc7852a84bc58017be865b58f4"/>
    <s v="2017-10-11"/>
    <x v="11"/>
    <x v="1"/>
    <x v="0"/>
    <n v="1"/>
    <n v="95.9"/>
    <n v="21.16"/>
    <s v="credit_card"/>
    <n v="9"/>
    <x v="1"/>
    <x v="2"/>
    <s v="Rio Grande do Sul"/>
  </r>
  <r>
    <s v="c79a29817509b8122a3b3c3a24414866"/>
    <s v="2017-10-11"/>
    <x v="11"/>
    <x v="3"/>
    <x v="1"/>
    <n v="1"/>
    <n v="92.9"/>
    <n v="14.38"/>
    <s v="credit_card"/>
    <n v="6"/>
    <x v="1"/>
    <x v="2"/>
    <s v="Sao Paulo"/>
  </r>
  <r>
    <s v="d6b77bc6a9aaaf549d60d3f5ae45fef7"/>
    <s v="2017-10-12"/>
    <x v="11"/>
    <x v="7"/>
    <x v="2"/>
    <n v="1"/>
    <n v="94.99"/>
    <n v="15.41"/>
    <s v="voucher"/>
    <n v="9"/>
    <x v="1"/>
    <x v="2"/>
    <s v="Minas Gerais"/>
  </r>
  <r>
    <s v="b21f839962bbc030f2dbab44e96b92bb"/>
    <s v="2017-10-12"/>
    <x v="11"/>
    <x v="3"/>
    <x v="5"/>
    <n v="1"/>
    <n v="56.99"/>
    <n v="8.7200000000000006"/>
    <s v="credit_card"/>
    <n v="7"/>
    <x v="1"/>
    <x v="2"/>
    <s v="Sao Paulo"/>
  </r>
  <r>
    <s v="e8608de908926d0a19ad92ae1af61175"/>
    <s v="2017-10-12"/>
    <x v="11"/>
    <x v="3"/>
    <x v="26"/>
    <n v="2"/>
    <n v="112"/>
    <n v="16.54"/>
    <s v="credit_card"/>
    <n v="4"/>
    <x v="1"/>
    <x v="2"/>
    <s v="Sao Paulo"/>
  </r>
  <r>
    <s v="6404e2bea6a36a8fd5bf64660a5e5187"/>
    <s v="2017-10-12"/>
    <x v="11"/>
    <x v="5"/>
    <x v="16"/>
    <n v="1"/>
    <n v="139.9"/>
    <n v="15.73"/>
    <s v="credit_card"/>
    <n v="13"/>
    <x v="1"/>
    <x v="2"/>
    <s v="Parana"/>
  </r>
  <r>
    <s v="f19584f0d2c7cbccc05621c23dee5cb3"/>
    <s v="2017-10-12"/>
    <x v="11"/>
    <x v="3"/>
    <x v="19"/>
    <n v="1"/>
    <n v="81.99"/>
    <n v="12.91"/>
    <s v="credit_card"/>
    <n v="19"/>
    <x v="1"/>
    <x v="2"/>
    <s v="Sao Paulo"/>
  </r>
  <r>
    <s v="4187736882d8e8b4e374d201151c0fa2"/>
    <s v="2017-10-12"/>
    <x v="11"/>
    <x v="3"/>
    <x v="20"/>
    <n v="1"/>
    <n v="70.900000000000006"/>
    <n v="26.82"/>
    <s v="credit_card"/>
    <n v="8"/>
    <x v="1"/>
    <x v="3"/>
    <s v="Sao Paulo"/>
  </r>
  <r>
    <s v="46347dc54e84dc7863cb5c90cf57a9d3"/>
    <s v="2017-10-12"/>
    <x v="11"/>
    <x v="3"/>
    <x v="21"/>
    <n v="1"/>
    <n v="135"/>
    <n v="13.29"/>
    <s v="credit_card"/>
    <n v="20"/>
    <x v="2"/>
    <x v="2"/>
    <s v="Sao Paulo"/>
  </r>
  <r>
    <s v="7e47240215d1672082248c49887b245a"/>
    <s v="2017-10-13"/>
    <x v="11"/>
    <x v="7"/>
    <x v="0"/>
    <n v="1"/>
    <n v="212.33"/>
    <n v="82.58"/>
    <s v="boleto"/>
    <n v="11"/>
    <x v="1"/>
    <x v="2"/>
    <s v="Minas Gerais"/>
  </r>
  <r>
    <s v="9e7b4dc19aadc8298e2984986d3bf014"/>
    <s v="2017-10-13"/>
    <x v="11"/>
    <x v="6"/>
    <x v="12"/>
    <n v="1"/>
    <n v="159.99"/>
    <n v="33.57"/>
    <s v="credit_card"/>
    <n v="67"/>
    <x v="2"/>
    <x v="4"/>
    <s v="Pernambuco"/>
  </r>
  <r>
    <s v="dd21beb23190fb08c8532bb31cd28b34"/>
    <s v="2017-10-13"/>
    <x v="11"/>
    <x v="18"/>
    <x v="22"/>
    <n v="1"/>
    <n v="29"/>
    <n v="14.1"/>
    <s v="credit_card"/>
    <n v="10"/>
    <x v="1"/>
    <x v="0"/>
    <s v="Distrito Federal"/>
  </r>
  <r>
    <s v="c5132855100a12d63ed4e8ae05f9594d"/>
    <s v="2017-10-13"/>
    <x v="11"/>
    <x v="7"/>
    <x v="0"/>
    <n v="1"/>
    <n v="119.9"/>
    <n v="20.75"/>
    <s v="boleto"/>
    <n v="12"/>
    <x v="1"/>
    <x v="2"/>
    <s v="Minas Gerais"/>
  </r>
  <r>
    <s v="50bc1ac9db5f38b0982adba11e35b948"/>
    <s v="2017-10-13"/>
    <x v="11"/>
    <x v="4"/>
    <x v="22"/>
    <n v="1"/>
    <n v="179.99"/>
    <n v="16.010000000000002"/>
    <s v="boleto"/>
    <n v="24"/>
    <x v="2"/>
    <x v="2"/>
    <s v="Rio de Janeiro"/>
  </r>
  <r>
    <s v="e07d09400c3676a4f529453627ed9460"/>
    <s v="2017-10-14"/>
    <x v="11"/>
    <x v="4"/>
    <x v="20"/>
    <n v="1"/>
    <n v="249.9"/>
    <n v="69.209999999999994"/>
    <s v="boleto"/>
    <n v="10"/>
    <x v="1"/>
    <x v="0"/>
    <s v="Rio de Janeiro"/>
  </r>
  <r>
    <s v="62fb68c86804042f32e43982f71ebb1d"/>
    <s v="2017-10-14"/>
    <x v="11"/>
    <x v="4"/>
    <x v="13"/>
    <n v="1"/>
    <n v="179.49"/>
    <n v="16.010000000000002"/>
    <s v="credit_card"/>
    <n v="12"/>
    <x v="1"/>
    <x v="1"/>
    <s v="Rio de Janeiro"/>
  </r>
  <r>
    <s v="fb8691657006882157a1c0c0f380a585"/>
    <s v="2017-10-14"/>
    <x v="11"/>
    <x v="22"/>
    <x v="2"/>
    <n v="1"/>
    <n v="299"/>
    <n v="21.58"/>
    <s v="credit_card"/>
    <n v="12"/>
    <x v="1"/>
    <x v="2"/>
    <s v="Espirito Santo"/>
  </r>
  <r>
    <s v="c26f6a2ea3a573319aa40ffebdc1a43a"/>
    <s v="2017-10-14"/>
    <x v="11"/>
    <x v="5"/>
    <x v="18"/>
    <n v="1"/>
    <n v="55.9"/>
    <n v="16.149999999999999"/>
    <s v="credit_card"/>
    <n v="9"/>
    <x v="1"/>
    <x v="0"/>
    <s v="Parana"/>
  </r>
  <r>
    <s v="065be848b8cc9a907f12d443b2e4df7f"/>
    <s v="2017-10-15"/>
    <x v="11"/>
    <x v="3"/>
    <x v="19"/>
    <n v="1"/>
    <n v="69.900000000000006"/>
    <n v="13.08"/>
    <s v="boleto"/>
    <n v="3"/>
    <x v="1"/>
    <x v="3"/>
    <s v="Sao Paulo"/>
  </r>
  <r>
    <s v="aaff8afa47c8426e414a6d908a97713c"/>
    <s v="2017-10-15"/>
    <x v="11"/>
    <x v="2"/>
    <x v="7"/>
    <n v="3"/>
    <n v="179.7"/>
    <n v="53.010000000000012"/>
    <s v="credit_card"/>
    <n v="10"/>
    <x v="1"/>
    <x v="0"/>
    <s v="Goias"/>
  </r>
  <r>
    <s v="b59ded0e2e4eb91f0a599b177a267f30"/>
    <s v="2017-10-15"/>
    <x v="11"/>
    <x v="3"/>
    <x v="14"/>
    <n v="1"/>
    <n v="241.89"/>
    <n v="32.72"/>
    <s v="credit_card"/>
    <n v="8"/>
    <x v="1"/>
    <x v="2"/>
    <s v="Sao Paulo"/>
  </r>
  <r>
    <s v="2124d1e1d8114cf8b7637b46d40ce9c2"/>
    <s v="2017-10-15"/>
    <x v="11"/>
    <x v="7"/>
    <x v="4"/>
    <n v="1"/>
    <n v="31.9"/>
    <n v="8.11"/>
    <s v="credit_card"/>
    <n v="4"/>
    <x v="1"/>
    <x v="2"/>
    <s v="Minas Gerais"/>
  </r>
  <r>
    <s v="9b808cd87ad1f00034b9059946ce0e57"/>
    <s v="2017-10-15"/>
    <x v="11"/>
    <x v="5"/>
    <x v="1"/>
    <n v="1"/>
    <n v="35.9"/>
    <n v="14.1"/>
    <s v="credit_card"/>
    <n v="13"/>
    <x v="1"/>
    <x v="2"/>
    <s v="Parana"/>
  </r>
  <r>
    <s v="4798ef2f0de08baa8ddd97ceee3f7c60"/>
    <s v="2017-10-15"/>
    <x v="11"/>
    <x v="4"/>
    <x v="14"/>
    <n v="1"/>
    <n v="45.9"/>
    <n v="15.11"/>
    <s v="credit_card"/>
    <n v="11"/>
    <x v="1"/>
    <x v="2"/>
    <s v="Rio de Janeiro"/>
  </r>
  <r>
    <s v="047d7bce997c4e73c6efe724711fd3b8"/>
    <s v="2017-10-15"/>
    <x v="11"/>
    <x v="3"/>
    <x v="6"/>
    <n v="1"/>
    <n v="49.9"/>
    <n v="8.7200000000000006"/>
    <s v="boleto"/>
    <n v="16"/>
    <x v="2"/>
    <x v="0"/>
    <s v="Sao Paulo"/>
  </r>
  <r>
    <s v="916f6a4c3dcd2f31f59a340a281e888e"/>
    <s v="2017-10-15"/>
    <x v="11"/>
    <x v="5"/>
    <x v="1"/>
    <n v="1"/>
    <n v="59.9"/>
    <n v="13.44"/>
    <s v="boleto"/>
    <n v="12"/>
    <x v="1"/>
    <x v="3"/>
    <s v="Parana"/>
  </r>
  <r>
    <s v="61cbfd453bec6d149c4607df0632496f"/>
    <s v="2017-10-15"/>
    <x v="11"/>
    <x v="3"/>
    <x v="19"/>
    <n v="1"/>
    <n v="129"/>
    <n v="27.45"/>
    <s v="credit_card"/>
    <n v="10"/>
    <x v="1"/>
    <x v="2"/>
    <s v="Sao Paulo"/>
  </r>
  <r>
    <s v="fd4ebf52ca607b4487b38826f0c78adf"/>
    <s v="2017-10-16"/>
    <x v="11"/>
    <x v="1"/>
    <x v="9"/>
    <n v="3"/>
    <n v="71.97"/>
    <n v="45.3"/>
    <s v="boleto"/>
    <n v="11"/>
    <x v="1"/>
    <x v="3"/>
    <s v="Rio Grande do Sul"/>
  </r>
  <r>
    <s v="b5a7d68509ebd7effa2445cff7eca791"/>
    <s v="2017-10-16"/>
    <x v="11"/>
    <x v="3"/>
    <x v="22"/>
    <n v="1"/>
    <n v="699.99"/>
    <n v="13.71"/>
    <s v="credit_card"/>
    <n v="4"/>
    <x v="1"/>
    <x v="3"/>
    <s v="Sao Paulo"/>
  </r>
  <r>
    <s v="b2270b13a48230d3898b0e5a2abcac01"/>
    <s v="2017-10-16"/>
    <x v="11"/>
    <x v="5"/>
    <x v="12"/>
    <n v="1"/>
    <n v="159.99"/>
    <n v="57.79"/>
    <s v="credit_card"/>
    <n v="16"/>
    <x v="1"/>
    <x v="0"/>
    <s v="Parana"/>
  </r>
  <r>
    <s v="e72e22dce48aaee824371b8e02641f15"/>
    <s v="2017-10-16"/>
    <x v="11"/>
    <x v="4"/>
    <x v="53"/>
    <n v="1"/>
    <n v="1437"/>
    <n v="34.51"/>
    <s v="credit_card"/>
    <n v="9"/>
    <x v="1"/>
    <x v="4"/>
    <s v="Rio de Janeiro"/>
  </r>
  <r>
    <s v="fb415a86a28d4698a9be26d2e871d31c"/>
    <s v="2017-10-16"/>
    <x v="11"/>
    <x v="21"/>
    <x v="9"/>
    <n v="1"/>
    <n v="550"/>
    <n v="135.4"/>
    <s v="credit_card"/>
    <n v="18"/>
    <x v="1"/>
    <x v="2"/>
    <s v="Bahia"/>
  </r>
  <r>
    <s v="1313a242a48f98101da4d48b310bf517"/>
    <s v="2017-10-16"/>
    <x v="11"/>
    <x v="2"/>
    <x v="20"/>
    <n v="1"/>
    <n v="129.99"/>
    <n v="18.16"/>
    <s v="credit_card"/>
    <n v="8"/>
    <x v="1"/>
    <x v="2"/>
    <s v="Goias"/>
  </r>
  <r>
    <s v="06ebe0964f3c6ad099d9117fb1e66980"/>
    <s v="2017-10-16"/>
    <x v="11"/>
    <x v="7"/>
    <x v="20"/>
    <n v="1"/>
    <n v="239.99"/>
    <n v="22.17"/>
    <s v="credit_card"/>
    <n v="6"/>
    <x v="1"/>
    <x v="2"/>
    <s v="Minas Gerais"/>
  </r>
  <r>
    <s v="8d45ba0ad212829bdc547dacea18c3a2"/>
    <s v="2017-10-16"/>
    <x v="11"/>
    <x v="5"/>
    <x v="1"/>
    <n v="1"/>
    <n v="115"/>
    <n v="21.3"/>
    <s v="credit_card"/>
    <n v="9"/>
    <x v="1"/>
    <x v="2"/>
    <s v="Parana"/>
  </r>
  <r>
    <s v="e4803f41016244f8ce3dca5bb8b37aee"/>
    <s v="2017-10-17"/>
    <x v="11"/>
    <x v="22"/>
    <x v="28"/>
    <n v="2"/>
    <n v="399.98"/>
    <n v="148.69999999999999"/>
    <s v="credit_card"/>
    <n v="20"/>
    <x v="1"/>
    <x v="1"/>
    <s v="Espirito Santo"/>
  </r>
  <r>
    <s v="570b8c11496979f54bf5bb027e86fcd2"/>
    <s v="2017-10-17"/>
    <x v="11"/>
    <x v="22"/>
    <x v="17"/>
    <n v="1"/>
    <n v="28.9"/>
    <n v="25.63"/>
    <s v="boleto"/>
    <n v="10"/>
    <x v="1"/>
    <x v="2"/>
    <s v="Espirito Santo"/>
  </r>
  <r>
    <s v="f2fecc6e386231f071a5ec6438b7ede4"/>
    <s v="2017-10-17"/>
    <x v="11"/>
    <x v="4"/>
    <x v="55"/>
    <n v="1"/>
    <n v="33.6"/>
    <n v="17.600000000000001"/>
    <s v="credit_card"/>
    <n v="6"/>
    <x v="1"/>
    <x v="2"/>
    <s v="Rio de Janeiro"/>
  </r>
  <r>
    <s v="791b4a44bd8319b5598f703141db400f"/>
    <s v="2017-10-17"/>
    <x v="11"/>
    <x v="6"/>
    <x v="27"/>
    <n v="1"/>
    <n v="849.98"/>
    <n v="98.37"/>
    <s v="credit_card"/>
    <n v="15"/>
    <x v="1"/>
    <x v="2"/>
    <s v="Pernambuco"/>
  </r>
  <r>
    <s v="474eb7e66d3c88d69883090e5d308390"/>
    <s v="2017-10-17"/>
    <x v="11"/>
    <x v="7"/>
    <x v="56"/>
    <n v="1"/>
    <n v="65"/>
    <n v="15.2"/>
    <s v="credit_card"/>
    <n v="9"/>
    <x v="1"/>
    <x v="2"/>
    <s v="Minas Gerais"/>
  </r>
  <r>
    <s v="6c6e45db63667bd55633d47a10d77607"/>
    <s v="2017-10-17"/>
    <x v="11"/>
    <x v="7"/>
    <x v="1"/>
    <n v="1"/>
    <n v="113.9"/>
    <n v="16.559999999999999"/>
    <s v="credit_card"/>
    <n v="7"/>
    <x v="1"/>
    <x v="2"/>
    <s v="Minas Gerais"/>
  </r>
  <r>
    <s v="e6aa8f1226387a88bdcb5b2f0a9f95eb"/>
    <s v="2017-10-18"/>
    <x v="11"/>
    <x v="4"/>
    <x v="22"/>
    <n v="1"/>
    <n v="65"/>
    <n v="15.2"/>
    <s v="credit_card"/>
    <n v="9"/>
    <x v="1"/>
    <x v="2"/>
    <s v="Rio de Janeiro"/>
  </r>
  <r>
    <s v="9d74929fefd45dd3ebce40cc681596b3"/>
    <s v="2017-10-18"/>
    <x v="11"/>
    <x v="23"/>
    <x v="9"/>
    <n v="1"/>
    <n v="47"/>
    <n v="34.15"/>
    <s v="boleto"/>
    <n v="19"/>
    <x v="1"/>
    <x v="3"/>
    <s v="Rio Grande do Norte"/>
  </r>
  <r>
    <s v="dcbc872c5cda84c5d6373c44570b4889"/>
    <s v="2017-10-18"/>
    <x v="11"/>
    <x v="7"/>
    <x v="3"/>
    <n v="1"/>
    <n v="39.9"/>
    <n v="12.48"/>
    <s v="credit_card"/>
    <n v="5"/>
    <x v="1"/>
    <x v="2"/>
    <s v="Minas Gerais"/>
  </r>
  <r>
    <s v="eeb2e664debf2c0bd41c970e2122858a"/>
    <s v="2017-10-18"/>
    <x v="11"/>
    <x v="3"/>
    <x v="3"/>
    <n v="1"/>
    <n v="19.899999999999999"/>
    <n v="11.85"/>
    <s v="credit_card"/>
    <n v="11"/>
    <x v="1"/>
    <x v="3"/>
    <s v="Sao Paulo"/>
  </r>
  <r>
    <s v="7a5ff6680378afabf6b6a1e75bff8b8c"/>
    <s v="2017-10-18"/>
    <x v="11"/>
    <x v="3"/>
    <x v="31"/>
    <n v="1"/>
    <n v="79"/>
    <n v="9.3699999999999992"/>
    <s v="credit_card"/>
    <n v="1"/>
    <x v="1"/>
    <x v="2"/>
    <s v="Sao Paulo"/>
  </r>
  <r>
    <s v="98a613c82d389a76b358d963e0390e33"/>
    <s v="2017-10-18"/>
    <x v="11"/>
    <x v="4"/>
    <x v="2"/>
    <n v="1"/>
    <n v="129.80000000000001"/>
    <n v="24.29"/>
    <s v="credit_card"/>
    <n v="13"/>
    <x v="1"/>
    <x v="2"/>
    <s v="Rio de Janeiro"/>
  </r>
  <r>
    <s v="35e5585976ac906f5b04e7f491ec300c"/>
    <s v="2017-10-18"/>
    <x v="11"/>
    <x v="8"/>
    <x v="9"/>
    <n v="1"/>
    <n v="23.99"/>
    <n v="15.1"/>
    <s v="credit_card"/>
    <n v="9"/>
    <x v="1"/>
    <x v="2"/>
    <s v="Santa Catarina"/>
  </r>
  <r>
    <s v="80ed095971ca276965730f312de98fcf"/>
    <s v="2017-10-18"/>
    <x v="11"/>
    <x v="21"/>
    <x v="2"/>
    <n v="1"/>
    <n v="629"/>
    <n v="36.85"/>
    <s v="credit_card"/>
    <n v="14"/>
    <x v="1"/>
    <x v="3"/>
    <s v="Bahia"/>
  </r>
  <r>
    <s v="50b043a46bc9296628ad3ea3e0ca01b8"/>
    <s v="2017-10-18"/>
    <x v="11"/>
    <x v="3"/>
    <x v="1"/>
    <n v="1"/>
    <n v="29.5"/>
    <n v="16.11"/>
    <s v="boleto"/>
    <n v="6"/>
    <x v="1"/>
    <x v="3"/>
    <s v="Sao Paulo"/>
  </r>
  <r>
    <s v="21e28426bf49f15032c93153c7a3e206"/>
    <s v="2017-10-18"/>
    <x v="11"/>
    <x v="4"/>
    <x v="29"/>
    <n v="1"/>
    <n v="149"/>
    <n v="16.48"/>
    <s v="credit_card"/>
    <n v="15"/>
    <x v="1"/>
    <x v="2"/>
    <s v="Rio de Janeiro"/>
  </r>
  <r>
    <s v="02e6bcccce2e88560389846400e74e50"/>
    <s v="2017-10-18"/>
    <x v="11"/>
    <x v="6"/>
    <x v="3"/>
    <n v="1"/>
    <n v="219"/>
    <n v="45.38"/>
    <s v="credit_card"/>
    <n v="19"/>
    <x v="1"/>
    <x v="2"/>
    <s v="Pernambuco"/>
  </r>
  <r>
    <s v="a669137c06cc23b7962d63be3a2ad6d1"/>
    <s v="2017-10-18"/>
    <x v="11"/>
    <x v="4"/>
    <x v="2"/>
    <n v="5"/>
    <n v="599.94999999999993"/>
    <n v="41.25"/>
    <s v="credit_card"/>
    <n v="1"/>
    <x v="1"/>
    <x v="2"/>
    <s v="Rio de Janeiro"/>
  </r>
  <r>
    <s v="d5f9f12e76db82f85d145c5c5e5b9af6"/>
    <s v="2017-10-18"/>
    <x v="11"/>
    <x v="22"/>
    <x v="14"/>
    <n v="1"/>
    <n v="45.9"/>
    <n v="16.11"/>
    <s v="boleto"/>
    <n v="16"/>
    <x v="1"/>
    <x v="3"/>
    <s v="Espirito Santo"/>
  </r>
  <r>
    <s v="eef277f1b21da736aeb8b4dbcdeb36bd"/>
    <s v="2017-10-18"/>
    <x v="11"/>
    <x v="1"/>
    <x v="14"/>
    <n v="1"/>
    <n v="219.99"/>
    <n v="22.38"/>
    <s v="credit_card"/>
    <n v="13"/>
    <x v="1"/>
    <x v="2"/>
    <s v="Rio Grande do Sul"/>
  </r>
  <r>
    <s v="bf5e4ec5374a3d9097193f671a74b42c"/>
    <s v="2017-10-19"/>
    <x v="11"/>
    <x v="22"/>
    <x v="20"/>
    <n v="1"/>
    <n v="199"/>
    <n v="21.79"/>
    <s v="boleto"/>
    <n v="18"/>
    <x v="1"/>
    <x v="2"/>
    <s v="Espirito Santo"/>
  </r>
  <r>
    <s v="b4d23e6126fce26562cf8bb6b5ae876f"/>
    <s v="2017-10-19"/>
    <x v="11"/>
    <x v="7"/>
    <x v="19"/>
    <n v="1"/>
    <n v="85"/>
    <n v="21.08"/>
    <s v="credit_card"/>
    <n v="5"/>
    <x v="1"/>
    <x v="2"/>
    <s v="Minas Gerais"/>
  </r>
  <r>
    <s v="7fda376286b806cee8955685bf02fc4f"/>
    <s v="2017-10-19"/>
    <x v="11"/>
    <x v="3"/>
    <x v="5"/>
    <n v="1"/>
    <n v="13.99"/>
    <n v="11.85"/>
    <s v="credit_card"/>
    <n v="5"/>
    <x v="1"/>
    <x v="3"/>
    <s v="Sao Paulo"/>
  </r>
  <r>
    <s v="1fe7be398f57b2c40691376b673de1bb"/>
    <s v="2017-10-19"/>
    <x v="11"/>
    <x v="4"/>
    <x v="19"/>
    <n v="1"/>
    <n v="32.9"/>
    <n v="17.63"/>
    <s v="credit_card"/>
    <n v="13"/>
    <x v="1"/>
    <x v="0"/>
    <s v="Rio de Janeiro"/>
  </r>
  <r>
    <s v="a5a76b3c38acb63a4d867b5f3f59f941"/>
    <s v="2017-10-19"/>
    <x v="11"/>
    <x v="7"/>
    <x v="4"/>
    <n v="1"/>
    <n v="31.9"/>
    <n v="9.09"/>
    <s v="boleto"/>
    <n v="15"/>
    <x v="1"/>
    <x v="2"/>
    <s v="Minas Gerais"/>
  </r>
  <r>
    <s v="9d6dce9148e0eb3c4c1700f477b113b6"/>
    <s v="2017-10-19"/>
    <x v="11"/>
    <x v="24"/>
    <x v="29"/>
    <n v="1"/>
    <n v="95"/>
    <n v="38.22"/>
    <s v="boleto"/>
    <n v="21"/>
    <x v="1"/>
    <x v="2"/>
    <s v="Alagoas"/>
  </r>
  <r>
    <s v="9c0edf679ee9524c3cded05020212ca3"/>
    <s v="2017-10-19"/>
    <x v="11"/>
    <x v="7"/>
    <x v="19"/>
    <n v="1"/>
    <n v="129"/>
    <n v="17.38"/>
    <s v="credit_card"/>
    <n v="7"/>
    <x v="1"/>
    <x v="2"/>
    <s v="Minas Gerais"/>
  </r>
  <r>
    <s v="889d204697bec781401132649cffa867"/>
    <s v="2017-10-19"/>
    <x v="11"/>
    <x v="3"/>
    <x v="1"/>
    <n v="2"/>
    <n v="105.89"/>
    <n v="18"/>
    <s v="credit_card"/>
    <n v="4"/>
    <x v="1"/>
    <x v="0"/>
    <s v="Sao Paulo"/>
  </r>
  <r>
    <s v="bbcde37a6b3008557c47e31e37523380"/>
    <s v="2017-10-19"/>
    <x v="11"/>
    <x v="6"/>
    <x v="14"/>
    <n v="1"/>
    <n v="113.57"/>
    <n v="29.19"/>
    <s v="boleto"/>
    <n v="13"/>
    <x v="1"/>
    <x v="0"/>
    <s v="Pernambuco"/>
  </r>
  <r>
    <s v="761d39ded287ade72b1e8bdd95fe0253"/>
    <s v="2017-10-20"/>
    <x v="11"/>
    <x v="11"/>
    <x v="0"/>
    <n v="1"/>
    <n v="49.9"/>
    <n v="17.63"/>
    <s v="boleto"/>
    <n v="27"/>
    <x v="1"/>
    <x v="1"/>
    <s v="Para"/>
  </r>
  <r>
    <s v="5040757d4e06a4be96d3827b860b4e7c"/>
    <s v="2017-10-20"/>
    <x v="11"/>
    <x v="5"/>
    <x v="28"/>
    <n v="1"/>
    <n v="196.99"/>
    <n v="56.66"/>
    <s v="credit_card"/>
    <n v="16"/>
    <x v="1"/>
    <x v="2"/>
    <s v="Parana"/>
  </r>
  <r>
    <s v="fece1a5c7d5e72767ad76c233788b414"/>
    <s v="2017-10-20"/>
    <x v="11"/>
    <x v="3"/>
    <x v="7"/>
    <n v="1"/>
    <n v="89"/>
    <n v="45.08"/>
    <s v="credit_card"/>
    <n v="6"/>
    <x v="1"/>
    <x v="2"/>
    <s v="Sao Paulo"/>
  </r>
  <r>
    <s v="851b8de268e532c930dc8f315d1434d0"/>
    <s v="2017-10-20"/>
    <x v="11"/>
    <x v="14"/>
    <x v="57"/>
    <n v="1"/>
    <n v="70"/>
    <n v="14.24"/>
    <s v="credit_card"/>
    <n v="7"/>
    <x v="1"/>
    <x v="3"/>
    <s v="Mato Grosso do Sul"/>
  </r>
  <r>
    <s v="8b982020bb9eb478d9cacb4d7e7f4a05"/>
    <s v="2017-10-20"/>
    <x v="11"/>
    <x v="4"/>
    <x v="20"/>
    <n v="1"/>
    <n v="139.9"/>
    <n v="22.85"/>
    <s v="credit_card"/>
    <n v="10"/>
    <x v="1"/>
    <x v="3"/>
    <s v="Rio de Janeiro"/>
  </r>
  <r>
    <s v="ccfa13cff25aa5ad005e434ac68acaaa"/>
    <s v="2017-10-21"/>
    <x v="11"/>
    <x v="7"/>
    <x v="9"/>
    <n v="1"/>
    <n v="23.99"/>
    <n v="14.1"/>
    <s v="boleto"/>
    <m/>
    <x v="0"/>
    <x v="3"/>
    <s v="Minas Gerais"/>
  </r>
  <r>
    <s v="beece9368912132712839b6b9194180d"/>
    <s v="2017-10-21"/>
    <x v="11"/>
    <x v="4"/>
    <x v="2"/>
    <n v="1"/>
    <n v="82.9"/>
    <n v="15.33"/>
    <s v="credit_card"/>
    <n v="5"/>
    <x v="1"/>
    <x v="2"/>
    <s v="Rio de Janeiro"/>
  </r>
  <r>
    <s v="739b9020863344c26e8215b55208591e"/>
    <s v="2017-10-21"/>
    <x v="11"/>
    <x v="3"/>
    <x v="22"/>
    <n v="1"/>
    <n v="146"/>
    <n v="12.52"/>
    <s v="credit_card"/>
    <n v="6"/>
    <x v="1"/>
    <x v="2"/>
    <s v="Sao Paulo"/>
  </r>
  <r>
    <s v="17c6fca3637ae29093221f080840ff9e"/>
    <s v="2017-10-21"/>
    <x v="11"/>
    <x v="7"/>
    <x v="7"/>
    <n v="1"/>
    <n v="179.9"/>
    <n v="17.02"/>
    <s v="credit_card"/>
    <n v="6"/>
    <x v="1"/>
    <x v="2"/>
    <s v="Minas Gerais"/>
  </r>
  <r>
    <s v="c40dde193e5c66baefaaace305961861"/>
    <s v="2017-10-21"/>
    <x v="11"/>
    <x v="7"/>
    <x v="4"/>
    <n v="1"/>
    <n v="31.9"/>
    <n v="9.09"/>
    <s v="credit_card"/>
    <n v="5"/>
    <x v="1"/>
    <x v="2"/>
    <s v="Minas Gerais"/>
  </r>
  <r>
    <s v="3cf35e66383eac0fa651e99728d09c8c"/>
    <s v="2017-10-21"/>
    <x v="11"/>
    <x v="7"/>
    <x v="9"/>
    <n v="1"/>
    <n v="149.9"/>
    <n v="18.3"/>
    <s v="credit_card"/>
    <n v="12"/>
    <x v="1"/>
    <x v="3"/>
    <s v="Minas Gerais"/>
  </r>
  <r>
    <s v="7b38728b3f2fb3b9c622306b2ddcbe96"/>
    <s v="2017-10-22"/>
    <x v="11"/>
    <x v="4"/>
    <x v="7"/>
    <n v="4"/>
    <n v="239.6"/>
    <n v="70.680000000000007"/>
    <s v="credit_card"/>
    <n v="10"/>
    <x v="1"/>
    <x v="2"/>
    <s v="Rio de Janeiro"/>
  </r>
  <r>
    <s v="42560dfc8d7863a190293678f01f6bbd"/>
    <s v="2017-10-22"/>
    <x v="11"/>
    <x v="3"/>
    <x v="19"/>
    <n v="2"/>
    <n v="29.8"/>
    <n v="15.56"/>
    <s v="credit_card"/>
    <n v="2"/>
    <x v="1"/>
    <x v="2"/>
    <s v="Sao Paulo"/>
  </r>
  <r>
    <s v="775dfb31da346e5cf77c2fda51ae7bd4"/>
    <s v="2017-10-22"/>
    <x v="11"/>
    <x v="1"/>
    <x v="42"/>
    <n v="1"/>
    <n v="89"/>
    <n v="14.37"/>
    <s v="credit_card"/>
    <n v="15"/>
    <x v="1"/>
    <x v="2"/>
    <s v="Rio Grande do Sul"/>
  </r>
  <r>
    <s v="c1b87c671fed6c43d7d20e5142646cee"/>
    <s v="2017-10-22"/>
    <x v="11"/>
    <x v="7"/>
    <x v="6"/>
    <n v="1"/>
    <n v="27.99"/>
    <n v="15.1"/>
    <s v="credit_card"/>
    <n v="5"/>
    <x v="1"/>
    <x v="2"/>
    <s v="Minas Gerais"/>
  </r>
  <r>
    <s v="31148380343ee0a6d9c87f7e80e574ec"/>
    <s v="2017-10-22"/>
    <x v="11"/>
    <x v="21"/>
    <x v="29"/>
    <n v="1"/>
    <n v="97.47"/>
    <n v="47.21"/>
    <s v="credit_card"/>
    <n v="26"/>
    <x v="1"/>
    <x v="2"/>
    <s v="Bahia"/>
  </r>
  <r>
    <s v="d6d672062a715f1a2bd844d2797c1dcd"/>
    <s v="2017-10-22"/>
    <x v="11"/>
    <x v="4"/>
    <x v="12"/>
    <n v="1"/>
    <n v="79.900000000000006"/>
    <n v="16.32"/>
    <s v="credit_card"/>
    <n v="16"/>
    <x v="1"/>
    <x v="3"/>
    <s v="Rio de Janeiro"/>
  </r>
  <r>
    <s v="b662bdadd70714c6b51d0d66049c6afb"/>
    <s v="2017-10-22"/>
    <x v="11"/>
    <x v="3"/>
    <x v="20"/>
    <n v="1"/>
    <n v="146.99"/>
    <n v="13.58"/>
    <s v="boleto"/>
    <n v="4"/>
    <x v="1"/>
    <x v="2"/>
    <s v="Sao Paulo"/>
  </r>
  <r>
    <s v="6d6491e68b2e416f68ec6e23e004d3a3"/>
    <s v="2017-10-22"/>
    <x v="11"/>
    <x v="4"/>
    <x v="19"/>
    <n v="6"/>
    <n v="57.6"/>
    <n v="96.66"/>
    <s v="credit_card"/>
    <n v="10"/>
    <x v="1"/>
    <x v="0"/>
    <s v="Rio de Janeiro"/>
  </r>
  <r>
    <s v="affd57fb0daa6ba18e47cb9f31c2bc65"/>
    <s v="2017-10-23"/>
    <x v="11"/>
    <x v="4"/>
    <x v="9"/>
    <n v="1"/>
    <n v="79.900000000000006"/>
    <n v="18.8"/>
    <s v="boleto"/>
    <n v="8"/>
    <x v="1"/>
    <x v="5"/>
    <s v="Rio de Janeiro"/>
  </r>
  <r>
    <s v="cefe510f726c2a8d6a5f0a8a515ebf50"/>
    <s v="2017-10-23"/>
    <x v="11"/>
    <x v="7"/>
    <x v="6"/>
    <n v="1"/>
    <n v="28.99"/>
    <n v="15.1"/>
    <s v="credit_card"/>
    <n v="11"/>
    <x v="1"/>
    <x v="0"/>
    <s v="Minas Gerais"/>
  </r>
  <r>
    <s v="a24c341da692fe0a57ba6140bf33e1a5"/>
    <s v="2017-10-23"/>
    <x v="11"/>
    <x v="4"/>
    <x v="20"/>
    <n v="1"/>
    <n v="99.99"/>
    <n v="15.46"/>
    <s v="credit_card"/>
    <n v="3"/>
    <x v="1"/>
    <x v="2"/>
    <s v="Rio de Janeiro"/>
  </r>
  <r>
    <s v="045b7b7bf230ace5044f87ad5de18dd0"/>
    <s v="2017-10-23"/>
    <x v="11"/>
    <x v="3"/>
    <x v="2"/>
    <n v="1"/>
    <n v="15"/>
    <n v="11.85"/>
    <s v="credit_card"/>
    <n v="4"/>
    <x v="1"/>
    <x v="2"/>
    <s v="Sao Paulo"/>
  </r>
  <r>
    <s v="2121cb62043eb2269ab8bc218100c2e4"/>
    <s v="2017-10-23"/>
    <x v="11"/>
    <x v="22"/>
    <x v="27"/>
    <n v="1"/>
    <n v="44.3"/>
    <n v="17.63"/>
    <s v="boleto"/>
    <n v="14"/>
    <x v="1"/>
    <x v="2"/>
    <s v="Espirito Santo"/>
  </r>
  <r>
    <s v="4c4dfbd9dceafac8eb2e502352559f18"/>
    <s v="2017-10-23"/>
    <x v="11"/>
    <x v="3"/>
    <x v="14"/>
    <n v="1"/>
    <n v="113.57"/>
    <n v="13.81"/>
    <s v="credit_card"/>
    <n v="4"/>
    <x v="1"/>
    <x v="5"/>
    <s v="Sao Paulo"/>
  </r>
  <r>
    <s v="70623d7ff2e126f3688dba1042ec9531"/>
    <s v="2017-10-23"/>
    <x v="11"/>
    <x v="4"/>
    <x v="53"/>
    <n v="1"/>
    <n v="1437"/>
    <n v="34.51"/>
    <s v="credit_card"/>
    <n v="7"/>
    <x v="1"/>
    <x v="2"/>
    <s v="Rio de Janeiro"/>
  </r>
  <r>
    <s v="83a0a5e31aac098fd9926b97e3b15459"/>
    <s v="2017-10-23"/>
    <x v="11"/>
    <x v="8"/>
    <x v="6"/>
    <n v="1"/>
    <n v="29.99"/>
    <n v="15.1"/>
    <s v="boleto"/>
    <n v="23"/>
    <x v="1"/>
    <x v="2"/>
    <s v="Santa Catarina"/>
  </r>
  <r>
    <s v="00c405bd71187154a7846862f585a9d4"/>
    <s v="2017-10-23"/>
    <x v="11"/>
    <x v="21"/>
    <x v="9"/>
    <n v="1"/>
    <n v="29.9"/>
    <n v="16.79"/>
    <s v="voucher"/>
    <n v="8"/>
    <x v="1"/>
    <x v="0"/>
    <s v="Bahia"/>
  </r>
  <r>
    <s v="e5610cab06772aed838e6db4d682722a"/>
    <s v="2017-10-24"/>
    <x v="11"/>
    <x v="8"/>
    <x v="19"/>
    <n v="1"/>
    <n v="52.9"/>
    <n v="15.12"/>
    <s v="boleto"/>
    <n v="14"/>
    <x v="1"/>
    <x v="2"/>
    <s v="Santa Catarina"/>
  </r>
  <r>
    <s v="c2deaee5e0fe626293e81bcfb557932e"/>
    <s v="2017-10-24"/>
    <x v="11"/>
    <x v="4"/>
    <x v="3"/>
    <n v="2"/>
    <n v="31.8"/>
    <n v="33.58"/>
    <s v="boleto"/>
    <n v="8"/>
    <x v="1"/>
    <x v="0"/>
    <s v="Rio de Janeiro"/>
  </r>
  <r>
    <s v="2728209b1b0553533bce4afc52716b60"/>
    <s v="2017-10-24"/>
    <x v="11"/>
    <x v="1"/>
    <x v="4"/>
    <n v="2"/>
    <n v="350"/>
    <n v="33.979999999999997"/>
    <s v="boleto"/>
    <n v="8"/>
    <x v="1"/>
    <x v="3"/>
    <s v="Rio Grande do Sul"/>
  </r>
  <r>
    <s v="8774dccac317f54e3e9b3c6096a9b2c6"/>
    <s v="2017-10-24"/>
    <x v="11"/>
    <x v="18"/>
    <x v="3"/>
    <n v="1"/>
    <n v="223.64"/>
    <n v="16.32"/>
    <s v="credit_card"/>
    <n v="10"/>
    <x v="1"/>
    <x v="2"/>
    <s v="Distrito Federal"/>
  </r>
  <r>
    <s v="0c0c250234e385578b31a38b198cf900"/>
    <s v="2017-10-24"/>
    <x v="11"/>
    <x v="7"/>
    <x v="5"/>
    <n v="1"/>
    <n v="149.9"/>
    <n v="15.8"/>
    <s v="boleto"/>
    <n v="14"/>
    <x v="1"/>
    <x v="2"/>
    <s v="Minas Gerais"/>
  </r>
  <r>
    <s v="d8921ec6a676e398ec918a0cc755af21"/>
    <s v="2017-10-24"/>
    <x v="11"/>
    <x v="12"/>
    <x v="46"/>
    <n v="1"/>
    <n v="215.56"/>
    <n v="21.91"/>
    <s v="credit_card"/>
    <n v="7"/>
    <x v="1"/>
    <x v="2"/>
    <s v="Ceara"/>
  </r>
  <r>
    <s v="db681ddec887abf991bac122d6c6d4e9"/>
    <s v="2017-10-24"/>
    <x v="11"/>
    <x v="18"/>
    <x v="2"/>
    <n v="1"/>
    <n v="99"/>
    <n v="16.940000000000001"/>
    <s v="boleto"/>
    <n v="11"/>
    <x v="1"/>
    <x v="3"/>
    <s v="Distrito Federal"/>
  </r>
  <r>
    <s v="1662d64304e6e02a627e29b14898060c"/>
    <s v="2017-10-24"/>
    <x v="11"/>
    <x v="3"/>
    <x v="20"/>
    <n v="1"/>
    <n v="59.9"/>
    <n v="11.73"/>
    <s v="boleto"/>
    <n v="5"/>
    <x v="1"/>
    <x v="3"/>
    <s v="Sao Paulo"/>
  </r>
  <r>
    <s v="d2926e7840bb47e67fc52b79646cc2bb"/>
    <s v="2017-10-24"/>
    <x v="11"/>
    <x v="4"/>
    <x v="5"/>
    <n v="1"/>
    <n v="259.89999999999998"/>
    <n v="19.39"/>
    <s v="credit_card"/>
    <n v="29"/>
    <x v="2"/>
    <x v="2"/>
    <s v="Rio de Janeiro"/>
  </r>
  <r>
    <s v="4a3848a973c57b3f244f9a2433b43a0f"/>
    <s v="2017-10-24"/>
    <x v="11"/>
    <x v="3"/>
    <x v="40"/>
    <n v="1"/>
    <n v="27.93"/>
    <n v="8.7200000000000006"/>
    <s v="boleto"/>
    <n v="16"/>
    <x v="2"/>
    <x v="2"/>
    <s v="Sao Paulo"/>
  </r>
  <r>
    <s v="90d36c9ade58b86290e2b48ca7348cc2"/>
    <s v="2017-10-25"/>
    <x v="11"/>
    <x v="7"/>
    <x v="54"/>
    <n v="1"/>
    <n v="660.45"/>
    <n v="25.11"/>
    <s v="credit_card"/>
    <n v="30"/>
    <x v="2"/>
    <x v="0"/>
    <s v="Minas Gerais"/>
  </r>
  <r>
    <s v="4ab7de78c72f664992f3171d28974c87"/>
    <s v="2017-10-25"/>
    <x v="11"/>
    <x v="3"/>
    <x v="0"/>
    <n v="1"/>
    <n v="89.9"/>
    <n v="36.14"/>
    <s v="boleto"/>
    <n v="16"/>
    <x v="1"/>
    <x v="5"/>
    <s v="Sao Paulo"/>
  </r>
  <r>
    <s v="3303a91e8a879bd0c64fe750485298b0"/>
    <s v="2017-10-25"/>
    <x v="11"/>
    <x v="4"/>
    <x v="14"/>
    <n v="1"/>
    <n v="69.900000000000006"/>
    <n v="18.059999999999999"/>
    <s v="credit_card"/>
    <n v="11"/>
    <x v="1"/>
    <x v="2"/>
    <s v="Rio de Janeiro"/>
  </r>
  <r>
    <s v="3cc744d9a46682c354778726d30e384f"/>
    <s v="2017-10-25"/>
    <x v="11"/>
    <x v="14"/>
    <x v="22"/>
    <n v="6"/>
    <n v="330"/>
    <n v="100.98"/>
    <s v="credit_card"/>
    <n v="13"/>
    <x v="1"/>
    <x v="1"/>
    <s v="Mato Grosso do Sul"/>
  </r>
  <r>
    <s v="02b9a87c19eb57b9ebaebb3a6850de9f"/>
    <s v="2017-10-25"/>
    <x v="11"/>
    <x v="7"/>
    <x v="1"/>
    <n v="1"/>
    <n v="97"/>
    <n v="17.93"/>
    <s v="credit_card"/>
    <n v="12"/>
    <x v="1"/>
    <x v="2"/>
    <s v="Minas Gerais"/>
  </r>
  <r>
    <s v="01908071e35fdc75bc0d7764f153abc2"/>
    <s v="2017-10-25"/>
    <x v="11"/>
    <x v="13"/>
    <x v="18"/>
    <n v="1"/>
    <n v="89"/>
    <n v="25.65"/>
    <s v="boleto"/>
    <n v="18"/>
    <x v="1"/>
    <x v="2"/>
    <s v="Maranhao"/>
  </r>
  <r>
    <s v="3a02bd4d9f710f7720c8e36d15bbc6d1"/>
    <s v="2017-10-26"/>
    <x v="11"/>
    <x v="7"/>
    <x v="42"/>
    <n v="1"/>
    <n v="19.899999999999999"/>
    <n v="14.1"/>
    <s v="boleto"/>
    <n v="12"/>
    <x v="1"/>
    <x v="0"/>
    <s v="Minas Gerais"/>
  </r>
  <r>
    <s v="71865a55cb13d1685ed2ea7db1cb24d6"/>
    <s v="2017-10-26"/>
    <x v="11"/>
    <x v="14"/>
    <x v="4"/>
    <n v="1"/>
    <n v="42.99"/>
    <n v="15.1"/>
    <s v="credit_card"/>
    <n v="12"/>
    <x v="1"/>
    <x v="2"/>
    <s v="Mato Grosso do Sul"/>
  </r>
  <r>
    <s v="c8c13c8c58d62b12f9df992a5fb5710c"/>
    <s v="2017-10-26"/>
    <x v="11"/>
    <x v="3"/>
    <x v="1"/>
    <n v="1"/>
    <n v="19.989999999999998"/>
    <n v="7.78"/>
    <s v="credit_card"/>
    <n v="1"/>
    <x v="1"/>
    <x v="2"/>
    <s v="Sao Paulo"/>
  </r>
  <r>
    <s v="46cfd37753bbd00f768165cf4cb7ace1"/>
    <s v="2017-10-26"/>
    <x v="11"/>
    <x v="3"/>
    <x v="29"/>
    <n v="5"/>
    <n v="322.7"/>
    <n v="65.3"/>
    <s v="credit_card"/>
    <n v="4"/>
    <x v="1"/>
    <x v="5"/>
    <s v="Sao Paulo"/>
  </r>
  <r>
    <s v="07bebda8aee4b9a600d9c2c1a73f93a5"/>
    <s v="2017-10-26"/>
    <x v="11"/>
    <x v="15"/>
    <x v="1"/>
    <n v="1"/>
    <n v="65"/>
    <n v="15.89"/>
    <s v="credit_card"/>
    <n v="11"/>
    <x v="1"/>
    <x v="3"/>
    <s v="Mato Grosso"/>
  </r>
  <r>
    <s v="780865d48893bd12dd23eb85abed0c6e"/>
    <s v="2017-10-26"/>
    <x v="11"/>
    <x v="3"/>
    <x v="26"/>
    <n v="1"/>
    <n v="279.89999999999998"/>
    <n v="28.4"/>
    <s v="credit_card"/>
    <n v="5"/>
    <x v="1"/>
    <x v="2"/>
    <s v="Sao Paulo"/>
  </r>
  <r>
    <s v="4542fb157f4694bfdef42f42edbd28aa"/>
    <s v="2017-10-26"/>
    <x v="11"/>
    <x v="3"/>
    <x v="14"/>
    <n v="1"/>
    <n v="135"/>
    <n v="16.579999999999998"/>
    <s v="credit_card"/>
    <n v="11"/>
    <x v="1"/>
    <x v="2"/>
    <s v="Sao Paulo"/>
  </r>
  <r>
    <s v="6cb2e47e3a5794ff1a6157838c9e32e5"/>
    <s v="2017-10-27"/>
    <x v="11"/>
    <x v="5"/>
    <x v="0"/>
    <n v="2"/>
    <n v="156"/>
    <n v="16.32"/>
    <s v="credit_card"/>
    <n v="10"/>
    <x v="1"/>
    <x v="3"/>
    <s v="Parana"/>
  </r>
  <r>
    <s v="84e898dd83ad8b720859ce93c97509ba"/>
    <s v="2017-10-27"/>
    <x v="11"/>
    <x v="4"/>
    <x v="46"/>
    <n v="1"/>
    <n v="18.600000000000001"/>
    <n v="15.1"/>
    <s v="credit_card"/>
    <n v="19"/>
    <x v="2"/>
    <x v="2"/>
    <s v="Rio de Janeiro"/>
  </r>
  <r>
    <s v="c0e6116a3c6c2d732ec1b43bb7b5f307"/>
    <s v="2017-10-27"/>
    <x v="11"/>
    <x v="3"/>
    <x v="5"/>
    <n v="2"/>
    <n v="27.98"/>
    <n v="15.56"/>
    <s v="credit_card"/>
    <n v="5"/>
    <x v="1"/>
    <x v="2"/>
    <s v="Sao Paulo"/>
  </r>
  <r>
    <s v="8abc120199358d4e0a7d5902c0d62fd4"/>
    <s v="2017-10-27"/>
    <x v="11"/>
    <x v="13"/>
    <x v="9"/>
    <n v="1"/>
    <n v="63"/>
    <n v="22.76"/>
    <s v="boleto"/>
    <n v="11"/>
    <x v="1"/>
    <x v="2"/>
    <s v="Maranhao"/>
  </r>
  <r>
    <s v="79c786a94283e846deec8681219bc144"/>
    <s v="2017-10-27"/>
    <x v="11"/>
    <x v="6"/>
    <x v="22"/>
    <n v="1"/>
    <n v="55"/>
    <n v="21.19"/>
    <s v="credit_card"/>
    <n v="21"/>
    <x v="1"/>
    <x v="2"/>
    <s v="Pernambuco"/>
  </r>
  <r>
    <s v="cdcbc6b851b5053b23ca73bc17d2ba50"/>
    <s v="2017-10-27"/>
    <x v="11"/>
    <x v="3"/>
    <x v="20"/>
    <n v="1"/>
    <n v="34.9"/>
    <n v="12.69"/>
    <s v="credit_card"/>
    <n v="4"/>
    <x v="1"/>
    <x v="2"/>
    <s v="Sao Paulo"/>
  </r>
  <r>
    <s v="22d58ab98a59a304fd61d116c625ec4a"/>
    <s v="2017-10-27"/>
    <x v="11"/>
    <x v="1"/>
    <x v="4"/>
    <n v="1"/>
    <n v="945"/>
    <n v="108.74"/>
    <s v="credit_card"/>
    <n v="11"/>
    <x v="1"/>
    <x v="2"/>
    <s v="Rio Grande do Sul"/>
  </r>
  <r>
    <s v="19fb3160f1bdded8463061ab9385fbfc"/>
    <s v="2017-10-27"/>
    <x v="11"/>
    <x v="9"/>
    <x v="4"/>
    <n v="1"/>
    <n v="15.87"/>
    <n v="15.1"/>
    <s v="credit_card"/>
    <n v="20"/>
    <x v="1"/>
    <x v="2"/>
    <s v="Sergipe"/>
  </r>
  <r>
    <s v="6e19c0ff384b7d4685333ee0a9342f21"/>
    <s v="2017-10-28"/>
    <x v="11"/>
    <x v="4"/>
    <x v="0"/>
    <n v="1"/>
    <n v="93.9"/>
    <n v="17.91"/>
    <s v="credit_card"/>
    <n v="10"/>
    <x v="1"/>
    <x v="3"/>
    <s v="Rio de Janeiro"/>
  </r>
  <r>
    <s v="7978aa5d3192f689ad92bcb96ae2fef0"/>
    <s v="2017-10-28"/>
    <x v="11"/>
    <x v="11"/>
    <x v="4"/>
    <n v="1"/>
    <n v="31.9"/>
    <n v="21.15"/>
    <s v="credit_card"/>
    <n v="42"/>
    <x v="1"/>
    <x v="2"/>
    <s v="Para"/>
  </r>
  <r>
    <s v="6af6633de36925111b10a688783d004b"/>
    <s v="2017-10-28"/>
    <x v="11"/>
    <x v="15"/>
    <x v="34"/>
    <n v="1"/>
    <n v="564"/>
    <n v="237.84"/>
    <s v="credit_card"/>
    <n v="16"/>
    <x v="1"/>
    <x v="1"/>
    <s v="Mato Grosso"/>
  </r>
  <r>
    <s v="7bbb2b4fd60b56329b20353470ec4080"/>
    <s v="2017-10-28"/>
    <x v="11"/>
    <x v="4"/>
    <x v="5"/>
    <n v="1"/>
    <n v="48.9"/>
    <n v="15.1"/>
    <s v="credit_card"/>
    <n v="18"/>
    <x v="1"/>
    <x v="3"/>
    <s v="Rio de Janeiro"/>
  </r>
  <r>
    <s v="19e2f4888f56504ec0f7e0765c9e36dc"/>
    <s v="2017-10-28"/>
    <x v="11"/>
    <x v="3"/>
    <x v="3"/>
    <n v="1"/>
    <n v="38.9"/>
    <n v="8.7200000000000006"/>
    <s v="credit_card"/>
    <n v="3"/>
    <x v="1"/>
    <x v="2"/>
    <s v="Sao Paulo"/>
  </r>
  <r>
    <s v="686167f2fe956e81a6bbf02cf8885516"/>
    <s v="2017-10-28"/>
    <x v="11"/>
    <x v="4"/>
    <x v="2"/>
    <n v="1"/>
    <n v="139.9"/>
    <n v="12.93"/>
    <s v="credit_card"/>
    <n v="4"/>
    <x v="1"/>
    <x v="2"/>
    <s v="Rio de Janeiro"/>
  </r>
  <r>
    <s v="5fd9a69139ba87e71880fd5936171fe9"/>
    <s v="2017-10-28"/>
    <x v="11"/>
    <x v="22"/>
    <x v="20"/>
    <n v="1"/>
    <n v="146.99"/>
    <n v="21.52"/>
    <s v="credit_card"/>
    <n v="11"/>
    <x v="1"/>
    <x v="3"/>
    <s v="Espirito Santo"/>
  </r>
  <r>
    <s v="bfccbf3f4c803a60b641433bc8affe01"/>
    <s v="2017-10-29"/>
    <x v="11"/>
    <x v="3"/>
    <x v="7"/>
    <n v="1"/>
    <n v="59.9"/>
    <n v="13.44"/>
    <s v="credit_card"/>
    <n v="11"/>
    <x v="1"/>
    <x v="3"/>
    <s v="Sao Paulo"/>
  </r>
  <r>
    <s v="641260b6b13348c1853886a738a7f9b0"/>
    <s v="2017-10-29"/>
    <x v="11"/>
    <x v="7"/>
    <x v="5"/>
    <n v="1"/>
    <n v="369.9"/>
    <n v="18.350000000000001"/>
    <s v="boleto"/>
    <n v="12"/>
    <x v="1"/>
    <x v="2"/>
    <s v="Minas Gerais"/>
  </r>
  <r>
    <s v="6d987387b063e94301514187b362d3f2"/>
    <s v="2017-10-29"/>
    <x v="11"/>
    <x v="3"/>
    <x v="9"/>
    <n v="1"/>
    <n v="23.99"/>
    <n v="7.78"/>
    <s v="credit_card"/>
    <n v="8"/>
    <x v="1"/>
    <x v="0"/>
    <s v="Sao Paulo"/>
  </r>
  <r>
    <s v="b68c27cf94ce13113c69bd86e640c41f"/>
    <s v="2017-10-29"/>
    <x v="11"/>
    <x v="3"/>
    <x v="7"/>
    <n v="2"/>
    <n v="119.8"/>
    <n v="26.88"/>
    <s v="credit_card"/>
    <n v="9"/>
    <x v="1"/>
    <x v="2"/>
    <s v="Sao Paulo"/>
  </r>
  <r>
    <s v="77b27c29ab339345ecc7678db3e23049"/>
    <s v="2017-10-29"/>
    <x v="11"/>
    <x v="8"/>
    <x v="3"/>
    <n v="1"/>
    <n v="49.99"/>
    <n v="50.22"/>
    <s v="credit_card"/>
    <n v="18"/>
    <x v="1"/>
    <x v="3"/>
    <s v="Santa Catarina"/>
  </r>
  <r>
    <s v="cf942f6450b43eb334f0e34e792d12a7"/>
    <s v="2017-10-30"/>
    <x v="11"/>
    <x v="5"/>
    <x v="1"/>
    <n v="1"/>
    <n v="115"/>
    <n v="21.3"/>
    <s v="credit_card"/>
    <n v="14"/>
    <x v="1"/>
    <x v="4"/>
    <s v="Parana"/>
  </r>
  <r>
    <s v="4c09b402a17b72a4a9338d51a8759b4a"/>
    <s v="2017-10-30"/>
    <x v="11"/>
    <x v="2"/>
    <x v="0"/>
    <n v="1"/>
    <n v="89.9"/>
    <n v="17.88"/>
    <s v="credit_card"/>
    <n v="11"/>
    <x v="1"/>
    <x v="2"/>
    <s v="Goias"/>
  </r>
  <r>
    <s v="393654d81daf611630ac2068a7c9b12b"/>
    <s v="2017-10-30"/>
    <x v="11"/>
    <x v="4"/>
    <x v="0"/>
    <n v="1"/>
    <n v="37.5"/>
    <n v="17.600000000000001"/>
    <s v="credit_card"/>
    <n v="7"/>
    <x v="1"/>
    <x v="2"/>
    <s v="Rio de Janeiro"/>
  </r>
  <r>
    <s v="86f92f9e6f7eecaf30f643b1c6c3be84"/>
    <s v="2017-10-30"/>
    <x v="11"/>
    <x v="3"/>
    <x v="25"/>
    <n v="1"/>
    <n v="125.9"/>
    <n v="12.84"/>
    <s v="boleto"/>
    <n v="4"/>
    <x v="1"/>
    <x v="3"/>
    <s v="Sao Paulo"/>
  </r>
  <r>
    <s v="fc297415452e5dc0d06afcd16e864ca8"/>
    <s v="2017-10-30"/>
    <x v="11"/>
    <x v="7"/>
    <x v="13"/>
    <n v="1"/>
    <n v="94"/>
    <n v="21.15"/>
    <s v="credit_card"/>
    <n v="6"/>
    <x v="1"/>
    <x v="2"/>
    <s v="Minas Gerais"/>
  </r>
  <r>
    <s v="05be03ef1c99159686f59d8a51dd17f9"/>
    <s v="2017-10-30"/>
    <x v="11"/>
    <x v="21"/>
    <x v="0"/>
    <n v="1"/>
    <n v="49.9"/>
    <n v="15.79"/>
    <s v="credit_card"/>
    <n v="8"/>
    <x v="1"/>
    <x v="2"/>
    <s v="Bahia"/>
  </r>
  <r>
    <s v="bb0bb419d930e4bc8c823fc4379347fb"/>
    <s v="2017-10-30"/>
    <x v="11"/>
    <x v="7"/>
    <x v="13"/>
    <n v="1"/>
    <n v="25.99"/>
    <n v="14.1"/>
    <s v="credit_card"/>
    <m/>
    <x v="0"/>
    <x v="0"/>
    <s v="Minas Gerais"/>
  </r>
  <r>
    <s v="e4ee5415a0143c9daddc7d4bc0fa0389"/>
    <s v="2017-10-31"/>
    <x v="11"/>
    <x v="3"/>
    <x v="2"/>
    <n v="1"/>
    <n v="34.9"/>
    <n v="15.11"/>
    <s v="boleto"/>
    <n v="8"/>
    <x v="1"/>
    <x v="2"/>
    <s v="Sao Paulo"/>
  </r>
  <r>
    <s v="483c0f7f44eec6fd0fbd90914d187226"/>
    <s v="2017-10-31"/>
    <x v="11"/>
    <x v="7"/>
    <x v="19"/>
    <n v="1"/>
    <n v="178.6"/>
    <n v="18.5"/>
    <s v="credit_card"/>
    <n v="21"/>
    <x v="2"/>
    <x v="3"/>
    <s v="Minas Gerais"/>
  </r>
  <r>
    <s v="21f024b91cfeb5f135ceef69fe99fa50"/>
    <s v="2017-10-31"/>
    <x v="11"/>
    <x v="7"/>
    <x v="4"/>
    <n v="1"/>
    <n v="19.989999999999998"/>
    <n v="15.1"/>
    <s v="credit_card"/>
    <n v="16"/>
    <x v="1"/>
    <x v="3"/>
    <s v="Minas Gerais"/>
  </r>
  <r>
    <s v="88981e5b92eb0fc6291a66ce7b892029"/>
    <s v="2017-11-01"/>
    <x v="12"/>
    <x v="7"/>
    <x v="6"/>
    <n v="1"/>
    <n v="16.899999999999999"/>
    <n v="15.1"/>
    <s v="credit_card"/>
    <n v="9"/>
    <x v="1"/>
    <x v="2"/>
    <s v="Minas Gerais"/>
  </r>
  <r>
    <s v="e840776569b2a5eff2a4ca6bc5be8ad0"/>
    <s v="2017-11-01"/>
    <x v="12"/>
    <x v="3"/>
    <x v="22"/>
    <n v="1"/>
    <n v="145"/>
    <n v="8.27"/>
    <s v="boleto"/>
    <n v="5"/>
    <x v="1"/>
    <x v="2"/>
    <s v="Sao Paulo"/>
  </r>
  <r>
    <s v="682332c2474e425ea23c40848faa25e2"/>
    <s v="2017-11-02"/>
    <x v="12"/>
    <x v="3"/>
    <x v="40"/>
    <n v="1"/>
    <n v="169"/>
    <n v="15.93"/>
    <s v="credit_card"/>
    <n v="6"/>
    <x v="1"/>
    <x v="3"/>
    <s v="Sao Paulo"/>
  </r>
  <r>
    <s v="517bd49d869100558362e70c45f13dd5"/>
    <s v="2017-11-02"/>
    <x v="12"/>
    <x v="3"/>
    <x v="12"/>
    <n v="1"/>
    <n v="250"/>
    <n v="15.35"/>
    <s v="boleto"/>
    <n v="11"/>
    <x v="1"/>
    <x v="5"/>
    <s v="Sao Paulo"/>
  </r>
  <r>
    <s v="648a268c494bbf8c97c03ec64c2ff4d3"/>
    <s v="2017-11-02"/>
    <x v="12"/>
    <x v="18"/>
    <x v="7"/>
    <n v="2"/>
    <n v="119.8"/>
    <n v="17.68"/>
    <s v="boleto"/>
    <n v="14"/>
    <x v="1"/>
    <x v="3"/>
    <s v="Distrito Federal"/>
  </r>
  <r>
    <s v="526043f9d39d510f7a79547410cd3318"/>
    <s v="2017-11-02"/>
    <x v="12"/>
    <x v="7"/>
    <x v="22"/>
    <n v="1"/>
    <n v="49"/>
    <n v="15.1"/>
    <s v="credit_card"/>
    <n v="14"/>
    <x v="1"/>
    <x v="3"/>
    <s v="Minas Gerais"/>
  </r>
  <r>
    <s v="cb1ef5be56747ab6c5ef7271ecf4e12c"/>
    <s v="2017-11-02"/>
    <x v="12"/>
    <x v="10"/>
    <x v="31"/>
    <n v="1"/>
    <n v="100"/>
    <n v="34.5"/>
    <s v="credit_card"/>
    <n v="21"/>
    <x v="1"/>
    <x v="2"/>
    <s v="Piaui"/>
  </r>
  <r>
    <s v="5f82d80fc04ae3521ac4cdad135aa9b1"/>
    <s v="2017-11-02"/>
    <x v="12"/>
    <x v="24"/>
    <x v="7"/>
    <n v="1"/>
    <n v="59.9"/>
    <n v="37.97"/>
    <s v="credit_card"/>
    <n v="21"/>
    <x v="1"/>
    <x v="2"/>
    <s v="Alagoas"/>
  </r>
  <r>
    <s v="f5972017f8fc7597e9a878118ca8c19a"/>
    <s v="2017-11-02"/>
    <x v="12"/>
    <x v="22"/>
    <x v="4"/>
    <n v="1"/>
    <n v="99"/>
    <n v="116.31"/>
    <s v="credit_card"/>
    <n v="14"/>
    <x v="1"/>
    <x v="2"/>
    <s v="Espirito Santo"/>
  </r>
  <r>
    <s v="59ffc24bc635a0a0f190bf021df20508"/>
    <s v="2017-11-02"/>
    <x v="12"/>
    <x v="15"/>
    <x v="22"/>
    <n v="1"/>
    <n v="45"/>
    <n v="16.79"/>
    <s v="credit_card"/>
    <n v="11"/>
    <x v="1"/>
    <x v="2"/>
    <s v="Mato Grosso"/>
  </r>
  <r>
    <s v="42b3efddacc3779b9fc72dcdb430e00a"/>
    <s v="2017-11-03"/>
    <x v="12"/>
    <x v="21"/>
    <x v="20"/>
    <n v="1"/>
    <n v="599.9"/>
    <n v="32.6"/>
    <s v="boleto"/>
    <n v="17"/>
    <x v="1"/>
    <x v="3"/>
    <s v="Bahia"/>
  </r>
  <r>
    <s v="90afb8151d6aca71ae7b52a029ebc165"/>
    <s v="2017-11-03"/>
    <x v="12"/>
    <x v="7"/>
    <x v="53"/>
    <n v="1"/>
    <n v="1437"/>
    <n v="34.51"/>
    <s v="credit_card"/>
    <n v="19"/>
    <x v="1"/>
    <x v="2"/>
    <s v="Minas Gerais"/>
  </r>
  <r>
    <s v="9115302ab0ba4c1f3499709b47bd00a1"/>
    <s v="2017-11-03"/>
    <x v="12"/>
    <x v="22"/>
    <x v="22"/>
    <n v="2"/>
    <n v="58"/>
    <n v="14.1"/>
    <s v="credit_card"/>
    <n v="13"/>
    <x v="1"/>
    <x v="0"/>
    <s v="Espirito Santo"/>
  </r>
  <r>
    <s v="d7b4654d3ca41a3b97437da02dff3df0"/>
    <s v="2017-11-04"/>
    <x v="12"/>
    <x v="5"/>
    <x v="19"/>
    <n v="1"/>
    <n v="86.98"/>
    <n v="21.1"/>
    <s v="credit_card"/>
    <n v="10"/>
    <x v="1"/>
    <x v="2"/>
    <s v="Parana"/>
  </r>
  <r>
    <s v="0886b681f437971243d241ece6cf21d9"/>
    <s v="2017-11-04"/>
    <x v="12"/>
    <x v="7"/>
    <x v="22"/>
    <n v="1"/>
    <n v="129"/>
    <n v="15.65"/>
    <s v="boleto"/>
    <n v="15"/>
    <x v="1"/>
    <x v="2"/>
    <s v="Minas Gerais"/>
  </r>
  <r>
    <s v="d3c5d59ee5c6bd9cbb3230d8bfebfffb"/>
    <s v="2017-11-04"/>
    <x v="12"/>
    <x v="5"/>
    <x v="17"/>
    <n v="1"/>
    <n v="19.899999999999999"/>
    <n v="12.48"/>
    <s v="boleto"/>
    <n v="16"/>
    <x v="1"/>
    <x v="3"/>
    <s v="Parana"/>
  </r>
  <r>
    <s v="db3b94ddef8837c5c780836f80da86c7"/>
    <s v="2017-11-04"/>
    <x v="12"/>
    <x v="17"/>
    <x v="13"/>
    <n v="1"/>
    <n v="799.99"/>
    <n v="217.53"/>
    <s v="credit_card"/>
    <n v="13"/>
    <x v="1"/>
    <x v="2"/>
    <s v="Rondonia"/>
  </r>
  <r>
    <s v="08a72c88fa7ee3652a339070245b9f1e"/>
    <s v="2017-11-04"/>
    <x v="12"/>
    <x v="4"/>
    <x v="20"/>
    <n v="1"/>
    <n v="249.9"/>
    <n v="69.22"/>
    <s v="voucher"/>
    <n v="6"/>
    <x v="1"/>
    <x v="2"/>
    <s v="Rio de Janeiro"/>
  </r>
  <r>
    <s v="5f21071bb4421ccceaf3ae565558f63f"/>
    <s v="2017-11-04"/>
    <x v="12"/>
    <x v="1"/>
    <x v="7"/>
    <n v="2"/>
    <n v="119.8"/>
    <n v="35.340000000000003"/>
    <s v="credit_card"/>
    <n v="17"/>
    <x v="1"/>
    <x v="1"/>
    <s v="Rio Grande do Sul"/>
  </r>
  <r>
    <s v="e3598a5fc9a765a5269c084646faf00f"/>
    <s v="2017-11-05"/>
    <x v="12"/>
    <x v="6"/>
    <x v="2"/>
    <n v="1"/>
    <n v="99.99"/>
    <n v="23.02"/>
    <s v="credit_card"/>
    <n v="7"/>
    <x v="1"/>
    <x v="2"/>
    <s v="Pernambuco"/>
  </r>
  <r>
    <s v="c000c9de28e2436553f200d0faf8eb97"/>
    <s v="2017-11-05"/>
    <x v="12"/>
    <x v="8"/>
    <x v="14"/>
    <n v="1"/>
    <n v="99.99"/>
    <n v="25.54"/>
    <s v="credit_card"/>
    <n v="16"/>
    <x v="1"/>
    <x v="2"/>
    <s v="Santa Catarina"/>
  </r>
  <r>
    <s v="d2caf57c35ba2c5bea24ab9b08aba4f7"/>
    <s v="2017-11-05"/>
    <x v="12"/>
    <x v="3"/>
    <x v="20"/>
    <n v="2"/>
    <n v="499.8"/>
    <n v="149.4"/>
    <s v="boleto"/>
    <n v="5"/>
    <x v="1"/>
    <x v="2"/>
    <s v="Sao Paulo"/>
  </r>
  <r>
    <s v="077abb7d4f87719b0a5cce22295eb775"/>
    <s v="2017-11-05"/>
    <x v="12"/>
    <x v="4"/>
    <x v="14"/>
    <n v="1"/>
    <n v="45.9"/>
    <n v="15.11"/>
    <s v="credit_card"/>
    <n v="6"/>
    <x v="1"/>
    <x v="2"/>
    <s v="Rio de Janeiro"/>
  </r>
  <r>
    <s v="465bf2bd806ec5b47ff89a62e4c44071"/>
    <s v="2017-11-05"/>
    <x v="12"/>
    <x v="2"/>
    <x v="9"/>
    <n v="1"/>
    <n v="116"/>
    <n v="13.83"/>
    <s v="boleto"/>
    <n v="9"/>
    <x v="1"/>
    <x v="2"/>
    <s v="Goias"/>
  </r>
  <r>
    <s v="b6d7bc72070db9ad2c50a38490b993ca"/>
    <s v="2017-11-06"/>
    <x v="12"/>
    <x v="3"/>
    <x v="26"/>
    <n v="1"/>
    <n v="29.99"/>
    <n v="8.27"/>
    <s v="credit_card"/>
    <n v="2"/>
    <x v="1"/>
    <x v="2"/>
    <s v="Sao Paulo"/>
  </r>
  <r>
    <s v="a9750e3434088f124fafaf2cb0109fc9"/>
    <s v="2017-11-06"/>
    <x v="12"/>
    <x v="4"/>
    <x v="9"/>
    <n v="1"/>
    <n v="45.04"/>
    <n v="7.94"/>
    <s v="credit_card"/>
    <n v="3"/>
    <x v="1"/>
    <x v="2"/>
    <s v="Rio de Janeiro"/>
  </r>
  <r>
    <s v="e697685891b55205f61d598d64db1c1f"/>
    <s v="2017-11-06"/>
    <x v="12"/>
    <x v="3"/>
    <x v="1"/>
    <n v="1"/>
    <n v="229.9"/>
    <n v="14.16"/>
    <s v="credit_card"/>
    <m/>
    <x v="0"/>
    <x v="0"/>
    <s v="Sao Paulo"/>
  </r>
  <r>
    <s v="1b60d2efd91abb75b6a78ba9041a3f15"/>
    <s v="2017-11-06"/>
    <x v="12"/>
    <x v="8"/>
    <x v="22"/>
    <n v="1"/>
    <n v="19.899999999999999"/>
    <n v="16.11"/>
    <s v="credit_card"/>
    <n v="18"/>
    <x v="1"/>
    <x v="4"/>
    <s v="Santa Catarina"/>
  </r>
  <r>
    <s v="a28d2fd8b59565ab9973b930eac2596e"/>
    <s v="2017-11-06"/>
    <x v="12"/>
    <x v="4"/>
    <x v="26"/>
    <n v="1"/>
    <n v="89.9"/>
    <n v="17.2"/>
    <s v="credit_card"/>
    <n v="17"/>
    <x v="1"/>
    <x v="1"/>
    <s v="Rio de Janeiro"/>
  </r>
  <r>
    <s v="ced9efa04f0d7b0543fa0d8ab9472a6c"/>
    <s v="2017-11-06"/>
    <x v="12"/>
    <x v="3"/>
    <x v="6"/>
    <n v="3"/>
    <n v="115"/>
    <n v="35.54"/>
    <s v="boleto"/>
    <n v="7"/>
    <x v="1"/>
    <x v="2"/>
    <s v="Sao Paulo"/>
  </r>
  <r>
    <s v="93cd78e1b92970d2a7e7251057f85153"/>
    <s v="2017-11-06"/>
    <x v="12"/>
    <x v="4"/>
    <x v="14"/>
    <n v="2"/>
    <n v="33.799999999999997"/>
    <n v="28.2"/>
    <s v="credit_card"/>
    <n v="17"/>
    <x v="1"/>
    <x v="2"/>
    <s v="Rio de Janeiro"/>
  </r>
  <r>
    <s v="d3cefa3b994d2662eba354f826cd64a7"/>
    <s v="2017-11-06"/>
    <x v="12"/>
    <x v="5"/>
    <x v="28"/>
    <n v="1"/>
    <n v="194.99"/>
    <n v="74.31"/>
    <s v="boleto"/>
    <n v="24"/>
    <x v="1"/>
    <x v="1"/>
    <s v="Parana"/>
  </r>
  <r>
    <s v="bebd5d5cd84828e1958bb698ebb58665"/>
    <s v="2017-11-07"/>
    <x v="12"/>
    <x v="8"/>
    <x v="19"/>
    <n v="1"/>
    <n v="56.9"/>
    <n v="16.16"/>
    <s v="credit_card"/>
    <n v="15"/>
    <x v="1"/>
    <x v="2"/>
    <s v="Santa Catarina"/>
  </r>
  <r>
    <s v="a59a8fa1ef4546339d5f68967925864e"/>
    <s v="2017-11-07"/>
    <x v="12"/>
    <x v="3"/>
    <x v="0"/>
    <n v="1"/>
    <n v="59.55"/>
    <n v="13.44"/>
    <s v="credit_card"/>
    <n v="8"/>
    <x v="1"/>
    <x v="1"/>
    <s v="Sao Paulo"/>
  </r>
  <r>
    <s v="e7fed674bb29ac98193d392f363cfcf1"/>
    <s v="2017-11-07"/>
    <x v="12"/>
    <x v="7"/>
    <x v="6"/>
    <n v="1"/>
    <n v="27.99"/>
    <n v="14.1"/>
    <s v="voucher"/>
    <n v="6"/>
    <x v="1"/>
    <x v="2"/>
    <s v="Minas Gerais"/>
  </r>
  <r>
    <s v="8de424d1353fe39adcd2d41a7d222369"/>
    <s v="2017-11-07"/>
    <x v="12"/>
    <x v="3"/>
    <x v="22"/>
    <n v="1"/>
    <n v="29"/>
    <n v="7.78"/>
    <s v="credit_card"/>
    <n v="6"/>
    <x v="1"/>
    <x v="1"/>
    <s v="Sao Paulo"/>
  </r>
  <r>
    <s v="d759e07b69f482e6ce8efea035901b4d"/>
    <s v="2017-11-07"/>
    <x v="12"/>
    <x v="7"/>
    <x v="6"/>
    <n v="1"/>
    <n v="27.99"/>
    <n v="15.1"/>
    <s v="credit_card"/>
    <n v="6"/>
    <x v="1"/>
    <x v="2"/>
    <s v="Minas Gerais"/>
  </r>
  <r>
    <s v="5b4e981913377d776f83cb4ffd82ad31"/>
    <s v="2017-11-07"/>
    <x v="12"/>
    <x v="3"/>
    <x v="12"/>
    <n v="1"/>
    <n v="29.9"/>
    <n v="11.85"/>
    <s v="credit_card"/>
    <n v="13"/>
    <x v="1"/>
    <x v="2"/>
    <s v="Sao Paulo"/>
  </r>
  <r>
    <s v="3eda68d81b3be569f9e35651a18c8215"/>
    <s v="2017-11-07"/>
    <x v="12"/>
    <x v="6"/>
    <x v="5"/>
    <n v="1"/>
    <n v="13.99"/>
    <n v="25.63"/>
    <s v="boleto"/>
    <n v="16"/>
    <x v="1"/>
    <x v="1"/>
    <s v="Pernambuco"/>
  </r>
  <r>
    <s v="abb76549f54fa02e04e1d3da5e8f3cce"/>
    <s v="2017-11-07"/>
    <x v="12"/>
    <x v="3"/>
    <x v="12"/>
    <n v="1"/>
    <n v="38.97"/>
    <n v="11.85"/>
    <s v="boleto"/>
    <n v="7"/>
    <x v="1"/>
    <x v="2"/>
    <s v="Sao Paulo"/>
  </r>
  <r>
    <s v="0b8223a2d582ee50740baba714b65256"/>
    <s v="2017-11-07"/>
    <x v="12"/>
    <x v="23"/>
    <x v="3"/>
    <n v="1"/>
    <n v="339.9"/>
    <n v="46.23"/>
    <s v="credit_card"/>
    <n v="18"/>
    <x v="1"/>
    <x v="2"/>
    <s v="Rio Grande do Norte"/>
  </r>
  <r>
    <s v="2bf0bf5cbf38b387798a9143e05d4c2c"/>
    <s v="2017-11-07"/>
    <x v="12"/>
    <x v="3"/>
    <x v="17"/>
    <n v="1"/>
    <n v="12.9"/>
    <n v="7.78"/>
    <s v="boleto"/>
    <n v="3"/>
    <x v="1"/>
    <x v="3"/>
    <s v="Sao Paulo"/>
  </r>
  <r>
    <s v="00c842d0ae6462afc1d38fc055b02c75"/>
    <s v="2017-11-08"/>
    <x v="12"/>
    <x v="4"/>
    <x v="7"/>
    <n v="1"/>
    <n v="59.9"/>
    <n v="17.670000000000002"/>
    <s v="debit_card"/>
    <n v="13"/>
    <x v="1"/>
    <x v="2"/>
    <s v="Rio de Janeiro"/>
  </r>
  <r>
    <s v="541a54e2a8381eb2797b40e7b1b255f0"/>
    <s v="2017-11-08"/>
    <x v="12"/>
    <x v="3"/>
    <x v="18"/>
    <n v="1"/>
    <n v="49.99"/>
    <n v="7.78"/>
    <s v="credit_card"/>
    <n v="1"/>
    <x v="1"/>
    <x v="2"/>
    <s v="Sao Paulo"/>
  </r>
  <r>
    <s v="2d2d4e2aa4df8b00e751162c05be40e7"/>
    <s v="2017-11-08"/>
    <x v="12"/>
    <x v="7"/>
    <x v="6"/>
    <n v="1"/>
    <n v="27.99"/>
    <n v="14.1"/>
    <s v="credit_card"/>
    <n v="5"/>
    <x v="1"/>
    <x v="2"/>
    <s v="Minas Gerais"/>
  </r>
  <r>
    <s v="945edc9b56f1a08b87560bf946945f20"/>
    <s v="2017-11-08"/>
    <x v="12"/>
    <x v="2"/>
    <x v="58"/>
    <n v="1"/>
    <n v="250"/>
    <n v="62.49"/>
    <s v="boleto"/>
    <n v="20"/>
    <x v="1"/>
    <x v="2"/>
    <s v="Goias"/>
  </r>
  <r>
    <s v="952241c48f34d58c23ca57964d413834"/>
    <s v="2017-11-08"/>
    <x v="12"/>
    <x v="3"/>
    <x v="25"/>
    <n v="1"/>
    <n v="78.900000000000006"/>
    <n v="9.3000000000000007"/>
    <s v="credit_card"/>
    <n v="8"/>
    <x v="1"/>
    <x v="0"/>
    <s v="Sao Paulo"/>
  </r>
  <r>
    <s v="c4b6e7386225d1998cf863991ed1e47f"/>
    <s v="2017-11-09"/>
    <x v="12"/>
    <x v="7"/>
    <x v="20"/>
    <n v="1"/>
    <n v="139.99"/>
    <n v="17.23"/>
    <s v="credit_card"/>
    <n v="9"/>
    <x v="1"/>
    <x v="2"/>
    <s v="Minas Gerais"/>
  </r>
  <r>
    <s v="3bb9b0ab151de6d32543f721e301d58b"/>
    <s v="2017-11-09"/>
    <x v="12"/>
    <x v="5"/>
    <x v="33"/>
    <n v="2"/>
    <n v="119.8"/>
    <n v="98.02"/>
    <s v="credit_card"/>
    <n v="12"/>
    <x v="1"/>
    <x v="2"/>
    <s v="Parana"/>
  </r>
  <r>
    <s v="6ef5dc1efc95e43b6418e91ebc700210"/>
    <s v="2017-11-09"/>
    <x v="12"/>
    <x v="4"/>
    <x v="13"/>
    <n v="1"/>
    <n v="399.99"/>
    <n v="19.05"/>
    <s v="credit_card"/>
    <n v="7"/>
    <x v="1"/>
    <x v="3"/>
    <s v="Rio de Janeiro"/>
  </r>
  <r>
    <s v="f12ff2a4932dcfb02448431710f346f9"/>
    <s v="2017-11-09"/>
    <x v="12"/>
    <x v="12"/>
    <x v="9"/>
    <n v="1"/>
    <n v="47.99"/>
    <n v="17.63"/>
    <s v="credit_card"/>
    <m/>
    <x v="0"/>
    <x v="4"/>
    <s v="Ceara"/>
  </r>
  <r>
    <s v="08688e50bd932bdbd480bb25e55c70de"/>
    <s v="2017-11-09"/>
    <x v="12"/>
    <x v="5"/>
    <x v="6"/>
    <n v="1"/>
    <n v="28.99"/>
    <n v="15.1"/>
    <s v="credit_card"/>
    <n v="13"/>
    <x v="1"/>
    <x v="0"/>
    <s v="Parana"/>
  </r>
  <r>
    <s v="53b8913fe5c632a9aa10069a33aaceb0"/>
    <s v="2017-11-09"/>
    <x v="12"/>
    <x v="4"/>
    <x v="7"/>
    <n v="1"/>
    <n v="59.9"/>
    <n v="17.670000000000002"/>
    <s v="boleto"/>
    <n v="25"/>
    <x v="2"/>
    <x v="2"/>
    <s v="Rio de Janeiro"/>
  </r>
  <r>
    <s v="1854fd6df68c9fb96e79379e229929dc"/>
    <s v="2017-11-09"/>
    <x v="12"/>
    <x v="3"/>
    <x v="12"/>
    <n v="1"/>
    <n v="175.99"/>
    <n v="26.51"/>
    <s v="boleto"/>
    <n v="12"/>
    <x v="1"/>
    <x v="2"/>
    <s v="Sao Paulo"/>
  </r>
  <r>
    <s v="b999bcbc5dcb6e24a831378739f69e88"/>
    <s v="2017-11-09"/>
    <x v="12"/>
    <x v="9"/>
    <x v="6"/>
    <n v="1"/>
    <n v="129"/>
    <n v="21.7"/>
    <s v="boleto"/>
    <n v="17"/>
    <x v="1"/>
    <x v="2"/>
    <s v="Sergipe"/>
  </r>
  <r>
    <s v="a4b320bb74cd579c4f58521b47a4e538"/>
    <s v="2017-11-09"/>
    <x v="12"/>
    <x v="3"/>
    <x v="18"/>
    <n v="1"/>
    <n v="49"/>
    <n v="7.78"/>
    <s v="credit_card"/>
    <n v="4"/>
    <x v="1"/>
    <x v="3"/>
    <s v="Sao Paulo"/>
  </r>
  <r>
    <s v="a3021cb38ee69a87a0cb9cda57f7d72e"/>
    <s v="2017-11-09"/>
    <x v="12"/>
    <x v="1"/>
    <x v="31"/>
    <n v="1"/>
    <n v="299.89999999999998"/>
    <n v="29.48"/>
    <s v="credit_card"/>
    <n v="15"/>
    <x v="1"/>
    <x v="2"/>
    <s v="Rio Grande do Sul"/>
  </r>
  <r>
    <s v="61fbc5899c21d17064fe3d17911738b2"/>
    <s v="2017-11-09"/>
    <x v="12"/>
    <x v="1"/>
    <x v="0"/>
    <n v="2"/>
    <n v="76.8"/>
    <n v="30.22"/>
    <s v="credit_card"/>
    <n v="13"/>
    <x v="1"/>
    <x v="2"/>
    <s v="Rio Grande do Sul"/>
  </r>
  <r>
    <s v="d6bfbcba448fc051ce09f23976bee3ab"/>
    <s v="2017-11-09"/>
    <x v="12"/>
    <x v="3"/>
    <x v="7"/>
    <n v="1"/>
    <n v="59.9"/>
    <n v="13.44"/>
    <s v="credit_card"/>
    <n v="17"/>
    <x v="1"/>
    <x v="3"/>
    <s v="Sao Paulo"/>
  </r>
  <r>
    <s v="055148178e6fef1a7c02a3a04b6ef6e2"/>
    <s v="2017-11-10"/>
    <x v="12"/>
    <x v="21"/>
    <x v="1"/>
    <n v="1"/>
    <n v="269.89999999999998"/>
    <n v="18.329999999999998"/>
    <s v="boleto"/>
    <n v="17"/>
    <x v="1"/>
    <x v="2"/>
    <s v="Bahia"/>
  </r>
  <r>
    <s v="a54f35a6dfb350a13c6410aa276e52d8"/>
    <s v="2017-11-10"/>
    <x v="12"/>
    <x v="3"/>
    <x v="22"/>
    <n v="1"/>
    <n v="133"/>
    <n v="16.559999999999999"/>
    <s v="credit_card"/>
    <n v="8"/>
    <x v="1"/>
    <x v="2"/>
    <s v="Sao Paulo"/>
  </r>
  <r>
    <s v="13d840efe9026dc20ab05e59663dff7f"/>
    <s v="2017-11-10"/>
    <x v="12"/>
    <x v="3"/>
    <x v="18"/>
    <n v="1"/>
    <n v="49"/>
    <n v="11.85"/>
    <s v="credit_card"/>
    <n v="19"/>
    <x v="2"/>
    <x v="1"/>
    <s v="Sao Paulo"/>
  </r>
  <r>
    <s v="6e9e60623cf73b485aee48dc4b45c98d"/>
    <s v="2017-11-10"/>
    <x v="12"/>
    <x v="8"/>
    <x v="5"/>
    <n v="1"/>
    <n v="120.42"/>
    <n v="16.600000000000001"/>
    <s v="credit_card"/>
    <n v="14"/>
    <x v="1"/>
    <x v="2"/>
    <s v="Santa Catarina"/>
  </r>
  <r>
    <s v="82bf720ca63002cfa62c7910ad811079"/>
    <s v="2017-11-10"/>
    <x v="12"/>
    <x v="5"/>
    <x v="1"/>
    <n v="1"/>
    <n v="69.900000000000006"/>
    <n v="16.12"/>
    <s v="boleto"/>
    <n v="13"/>
    <x v="1"/>
    <x v="2"/>
    <s v="Parana"/>
  </r>
  <r>
    <s v="17a4db677e57484f24eb68217b8de4c1"/>
    <s v="2017-11-10"/>
    <x v="12"/>
    <x v="18"/>
    <x v="4"/>
    <n v="5"/>
    <n v="900"/>
    <n v="75.05"/>
    <s v="boleto"/>
    <m/>
    <x v="0"/>
    <x v="0"/>
    <s v="Distrito Federal"/>
  </r>
  <r>
    <s v="afef48d3c8a0b1b7c9b7f8f922fb5674"/>
    <s v="2017-11-10"/>
    <x v="12"/>
    <x v="1"/>
    <x v="20"/>
    <n v="1"/>
    <n v="134.9"/>
    <n v="18.510000000000002"/>
    <s v="credit_card"/>
    <m/>
    <x v="0"/>
    <x v="0"/>
    <s v="Rio Grande do Sul"/>
  </r>
  <r>
    <s v="3a3b0394c09dbf1c3f658c1fbe9adc31"/>
    <s v="2017-11-10"/>
    <x v="12"/>
    <x v="3"/>
    <x v="7"/>
    <n v="1"/>
    <n v="79.900000000000006"/>
    <n v="17.809999999999999"/>
    <s v="credit_card"/>
    <n v="63"/>
    <x v="2"/>
    <x v="0"/>
    <s v="Sao Paulo"/>
  </r>
  <r>
    <s v="7da8b207db3f7231fb1d741fad7dce3a"/>
    <s v="2017-11-10"/>
    <x v="12"/>
    <x v="7"/>
    <x v="9"/>
    <n v="1"/>
    <n v="23.99"/>
    <n v="14.1"/>
    <s v="credit_card"/>
    <n v="11"/>
    <x v="1"/>
    <x v="2"/>
    <s v="Minas Gerais"/>
  </r>
  <r>
    <s v="34713a7c57fc2cc3f40a0ed057046b70"/>
    <s v="2017-11-10"/>
    <x v="12"/>
    <x v="4"/>
    <x v="19"/>
    <n v="1"/>
    <n v="9.9"/>
    <n v="15.1"/>
    <s v="credit_card"/>
    <n v="13"/>
    <x v="1"/>
    <x v="2"/>
    <s v="Rio de Janeiro"/>
  </r>
  <r>
    <s v="1abe7fd5dfa459b6d9ffcf465d5e39b1"/>
    <s v="2017-11-11"/>
    <x v="12"/>
    <x v="5"/>
    <x v="1"/>
    <n v="1"/>
    <n v="319.49"/>
    <n v="22.73"/>
    <s v="boleto"/>
    <n v="12"/>
    <x v="1"/>
    <x v="3"/>
    <s v="Parana"/>
  </r>
  <r>
    <s v="dca570055f40d024d88a2d48de7e502e"/>
    <s v="2017-11-11"/>
    <x v="12"/>
    <x v="3"/>
    <x v="4"/>
    <n v="1"/>
    <n v="159.9"/>
    <n v="14.14"/>
    <s v="boleto"/>
    <n v="9"/>
    <x v="1"/>
    <x v="3"/>
    <s v="Sao Paulo"/>
  </r>
  <r>
    <s v="c855d7dabfd631a4aa54cdeefab7dc3a"/>
    <s v="2017-11-11"/>
    <x v="12"/>
    <x v="4"/>
    <x v="14"/>
    <n v="1"/>
    <n v="38"/>
    <n v="15.1"/>
    <s v="credit_card"/>
    <n v="16"/>
    <x v="1"/>
    <x v="0"/>
    <s v="Rio de Janeiro"/>
  </r>
  <r>
    <s v="ed836a8fccba401754e0b283c9b32f09"/>
    <s v="2017-11-11"/>
    <x v="12"/>
    <x v="5"/>
    <x v="6"/>
    <n v="1"/>
    <n v="24.99"/>
    <n v="14.1"/>
    <s v="credit_card"/>
    <n v="8"/>
    <x v="1"/>
    <x v="2"/>
    <s v="Parana"/>
  </r>
  <r>
    <s v="d8d344285c3eb8fe24478102c93f6e94"/>
    <s v="2017-11-11"/>
    <x v="12"/>
    <x v="4"/>
    <x v="1"/>
    <n v="1"/>
    <n v="43.2"/>
    <n v="14.1"/>
    <s v="credit_card"/>
    <n v="12"/>
    <x v="1"/>
    <x v="2"/>
    <s v="Rio de Janeiro"/>
  </r>
  <r>
    <s v="d9a932befd90783805fe255151f656a5"/>
    <s v="2017-11-11"/>
    <x v="12"/>
    <x v="11"/>
    <x v="26"/>
    <n v="1"/>
    <n v="990"/>
    <n v="131.01"/>
    <s v="boleto"/>
    <n v="26"/>
    <x v="1"/>
    <x v="3"/>
    <s v="Para"/>
  </r>
  <r>
    <s v="4093f51e15660b0278941a5b38e694c8"/>
    <s v="2017-11-11"/>
    <x v="12"/>
    <x v="8"/>
    <x v="29"/>
    <n v="1"/>
    <n v="689"/>
    <n v="17.07"/>
    <s v="credit_card"/>
    <n v="8"/>
    <x v="1"/>
    <x v="2"/>
    <s v="Santa Catarina"/>
  </r>
  <r>
    <s v="67642a6b87ab5c8cdfffd5b81da8a501"/>
    <s v="2017-11-11"/>
    <x v="12"/>
    <x v="7"/>
    <x v="29"/>
    <n v="1"/>
    <n v="99"/>
    <n v="16.45"/>
    <s v="voucher"/>
    <n v="16"/>
    <x v="1"/>
    <x v="3"/>
    <s v="Minas Gerais"/>
  </r>
  <r>
    <s v="4c7ced0f699389f760f6bee7e99f7b35"/>
    <s v="2017-11-11"/>
    <x v="12"/>
    <x v="4"/>
    <x v="14"/>
    <n v="2"/>
    <n v="194.8"/>
    <n v="33.53"/>
    <s v="credit_card"/>
    <n v="17"/>
    <x v="1"/>
    <x v="0"/>
    <s v="Rio de Janeiro"/>
  </r>
  <r>
    <s v="d02b1845a40a0f3f58d0fbf2e04fb0d2"/>
    <s v="2017-11-11"/>
    <x v="12"/>
    <x v="3"/>
    <x v="19"/>
    <n v="1"/>
    <n v="29.9"/>
    <n v="9.34"/>
    <s v="credit_card"/>
    <n v="12"/>
    <x v="1"/>
    <x v="2"/>
    <s v="Sao Paulo"/>
  </r>
  <r>
    <s v="fc42f37778b223b55f8ccbd5f274b9aa"/>
    <s v="2017-11-12"/>
    <x v="12"/>
    <x v="3"/>
    <x v="22"/>
    <n v="2"/>
    <n v="58"/>
    <n v="23.7"/>
    <s v="credit_card"/>
    <n v="9"/>
    <x v="1"/>
    <x v="2"/>
    <s v="Sao Paulo"/>
  </r>
  <r>
    <s v="970faa2fc574e975f2badf8b2783c112"/>
    <s v="2017-11-12"/>
    <x v="12"/>
    <x v="3"/>
    <x v="2"/>
    <n v="1"/>
    <n v="89"/>
    <n v="13.64"/>
    <s v="credit_card"/>
    <n v="11"/>
    <x v="1"/>
    <x v="1"/>
    <s v="Sao Paulo"/>
  </r>
  <r>
    <s v="08a2bc9386ffb58b6637add8a8e7d4fc"/>
    <s v="2017-11-12"/>
    <x v="12"/>
    <x v="3"/>
    <x v="1"/>
    <n v="2"/>
    <n v="19.8"/>
    <n v="16.54"/>
    <s v="credit_card"/>
    <n v="9"/>
    <x v="1"/>
    <x v="2"/>
    <s v="Sao Paulo"/>
  </r>
  <r>
    <s v="8d5b464d16741c376da6aa92e4b09a81"/>
    <s v="2017-11-12"/>
    <x v="12"/>
    <x v="7"/>
    <x v="13"/>
    <n v="1"/>
    <n v="29.9"/>
    <n v="16.79"/>
    <s v="credit_card"/>
    <n v="11"/>
    <x v="1"/>
    <x v="2"/>
    <s v="Minas Gerais"/>
  </r>
  <r>
    <s v="2a6fcdee30bb4fda09190b53b4e9ffee"/>
    <s v="2017-11-12"/>
    <x v="12"/>
    <x v="21"/>
    <x v="19"/>
    <n v="1"/>
    <n v="59.9"/>
    <n v="17.989999999999998"/>
    <s v="credit_card"/>
    <n v="13"/>
    <x v="1"/>
    <x v="3"/>
    <s v="Bahia"/>
  </r>
  <r>
    <s v="21bffa9bb2f8540013b0eb048699805d"/>
    <s v="2017-11-12"/>
    <x v="12"/>
    <x v="12"/>
    <x v="20"/>
    <n v="1"/>
    <n v="219.99"/>
    <n v="25.99"/>
    <s v="credit_card"/>
    <n v="17"/>
    <x v="1"/>
    <x v="2"/>
    <s v="Ceara"/>
  </r>
  <r>
    <s v="db3c88b2458388bddcd3b2a99f0b8b99"/>
    <s v="2017-11-12"/>
    <x v="12"/>
    <x v="3"/>
    <x v="0"/>
    <n v="1"/>
    <n v="49.9"/>
    <n v="9.09"/>
    <s v="credit_card"/>
    <n v="3"/>
    <x v="1"/>
    <x v="2"/>
    <s v="Sao Paulo"/>
  </r>
  <r>
    <s v="d9064a51ed213dcd0cfe59a9039ec458"/>
    <s v="2017-11-12"/>
    <x v="12"/>
    <x v="3"/>
    <x v="12"/>
    <n v="1"/>
    <n v="50"/>
    <n v="11.73"/>
    <s v="credit_card"/>
    <n v="5"/>
    <x v="1"/>
    <x v="2"/>
    <s v="Sao Paulo"/>
  </r>
  <r>
    <s v="f3753df1e0c5a22ca7c2ff5722387739"/>
    <s v="2017-11-13"/>
    <x v="12"/>
    <x v="5"/>
    <x v="2"/>
    <n v="1"/>
    <n v="39.9"/>
    <n v="17.600000000000001"/>
    <s v="credit_card"/>
    <n v="14"/>
    <x v="1"/>
    <x v="3"/>
    <s v="Parana"/>
  </r>
  <r>
    <s v="5e5b80a664dfaad7f64dafff8e8d018a"/>
    <s v="2017-11-13"/>
    <x v="12"/>
    <x v="15"/>
    <x v="28"/>
    <n v="2"/>
    <n v="599.79999999999995"/>
    <n v="149.63999999999999"/>
    <s v="credit_card"/>
    <n v="18"/>
    <x v="1"/>
    <x v="0"/>
    <s v="Mato Grosso"/>
  </r>
  <r>
    <s v="05fb9a42b233b4fb63dcaec6fac364a1"/>
    <s v="2017-11-13"/>
    <x v="12"/>
    <x v="1"/>
    <x v="11"/>
    <n v="1"/>
    <n v="48"/>
    <n v="17.600000000000001"/>
    <s v="credit_card"/>
    <n v="11"/>
    <x v="1"/>
    <x v="2"/>
    <s v="Rio Grande do Sul"/>
  </r>
  <r>
    <s v="dcaeb1396857c15c0cba7456fb469c3e"/>
    <s v="2017-11-13"/>
    <x v="12"/>
    <x v="3"/>
    <x v="9"/>
    <n v="1"/>
    <n v="125"/>
    <n v="14.62"/>
    <s v="boleto"/>
    <n v="7"/>
    <x v="1"/>
    <x v="1"/>
    <s v="Sao Paulo"/>
  </r>
  <r>
    <s v="1ac9d38dde347ffac03bdb653003682b"/>
    <s v="2017-11-13"/>
    <x v="12"/>
    <x v="3"/>
    <x v="26"/>
    <n v="1"/>
    <n v="30"/>
    <n v="11.85"/>
    <s v="boleto"/>
    <n v="10"/>
    <x v="1"/>
    <x v="3"/>
    <s v="Sao Paulo"/>
  </r>
  <r>
    <s v="4d34eb469920ba37e6cab956395a5265"/>
    <s v="2017-11-13"/>
    <x v="12"/>
    <x v="3"/>
    <x v="1"/>
    <n v="1"/>
    <n v="339"/>
    <n v="18.13"/>
    <s v="credit_card"/>
    <n v="10"/>
    <x v="1"/>
    <x v="2"/>
    <s v="Sao Paulo"/>
  </r>
  <r>
    <s v="300a0fb67e14c56475f361381f629060"/>
    <s v="2017-11-13"/>
    <x v="12"/>
    <x v="4"/>
    <x v="5"/>
    <n v="1"/>
    <n v="79.900000000000006"/>
    <n v="14.31"/>
    <s v="credit_card"/>
    <n v="13"/>
    <x v="1"/>
    <x v="2"/>
    <s v="Rio de Janeiro"/>
  </r>
  <r>
    <s v="dd6871ac691db075bd6f8e6c70576648"/>
    <s v="2017-11-13"/>
    <x v="12"/>
    <x v="21"/>
    <x v="14"/>
    <n v="1"/>
    <n v="59.9"/>
    <n v="16.86"/>
    <s v="credit_card"/>
    <n v="28"/>
    <x v="1"/>
    <x v="0"/>
    <s v="Bahia"/>
  </r>
  <r>
    <s v="d9673e96478769083775f81525768734"/>
    <s v="2017-11-13"/>
    <x v="12"/>
    <x v="3"/>
    <x v="18"/>
    <n v="1"/>
    <n v="89"/>
    <n v="15.37"/>
    <s v="credit_card"/>
    <n v="20"/>
    <x v="1"/>
    <x v="2"/>
    <s v="Sao Paulo"/>
  </r>
  <r>
    <s v="a7da4c5d1aa10f5bd43694601bea7057"/>
    <s v="2017-11-14"/>
    <x v="12"/>
    <x v="4"/>
    <x v="29"/>
    <n v="1"/>
    <n v="79"/>
    <n v="17.8"/>
    <s v="credit_card"/>
    <n v="36"/>
    <x v="2"/>
    <x v="3"/>
    <s v="Rio de Janeiro"/>
  </r>
  <r>
    <s v="79ad173ce97ec1e564c9819eff96628e"/>
    <s v="2017-11-14"/>
    <x v="12"/>
    <x v="3"/>
    <x v="9"/>
    <n v="1"/>
    <n v="31.9"/>
    <n v="11.85"/>
    <s v="credit_card"/>
    <n v="7"/>
    <x v="1"/>
    <x v="2"/>
    <s v="Sao Paulo"/>
  </r>
  <r>
    <s v="d73a3a52a8b9b8430deede6d0491ae54"/>
    <s v="2017-11-14"/>
    <x v="12"/>
    <x v="6"/>
    <x v="0"/>
    <n v="2"/>
    <n v="98"/>
    <n v="42.38"/>
    <s v="credit_card"/>
    <n v="20"/>
    <x v="1"/>
    <x v="2"/>
    <s v="Pernambuco"/>
  </r>
  <r>
    <s v="4ab6fc6c373a975bb90e462b81260198"/>
    <s v="2017-11-14"/>
    <x v="12"/>
    <x v="3"/>
    <x v="14"/>
    <n v="1"/>
    <n v="87.9"/>
    <n v="12.96"/>
    <s v="credit_card"/>
    <n v="9"/>
    <x v="1"/>
    <x v="2"/>
    <s v="Sao Paulo"/>
  </r>
  <r>
    <s v="56a91c78a7764f270b44113386c34866"/>
    <s v="2017-11-14"/>
    <x v="12"/>
    <x v="4"/>
    <x v="14"/>
    <n v="1"/>
    <n v="53"/>
    <n v="16.13"/>
    <s v="credit_card"/>
    <n v="18"/>
    <x v="1"/>
    <x v="2"/>
    <s v="Rio de Janeiro"/>
  </r>
  <r>
    <s v="1997b62c6e07059b2059f0b871aeda1f"/>
    <s v="2017-11-14"/>
    <x v="12"/>
    <x v="4"/>
    <x v="29"/>
    <n v="1"/>
    <n v="79"/>
    <n v="17.8"/>
    <s v="credit_card"/>
    <n v="16"/>
    <x v="1"/>
    <x v="3"/>
    <s v="Rio de Janeiro"/>
  </r>
  <r>
    <s v="7e1d7adfaf4e026419cedeaed88f3a4b"/>
    <s v="2017-11-14"/>
    <x v="12"/>
    <x v="19"/>
    <x v="12"/>
    <n v="1"/>
    <n v="189.94"/>
    <n v="108.36"/>
    <s v="credit_card"/>
    <n v="30"/>
    <x v="1"/>
    <x v="2"/>
    <s v="Acre"/>
  </r>
  <r>
    <s v="f49a4845f6b824e13d9a0e15ad9e599c"/>
    <s v="2017-11-14"/>
    <x v="12"/>
    <x v="9"/>
    <x v="13"/>
    <n v="1"/>
    <n v="42.36"/>
    <n v="54.02"/>
    <s v="credit_card"/>
    <n v="36"/>
    <x v="1"/>
    <x v="3"/>
    <s v="Sergipe"/>
  </r>
  <r>
    <s v="d47929036b8c504537b7a458185913da"/>
    <s v="2017-11-14"/>
    <x v="12"/>
    <x v="4"/>
    <x v="0"/>
    <n v="1"/>
    <n v="47.9"/>
    <n v="16.79"/>
    <s v="credit_card"/>
    <n v="13"/>
    <x v="1"/>
    <x v="2"/>
    <s v="Rio de Janeiro"/>
  </r>
  <r>
    <s v="9a4127f371426e180aaf7e0f4bf1b4fb"/>
    <s v="2017-11-14"/>
    <x v="12"/>
    <x v="3"/>
    <x v="14"/>
    <n v="1"/>
    <n v="45.9"/>
    <n v="9.34"/>
    <s v="debit_card"/>
    <n v="9"/>
    <x v="1"/>
    <x v="2"/>
    <s v="Sao Paulo"/>
  </r>
  <r>
    <s v="45030898b4361255cbd03efa424707bc"/>
    <s v="2017-11-14"/>
    <x v="12"/>
    <x v="3"/>
    <x v="2"/>
    <n v="1"/>
    <n v="29.9"/>
    <n v="11.85"/>
    <s v="voucher"/>
    <n v="10"/>
    <x v="1"/>
    <x v="2"/>
    <s v="Sao Paulo"/>
  </r>
  <r>
    <s v="dacd45999c3175778f90426dc0dfbebc"/>
    <s v="2017-11-14"/>
    <x v="12"/>
    <x v="8"/>
    <x v="22"/>
    <n v="1"/>
    <n v="146"/>
    <n v="15.77"/>
    <s v="boleto"/>
    <n v="16"/>
    <x v="1"/>
    <x v="3"/>
    <s v="Santa Catarina"/>
  </r>
  <r>
    <s v="3e1616d48a50cea07cdf8ca77e8eb0f8"/>
    <s v="2017-11-14"/>
    <x v="12"/>
    <x v="7"/>
    <x v="5"/>
    <n v="1"/>
    <n v="39"/>
    <n v="14.1"/>
    <s v="credit_card"/>
    <n v="9"/>
    <x v="1"/>
    <x v="2"/>
    <s v="Minas Gerais"/>
  </r>
  <r>
    <s v="b1255ece61a04beee71a3dd933220a22"/>
    <s v="2017-11-15"/>
    <x v="12"/>
    <x v="3"/>
    <x v="18"/>
    <n v="1"/>
    <n v="413.6"/>
    <n v="14.4"/>
    <s v="credit_card"/>
    <n v="11"/>
    <x v="1"/>
    <x v="2"/>
    <s v="Sao Paulo"/>
  </r>
  <r>
    <s v="ddee206e57fa8a88cb37d640dbd73477"/>
    <s v="2017-11-15"/>
    <x v="12"/>
    <x v="3"/>
    <x v="1"/>
    <n v="1"/>
    <n v="84.94"/>
    <n v="9.41"/>
    <s v="credit_card"/>
    <n v="7"/>
    <x v="1"/>
    <x v="2"/>
    <s v="Sao Paulo"/>
  </r>
  <r>
    <s v="fa642a520fa06e31dd5b64808e1fa92d"/>
    <s v="2017-11-15"/>
    <x v="12"/>
    <x v="21"/>
    <x v="48"/>
    <n v="1"/>
    <n v="183"/>
    <n v="17.72"/>
    <s v="credit_card"/>
    <n v="26"/>
    <x v="2"/>
    <x v="3"/>
    <s v="Bahia"/>
  </r>
  <r>
    <s v="47177614899397fe8f3f95ee78904220"/>
    <s v="2017-11-15"/>
    <x v="12"/>
    <x v="3"/>
    <x v="22"/>
    <n v="1"/>
    <n v="195.9"/>
    <n v="8.6300000000000008"/>
    <s v="boleto"/>
    <n v="13"/>
    <x v="1"/>
    <x v="2"/>
    <s v="Sao Paulo"/>
  </r>
  <r>
    <s v="3905a00bbf19b69bc9875bd40c6fcf5c"/>
    <s v="2017-11-15"/>
    <x v="12"/>
    <x v="1"/>
    <x v="0"/>
    <n v="1"/>
    <n v="345.62"/>
    <n v="17.170000000000002"/>
    <s v="credit_card"/>
    <n v="13"/>
    <x v="1"/>
    <x v="2"/>
    <s v="Rio Grande do Sul"/>
  </r>
  <r>
    <s v="8c40ac9725c892399870b555b8d45978"/>
    <s v="2017-11-15"/>
    <x v="12"/>
    <x v="3"/>
    <x v="1"/>
    <n v="1"/>
    <n v="79"/>
    <n v="12.05"/>
    <s v="credit_card"/>
    <m/>
    <x v="0"/>
    <x v="0"/>
    <s v="Sao Paulo"/>
  </r>
  <r>
    <s v="87f3e0c786f2e675979bd0d0778cd9dc"/>
    <s v="2017-11-15"/>
    <x v="12"/>
    <x v="3"/>
    <x v="4"/>
    <n v="1"/>
    <n v="229.7"/>
    <n v="13.95"/>
    <s v="credit_card"/>
    <n v="6"/>
    <x v="1"/>
    <x v="2"/>
    <s v="Sao Paulo"/>
  </r>
  <r>
    <s v="a640d10af396f0aa5f1c751f1f976bdc"/>
    <s v="2017-11-15"/>
    <x v="12"/>
    <x v="3"/>
    <x v="2"/>
    <n v="1"/>
    <n v="34.99"/>
    <n v="8.7200000000000006"/>
    <s v="boleto"/>
    <n v="5"/>
    <x v="1"/>
    <x v="5"/>
    <s v="Sao Paulo"/>
  </r>
  <r>
    <s v="886cadc098626f2e17d54f76b7bac8bd"/>
    <s v="2017-11-15"/>
    <x v="12"/>
    <x v="4"/>
    <x v="1"/>
    <n v="1"/>
    <n v="99.99"/>
    <n v="15.46"/>
    <s v="credit_card"/>
    <n v="18"/>
    <x v="1"/>
    <x v="2"/>
    <s v="Rio de Janeiro"/>
  </r>
  <r>
    <s v="5a5a4a1319679a5e560257abd2fa1273"/>
    <s v="2017-11-15"/>
    <x v="12"/>
    <x v="21"/>
    <x v="7"/>
    <n v="1"/>
    <n v="89.99"/>
    <n v="43"/>
    <s v="credit_card"/>
    <n v="12"/>
    <x v="1"/>
    <x v="5"/>
    <s v="Bahia"/>
  </r>
  <r>
    <s v="e1e968a372e80f44b16ab1dabcbca579"/>
    <s v="2017-11-15"/>
    <x v="12"/>
    <x v="3"/>
    <x v="14"/>
    <n v="1"/>
    <n v="49.99"/>
    <n v="11.85"/>
    <s v="credit_card"/>
    <n v="7"/>
    <x v="1"/>
    <x v="1"/>
    <s v="Sao Paulo"/>
  </r>
  <r>
    <s v="17c765461652f9154943bd66875b0686"/>
    <s v="2017-11-15"/>
    <x v="12"/>
    <x v="4"/>
    <x v="20"/>
    <n v="1"/>
    <n v="72.989999999999995"/>
    <n v="16.760000000000002"/>
    <s v="voucher"/>
    <n v="16"/>
    <x v="1"/>
    <x v="2"/>
    <s v="Rio de Janeiro"/>
  </r>
  <r>
    <s v="0eae0847dbceff8611d706710c724ee2"/>
    <s v="2017-11-16"/>
    <x v="12"/>
    <x v="1"/>
    <x v="22"/>
    <n v="1"/>
    <n v="29"/>
    <n v="14.1"/>
    <s v="boleto"/>
    <n v="25"/>
    <x v="2"/>
    <x v="2"/>
    <s v="Rio Grande do Sul"/>
  </r>
  <r>
    <s v="7bbb6edafc3614ad57fb17a6ae04a502"/>
    <s v="2017-11-16"/>
    <x v="12"/>
    <x v="3"/>
    <x v="13"/>
    <n v="2"/>
    <n v="172.5"/>
    <n v="27.37"/>
    <s v="credit_card"/>
    <n v="12"/>
    <x v="1"/>
    <x v="3"/>
    <s v="Sao Paulo"/>
  </r>
  <r>
    <s v="086f8f18f98299e22931d762c63db2b8"/>
    <s v="2017-11-16"/>
    <x v="12"/>
    <x v="1"/>
    <x v="7"/>
    <n v="1"/>
    <n v="2029"/>
    <n v="121.22"/>
    <s v="credit_card"/>
    <n v="8"/>
    <x v="1"/>
    <x v="2"/>
    <s v="Rio Grande do Sul"/>
  </r>
  <r>
    <s v="7827425b5eac9f9df63f65d9bb7f6a25"/>
    <s v="2017-11-16"/>
    <x v="12"/>
    <x v="6"/>
    <x v="22"/>
    <n v="1"/>
    <n v="249.8"/>
    <n v="19.03"/>
    <s v="credit_card"/>
    <n v="13"/>
    <x v="1"/>
    <x v="3"/>
    <s v="Pernambuco"/>
  </r>
  <r>
    <s v="2d3ee63d21894eb0e7c3879fa3f9b0d1"/>
    <s v="2017-11-16"/>
    <x v="12"/>
    <x v="3"/>
    <x v="20"/>
    <n v="1"/>
    <n v="72.989999999999995"/>
    <n v="11.73"/>
    <s v="boleto"/>
    <n v="5"/>
    <x v="1"/>
    <x v="2"/>
    <s v="Sao Paulo"/>
  </r>
  <r>
    <s v="088a21dbb29d74a07738fb93a96b507a"/>
    <s v="2017-11-16"/>
    <x v="12"/>
    <x v="21"/>
    <x v="7"/>
    <n v="3"/>
    <n v="269.97000000000003"/>
    <n v="151.5"/>
    <s v="boleto"/>
    <n v="13"/>
    <x v="1"/>
    <x v="2"/>
    <s v="Bahia"/>
  </r>
  <r>
    <s v="32c18d30cd806e094dffaa4a7c4c0c7e"/>
    <s v="2017-11-16"/>
    <x v="12"/>
    <x v="3"/>
    <x v="34"/>
    <n v="1"/>
    <n v="35.9"/>
    <n v="13.37"/>
    <s v="credit_card"/>
    <n v="13"/>
    <x v="1"/>
    <x v="3"/>
    <s v="Sao Paulo"/>
  </r>
  <r>
    <s v="dff7f8766eb0c26b8cfbc2147c33e1e4"/>
    <s v="2017-11-16"/>
    <x v="12"/>
    <x v="5"/>
    <x v="9"/>
    <n v="1"/>
    <n v="80"/>
    <n v="20.96"/>
    <s v="credit_card"/>
    <n v="12"/>
    <x v="1"/>
    <x v="2"/>
    <s v="Parana"/>
  </r>
  <r>
    <s v="a2f9ff7df829bc4345e5cf8b5bab2e85"/>
    <s v="2017-11-16"/>
    <x v="12"/>
    <x v="5"/>
    <x v="4"/>
    <n v="1"/>
    <n v="45"/>
    <n v="14.1"/>
    <s v="credit_card"/>
    <n v="8"/>
    <x v="1"/>
    <x v="3"/>
    <s v="Parana"/>
  </r>
  <r>
    <s v="a1fa8465f15178a62e2429d53c230d99"/>
    <s v="2017-11-16"/>
    <x v="12"/>
    <x v="3"/>
    <x v="22"/>
    <n v="1"/>
    <n v="119.39"/>
    <n v="8.09"/>
    <s v="credit_card"/>
    <n v="6"/>
    <x v="1"/>
    <x v="2"/>
    <s v="Sao Paulo"/>
  </r>
  <r>
    <s v="8a4902db3aa7fdf0a39bf75a14697e2d"/>
    <s v="2017-11-16"/>
    <x v="12"/>
    <x v="4"/>
    <x v="2"/>
    <n v="1"/>
    <n v="50.7"/>
    <n v="17.600000000000001"/>
    <s v="credit_card"/>
    <n v="11"/>
    <x v="1"/>
    <x v="2"/>
    <s v="Rio de Janeiro"/>
  </r>
  <r>
    <s v="afbb859246fee92c1850a6e8bf1a9854"/>
    <s v="2017-11-16"/>
    <x v="12"/>
    <x v="4"/>
    <x v="0"/>
    <n v="1"/>
    <n v="12.99"/>
    <n v="14.1"/>
    <s v="boleto"/>
    <n v="11"/>
    <x v="1"/>
    <x v="3"/>
    <s v="Rio de Janeiro"/>
  </r>
  <r>
    <s v="e38994925b350c88bd9b885f0b726439"/>
    <s v="2017-11-17"/>
    <x v="12"/>
    <x v="1"/>
    <x v="9"/>
    <n v="1"/>
    <n v="38.4"/>
    <n v="16.11"/>
    <s v="boleto"/>
    <n v="17"/>
    <x v="1"/>
    <x v="2"/>
    <s v="Rio Grande do Sul"/>
  </r>
  <r>
    <s v="b591d108e5c3f485635223ddaf07dc36"/>
    <s v="2017-11-17"/>
    <x v="12"/>
    <x v="3"/>
    <x v="17"/>
    <n v="1"/>
    <n v="23.7"/>
    <n v="11.85"/>
    <s v="credit_card"/>
    <n v="11"/>
    <x v="1"/>
    <x v="2"/>
    <s v="Sao Paulo"/>
  </r>
  <r>
    <s v="6fb0ec015d5b4e5f4031a61d1a6e1f64"/>
    <s v="2017-11-17"/>
    <x v="12"/>
    <x v="3"/>
    <x v="22"/>
    <n v="1"/>
    <n v="219.9"/>
    <n v="14.56"/>
    <s v="credit_card"/>
    <n v="5"/>
    <x v="1"/>
    <x v="2"/>
    <s v="Sao Paulo"/>
  </r>
  <r>
    <s v="08523d94685d7c7efc1381136873cab3"/>
    <s v="2017-11-17"/>
    <x v="12"/>
    <x v="8"/>
    <x v="0"/>
    <n v="1"/>
    <n v="75"/>
    <n v="21.02"/>
    <s v="boleto"/>
    <n v="18"/>
    <x v="1"/>
    <x v="2"/>
    <s v="Santa Catarina"/>
  </r>
  <r>
    <s v="7bd0fa93f3aecfd0f0cd772c59c848e6"/>
    <s v="2017-11-17"/>
    <x v="12"/>
    <x v="3"/>
    <x v="14"/>
    <n v="1"/>
    <n v="114.9"/>
    <n v="13.82"/>
    <s v="credit_card"/>
    <n v="10"/>
    <x v="1"/>
    <x v="3"/>
    <s v="Sao Paulo"/>
  </r>
  <r>
    <s v="8fb9e44943fd93ec9a5eed36cce925c5"/>
    <s v="2017-11-17"/>
    <x v="12"/>
    <x v="3"/>
    <x v="4"/>
    <n v="1"/>
    <n v="299.99"/>
    <n v="19.989999999999998"/>
    <s v="credit_card"/>
    <n v="5"/>
    <x v="1"/>
    <x v="3"/>
    <s v="Sao Paulo"/>
  </r>
  <r>
    <s v="60eeb6cfb0da0d3db8ccd8a0ca15f272"/>
    <s v="2017-11-17"/>
    <x v="12"/>
    <x v="18"/>
    <x v="12"/>
    <n v="1"/>
    <n v="59.9"/>
    <n v="18.96"/>
    <s v="credit_card"/>
    <n v="10"/>
    <x v="1"/>
    <x v="3"/>
    <s v="Distrito Federal"/>
  </r>
  <r>
    <s v="c4746ccd04aef8864a52efd2b5fa6c1f"/>
    <s v="2017-11-18"/>
    <x v="12"/>
    <x v="20"/>
    <x v="5"/>
    <n v="1"/>
    <n v="149.9"/>
    <n v="19.59"/>
    <s v="boleto"/>
    <n v="19"/>
    <x v="1"/>
    <x v="3"/>
    <s v="Tocantins"/>
  </r>
  <r>
    <s v="f4bfb8dea9ecdb8ecff6f92691e8f45d"/>
    <s v="2017-11-18"/>
    <x v="12"/>
    <x v="3"/>
    <x v="4"/>
    <n v="1"/>
    <n v="45.73"/>
    <n v="11.85"/>
    <s v="voucher"/>
    <n v="6"/>
    <x v="1"/>
    <x v="2"/>
    <s v="Sao Paulo"/>
  </r>
  <r>
    <s v="3ba9c7e03e16689f18c77e2f5efd2af4"/>
    <s v="2017-11-18"/>
    <x v="12"/>
    <x v="21"/>
    <x v="18"/>
    <n v="1"/>
    <n v="49"/>
    <n v="16.79"/>
    <s v="voucher"/>
    <n v="12"/>
    <x v="1"/>
    <x v="2"/>
    <s v="Bahia"/>
  </r>
  <r>
    <s v="7a818012b467239b762232ca1644c096"/>
    <s v="2017-11-18"/>
    <x v="12"/>
    <x v="17"/>
    <x v="21"/>
    <n v="1"/>
    <n v="299.89999999999998"/>
    <n v="155.47"/>
    <s v="credit_card"/>
    <n v="25"/>
    <x v="1"/>
    <x v="3"/>
    <s v="Rondonia"/>
  </r>
  <r>
    <s v="bb112b59b8f03e372acab987c036fbf3"/>
    <s v="2017-11-18"/>
    <x v="12"/>
    <x v="2"/>
    <x v="14"/>
    <n v="1"/>
    <n v="109.9"/>
    <n v="25.61"/>
    <s v="credit_card"/>
    <n v="16"/>
    <x v="1"/>
    <x v="2"/>
    <s v="Goias"/>
  </r>
  <r>
    <s v="ece8853f47b1069c213415c8b64ad6b3"/>
    <s v="2017-11-18"/>
    <x v="12"/>
    <x v="5"/>
    <x v="4"/>
    <n v="4"/>
    <n v="664.4"/>
    <n v="86.09"/>
    <s v="credit_card"/>
    <n v="6"/>
    <x v="1"/>
    <x v="0"/>
    <s v="Parana"/>
  </r>
  <r>
    <s v="e55981b5cea8072097093592652571ca"/>
    <s v="2017-11-18"/>
    <x v="12"/>
    <x v="3"/>
    <x v="9"/>
    <n v="1"/>
    <n v="349.9"/>
    <n v="18.7"/>
    <s v="credit_card"/>
    <n v="8"/>
    <x v="1"/>
    <x v="2"/>
    <s v="Sao Paulo"/>
  </r>
  <r>
    <s v="991bb9cfd54d9ab89b563df31d3ed95d"/>
    <s v="2017-11-18"/>
    <x v="12"/>
    <x v="7"/>
    <x v="12"/>
    <n v="1"/>
    <n v="48.9"/>
    <n v="16.11"/>
    <s v="credit_card"/>
    <n v="10"/>
    <x v="1"/>
    <x v="2"/>
    <s v="Minas Gerais"/>
  </r>
  <r>
    <s v="f7203d9ccdf6519081031222d1f49788"/>
    <s v="2017-11-18"/>
    <x v="12"/>
    <x v="5"/>
    <x v="13"/>
    <n v="1"/>
    <n v="49.9"/>
    <n v="15.1"/>
    <s v="boleto"/>
    <n v="27"/>
    <x v="2"/>
    <x v="0"/>
    <s v="Parana"/>
  </r>
  <r>
    <s v="cd1ddd0a998b40f3335a4b6d9af53e7f"/>
    <s v="2017-11-18"/>
    <x v="12"/>
    <x v="3"/>
    <x v="12"/>
    <n v="1"/>
    <n v="119.99"/>
    <n v="27.28"/>
    <s v="voucher"/>
    <n v="4"/>
    <x v="1"/>
    <x v="2"/>
    <s v="Sao Paulo"/>
  </r>
  <r>
    <s v="70537c8a3dfbbe79f0d078a43a815d97"/>
    <s v="2017-11-18"/>
    <x v="12"/>
    <x v="1"/>
    <x v="2"/>
    <n v="1"/>
    <n v="99.99"/>
    <n v="18.940000000000001"/>
    <s v="boleto"/>
    <n v="24"/>
    <x v="2"/>
    <x v="3"/>
    <s v="Rio Grande do Sul"/>
  </r>
  <r>
    <s v="a29ff9ad73114cca7be0859ec0cddd74"/>
    <s v="2017-11-19"/>
    <x v="12"/>
    <x v="3"/>
    <x v="14"/>
    <n v="1"/>
    <n v="69.900000000000006"/>
    <n v="12.83"/>
    <s v="credit_card"/>
    <n v="8"/>
    <x v="1"/>
    <x v="2"/>
    <s v="Sao Paulo"/>
  </r>
  <r>
    <s v="bf11d6d45abb67220dbfb9b1f8c09efe"/>
    <s v="2017-11-19"/>
    <x v="12"/>
    <x v="4"/>
    <x v="13"/>
    <n v="1"/>
    <n v="83.41"/>
    <n v="17.829999999999998"/>
    <s v="boleto"/>
    <n v="19"/>
    <x v="1"/>
    <x v="1"/>
    <s v="Rio de Janeiro"/>
  </r>
  <r>
    <s v="f939f0226d610aad8bc41cb7433e5f70"/>
    <s v="2017-11-19"/>
    <x v="12"/>
    <x v="4"/>
    <x v="13"/>
    <n v="1"/>
    <n v="89.9"/>
    <n v="17.88"/>
    <s v="credit_card"/>
    <n v="16"/>
    <x v="1"/>
    <x v="2"/>
    <s v="Rio de Janeiro"/>
  </r>
  <r>
    <s v="82f67231caceb165dadf21bcc8f0ee72"/>
    <s v="2017-11-19"/>
    <x v="12"/>
    <x v="4"/>
    <x v="9"/>
    <n v="1"/>
    <n v="298"/>
    <n v="18.399999999999999"/>
    <s v="credit_card"/>
    <n v="4"/>
    <x v="1"/>
    <x v="2"/>
    <s v="Rio de Janeiro"/>
  </r>
  <r>
    <s v="f12da93bfc1ee01030cea1345a142abb"/>
    <s v="2017-11-19"/>
    <x v="12"/>
    <x v="4"/>
    <x v="6"/>
    <n v="1"/>
    <n v="17.989999999999998"/>
    <n v="14.1"/>
    <s v="credit_card"/>
    <n v="23"/>
    <x v="2"/>
    <x v="3"/>
    <s v="Rio de Janeiro"/>
  </r>
  <r>
    <s v="bb0c66e312ff8cb97698f012cd92553c"/>
    <s v="2017-11-19"/>
    <x v="12"/>
    <x v="3"/>
    <x v="5"/>
    <n v="1"/>
    <n v="56.99"/>
    <n v="8.7200000000000006"/>
    <s v="boleto"/>
    <n v="5"/>
    <x v="1"/>
    <x v="2"/>
    <s v="Sao Paulo"/>
  </r>
  <r>
    <s v="f7f4ddbedac13a064aeb2fe0d513cabd"/>
    <s v="2017-11-19"/>
    <x v="12"/>
    <x v="4"/>
    <x v="9"/>
    <n v="1"/>
    <n v="550"/>
    <n v="145.99"/>
    <s v="credit_card"/>
    <n v="19"/>
    <x v="1"/>
    <x v="3"/>
    <s v="Rio de Janeiro"/>
  </r>
  <r>
    <s v="d1bae3aba9294d4d0cb1141637b50f07"/>
    <s v="2017-11-20"/>
    <x v="12"/>
    <x v="3"/>
    <x v="1"/>
    <n v="1"/>
    <n v="149.99"/>
    <n v="16.809999999999999"/>
    <s v="credit_card"/>
    <n v="5"/>
    <x v="1"/>
    <x v="2"/>
    <s v="Sao Paulo"/>
  </r>
  <r>
    <s v="fec5a30841300e1ebf3aa37f9023f345"/>
    <s v="2017-11-20"/>
    <x v="12"/>
    <x v="4"/>
    <x v="3"/>
    <n v="1"/>
    <n v="24.5"/>
    <n v="15.1"/>
    <s v="credit_card"/>
    <n v="15"/>
    <x v="1"/>
    <x v="3"/>
    <s v="Rio de Janeiro"/>
  </r>
  <r>
    <s v="59f20ac0aae46d0940018c589d3571f4"/>
    <s v="2017-11-20"/>
    <x v="12"/>
    <x v="6"/>
    <x v="0"/>
    <n v="2"/>
    <n v="151.80000000000001"/>
    <n v="51.62"/>
    <s v="credit_card"/>
    <n v="8"/>
    <x v="1"/>
    <x v="0"/>
    <s v="Pernambuco"/>
  </r>
  <r>
    <s v="2a680095a7549ad07085fb6863f91316"/>
    <s v="2017-11-20"/>
    <x v="12"/>
    <x v="3"/>
    <x v="14"/>
    <n v="1"/>
    <n v="24.9"/>
    <n v="9.09"/>
    <s v="boleto"/>
    <n v="3"/>
    <x v="1"/>
    <x v="2"/>
    <s v="Sao Paulo"/>
  </r>
  <r>
    <s v="338fbd3c36de682efeb03bf89d62ae95"/>
    <s v="2017-11-20"/>
    <x v="12"/>
    <x v="3"/>
    <x v="14"/>
    <n v="1"/>
    <n v="89.9"/>
    <n v="12.33"/>
    <s v="debit_card"/>
    <n v="2"/>
    <x v="1"/>
    <x v="2"/>
    <s v="Sao Paulo"/>
  </r>
  <r>
    <s v="21e532e1fe87c6d6f72b17543a12af1a"/>
    <s v="2017-11-20"/>
    <x v="12"/>
    <x v="4"/>
    <x v="2"/>
    <n v="1"/>
    <n v="35.9"/>
    <n v="14.1"/>
    <s v="credit_card"/>
    <n v="4"/>
    <x v="1"/>
    <x v="2"/>
    <s v="Rio de Janeiro"/>
  </r>
  <r>
    <s v="884ddcd0965c8f4d41006f07efa3c32b"/>
    <s v="2017-11-20"/>
    <x v="12"/>
    <x v="3"/>
    <x v="2"/>
    <n v="1"/>
    <n v="99.9"/>
    <n v="13.72"/>
    <s v="credit_card"/>
    <m/>
    <x v="0"/>
    <x v="5"/>
    <s v="Sao Paulo"/>
  </r>
  <r>
    <s v="5ee31cacb02c4f421f938c50e446185b"/>
    <s v="2017-11-20"/>
    <x v="12"/>
    <x v="3"/>
    <x v="19"/>
    <n v="3"/>
    <n v="89.4"/>
    <n v="35.549999999999997"/>
    <s v="credit_card"/>
    <n v="21"/>
    <x v="2"/>
    <x v="0"/>
    <s v="Sao Paulo"/>
  </r>
  <r>
    <s v="b0200fb90c91c50e3310f7f78f68fdfc"/>
    <s v="2017-11-20"/>
    <x v="12"/>
    <x v="5"/>
    <x v="0"/>
    <n v="1"/>
    <n v="269.89999999999998"/>
    <n v="60.9"/>
    <s v="boleto"/>
    <n v="15"/>
    <x v="1"/>
    <x v="2"/>
    <s v="Parana"/>
  </r>
  <r>
    <s v="3296617b0f860015465b3259c42115b2"/>
    <s v="2017-11-20"/>
    <x v="12"/>
    <x v="1"/>
    <x v="22"/>
    <n v="1"/>
    <n v="55"/>
    <n v="16.829999999999998"/>
    <s v="boleto"/>
    <n v="14"/>
    <x v="1"/>
    <x v="2"/>
    <s v="Rio Grande do Sul"/>
  </r>
  <r>
    <s v="077700dcf4e3bb4128459fc825a4056c"/>
    <s v="2017-11-20"/>
    <x v="12"/>
    <x v="7"/>
    <x v="22"/>
    <n v="1"/>
    <n v="199.9"/>
    <n v="15.15"/>
    <s v="credit_card"/>
    <n v="9"/>
    <x v="1"/>
    <x v="2"/>
    <s v="Minas Gerais"/>
  </r>
  <r>
    <s v="19802314932831a78e4f0e3dead30f83"/>
    <s v="2017-11-20"/>
    <x v="12"/>
    <x v="12"/>
    <x v="18"/>
    <n v="1"/>
    <n v="119.99"/>
    <n v="19.38"/>
    <s v="credit_card"/>
    <m/>
    <x v="0"/>
    <x v="0"/>
    <s v="Ceara"/>
  </r>
  <r>
    <s v="b95698cb2b294e6656ad89f313fab791"/>
    <s v="2017-11-20"/>
    <x v="12"/>
    <x v="2"/>
    <x v="19"/>
    <n v="1"/>
    <n v="114.9"/>
    <n v="18.05"/>
    <s v="credit_card"/>
    <n v="22"/>
    <x v="1"/>
    <x v="2"/>
    <s v="Goias"/>
  </r>
  <r>
    <s v="81d7555ffbde7261c34dca2bc0c03a06"/>
    <s v="2017-11-20"/>
    <x v="12"/>
    <x v="3"/>
    <x v="4"/>
    <n v="1"/>
    <n v="169.99"/>
    <n v="13.32"/>
    <s v="credit_card"/>
    <n v="7"/>
    <x v="1"/>
    <x v="2"/>
    <s v="Sao Paulo"/>
  </r>
  <r>
    <s v="e1c810cb179481ffaa80d2cb9585933d"/>
    <s v="2017-11-21"/>
    <x v="12"/>
    <x v="3"/>
    <x v="0"/>
    <n v="1"/>
    <n v="39.9"/>
    <n v="15.11"/>
    <s v="voucher"/>
    <n v="2"/>
    <x v="1"/>
    <x v="2"/>
    <s v="Sao Paulo"/>
  </r>
  <r>
    <s v="6aa2fc0ec99ae145158d9f9f790ada82"/>
    <s v="2017-11-21"/>
    <x v="12"/>
    <x v="7"/>
    <x v="1"/>
    <n v="1"/>
    <n v="36"/>
    <n v="12.69"/>
    <s v="boleto"/>
    <n v="28"/>
    <x v="2"/>
    <x v="1"/>
    <s v="Minas Gerais"/>
  </r>
  <r>
    <s v="a7b2dea846384ba7e7e9577dc8c5bd54"/>
    <s v="2017-11-21"/>
    <x v="12"/>
    <x v="3"/>
    <x v="19"/>
    <n v="1"/>
    <n v="58.9"/>
    <n v="14.13"/>
    <s v="credit_card"/>
    <n v="6"/>
    <x v="1"/>
    <x v="2"/>
    <s v="Sao Paulo"/>
  </r>
  <r>
    <s v="c8cc1b9b063cd184da9dd5293346a11a"/>
    <s v="2017-11-21"/>
    <x v="12"/>
    <x v="3"/>
    <x v="12"/>
    <n v="2"/>
    <n v="59.8"/>
    <n v="23.7"/>
    <s v="credit_card"/>
    <n v="12"/>
    <x v="1"/>
    <x v="3"/>
    <s v="Sao Paulo"/>
  </r>
  <r>
    <s v="7d1ce7457c6de5e26ff0d58b395befb6"/>
    <s v="2017-11-21"/>
    <x v="12"/>
    <x v="1"/>
    <x v="34"/>
    <n v="1"/>
    <n v="43.9"/>
    <n v="25.19"/>
    <s v="boleto"/>
    <n v="20"/>
    <x v="1"/>
    <x v="3"/>
    <s v="Rio Grande do Sul"/>
  </r>
  <r>
    <s v="46c820acb13d40759d9cf3941fb7a47d"/>
    <s v="2017-11-21"/>
    <x v="12"/>
    <x v="4"/>
    <x v="7"/>
    <n v="1"/>
    <n v="59.9"/>
    <n v="17.670000000000002"/>
    <s v="credit_card"/>
    <n v="17"/>
    <x v="1"/>
    <x v="2"/>
    <s v="Rio de Janeiro"/>
  </r>
  <r>
    <s v="61ef5e0982e79d6bdb7d3734b7ed8df7"/>
    <s v="2017-11-21"/>
    <x v="12"/>
    <x v="7"/>
    <x v="14"/>
    <n v="1"/>
    <n v="114.9"/>
    <n v="18.05"/>
    <s v="credit_card"/>
    <n v="7"/>
    <x v="1"/>
    <x v="3"/>
    <s v="Minas Gerais"/>
  </r>
  <r>
    <s v="a9b4d68c2c9921f6475ffb650b6c41bd"/>
    <s v="2017-11-21"/>
    <x v="12"/>
    <x v="3"/>
    <x v="19"/>
    <n v="1"/>
    <n v="12.99"/>
    <n v="11.73"/>
    <s v="boleto"/>
    <n v="10"/>
    <x v="1"/>
    <x v="2"/>
    <s v="Sao Paulo"/>
  </r>
  <r>
    <s v="52ed4ea43ae701531f7a3a18b16783f8"/>
    <s v="2017-11-21"/>
    <x v="12"/>
    <x v="3"/>
    <x v="6"/>
    <n v="1"/>
    <n v="19.899999999999999"/>
    <n v="7.78"/>
    <s v="credit_card"/>
    <n v="6"/>
    <x v="1"/>
    <x v="2"/>
    <s v="Sao Paulo"/>
  </r>
  <r>
    <s v="82905f4b411a687464762216db4424b2"/>
    <s v="2017-11-21"/>
    <x v="12"/>
    <x v="8"/>
    <x v="26"/>
    <n v="1"/>
    <n v="122.99"/>
    <n v="15.61"/>
    <s v="credit_card"/>
    <n v="27"/>
    <x v="2"/>
    <x v="0"/>
    <s v="Santa Catarina"/>
  </r>
  <r>
    <s v="182b04723eb5306a7d96bdec43fbd51e"/>
    <s v="2017-11-21"/>
    <x v="12"/>
    <x v="7"/>
    <x v="25"/>
    <n v="2"/>
    <n v="110"/>
    <n v="33.659999999999997"/>
    <s v="credit_card"/>
    <n v="14"/>
    <x v="1"/>
    <x v="3"/>
    <s v="Minas Gerais"/>
  </r>
  <r>
    <s v="13430fd38aeb09240481e4aade4a19fc"/>
    <s v="2017-11-21"/>
    <x v="12"/>
    <x v="7"/>
    <x v="18"/>
    <n v="1"/>
    <n v="28.9"/>
    <n v="15.1"/>
    <s v="credit_card"/>
    <n v="8"/>
    <x v="1"/>
    <x v="2"/>
    <s v="Minas Gerais"/>
  </r>
  <r>
    <s v="2ef02afb7f805f2864894d1477e29443"/>
    <s v="2017-11-21"/>
    <x v="12"/>
    <x v="3"/>
    <x v="1"/>
    <n v="1"/>
    <n v="51.99"/>
    <n v="13.51"/>
    <s v="credit_card"/>
    <n v="5"/>
    <x v="1"/>
    <x v="1"/>
    <s v="Sao Paulo"/>
  </r>
  <r>
    <s v="4fee0b89c704a8bb6a4431a63025b6da"/>
    <s v="2017-11-21"/>
    <x v="12"/>
    <x v="3"/>
    <x v="1"/>
    <n v="1"/>
    <n v="219.9"/>
    <n v="23.86"/>
    <s v="credit_card"/>
    <n v="15"/>
    <x v="1"/>
    <x v="2"/>
    <s v="Sao Paulo"/>
  </r>
  <r>
    <s v="f4e085544efde9d6743c281b3454a482"/>
    <s v="2017-11-21"/>
    <x v="12"/>
    <x v="3"/>
    <x v="6"/>
    <n v="1"/>
    <n v="43.99"/>
    <n v="7.78"/>
    <s v="credit_card"/>
    <n v="2"/>
    <x v="1"/>
    <x v="2"/>
    <s v="Sao Paulo"/>
  </r>
  <r>
    <s v="3a70ea20517224ef5bcb72742f0cc439"/>
    <s v="2017-11-21"/>
    <x v="12"/>
    <x v="4"/>
    <x v="14"/>
    <n v="1"/>
    <n v="105.9"/>
    <n v="17.989999999999998"/>
    <s v="boleto"/>
    <n v="27"/>
    <x v="2"/>
    <x v="0"/>
    <s v="Rio de Janeiro"/>
  </r>
  <r>
    <s v="47a53fe6f92821c8b0ecd40dedee5d6a"/>
    <s v="2017-11-22"/>
    <x v="12"/>
    <x v="18"/>
    <x v="4"/>
    <n v="1"/>
    <n v="759.9"/>
    <n v="30.6"/>
    <s v="credit_card"/>
    <n v="7"/>
    <x v="1"/>
    <x v="2"/>
    <s v="Distrito Federal"/>
  </r>
  <r>
    <s v="e8c9b0d66cadc26a3f329d777f0eff7f"/>
    <s v="2017-11-22"/>
    <x v="12"/>
    <x v="21"/>
    <x v="23"/>
    <n v="1"/>
    <n v="29.9"/>
    <n v="25.63"/>
    <s v="credit_card"/>
    <n v="19"/>
    <x v="1"/>
    <x v="2"/>
    <s v="Bahia"/>
  </r>
  <r>
    <s v="bbd1b9ebbc5a09d51caaa2d10e0f93b5"/>
    <s v="2017-11-22"/>
    <x v="12"/>
    <x v="5"/>
    <x v="19"/>
    <n v="1"/>
    <n v="72"/>
    <n v="14.25"/>
    <s v="credit_card"/>
    <n v="34"/>
    <x v="2"/>
    <x v="5"/>
    <s v="Parana"/>
  </r>
  <r>
    <s v="e801a93b3904ca9e8350f176a037047b"/>
    <s v="2017-11-22"/>
    <x v="12"/>
    <x v="7"/>
    <x v="22"/>
    <n v="1"/>
    <n v="29"/>
    <n v="15.1"/>
    <s v="credit_card"/>
    <n v="9"/>
    <x v="1"/>
    <x v="2"/>
    <s v="Minas Gerais"/>
  </r>
  <r>
    <s v="a92733241b636a8ffddd05c56714d32d"/>
    <s v="2017-11-22"/>
    <x v="12"/>
    <x v="13"/>
    <x v="4"/>
    <n v="1"/>
    <n v="31.9"/>
    <n v="34.15"/>
    <s v="credit_card"/>
    <n v="14"/>
    <x v="1"/>
    <x v="2"/>
    <s v="Maranhao"/>
  </r>
  <r>
    <s v="994486484c66c852cd60fed6ff0da2f9"/>
    <s v="2017-11-22"/>
    <x v="12"/>
    <x v="4"/>
    <x v="7"/>
    <n v="1"/>
    <n v="59.9"/>
    <n v="17.670000000000002"/>
    <s v="boleto"/>
    <n v="25"/>
    <x v="2"/>
    <x v="0"/>
    <s v="Rio de Janeiro"/>
  </r>
  <r>
    <s v="4c1fd23882ba19dd4163989a484ad75c"/>
    <s v="2017-11-22"/>
    <x v="12"/>
    <x v="12"/>
    <x v="13"/>
    <n v="2"/>
    <n v="103.8"/>
    <n v="51.28"/>
    <s v="credit_card"/>
    <n v="16"/>
    <x v="1"/>
    <x v="2"/>
    <s v="Ceara"/>
  </r>
  <r>
    <s v="6a0a8bfbbe700284feb0845d95e0867f"/>
    <s v="2017-11-22"/>
    <x v="12"/>
    <x v="4"/>
    <x v="0"/>
    <n v="1"/>
    <n v="83.9"/>
    <n v="17.84"/>
    <s v="credit_card"/>
    <n v="36"/>
    <x v="2"/>
    <x v="0"/>
    <s v="Rio de Janeiro"/>
  </r>
  <r>
    <s v="e21f5c7662bfd911118d391867417f49"/>
    <s v="2017-11-22"/>
    <x v="12"/>
    <x v="7"/>
    <x v="1"/>
    <n v="1"/>
    <n v="139"/>
    <n v="18.54"/>
    <s v="credit_card"/>
    <n v="14"/>
    <x v="1"/>
    <x v="1"/>
    <s v="Minas Gerais"/>
  </r>
  <r>
    <s v="4382b2408a28f4f8ab2a7012590b6287"/>
    <s v="2017-11-22"/>
    <x v="12"/>
    <x v="3"/>
    <x v="5"/>
    <n v="1"/>
    <n v="53.99"/>
    <n v="7.78"/>
    <s v="boleto"/>
    <n v="5"/>
    <x v="1"/>
    <x v="2"/>
    <s v="Sao Paulo"/>
  </r>
  <r>
    <s v="96130f6fd199488da9de47d29027d10c"/>
    <s v="2017-11-22"/>
    <x v="12"/>
    <x v="7"/>
    <x v="19"/>
    <n v="1"/>
    <n v="799"/>
    <n v="19.32"/>
    <s v="credit_card"/>
    <n v="7"/>
    <x v="1"/>
    <x v="2"/>
    <s v="Minas Gerais"/>
  </r>
  <r>
    <s v="788688f686c6ef04e7eb60e4ba103ffd"/>
    <s v="2017-11-22"/>
    <x v="12"/>
    <x v="26"/>
    <x v="45"/>
    <n v="1"/>
    <n v="249"/>
    <n v="24.06"/>
    <s v="boleto"/>
    <n v="19"/>
    <x v="1"/>
    <x v="2"/>
    <s v="Paraiba"/>
  </r>
  <r>
    <s v="6ed3f553337457d7804e8c39b580ce89"/>
    <s v="2017-11-22"/>
    <x v="12"/>
    <x v="3"/>
    <x v="14"/>
    <n v="1"/>
    <n v="99.9"/>
    <n v="13.72"/>
    <s v="credit_card"/>
    <n v="9"/>
    <x v="1"/>
    <x v="1"/>
    <s v="Sao Paulo"/>
  </r>
  <r>
    <s v="871785b214cc8a90e501c4a4200f25e4"/>
    <s v="2017-11-22"/>
    <x v="12"/>
    <x v="3"/>
    <x v="22"/>
    <n v="1"/>
    <n v="55"/>
    <n v="7.78"/>
    <s v="credit_card"/>
    <n v="6"/>
    <x v="1"/>
    <x v="0"/>
    <s v="Sao Paulo"/>
  </r>
  <r>
    <s v="53619dd8d4a6a651b7e864560eb84fa6"/>
    <s v="2017-11-23"/>
    <x v="12"/>
    <x v="12"/>
    <x v="2"/>
    <n v="1"/>
    <n v="99.99"/>
    <n v="21.5"/>
    <s v="credit_card"/>
    <n v="29"/>
    <x v="2"/>
    <x v="0"/>
    <s v="Ceara"/>
  </r>
  <r>
    <s v="0953ccb40a8fb30d5fd5ce0c06bbf4ad"/>
    <s v="2017-11-23"/>
    <x v="12"/>
    <x v="4"/>
    <x v="5"/>
    <n v="1"/>
    <n v="84.99"/>
    <n v="15.35"/>
    <s v="credit_card"/>
    <n v="6"/>
    <x v="1"/>
    <x v="2"/>
    <s v="Rio de Janeiro"/>
  </r>
  <r>
    <s v="3a50c763032329859ffb4b2812960c7d"/>
    <s v="2017-11-23"/>
    <x v="12"/>
    <x v="7"/>
    <x v="14"/>
    <n v="1"/>
    <n v="39.99"/>
    <n v="15.1"/>
    <s v="boleto"/>
    <n v="20"/>
    <x v="1"/>
    <x v="2"/>
    <s v="Minas Gerais"/>
  </r>
  <r>
    <s v="dbdd3beb8869ae263445924f3f08a695"/>
    <s v="2017-11-23"/>
    <x v="12"/>
    <x v="1"/>
    <x v="14"/>
    <n v="1"/>
    <n v="132.76"/>
    <n v="21.42"/>
    <s v="credit_card"/>
    <n v="28"/>
    <x v="1"/>
    <x v="5"/>
    <s v="Rio Grande do Sul"/>
  </r>
  <r>
    <s v="cf8e0bf248046a2be2b5ed74b01f98b2"/>
    <s v="2017-11-23"/>
    <x v="12"/>
    <x v="7"/>
    <x v="20"/>
    <n v="1"/>
    <n v="164.9"/>
    <n v="16.91"/>
    <s v="boleto"/>
    <n v="26"/>
    <x v="1"/>
    <x v="2"/>
    <s v="Minas Gerais"/>
  </r>
  <r>
    <s v="c8e35783a2527cdf286c54e2ae9727db"/>
    <s v="2017-11-23"/>
    <x v="12"/>
    <x v="22"/>
    <x v="14"/>
    <n v="1"/>
    <n v="109.9"/>
    <n v="18.02"/>
    <s v="credit_card"/>
    <n v="41"/>
    <x v="2"/>
    <x v="5"/>
    <s v="Espirito Santo"/>
  </r>
  <r>
    <s v="5afac0b7cff137da6d13251afc7329c9"/>
    <s v="2017-11-23"/>
    <x v="12"/>
    <x v="12"/>
    <x v="14"/>
    <n v="1"/>
    <n v="44.99"/>
    <n v="28.75"/>
    <s v="credit_card"/>
    <n v="22"/>
    <x v="1"/>
    <x v="2"/>
    <s v="Ceara"/>
  </r>
  <r>
    <s v="7f2810de522b451a990407ada69ff9d0"/>
    <s v="2017-11-23"/>
    <x v="12"/>
    <x v="5"/>
    <x v="2"/>
    <n v="1"/>
    <n v="129.80000000000001"/>
    <n v="39.840000000000003"/>
    <s v="credit_card"/>
    <n v="7"/>
    <x v="1"/>
    <x v="2"/>
    <s v="Parana"/>
  </r>
  <r>
    <s v="f5e8dd6f3cfc89bc152991875437aaa2"/>
    <s v="2017-11-23"/>
    <x v="12"/>
    <x v="8"/>
    <x v="0"/>
    <n v="2"/>
    <n v="25.98"/>
    <n v="35.200000000000003"/>
    <s v="credit_card"/>
    <n v="7"/>
    <x v="1"/>
    <x v="0"/>
    <s v="Santa Catarina"/>
  </r>
  <r>
    <s v="568360f5a6800365ddcbe2fcf69fdbbe"/>
    <s v="2017-11-23"/>
    <x v="12"/>
    <x v="4"/>
    <x v="0"/>
    <n v="1"/>
    <n v="118.5"/>
    <n v="27.15"/>
    <s v="credit_card"/>
    <n v="19"/>
    <x v="1"/>
    <x v="2"/>
    <s v="Rio de Janeiro"/>
  </r>
  <r>
    <s v="1d8f8ed077e12bbaeb0ee6675167d40f"/>
    <s v="2017-11-23"/>
    <x v="12"/>
    <x v="8"/>
    <x v="25"/>
    <n v="1"/>
    <n v="34.9"/>
    <n v="17.600000000000001"/>
    <s v="credit_card"/>
    <n v="14"/>
    <x v="1"/>
    <x v="2"/>
    <s v="Santa Catarina"/>
  </r>
  <r>
    <s v="45dcb58c5c287e7fdf32ba72e75bc177"/>
    <s v="2017-11-23"/>
    <x v="12"/>
    <x v="8"/>
    <x v="7"/>
    <n v="1"/>
    <n v="49"/>
    <n v="17.64"/>
    <s v="boleto"/>
    <n v="20"/>
    <x v="1"/>
    <x v="2"/>
    <s v="Santa Catarina"/>
  </r>
  <r>
    <s v="86d0ef425e0811afd544b52543fb4152"/>
    <s v="2017-11-23"/>
    <x v="12"/>
    <x v="4"/>
    <x v="4"/>
    <n v="1"/>
    <n v="175.9"/>
    <n v="17.670000000000002"/>
    <s v="credit_card"/>
    <n v="25"/>
    <x v="2"/>
    <x v="1"/>
    <s v="Rio de Janeiro"/>
  </r>
  <r>
    <s v="0c7ccdb239bd524a31dc66094fa59626"/>
    <s v="2017-11-23"/>
    <x v="12"/>
    <x v="3"/>
    <x v="3"/>
    <n v="1"/>
    <n v="40"/>
    <n v="15.1"/>
    <s v="boleto"/>
    <n v="11"/>
    <x v="1"/>
    <x v="2"/>
    <s v="Sao Paulo"/>
  </r>
  <r>
    <s v="52cafd5349b83c44cef90c267012a0d2"/>
    <s v="2017-11-23"/>
    <x v="12"/>
    <x v="3"/>
    <x v="26"/>
    <n v="2"/>
    <n v="199.98"/>
    <n v="30.92"/>
    <s v="credit_card"/>
    <n v="12"/>
    <x v="1"/>
    <x v="0"/>
    <s v="Sao Paulo"/>
  </r>
  <r>
    <s v="b8b6924f004e191923963e8ab1655ed9"/>
    <s v="2017-11-23"/>
    <x v="12"/>
    <x v="4"/>
    <x v="22"/>
    <n v="1"/>
    <n v="170"/>
    <n v="21.68"/>
    <s v="credit_card"/>
    <n v="27"/>
    <x v="2"/>
    <x v="5"/>
    <s v="Rio de Janeiro"/>
  </r>
  <r>
    <s v="5c748cfa838e65b06c230b1f917ec95e"/>
    <s v="2017-11-23"/>
    <x v="12"/>
    <x v="21"/>
    <x v="6"/>
    <n v="1"/>
    <n v="24.99"/>
    <n v="15.79"/>
    <s v="credit_card"/>
    <n v="16"/>
    <x v="1"/>
    <x v="2"/>
    <s v="Bahia"/>
  </r>
  <r>
    <s v="37e87d7b071633ba92f5ef06491b781a"/>
    <s v="2017-11-23"/>
    <x v="12"/>
    <x v="4"/>
    <x v="5"/>
    <n v="1"/>
    <n v="339.9"/>
    <n v="11.79"/>
    <s v="credit_card"/>
    <n v="6"/>
    <x v="1"/>
    <x v="2"/>
    <s v="Rio de Janeiro"/>
  </r>
  <r>
    <s v="6a7509b21939697564bb0b5aac2c8187"/>
    <s v="2017-11-24"/>
    <x v="12"/>
    <x v="4"/>
    <x v="14"/>
    <n v="1"/>
    <n v="89.9"/>
    <n v="21.12"/>
    <s v="credit_card"/>
    <n v="12"/>
    <x v="1"/>
    <x v="2"/>
    <s v="Rio de Janeiro"/>
  </r>
  <r>
    <s v="5ff620977c1907f6694bbbbc716cf0d3"/>
    <s v="2017-11-24"/>
    <x v="12"/>
    <x v="3"/>
    <x v="5"/>
    <n v="1"/>
    <n v="56.99"/>
    <n v="8.7200000000000006"/>
    <s v="credit_card"/>
    <n v="4"/>
    <x v="1"/>
    <x v="2"/>
    <s v="Sao Paulo"/>
  </r>
  <r>
    <s v="b2976bc0899d6eb3fbaa0255ee3a000b"/>
    <s v="2017-11-24"/>
    <x v="12"/>
    <x v="1"/>
    <x v="5"/>
    <n v="1"/>
    <n v="13.99"/>
    <n v="14.1"/>
    <s v="credit_card"/>
    <n v="13"/>
    <x v="1"/>
    <x v="2"/>
    <s v="Rio Grande do Sul"/>
  </r>
  <r>
    <s v="2aabb4d8714e26a76aef91c6f0d5c329"/>
    <s v="2017-11-24"/>
    <x v="12"/>
    <x v="18"/>
    <x v="3"/>
    <n v="1"/>
    <n v="79.989999999999995"/>
    <n v="45.02"/>
    <s v="credit_card"/>
    <n v="10"/>
    <x v="1"/>
    <x v="2"/>
    <s v="Distrito Federal"/>
  </r>
  <r>
    <s v="f19fb77bae3d3b3d2394eee444ad0e54"/>
    <s v="2017-11-24"/>
    <x v="12"/>
    <x v="1"/>
    <x v="6"/>
    <n v="1"/>
    <n v="24.99"/>
    <n v="15.1"/>
    <s v="debit_card"/>
    <n v="7"/>
    <x v="1"/>
    <x v="2"/>
    <s v="Rio Grande do Sul"/>
  </r>
  <r>
    <s v="0f769c3e8665e800faa37fd711fee252"/>
    <s v="2017-11-24"/>
    <x v="12"/>
    <x v="3"/>
    <x v="6"/>
    <n v="1"/>
    <n v="85"/>
    <n v="12.09"/>
    <s v="credit_card"/>
    <n v="6"/>
    <x v="1"/>
    <x v="2"/>
    <s v="Sao Paulo"/>
  </r>
  <r>
    <s v="cf9b4a50fa5f421075dbe48dc3a1e30f"/>
    <s v="2017-11-24"/>
    <x v="12"/>
    <x v="15"/>
    <x v="13"/>
    <n v="1"/>
    <n v="117.3"/>
    <n v="28.2"/>
    <s v="credit_card"/>
    <n v="13"/>
    <x v="1"/>
    <x v="2"/>
    <s v="Mato Grosso"/>
  </r>
  <r>
    <s v="1a0da2935bfb1baa0def0327be1a7563"/>
    <s v="2017-11-24"/>
    <x v="12"/>
    <x v="15"/>
    <x v="4"/>
    <n v="1"/>
    <n v="149.99"/>
    <n v="57.28"/>
    <s v="boleto"/>
    <n v="25"/>
    <x v="1"/>
    <x v="2"/>
    <s v="Mato Grosso"/>
  </r>
  <r>
    <s v="6cd91ba388e06035714e1776db85ec11"/>
    <s v="2017-11-24"/>
    <x v="12"/>
    <x v="7"/>
    <x v="24"/>
    <n v="1"/>
    <n v="125.9"/>
    <n v="20.79"/>
    <s v="boleto"/>
    <n v="18"/>
    <x v="1"/>
    <x v="2"/>
    <s v="Minas Gerais"/>
  </r>
  <r>
    <s v="fb9b2930f4a30f96c7cc98eaaa85e5f0"/>
    <s v="2017-11-24"/>
    <x v="12"/>
    <x v="3"/>
    <x v="0"/>
    <n v="1"/>
    <n v="70.91"/>
    <n v="13.52"/>
    <s v="credit_card"/>
    <n v="22"/>
    <x v="2"/>
    <x v="0"/>
    <s v="Sao Paulo"/>
  </r>
  <r>
    <s v="17c1ae37e6e096d8059b53c96a21ea9d"/>
    <s v="2017-11-24"/>
    <x v="12"/>
    <x v="22"/>
    <x v="2"/>
    <n v="1"/>
    <n v="99.99"/>
    <n v="17.95"/>
    <s v="credit_card"/>
    <n v="7"/>
    <x v="1"/>
    <x v="2"/>
    <s v="Espirito Santo"/>
  </r>
  <r>
    <s v="dd1848be19cde4db26876697683f8373"/>
    <s v="2017-11-24"/>
    <x v="12"/>
    <x v="5"/>
    <x v="7"/>
    <n v="2"/>
    <n v="98"/>
    <n v="35.28"/>
    <s v="credit_card"/>
    <n v="12"/>
    <x v="1"/>
    <x v="2"/>
    <s v="Parana"/>
  </r>
  <r>
    <s v="7e8a488126f108bf5841a1bc1dd2c762"/>
    <s v="2017-11-24"/>
    <x v="12"/>
    <x v="7"/>
    <x v="3"/>
    <n v="1"/>
    <n v="69"/>
    <n v="15.23"/>
    <s v="credit_card"/>
    <n v="20"/>
    <x v="1"/>
    <x v="3"/>
    <s v="Minas Gerais"/>
  </r>
  <r>
    <s v="4de5beb49e4389e91971200bacf4e024"/>
    <s v="2017-11-24"/>
    <x v="12"/>
    <x v="3"/>
    <x v="14"/>
    <n v="1"/>
    <n v="89.9"/>
    <n v="16.260000000000002"/>
    <s v="boleto"/>
    <n v="25"/>
    <x v="2"/>
    <x v="0"/>
    <s v="Sao Paulo"/>
  </r>
  <r>
    <s v="cb4e5fca9b25bcc00d9d7d7ba9f4eac3"/>
    <s v="2017-11-24"/>
    <x v="12"/>
    <x v="8"/>
    <x v="17"/>
    <n v="1"/>
    <n v="18.899999999999999"/>
    <n v="15.1"/>
    <s v="credit_card"/>
    <n v="10"/>
    <x v="1"/>
    <x v="3"/>
    <s v="Santa Catarina"/>
  </r>
  <r>
    <s v="6d4dd79bee1e2a93f09c9501c2ff87e7"/>
    <s v="2017-11-24"/>
    <x v="12"/>
    <x v="3"/>
    <x v="14"/>
    <n v="1"/>
    <n v="294"/>
    <n v="13.56"/>
    <s v="credit_card"/>
    <n v="35"/>
    <x v="2"/>
    <x v="4"/>
    <s v="Sao Paulo"/>
  </r>
  <r>
    <s v="de8a2818f7fe963e53d394e7848bc9b2"/>
    <s v="2017-11-24"/>
    <x v="12"/>
    <x v="1"/>
    <x v="23"/>
    <n v="1"/>
    <n v="66.900000000000006"/>
    <n v="17.72"/>
    <s v="credit_card"/>
    <n v="40"/>
    <x v="2"/>
    <x v="0"/>
    <s v="Rio Grande do Sul"/>
  </r>
  <r>
    <s v="074241ce500ccb810dc2a36222167798"/>
    <s v="2017-11-24"/>
    <x v="12"/>
    <x v="4"/>
    <x v="7"/>
    <n v="1"/>
    <n v="49"/>
    <n v="17.670000000000002"/>
    <s v="credit_card"/>
    <n v="12"/>
    <x v="1"/>
    <x v="3"/>
    <s v="Rio de Janeiro"/>
  </r>
  <r>
    <s v="e29802498c81638fb4377d7c7137031e"/>
    <s v="2017-11-24"/>
    <x v="12"/>
    <x v="4"/>
    <x v="1"/>
    <n v="2"/>
    <n v="584"/>
    <n v="43.06"/>
    <s v="credit_card"/>
    <n v="7"/>
    <x v="1"/>
    <x v="0"/>
    <s v="Rio de Janeiro"/>
  </r>
  <r>
    <s v="277de059a7365a4f74aa03167d68bcfd"/>
    <s v="2017-11-24"/>
    <x v="12"/>
    <x v="18"/>
    <x v="19"/>
    <n v="1"/>
    <n v="71"/>
    <n v="16.75"/>
    <s v="credit_card"/>
    <n v="8"/>
    <x v="1"/>
    <x v="2"/>
    <s v="Distrito Federal"/>
  </r>
  <r>
    <s v="47607b002b56d0c23e24d91a519b0856"/>
    <s v="2017-11-24"/>
    <x v="12"/>
    <x v="3"/>
    <x v="56"/>
    <n v="1"/>
    <n v="74.489999999999995"/>
    <n v="9.94"/>
    <s v="credit_card"/>
    <n v="5"/>
    <x v="1"/>
    <x v="2"/>
    <s v="Sao Paulo"/>
  </r>
  <r>
    <s v="db92c37a984bfe99f6cc7cda7839c86b"/>
    <s v="2017-11-24"/>
    <x v="12"/>
    <x v="22"/>
    <x v="2"/>
    <n v="1"/>
    <n v="39.9"/>
    <n v="15.11"/>
    <s v="credit_card"/>
    <n v="19"/>
    <x v="1"/>
    <x v="3"/>
    <s v="Espirito Santo"/>
  </r>
  <r>
    <s v="48a043c45028f3caaabe84abb2316c51"/>
    <s v="2017-11-24"/>
    <x v="12"/>
    <x v="3"/>
    <x v="5"/>
    <n v="1"/>
    <n v="419"/>
    <n v="12.15"/>
    <s v="credit_card"/>
    <n v="6"/>
    <x v="1"/>
    <x v="2"/>
    <s v="Sao Paulo"/>
  </r>
  <r>
    <s v="189ce876121fdc47b810933fb0b4f4bd"/>
    <s v="2017-11-24"/>
    <x v="12"/>
    <x v="4"/>
    <x v="7"/>
    <n v="1"/>
    <n v="49"/>
    <n v="17.64"/>
    <s v="voucher"/>
    <n v="10"/>
    <x v="1"/>
    <x v="2"/>
    <s v="Rio de Janeiro"/>
  </r>
  <r>
    <s v="3d2d939521e7bcf1be4b407ff2690e5f"/>
    <s v="2017-11-24"/>
    <x v="12"/>
    <x v="21"/>
    <x v="30"/>
    <n v="3"/>
    <n v="58.86"/>
    <n v="50.37"/>
    <s v="credit_card"/>
    <m/>
    <x v="0"/>
    <x v="4"/>
    <s v="Bahia"/>
  </r>
  <r>
    <s v="854135793f7e0c5c07d4f72b32125b92"/>
    <s v="2017-11-24"/>
    <x v="12"/>
    <x v="5"/>
    <x v="29"/>
    <n v="1"/>
    <n v="179"/>
    <n v="57.92"/>
    <s v="credit_card"/>
    <n v="23"/>
    <x v="1"/>
    <x v="3"/>
    <s v="Parana"/>
  </r>
  <r>
    <s v="a557a0d8ff0129cd241d2bca612b3d6f"/>
    <s v="2017-11-24"/>
    <x v="12"/>
    <x v="3"/>
    <x v="0"/>
    <n v="2"/>
    <n v="59.8"/>
    <n v="23.7"/>
    <s v="credit_card"/>
    <n v="6"/>
    <x v="1"/>
    <x v="2"/>
    <s v="Sao Paulo"/>
  </r>
  <r>
    <s v="26d6ab35f3c0f7b157fc147026e1ebbc"/>
    <s v="2017-11-24"/>
    <x v="12"/>
    <x v="3"/>
    <x v="2"/>
    <n v="1"/>
    <n v="102.5"/>
    <n v="13.74"/>
    <s v="credit_card"/>
    <n v="12"/>
    <x v="1"/>
    <x v="1"/>
    <s v="Sao Paulo"/>
  </r>
  <r>
    <s v="c0e184ce4df1d9df3ef40938ab7ee173"/>
    <s v="2017-11-24"/>
    <x v="12"/>
    <x v="5"/>
    <x v="46"/>
    <n v="1"/>
    <n v="119.9"/>
    <n v="36.159999999999997"/>
    <s v="credit_card"/>
    <n v="27"/>
    <x v="2"/>
    <x v="0"/>
    <s v="Parana"/>
  </r>
  <r>
    <s v="e95de39b06926e7e123cb18e3a99dbf7"/>
    <s v="2017-11-24"/>
    <x v="12"/>
    <x v="3"/>
    <x v="14"/>
    <n v="1"/>
    <n v="109.9"/>
    <n v="13.79"/>
    <s v="credit_card"/>
    <n v="17"/>
    <x v="1"/>
    <x v="1"/>
    <s v="Sao Paulo"/>
  </r>
  <r>
    <s v="b048658d074ad2c4863ea7021ddfe990"/>
    <s v="2017-11-24"/>
    <x v="12"/>
    <x v="3"/>
    <x v="17"/>
    <n v="1"/>
    <n v="189.9"/>
    <n v="17.03"/>
    <s v="credit_card"/>
    <n v="7"/>
    <x v="1"/>
    <x v="0"/>
    <s v="Sao Paulo"/>
  </r>
  <r>
    <s v="c8ebc5287c1e130db3ef5c6d50dc24eb"/>
    <s v="2017-11-24"/>
    <x v="12"/>
    <x v="7"/>
    <x v="11"/>
    <n v="1"/>
    <n v="129.9"/>
    <n v="18.16"/>
    <s v="credit_card"/>
    <n v="27"/>
    <x v="2"/>
    <x v="1"/>
    <s v="Minas Gerais"/>
  </r>
  <r>
    <s v="13ff6c4c055b81a28af3b21f157f4255"/>
    <s v="2017-11-24"/>
    <x v="12"/>
    <x v="3"/>
    <x v="5"/>
    <n v="1"/>
    <n v="56.99"/>
    <n v="8.7200000000000006"/>
    <s v="credit_card"/>
    <n v="10"/>
    <x v="1"/>
    <x v="2"/>
    <s v="Sao Paulo"/>
  </r>
  <r>
    <s v="341fd75c5d23b024ba2c98c53b491adb"/>
    <s v="2017-11-24"/>
    <x v="12"/>
    <x v="1"/>
    <x v="6"/>
    <n v="1"/>
    <n v="29.5"/>
    <n v="14.1"/>
    <s v="credit_card"/>
    <n v="10"/>
    <x v="1"/>
    <x v="2"/>
    <s v="Rio Grande do Sul"/>
  </r>
  <r>
    <s v="4a9535cd904e916ca0286823298d30ed"/>
    <s v="2017-11-24"/>
    <x v="12"/>
    <x v="3"/>
    <x v="5"/>
    <n v="1"/>
    <n v="339.9"/>
    <n v="18.14"/>
    <s v="credit_card"/>
    <n v="11"/>
    <x v="1"/>
    <x v="2"/>
    <s v="Sao Paulo"/>
  </r>
  <r>
    <s v="56ce64b53ec3bb5b0525f21506619f8e"/>
    <s v="2017-11-24"/>
    <x v="12"/>
    <x v="4"/>
    <x v="7"/>
    <n v="1"/>
    <n v="49"/>
    <n v="17.64"/>
    <s v="credit_card"/>
    <n v="11"/>
    <x v="1"/>
    <x v="2"/>
    <s v="Rio de Janeiro"/>
  </r>
  <r>
    <s v="0659ee4a8b8b8da8337c94d35e423c74"/>
    <s v="2017-11-24"/>
    <x v="12"/>
    <x v="1"/>
    <x v="1"/>
    <n v="3"/>
    <n v="315"/>
    <n v="53.94"/>
    <s v="boleto"/>
    <n v="7"/>
    <x v="1"/>
    <x v="2"/>
    <s v="Rio Grande do Sul"/>
  </r>
  <r>
    <s v="2c84b2577e246ed9aa8ad68b0dee5be6"/>
    <s v="2017-11-24"/>
    <x v="12"/>
    <x v="7"/>
    <x v="4"/>
    <n v="1"/>
    <n v="27.9"/>
    <n v="12.48"/>
    <s v="credit_card"/>
    <n v="20"/>
    <x v="1"/>
    <x v="2"/>
    <s v="Minas Gerais"/>
  </r>
  <r>
    <s v="3cabe471faa982a15a1e8a9e4b71559e"/>
    <s v="2017-11-24"/>
    <x v="12"/>
    <x v="4"/>
    <x v="9"/>
    <n v="1"/>
    <n v="119.9"/>
    <n v="15.59"/>
    <s v="credit_card"/>
    <n v="21"/>
    <x v="2"/>
    <x v="2"/>
    <s v="Rio de Janeiro"/>
  </r>
  <r>
    <s v="343214a6de71b79c0166799ba08e148f"/>
    <s v="2017-11-24"/>
    <x v="12"/>
    <x v="3"/>
    <x v="4"/>
    <n v="1"/>
    <n v="49.9"/>
    <n v="9.27"/>
    <s v="credit_card"/>
    <n v="6"/>
    <x v="1"/>
    <x v="2"/>
    <s v="Sao Paulo"/>
  </r>
  <r>
    <s v="f07ac180675b94d4fe8f697eb2f87d12"/>
    <s v="2017-11-24"/>
    <x v="12"/>
    <x v="5"/>
    <x v="25"/>
    <n v="1"/>
    <n v="109.9"/>
    <n v="16.53"/>
    <s v="credit_card"/>
    <n v="19"/>
    <x v="1"/>
    <x v="1"/>
    <s v="Parana"/>
  </r>
  <r>
    <s v="5f3855c579e82a703b52d837e9b0688b"/>
    <s v="2017-11-24"/>
    <x v="12"/>
    <x v="3"/>
    <x v="19"/>
    <n v="1"/>
    <n v="99"/>
    <n v="16.940000000000001"/>
    <s v="boleto"/>
    <n v="11"/>
    <x v="1"/>
    <x v="2"/>
    <s v="Sao Paulo"/>
  </r>
  <r>
    <s v="266d1afe42f1f376499cdd8e6df164d9"/>
    <s v="2017-11-24"/>
    <x v="12"/>
    <x v="3"/>
    <x v="13"/>
    <n v="1"/>
    <n v="27.99"/>
    <n v="13.08"/>
    <s v="boleto"/>
    <n v="5"/>
    <x v="1"/>
    <x v="2"/>
    <s v="Sao Paulo"/>
  </r>
  <r>
    <s v="c48c006cc34f94c1fb2aa8afd2c1cc9f"/>
    <s v="2017-11-24"/>
    <x v="12"/>
    <x v="23"/>
    <x v="7"/>
    <n v="2"/>
    <n v="98"/>
    <n v="75.94"/>
    <s v="boleto"/>
    <n v="46"/>
    <x v="2"/>
    <x v="5"/>
    <s v="Rio Grande do Norte"/>
  </r>
  <r>
    <s v="5ca576efef06ad46cc98cb34e358ba42"/>
    <s v="2017-11-24"/>
    <x v="12"/>
    <x v="3"/>
    <x v="14"/>
    <n v="1"/>
    <n v="89.9"/>
    <n v="12.33"/>
    <s v="credit_card"/>
    <n v="5"/>
    <x v="1"/>
    <x v="2"/>
    <s v="Sao Paulo"/>
  </r>
  <r>
    <s v="90acf5654782a289ffd89f1759287595"/>
    <s v="2017-11-24"/>
    <x v="12"/>
    <x v="7"/>
    <x v="12"/>
    <n v="1"/>
    <n v="29.9"/>
    <n v="15.79"/>
    <s v="credit_card"/>
    <n v="17"/>
    <x v="1"/>
    <x v="2"/>
    <s v="Minas Gerais"/>
  </r>
  <r>
    <s v="0d597bde3929912cb11ba2fe571a4267"/>
    <s v="2017-11-24"/>
    <x v="12"/>
    <x v="4"/>
    <x v="7"/>
    <n v="1"/>
    <n v="49"/>
    <n v="17.670000000000002"/>
    <s v="credit_card"/>
    <n v="22"/>
    <x v="1"/>
    <x v="2"/>
    <s v="Rio de Janeiro"/>
  </r>
  <r>
    <s v="484216e35682c86df2d5548a94d08cbb"/>
    <s v="2017-11-24"/>
    <x v="12"/>
    <x v="3"/>
    <x v="22"/>
    <n v="1"/>
    <n v="99.35"/>
    <n v="14.45"/>
    <s v="credit_card"/>
    <n v="13"/>
    <x v="1"/>
    <x v="0"/>
    <s v="Sao Paulo"/>
  </r>
  <r>
    <s v="d688d29e40c2038d1ed9dff624fc9490"/>
    <s v="2017-11-24"/>
    <x v="12"/>
    <x v="8"/>
    <x v="18"/>
    <n v="1"/>
    <n v="119.99"/>
    <n v="16.600000000000001"/>
    <s v="boleto"/>
    <n v="14"/>
    <x v="1"/>
    <x v="2"/>
    <s v="Santa Catarina"/>
  </r>
  <r>
    <s v="dc8ffb2856b34d44541032dff3d0eb5c"/>
    <s v="2017-11-24"/>
    <x v="12"/>
    <x v="7"/>
    <x v="3"/>
    <n v="1"/>
    <n v="24.5"/>
    <n v="15.1"/>
    <s v="debit_card"/>
    <n v="10"/>
    <x v="1"/>
    <x v="2"/>
    <s v="Minas Gerais"/>
  </r>
  <r>
    <s v="7937987ff13bd22aa39304d525e1eafe"/>
    <s v="2017-11-24"/>
    <x v="12"/>
    <x v="4"/>
    <x v="22"/>
    <n v="1"/>
    <n v="899"/>
    <n v="22.05"/>
    <s v="credit_card"/>
    <n v="18"/>
    <x v="1"/>
    <x v="1"/>
    <s v="Rio de Janeiro"/>
  </r>
  <r>
    <s v="ca759ab8f22c84329b8dbcb5192ef923"/>
    <s v="2017-11-24"/>
    <x v="12"/>
    <x v="3"/>
    <x v="14"/>
    <n v="1"/>
    <n v="159.9"/>
    <n v="25.96"/>
    <s v="credit_card"/>
    <n v="84"/>
    <x v="2"/>
    <x v="0"/>
    <s v="Sao Paulo"/>
  </r>
  <r>
    <s v="6b4fe75bdf8d4a467678bc8f2132c06a"/>
    <s v="2017-11-24"/>
    <x v="12"/>
    <x v="3"/>
    <x v="9"/>
    <n v="1"/>
    <n v="168.8"/>
    <n v="14.93"/>
    <s v="credit_card"/>
    <n v="18"/>
    <x v="1"/>
    <x v="2"/>
    <s v="Sao Paulo"/>
  </r>
  <r>
    <s v="18fbfa7be165a2404fcf5ab2d071d80e"/>
    <s v="2017-11-24"/>
    <x v="12"/>
    <x v="3"/>
    <x v="1"/>
    <n v="1"/>
    <n v="49.99"/>
    <n v="14.1"/>
    <s v="credit_card"/>
    <n v="11"/>
    <x v="1"/>
    <x v="1"/>
    <s v="Sao Paulo"/>
  </r>
  <r>
    <s v="82a7cba8d70a10e7e0e44e41a30772f7"/>
    <s v="2017-11-24"/>
    <x v="12"/>
    <x v="3"/>
    <x v="5"/>
    <n v="1"/>
    <n v="13.99"/>
    <n v="7.78"/>
    <s v="credit_card"/>
    <n v="10"/>
    <x v="1"/>
    <x v="5"/>
    <s v="Sao Paulo"/>
  </r>
  <r>
    <s v="87992a0761a3c7c023b54a5e2ce752cf"/>
    <s v="2017-11-24"/>
    <x v="12"/>
    <x v="3"/>
    <x v="0"/>
    <n v="1"/>
    <n v="79"/>
    <n v="16.18"/>
    <s v="credit_card"/>
    <n v="6"/>
    <x v="1"/>
    <x v="3"/>
    <s v="Sao Paulo"/>
  </r>
  <r>
    <s v="f6bacd0dbc1aa8e5256c4bd6e4b08b03"/>
    <s v="2017-11-24"/>
    <x v="12"/>
    <x v="1"/>
    <x v="14"/>
    <n v="1"/>
    <n v="39.9"/>
    <n v="16.600000000000001"/>
    <s v="credit_card"/>
    <n v="17"/>
    <x v="1"/>
    <x v="2"/>
    <s v="Rio Grande do Sul"/>
  </r>
  <r>
    <s v="8f1d6980e5537dd52cdd222e0794fdf4"/>
    <s v="2017-11-24"/>
    <x v="12"/>
    <x v="3"/>
    <x v="1"/>
    <n v="4"/>
    <n v="91.6"/>
    <n v="37.36"/>
    <s v="credit_card"/>
    <n v="9"/>
    <x v="1"/>
    <x v="3"/>
    <s v="Sao Paulo"/>
  </r>
  <r>
    <s v="7b8ae8132da20b7b6f709b2d5fcd78c5"/>
    <s v="2017-11-24"/>
    <x v="12"/>
    <x v="3"/>
    <x v="7"/>
    <n v="1"/>
    <n v="49"/>
    <n v="13.41"/>
    <s v="credit_card"/>
    <n v="9"/>
    <x v="1"/>
    <x v="2"/>
    <s v="Sao Paulo"/>
  </r>
  <r>
    <s v="80012b4a007a0b502a4dd3c0d6224abd"/>
    <s v="2017-11-24"/>
    <x v="12"/>
    <x v="4"/>
    <x v="13"/>
    <n v="1"/>
    <n v="49.99"/>
    <n v="23.22"/>
    <s v="credit_card"/>
    <n v="11"/>
    <x v="1"/>
    <x v="3"/>
    <s v="Rio de Janeiro"/>
  </r>
  <r>
    <s v="a6fa6ddceedb5ea6477c3660ccc379d8"/>
    <s v="2017-11-24"/>
    <x v="12"/>
    <x v="22"/>
    <x v="22"/>
    <n v="1"/>
    <n v="118.91"/>
    <n v="15.58"/>
    <s v="credit_card"/>
    <n v="31"/>
    <x v="2"/>
    <x v="0"/>
    <s v="Espirito Santo"/>
  </r>
  <r>
    <s v="4e08e93c7e89957e02292b0bffbf8065"/>
    <s v="2017-11-24"/>
    <x v="12"/>
    <x v="5"/>
    <x v="22"/>
    <n v="1"/>
    <n v="108"/>
    <n v="16.52"/>
    <s v="boleto"/>
    <n v="19"/>
    <x v="1"/>
    <x v="2"/>
    <s v="Parana"/>
  </r>
  <r>
    <s v="443927ed7bbf7df399ca64efdb0b684c"/>
    <s v="2017-11-25"/>
    <x v="12"/>
    <x v="5"/>
    <x v="0"/>
    <n v="2"/>
    <n v="108"/>
    <n v="30.26"/>
    <s v="credit_card"/>
    <n v="13"/>
    <x v="1"/>
    <x v="0"/>
    <s v="Parana"/>
  </r>
  <r>
    <s v="08904f6557108c451821501ca9e6aa4a"/>
    <s v="2017-11-25"/>
    <x v="12"/>
    <x v="7"/>
    <x v="14"/>
    <n v="1"/>
    <n v="79.900000000000006"/>
    <n v="19.8"/>
    <s v="credit_card"/>
    <n v="59"/>
    <x v="2"/>
    <x v="0"/>
    <s v="Minas Gerais"/>
  </r>
  <r>
    <s v="38f95affd04d115a3cf2c655d000581f"/>
    <s v="2017-11-25"/>
    <x v="12"/>
    <x v="4"/>
    <x v="9"/>
    <n v="1"/>
    <n v="84.99"/>
    <n v="21.08"/>
    <s v="credit_card"/>
    <n v="25"/>
    <x v="1"/>
    <x v="1"/>
    <s v="Rio de Janeiro"/>
  </r>
  <r>
    <s v="2d4795e6f5375a02fac5626d3b94d407"/>
    <s v="2017-11-25"/>
    <x v="12"/>
    <x v="3"/>
    <x v="2"/>
    <n v="1"/>
    <n v="129.80000000000001"/>
    <n v="49.44"/>
    <s v="credit_card"/>
    <n v="7"/>
    <x v="1"/>
    <x v="2"/>
    <s v="Sao Paulo"/>
  </r>
  <r>
    <s v="4d0fce2314e3a88cb7371a111cf69f41"/>
    <s v="2017-11-25"/>
    <x v="12"/>
    <x v="7"/>
    <x v="5"/>
    <n v="1"/>
    <n v="120"/>
    <n v="15.59"/>
    <s v="boleto"/>
    <n v="9"/>
    <x v="1"/>
    <x v="2"/>
    <s v="Minas Gerais"/>
  </r>
  <r>
    <s v="467f3d18f63e2f01ade50df74d40457b"/>
    <s v="2017-11-25"/>
    <x v="12"/>
    <x v="3"/>
    <x v="0"/>
    <n v="1"/>
    <n v="49.9"/>
    <n v="9.09"/>
    <s v="credit_card"/>
    <n v="3"/>
    <x v="1"/>
    <x v="2"/>
    <s v="Sao Paulo"/>
  </r>
  <r>
    <s v="59ad806bb1a82c19e0feadc488939a89"/>
    <s v="2017-11-25"/>
    <x v="12"/>
    <x v="3"/>
    <x v="24"/>
    <n v="2"/>
    <n v="93.98"/>
    <n v="35.94"/>
    <s v="credit_card"/>
    <n v="16"/>
    <x v="1"/>
    <x v="3"/>
    <s v="Sao Paulo"/>
  </r>
  <r>
    <s v="e86d50789574a28a92e27efcdc90bd8e"/>
    <s v="2017-11-25"/>
    <x v="12"/>
    <x v="5"/>
    <x v="0"/>
    <n v="1"/>
    <n v="169.9"/>
    <n v="26.03"/>
    <s v="credit_card"/>
    <n v="19"/>
    <x v="1"/>
    <x v="5"/>
    <s v="Parana"/>
  </r>
  <r>
    <s v="0c01eb5638db2110eb5a7d1c0581aa09"/>
    <s v="2017-11-25"/>
    <x v="12"/>
    <x v="4"/>
    <x v="9"/>
    <n v="1"/>
    <n v="69.900000000000006"/>
    <n v="12.48"/>
    <s v="credit_card"/>
    <n v="4"/>
    <x v="1"/>
    <x v="3"/>
    <s v="Rio de Janeiro"/>
  </r>
  <r>
    <s v="e0258e674c59ea50961e9ec45f97b08e"/>
    <s v="2017-11-25"/>
    <x v="12"/>
    <x v="1"/>
    <x v="33"/>
    <n v="1"/>
    <n v="119.9"/>
    <n v="17.09"/>
    <s v="credit_card"/>
    <n v="13"/>
    <x v="1"/>
    <x v="2"/>
    <s v="Rio Grande do Sul"/>
  </r>
  <r>
    <s v="42e5f73161b3e88fdadd792613be1da9"/>
    <s v="2017-11-25"/>
    <x v="12"/>
    <x v="3"/>
    <x v="7"/>
    <n v="1"/>
    <n v="98"/>
    <n v="13.24"/>
    <s v="credit_card"/>
    <n v="4"/>
    <x v="1"/>
    <x v="1"/>
    <s v="Sao Paulo"/>
  </r>
  <r>
    <s v="e84aab6af2a71fdd57e937740dc5a3dc"/>
    <s v="2017-11-25"/>
    <x v="12"/>
    <x v="13"/>
    <x v="12"/>
    <n v="1"/>
    <n v="379.9"/>
    <n v="45.07"/>
    <s v="credit_card"/>
    <n v="43"/>
    <x v="2"/>
    <x v="0"/>
    <s v="Maranhao"/>
  </r>
  <r>
    <s v="05580ea6005bac590a3f143473c9b296"/>
    <s v="2017-11-25"/>
    <x v="12"/>
    <x v="8"/>
    <x v="1"/>
    <n v="1"/>
    <n v="189.9"/>
    <n v="21.82"/>
    <s v="credit_card"/>
    <n v="24"/>
    <x v="1"/>
    <x v="3"/>
    <s v="Santa Catarina"/>
  </r>
  <r>
    <s v="c54856ceaaaf3a273f3921da4faf1e8f"/>
    <s v="2017-11-25"/>
    <x v="12"/>
    <x v="5"/>
    <x v="14"/>
    <n v="1"/>
    <n v="73.5"/>
    <n v="15.26"/>
    <s v="credit_card"/>
    <n v="32"/>
    <x v="2"/>
    <x v="0"/>
    <s v="Parana"/>
  </r>
  <r>
    <s v="223a155e5dad113ba43fff75ecbb3d06"/>
    <s v="2017-11-25"/>
    <x v="12"/>
    <x v="21"/>
    <x v="7"/>
    <n v="1"/>
    <n v="49"/>
    <n v="19.66"/>
    <s v="credit_card"/>
    <n v="24"/>
    <x v="1"/>
    <x v="3"/>
    <s v="Bahia"/>
  </r>
  <r>
    <s v="1d496c62bf852e069018c2b038064949"/>
    <s v="2017-11-25"/>
    <x v="12"/>
    <x v="3"/>
    <x v="14"/>
    <n v="1"/>
    <n v="240"/>
    <n v="28"/>
    <s v="credit_card"/>
    <n v="48"/>
    <x v="2"/>
    <x v="0"/>
    <s v="Sao Paulo"/>
  </r>
  <r>
    <s v="c9397dbfd867734646abb1df12a5f625"/>
    <s v="2017-11-25"/>
    <x v="12"/>
    <x v="1"/>
    <x v="0"/>
    <n v="2"/>
    <n v="79.8"/>
    <n v="78.56"/>
    <s v="credit_card"/>
    <n v="18"/>
    <x v="1"/>
    <x v="0"/>
    <s v="Rio Grande do Sul"/>
  </r>
  <r>
    <s v="5e0de5e6b42042ea6e00e3d07d4aef84"/>
    <s v="2017-11-25"/>
    <x v="12"/>
    <x v="13"/>
    <x v="7"/>
    <n v="1"/>
    <n v="49"/>
    <n v="37.97"/>
    <s v="credit_card"/>
    <n v="46"/>
    <x v="2"/>
    <x v="0"/>
    <s v="Maranhao"/>
  </r>
  <r>
    <s v="4ae0a4ebc7224b287836fc665b499b69"/>
    <s v="2017-11-25"/>
    <x v="12"/>
    <x v="7"/>
    <x v="14"/>
    <n v="1"/>
    <n v="119.99"/>
    <n v="21.33"/>
    <s v="credit_card"/>
    <n v="40"/>
    <x v="2"/>
    <x v="4"/>
    <s v="Minas Gerais"/>
  </r>
  <r>
    <s v="9841304c5432e46d9cfd508835b743b1"/>
    <s v="2017-11-25"/>
    <x v="12"/>
    <x v="2"/>
    <x v="12"/>
    <n v="1"/>
    <n v="129.99"/>
    <n v="17.48"/>
    <s v="credit_card"/>
    <n v="10"/>
    <x v="1"/>
    <x v="2"/>
    <s v="Goias"/>
  </r>
  <r>
    <s v="89e84cfb3387746e060d4a9146511c9e"/>
    <s v="2017-11-25"/>
    <x v="12"/>
    <x v="3"/>
    <x v="12"/>
    <n v="1"/>
    <n v="79.900000000000006"/>
    <n v="16.809999999999999"/>
    <s v="credit_card"/>
    <n v="7"/>
    <x v="1"/>
    <x v="2"/>
    <s v="Sao Paulo"/>
  </r>
  <r>
    <s v="29fbef181a9fb4263222cb6a7cc9938d"/>
    <s v="2017-11-25"/>
    <x v="12"/>
    <x v="3"/>
    <x v="17"/>
    <n v="1"/>
    <n v="23.7"/>
    <n v="8.7200000000000006"/>
    <s v="credit_card"/>
    <n v="6"/>
    <x v="1"/>
    <x v="2"/>
    <s v="Sao Paulo"/>
  </r>
  <r>
    <s v="c5fb461f4d5a4b5457fd3029e1d1543a"/>
    <s v="2017-11-25"/>
    <x v="12"/>
    <x v="1"/>
    <x v="4"/>
    <n v="1"/>
    <n v="49.9"/>
    <n v="17.600000000000001"/>
    <s v="credit_card"/>
    <n v="46"/>
    <x v="2"/>
    <x v="0"/>
    <s v="Rio Grande do Sul"/>
  </r>
  <r>
    <s v="42faea0e8fde3945ae5c85e245ea9726"/>
    <s v="2017-11-25"/>
    <x v="12"/>
    <x v="4"/>
    <x v="1"/>
    <n v="1"/>
    <n v="54.9"/>
    <n v="16.82"/>
    <s v="credit_card"/>
    <n v="12"/>
    <x v="1"/>
    <x v="2"/>
    <s v="Rio de Janeiro"/>
  </r>
  <r>
    <s v="dd4ca62b4abb4a5fe11f24d45b63eb79"/>
    <s v="2017-11-25"/>
    <x v="12"/>
    <x v="12"/>
    <x v="21"/>
    <n v="1"/>
    <n v="118.9"/>
    <n v="36.15"/>
    <s v="credit_card"/>
    <n v="19"/>
    <x v="1"/>
    <x v="3"/>
    <s v="Ceara"/>
  </r>
  <r>
    <s v="00ea690fe8c5eba029a3884243a02352"/>
    <s v="2017-11-25"/>
    <x v="12"/>
    <x v="2"/>
    <x v="0"/>
    <n v="1"/>
    <n v="32.99"/>
    <n v="16.11"/>
    <s v="credit_card"/>
    <n v="23"/>
    <x v="1"/>
    <x v="2"/>
    <s v="Goias"/>
  </r>
  <r>
    <s v="67c8fda9d347535e923f93614f2b44e0"/>
    <s v="2017-11-25"/>
    <x v="12"/>
    <x v="3"/>
    <x v="13"/>
    <n v="1"/>
    <n v="16"/>
    <n v="12.69"/>
    <s v="boleto"/>
    <n v="18"/>
    <x v="1"/>
    <x v="2"/>
    <s v="Sao Paulo"/>
  </r>
  <r>
    <s v="696e3f4fca4491245f7b9425055cda4d"/>
    <s v="2017-11-25"/>
    <x v="12"/>
    <x v="3"/>
    <x v="4"/>
    <n v="1"/>
    <n v="27.9"/>
    <n v="14.1"/>
    <s v="voucher"/>
    <n v="23"/>
    <x v="1"/>
    <x v="1"/>
    <s v="Sao Paulo"/>
  </r>
  <r>
    <s v="49e548b7ec1f515816b62230c96e8f74"/>
    <s v="2017-11-25"/>
    <x v="12"/>
    <x v="1"/>
    <x v="14"/>
    <n v="1"/>
    <n v="69.900000000000006"/>
    <n v="17.739999999999998"/>
    <s v="credit_card"/>
    <n v="13"/>
    <x v="1"/>
    <x v="3"/>
    <s v="Rio Grande do Sul"/>
  </r>
  <r>
    <s v="8a375e54dcadd25fe7578ad54311a746"/>
    <s v="2017-11-25"/>
    <x v="12"/>
    <x v="7"/>
    <x v="32"/>
    <n v="1"/>
    <n v="140.91"/>
    <n v="10.199999999999999"/>
    <s v="credit_card"/>
    <n v="4"/>
    <x v="1"/>
    <x v="2"/>
    <s v="Minas Gerais"/>
  </r>
  <r>
    <s v="9c6aefa5cff43aaa6ab742a0dfc5c1cd"/>
    <s v="2017-11-25"/>
    <x v="12"/>
    <x v="5"/>
    <x v="14"/>
    <n v="1"/>
    <n v="82.99"/>
    <n v="17.829999999999998"/>
    <s v="credit_card"/>
    <n v="21"/>
    <x v="1"/>
    <x v="2"/>
    <s v="Parana"/>
  </r>
  <r>
    <s v="b3786fe1fdaf726bc9e7a5a9138f4cb6"/>
    <s v="2017-11-25"/>
    <x v="12"/>
    <x v="14"/>
    <x v="12"/>
    <n v="1"/>
    <n v="36.9"/>
    <n v="14.1"/>
    <s v="credit_card"/>
    <n v="11"/>
    <x v="1"/>
    <x v="2"/>
    <s v="Mato Grosso do Sul"/>
  </r>
  <r>
    <s v="ccecb43e46d11aa9ed8c92440657995a"/>
    <s v="2017-11-25"/>
    <x v="12"/>
    <x v="7"/>
    <x v="5"/>
    <n v="1"/>
    <n v="247.4"/>
    <n v="16.489999999999998"/>
    <s v="credit_card"/>
    <n v="11"/>
    <x v="1"/>
    <x v="5"/>
    <s v="Minas Gerais"/>
  </r>
  <r>
    <s v="adc9c192fa551c7973ee32d217816b89"/>
    <s v="2017-11-25"/>
    <x v="12"/>
    <x v="7"/>
    <x v="1"/>
    <n v="1"/>
    <n v="104.9"/>
    <n v="16.489999999999998"/>
    <s v="credit_card"/>
    <n v="8"/>
    <x v="1"/>
    <x v="3"/>
    <s v="Minas Gerais"/>
  </r>
  <r>
    <s v="617dba85b5a384d32d348f3a8cb4ce80"/>
    <s v="2017-11-25"/>
    <x v="12"/>
    <x v="1"/>
    <x v="14"/>
    <n v="1"/>
    <n v="39.5"/>
    <n v="16.11"/>
    <s v="credit_card"/>
    <n v="20"/>
    <x v="1"/>
    <x v="2"/>
    <s v="Rio Grande do Sul"/>
  </r>
  <r>
    <s v="1041d437bb0a4bcfeb3a107426f2d5f5"/>
    <s v="2017-11-25"/>
    <x v="12"/>
    <x v="21"/>
    <x v="2"/>
    <n v="1"/>
    <n v="259.89999999999998"/>
    <n v="22.62"/>
    <s v="credit_card"/>
    <n v="26"/>
    <x v="2"/>
    <x v="3"/>
    <s v="Bahia"/>
  </r>
  <r>
    <s v="1a4ce6e380dae0771ca218753b0739a1"/>
    <s v="2017-11-26"/>
    <x v="12"/>
    <x v="13"/>
    <x v="19"/>
    <n v="1"/>
    <n v="169.9"/>
    <n v="50.85"/>
    <s v="credit_card"/>
    <n v="39"/>
    <x v="2"/>
    <x v="1"/>
    <s v="Maranhao"/>
  </r>
  <r>
    <s v="c05cb9c2c6907494337ded1d059cbc7d"/>
    <s v="2017-11-26"/>
    <x v="12"/>
    <x v="3"/>
    <x v="6"/>
    <n v="2"/>
    <n v="45.89"/>
    <n v="26.94"/>
    <s v="credit_card"/>
    <n v="11"/>
    <x v="1"/>
    <x v="1"/>
    <s v="Sao Paulo"/>
  </r>
  <r>
    <s v="767b76997bafc4391a3018711fd833a9"/>
    <s v="2017-11-26"/>
    <x v="12"/>
    <x v="4"/>
    <x v="7"/>
    <n v="1"/>
    <n v="179.99"/>
    <n v="45.72"/>
    <s v="credit_card"/>
    <n v="17"/>
    <x v="1"/>
    <x v="2"/>
    <s v="Rio de Janeiro"/>
  </r>
  <r>
    <s v="d59990b8113b909332b7eb63d417c86a"/>
    <s v="2017-11-26"/>
    <x v="12"/>
    <x v="3"/>
    <x v="3"/>
    <n v="1"/>
    <n v="24.5"/>
    <n v="11.85"/>
    <s v="credit_card"/>
    <n v="15"/>
    <x v="1"/>
    <x v="0"/>
    <s v="Sao Paulo"/>
  </r>
  <r>
    <s v="f5a46e0d0f766ca0dd73ed331959ce00"/>
    <s v="2017-11-26"/>
    <x v="12"/>
    <x v="3"/>
    <x v="9"/>
    <n v="1"/>
    <n v="69"/>
    <n v="18.72"/>
    <s v="credit_card"/>
    <n v="9"/>
    <x v="1"/>
    <x v="2"/>
    <s v="Sao Paulo"/>
  </r>
  <r>
    <s v="55c22802abda3dda5ccb0d14c0123915"/>
    <s v="2017-11-26"/>
    <x v="12"/>
    <x v="2"/>
    <x v="9"/>
    <n v="1"/>
    <n v="84.99"/>
    <n v="16.350000000000001"/>
    <s v="credit_card"/>
    <n v="37"/>
    <x v="2"/>
    <x v="0"/>
    <s v="Goias"/>
  </r>
  <r>
    <s v="04a59fe46fc5aa341da5378c195ed53c"/>
    <s v="2017-11-26"/>
    <x v="12"/>
    <x v="5"/>
    <x v="12"/>
    <n v="1"/>
    <n v="60"/>
    <n v="15.18"/>
    <s v="credit_card"/>
    <n v="15"/>
    <x v="1"/>
    <x v="2"/>
    <s v="Parana"/>
  </r>
  <r>
    <s v="f42de7e48a0daaa613b8aa877942800f"/>
    <s v="2017-11-26"/>
    <x v="12"/>
    <x v="8"/>
    <x v="7"/>
    <n v="1"/>
    <n v="49"/>
    <n v="17.64"/>
    <s v="boleto"/>
    <n v="23"/>
    <x v="1"/>
    <x v="2"/>
    <s v="Santa Catarina"/>
  </r>
  <r>
    <s v="0b8f73a9816cb775a1bf1492c3bca4e7"/>
    <s v="2017-11-26"/>
    <x v="12"/>
    <x v="3"/>
    <x v="19"/>
    <n v="1"/>
    <n v="71"/>
    <n v="11.73"/>
    <s v="credit_card"/>
    <n v="4"/>
    <x v="1"/>
    <x v="0"/>
    <s v="Sao Paulo"/>
  </r>
  <r>
    <s v="cb26769d014df1d16ffd4de9098e95d7"/>
    <s v="2017-11-26"/>
    <x v="12"/>
    <x v="5"/>
    <x v="14"/>
    <n v="1"/>
    <n v="70"/>
    <n v="17.739999999999998"/>
    <s v="credit_card"/>
    <n v="8"/>
    <x v="1"/>
    <x v="2"/>
    <s v="Parana"/>
  </r>
  <r>
    <s v="db2471b04ede0dfe4af0853853885267"/>
    <s v="2017-11-26"/>
    <x v="12"/>
    <x v="3"/>
    <x v="13"/>
    <n v="1"/>
    <n v="34"/>
    <n v="8.27"/>
    <s v="credit_card"/>
    <n v="4"/>
    <x v="1"/>
    <x v="2"/>
    <s v="Sao Paulo"/>
  </r>
  <r>
    <s v="a2f4f3306fea53180f55b6bb37d63647"/>
    <s v="2017-11-26"/>
    <x v="12"/>
    <x v="3"/>
    <x v="0"/>
    <n v="1"/>
    <n v="119"/>
    <n v="17.079999999999998"/>
    <s v="boleto"/>
    <n v="25"/>
    <x v="2"/>
    <x v="0"/>
    <s v="Sao Paulo"/>
  </r>
  <r>
    <s v="cdcdd974adb1606df89687f10cf130eb"/>
    <s v="2017-11-26"/>
    <x v="12"/>
    <x v="4"/>
    <x v="0"/>
    <n v="3"/>
    <n v="74.699999999999989"/>
    <n v="48.33"/>
    <s v="boleto"/>
    <n v="24"/>
    <x v="2"/>
    <x v="1"/>
    <s v="Rio de Janeiro"/>
  </r>
  <r>
    <s v="ef00af19f3e4667ac596baf6656e0ee4"/>
    <s v="2017-11-26"/>
    <x v="12"/>
    <x v="4"/>
    <x v="25"/>
    <n v="1"/>
    <n v="209.99"/>
    <n v="18.72"/>
    <s v="credit_card"/>
    <n v="30"/>
    <x v="2"/>
    <x v="0"/>
    <s v="Rio de Janeiro"/>
  </r>
  <r>
    <s v="3a25cded45c3f7fe9dee01dceed4a97a"/>
    <s v="2017-11-26"/>
    <x v="12"/>
    <x v="3"/>
    <x v="32"/>
    <n v="1"/>
    <n v="58"/>
    <n v="25.25"/>
    <s v="credit_card"/>
    <n v="15"/>
    <x v="1"/>
    <x v="3"/>
    <s v="Sao Paulo"/>
  </r>
  <r>
    <s v="551cf988ddc636bfcd08d383c5c371fd"/>
    <s v="2017-11-26"/>
    <x v="12"/>
    <x v="3"/>
    <x v="12"/>
    <n v="1"/>
    <n v="59.9"/>
    <n v="15.18"/>
    <s v="voucher"/>
    <n v="16"/>
    <x v="1"/>
    <x v="2"/>
    <s v="Sao Paulo"/>
  </r>
  <r>
    <s v="5f69f6bf68dce110479aa0bb515b47c8"/>
    <s v="2017-11-26"/>
    <x v="12"/>
    <x v="3"/>
    <x v="13"/>
    <n v="1"/>
    <n v="30"/>
    <n v="8.7200000000000006"/>
    <s v="credit_card"/>
    <n v="4"/>
    <x v="1"/>
    <x v="2"/>
    <s v="Sao Paulo"/>
  </r>
  <r>
    <s v="c2d2c80fb18401b6b761d887e378676f"/>
    <s v="2017-11-26"/>
    <x v="12"/>
    <x v="5"/>
    <x v="20"/>
    <n v="2"/>
    <n v="58"/>
    <n v="51.26"/>
    <s v="credit_card"/>
    <n v="8"/>
    <x v="1"/>
    <x v="2"/>
    <s v="Parana"/>
  </r>
  <r>
    <s v="d26844690f17c5d19b50a5862b8d2a45"/>
    <s v="2017-11-26"/>
    <x v="12"/>
    <x v="5"/>
    <x v="19"/>
    <n v="1"/>
    <n v="14.24"/>
    <n v="12.6"/>
    <s v="boleto"/>
    <n v="9"/>
    <x v="1"/>
    <x v="2"/>
    <s v="Parana"/>
  </r>
  <r>
    <s v="49f3ca1235b168529decb2072cc26da8"/>
    <s v="2017-11-26"/>
    <x v="12"/>
    <x v="5"/>
    <x v="9"/>
    <n v="1"/>
    <n v="37.9"/>
    <n v="15.1"/>
    <s v="credit_card"/>
    <n v="8"/>
    <x v="1"/>
    <x v="1"/>
    <s v="Parana"/>
  </r>
  <r>
    <s v="941ebebbc2c3685498a892e2a29237c9"/>
    <s v="2017-11-26"/>
    <x v="12"/>
    <x v="1"/>
    <x v="7"/>
    <n v="1"/>
    <n v="49"/>
    <n v="17.64"/>
    <s v="credit_card"/>
    <n v="18"/>
    <x v="1"/>
    <x v="3"/>
    <s v="Rio Grande do Sul"/>
  </r>
  <r>
    <s v="71b3bbe3087a538b8019ec4e1b8abf56"/>
    <s v="2017-11-26"/>
    <x v="12"/>
    <x v="3"/>
    <x v="4"/>
    <n v="1"/>
    <n v="127.42"/>
    <n v="13.02"/>
    <s v="credit_card"/>
    <n v="12"/>
    <x v="1"/>
    <x v="3"/>
    <s v="Sao Paulo"/>
  </r>
  <r>
    <s v="6646811f070a6e46f85c938eb20b1842"/>
    <s v="2017-11-26"/>
    <x v="12"/>
    <x v="7"/>
    <x v="2"/>
    <n v="1"/>
    <n v="34.99"/>
    <n v="15.11"/>
    <s v="credit_card"/>
    <n v="18"/>
    <x v="1"/>
    <x v="2"/>
    <s v="Minas Gerais"/>
  </r>
  <r>
    <s v="2eb519d713a6e605650dd4bd730c17d0"/>
    <s v="2017-11-26"/>
    <x v="12"/>
    <x v="3"/>
    <x v="3"/>
    <n v="1"/>
    <n v="399"/>
    <n v="11.61"/>
    <s v="credit_card"/>
    <n v="17"/>
    <x v="2"/>
    <x v="2"/>
    <s v="Sao Paulo"/>
  </r>
  <r>
    <s v="148ffca6d6b46bd5f71a7b22154baae6"/>
    <s v="2017-11-26"/>
    <x v="12"/>
    <x v="3"/>
    <x v="15"/>
    <n v="2"/>
    <n v="169.8"/>
    <n v="27.22"/>
    <s v="credit_card"/>
    <n v="14"/>
    <x v="1"/>
    <x v="2"/>
    <s v="Sao Paulo"/>
  </r>
  <r>
    <s v="eb61a98487395d9b7a135acd3d6905a5"/>
    <s v="2017-11-26"/>
    <x v="12"/>
    <x v="7"/>
    <x v="5"/>
    <n v="1"/>
    <n v="49.9"/>
    <n v="15.1"/>
    <s v="credit_card"/>
    <n v="24"/>
    <x v="2"/>
    <x v="2"/>
    <s v="Minas Gerais"/>
  </r>
  <r>
    <s v="9e906dcb08be5abcfe04f3e3a9bbb8bb"/>
    <s v="2017-11-26"/>
    <x v="12"/>
    <x v="3"/>
    <x v="13"/>
    <n v="1"/>
    <n v="29"/>
    <n v="7.78"/>
    <s v="boleto"/>
    <n v="3"/>
    <x v="1"/>
    <x v="2"/>
    <s v="Sao Paulo"/>
  </r>
  <r>
    <s v="d6a90d67310c500286671d1aab32079f"/>
    <s v="2017-11-27"/>
    <x v="12"/>
    <x v="7"/>
    <x v="14"/>
    <n v="1"/>
    <n v="99.9"/>
    <n v="17.95"/>
    <s v="credit_card"/>
    <n v="20"/>
    <x v="1"/>
    <x v="2"/>
    <s v="Minas Gerais"/>
  </r>
  <r>
    <s v="f1eb378be592a06b8c3c6006b7d7102e"/>
    <s v="2017-11-27"/>
    <x v="12"/>
    <x v="3"/>
    <x v="18"/>
    <n v="1"/>
    <n v="49.9"/>
    <n v="7.78"/>
    <s v="boleto"/>
    <n v="7"/>
    <x v="1"/>
    <x v="2"/>
    <s v="Sao Paulo"/>
  </r>
  <r>
    <s v="3d7ee397cbe71826e767837af0d81c2a"/>
    <s v="2017-11-27"/>
    <x v="12"/>
    <x v="4"/>
    <x v="42"/>
    <n v="1"/>
    <n v="108.9"/>
    <n v="14.51"/>
    <s v="credit_card"/>
    <n v="30"/>
    <x v="2"/>
    <x v="3"/>
    <s v="Rio de Janeiro"/>
  </r>
  <r>
    <s v="31001a77165dd554fcc32640defe98a1"/>
    <s v="2017-11-27"/>
    <x v="12"/>
    <x v="2"/>
    <x v="2"/>
    <n v="1"/>
    <n v="86.99"/>
    <n v="17.86"/>
    <s v="credit_card"/>
    <n v="31"/>
    <x v="2"/>
    <x v="1"/>
    <s v="Goias"/>
  </r>
  <r>
    <s v="bdb1554633e5b5bf1a3b47940263c00b"/>
    <s v="2017-11-27"/>
    <x v="12"/>
    <x v="8"/>
    <x v="6"/>
    <n v="1"/>
    <n v="19.899999999999999"/>
    <n v="15.1"/>
    <s v="voucher"/>
    <n v="30"/>
    <x v="2"/>
    <x v="0"/>
    <s v="Santa Catarina"/>
  </r>
  <r>
    <s v="6e63dcc83ec280b72783617737ce886d"/>
    <s v="2017-11-27"/>
    <x v="12"/>
    <x v="4"/>
    <x v="7"/>
    <n v="1"/>
    <n v="179.99"/>
    <n v="45.72"/>
    <s v="credit_card"/>
    <n v="9"/>
    <x v="1"/>
    <x v="2"/>
    <s v="Rio de Janeiro"/>
  </r>
  <r>
    <s v="9f9b0cf9d794e40cdf1c4cf909d65ca4"/>
    <s v="2017-11-27"/>
    <x v="12"/>
    <x v="5"/>
    <x v="1"/>
    <n v="1"/>
    <n v="115"/>
    <n v="21.3"/>
    <s v="credit_card"/>
    <n v="43"/>
    <x v="2"/>
    <x v="0"/>
    <s v="Parana"/>
  </r>
  <r>
    <s v="1800f4a4362310d7eb38281634f6dfd1"/>
    <s v="2017-11-27"/>
    <x v="12"/>
    <x v="12"/>
    <x v="6"/>
    <n v="1"/>
    <n v="298"/>
    <n v="27.37"/>
    <s v="credit_card"/>
    <n v="24"/>
    <x v="1"/>
    <x v="3"/>
    <s v="Ceara"/>
  </r>
  <r>
    <s v="1a8479315924a0909a29ab6a0cc3cc20"/>
    <s v="2017-11-27"/>
    <x v="12"/>
    <x v="4"/>
    <x v="14"/>
    <n v="1"/>
    <n v="99.99"/>
    <n v="49.23"/>
    <s v="credit_card"/>
    <n v="17"/>
    <x v="1"/>
    <x v="3"/>
    <s v="Rio de Janeiro"/>
  </r>
  <r>
    <s v="bea0db83582bcb99461f9795968b7928"/>
    <s v="2017-11-27"/>
    <x v="12"/>
    <x v="8"/>
    <x v="6"/>
    <n v="1"/>
    <n v="246.62"/>
    <n v="37.049999999999997"/>
    <s v="credit_card"/>
    <n v="23"/>
    <x v="1"/>
    <x v="3"/>
    <s v="Santa Catarina"/>
  </r>
  <r>
    <s v="66da8b55fb5d6393b4ec50e8fd8c9781"/>
    <s v="2017-11-27"/>
    <x v="12"/>
    <x v="3"/>
    <x v="9"/>
    <n v="1"/>
    <n v="99.99"/>
    <n v="17.41"/>
    <s v="credit_card"/>
    <n v="3"/>
    <x v="1"/>
    <x v="2"/>
    <s v="Sao Paulo"/>
  </r>
  <r>
    <s v="d56ddc412e7725060f044aa15d7073d3"/>
    <s v="2017-11-27"/>
    <x v="12"/>
    <x v="3"/>
    <x v="9"/>
    <n v="1"/>
    <n v="23.99"/>
    <n v="7.78"/>
    <s v="voucher"/>
    <n v="10"/>
    <x v="1"/>
    <x v="2"/>
    <s v="Sao Paulo"/>
  </r>
  <r>
    <s v="5e21c6f2e0e0007bd16ba2839c9628b2"/>
    <s v="2017-11-27"/>
    <x v="12"/>
    <x v="5"/>
    <x v="19"/>
    <n v="1"/>
    <n v="177.99"/>
    <n v="14.4"/>
    <s v="credit_card"/>
    <n v="15"/>
    <x v="1"/>
    <x v="2"/>
    <s v="Parana"/>
  </r>
  <r>
    <s v="74c7716ab7523de71a5bab869d6a0055"/>
    <s v="2017-11-27"/>
    <x v="12"/>
    <x v="5"/>
    <x v="14"/>
    <n v="1"/>
    <n v="110.9"/>
    <n v="39.71"/>
    <s v="credit_card"/>
    <n v="12"/>
    <x v="1"/>
    <x v="2"/>
    <s v="Parana"/>
  </r>
  <r>
    <s v="35d89cb00c04825ece90d7a205c0347f"/>
    <s v="2017-11-27"/>
    <x v="12"/>
    <x v="21"/>
    <x v="6"/>
    <n v="2"/>
    <n v="54.98"/>
    <n v="33.58"/>
    <s v="credit_card"/>
    <n v="39"/>
    <x v="2"/>
    <x v="0"/>
    <s v="Bahia"/>
  </r>
  <r>
    <s v="c3664571c21d82f7d8ada5770af419f9"/>
    <s v="2017-11-27"/>
    <x v="12"/>
    <x v="3"/>
    <x v="3"/>
    <n v="1"/>
    <n v="24.5"/>
    <n v="11.85"/>
    <s v="credit_card"/>
    <n v="13"/>
    <x v="1"/>
    <x v="3"/>
    <s v="Sao Paulo"/>
  </r>
  <r>
    <s v="5cc09f9c0de29bf3a52fb5f7108c4cbf"/>
    <s v="2017-11-27"/>
    <x v="12"/>
    <x v="7"/>
    <x v="13"/>
    <n v="1"/>
    <n v="15.9"/>
    <n v="8.11"/>
    <s v="voucher"/>
    <n v="21"/>
    <x v="1"/>
    <x v="5"/>
    <s v="Minas Gerais"/>
  </r>
  <r>
    <s v="771596702a2e0245fb67b093182acb03"/>
    <s v="2017-11-27"/>
    <x v="12"/>
    <x v="3"/>
    <x v="7"/>
    <n v="1"/>
    <n v="238.9"/>
    <n v="15.28"/>
    <s v="credit_card"/>
    <n v="17"/>
    <x v="1"/>
    <x v="2"/>
    <s v="Sao Paulo"/>
  </r>
  <r>
    <s v="503ede67b27bbb1c7dca67c00af403a5"/>
    <s v="2017-11-27"/>
    <x v="12"/>
    <x v="21"/>
    <x v="0"/>
    <n v="1"/>
    <n v="207.9"/>
    <n v="20.7"/>
    <s v="credit_card"/>
    <n v="15"/>
    <x v="1"/>
    <x v="3"/>
    <s v="Bahia"/>
  </r>
  <r>
    <s v="77ad790bc77b40f61485833a46bb6968"/>
    <s v="2017-11-27"/>
    <x v="12"/>
    <x v="4"/>
    <x v="42"/>
    <n v="1"/>
    <n v="190.9"/>
    <n v="16.09"/>
    <s v="credit_card"/>
    <n v="21"/>
    <x v="1"/>
    <x v="2"/>
    <s v="Rio de Janeiro"/>
  </r>
  <r>
    <s v="bbdac08bddebc79ee2654423b9ad63c3"/>
    <s v="2017-11-28"/>
    <x v="12"/>
    <x v="7"/>
    <x v="9"/>
    <n v="3"/>
    <n v="299.7"/>
    <n v="49.38"/>
    <s v="credit_card"/>
    <n v="15"/>
    <x v="1"/>
    <x v="2"/>
    <s v="Minas Gerais"/>
  </r>
  <r>
    <s v="df86f734aa38ba760f6b627af3870974"/>
    <s v="2017-11-28"/>
    <x v="12"/>
    <x v="3"/>
    <x v="2"/>
    <n v="1"/>
    <n v="23.9"/>
    <n v="7.78"/>
    <s v="credit_card"/>
    <n v="3"/>
    <x v="1"/>
    <x v="3"/>
    <s v="Sao Paulo"/>
  </r>
  <r>
    <s v="bbe5ef975154a7473c4c595fa3385edc"/>
    <s v="2017-11-28"/>
    <x v="12"/>
    <x v="3"/>
    <x v="19"/>
    <n v="1"/>
    <n v="59.9"/>
    <n v="13.44"/>
    <s v="voucher"/>
    <n v="9"/>
    <x v="1"/>
    <x v="2"/>
    <s v="Sao Paulo"/>
  </r>
  <r>
    <s v="2e1b235d488deb88fb0f9282e48e9ddf"/>
    <s v="2017-11-28"/>
    <x v="12"/>
    <x v="8"/>
    <x v="2"/>
    <n v="1"/>
    <n v="120.9"/>
    <n v="49.38"/>
    <s v="credit_card"/>
    <n v="3"/>
    <x v="1"/>
    <x v="2"/>
    <s v="Santa Catarina"/>
  </r>
  <r>
    <s v="62505127063f51deaf665f237ee748c2"/>
    <s v="2017-11-28"/>
    <x v="12"/>
    <x v="7"/>
    <x v="5"/>
    <n v="1"/>
    <n v="339.9"/>
    <n v="18.14"/>
    <s v="credit_card"/>
    <n v="10"/>
    <x v="1"/>
    <x v="2"/>
    <s v="Minas Gerais"/>
  </r>
  <r>
    <s v="eeca9f5d045896f3545298cf7a55f101"/>
    <s v="2017-11-28"/>
    <x v="12"/>
    <x v="3"/>
    <x v="4"/>
    <n v="1"/>
    <n v="137.9"/>
    <n v="38.81"/>
    <s v="credit_card"/>
    <n v="6"/>
    <x v="1"/>
    <x v="3"/>
    <s v="Sao Paulo"/>
  </r>
  <r>
    <s v="32064cd340eabfc585488b852e90efaf"/>
    <s v="2017-11-28"/>
    <x v="12"/>
    <x v="7"/>
    <x v="7"/>
    <n v="1"/>
    <n v="89.99"/>
    <n v="26.25"/>
    <s v="credit_card"/>
    <n v="7"/>
    <x v="1"/>
    <x v="2"/>
    <s v="Minas Gerais"/>
  </r>
  <r>
    <s v="111fce057987458292c1deff2a05d6ff"/>
    <s v="2017-11-28"/>
    <x v="12"/>
    <x v="8"/>
    <x v="9"/>
    <n v="1"/>
    <n v="49.9"/>
    <n v="14.22"/>
    <s v="boleto"/>
    <n v="6"/>
    <x v="1"/>
    <x v="2"/>
    <s v="Santa Catarina"/>
  </r>
  <r>
    <s v="d0caf7e56d00688a96b150cee9afc889"/>
    <s v="2017-11-28"/>
    <x v="12"/>
    <x v="4"/>
    <x v="6"/>
    <n v="1"/>
    <n v="24.99"/>
    <n v="14.1"/>
    <s v="credit_card"/>
    <n v="10"/>
    <x v="1"/>
    <x v="2"/>
    <s v="Rio de Janeiro"/>
  </r>
  <r>
    <s v="37681095e51224168a55b7a4ed598359"/>
    <s v="2017-11-28"/>
    <x v="12"/>
    <x v="4"/>
    <x v="4"/>
    <n v="1"/>
    <n v="149.99"/>
    <n v="40.380000000000003"/>
    <s v="credit_card"/>
    <n v="13"/>
    <x v="1"/>
    <x v="2"/>
    <s v="Rio de Janeiro"/>
  </r>
  <r>
    <s v="4682ccc1cc6188dda05e841ad72bc5e8"/>
    <s v="2017-11-28"/>
    <x v="12"/>
    <x v="8"/>
    <x v="16"/>
    <n v="1"/>
    <n v="59.9"/>
    <n v="16.18"/>
    <s v="boleto"/>
    <n v="23"/>
    <x v="1"/>
    <x v="2"/>
    <s v="Santa Catarina"/>
  </r>
  <r>
    <s v="ca0400dec2c292340c373e63b1c2c597"/>
    <s v="2017-11-28"/>
    <x v="12"/>
    <x v="21"/>
    <x v="1"/>
    <n v="4"/>
    <n v="679.96"/>
    <n v="77.72"/>
    <s v="credit_card"/>
    <n v="22"/>
    <x v="1"/>
    <x v="0"/>
    <s v="Bahia"/>
  </r>
  <r>
    <s v="f4a613f13687a59ba108a5ad756d73e6"/>
    <s v="2017-11-28"/>
    <x v="12"/>
    <x v="3"/>
    <x v="2"/>
    <n v="1"/>
    <n v="199.99"/>
    <n v="15.15"/>
    <s v="credit_card"/>
    <n v="13"/>
    <x v="1"/>
    <x v="0"/>
    <s v="Sao Paulo"/>
  </r>
  <r>
    <s v="861491497ec50d96ed67fcc3b12fdd87"/>
    <s v="2017-11-28"/>
    <x v="12"/>
    <x v="3"/>
    <x v="1"/>
    <n v="1"/>
    <n v="35.9"/>
    <n v="7.78"/>
    <s v="credit_card"/>
    <n v="9"/>
    <x v="1"/>
    <x v="2"/>
    <s v="Sao Paulo"/>
  </r>
  <r>
    <s v="99642f7c1549b12bcc0ddc010075030a"/>
    <s v="2017-11-28"/>
    <x v="12"/>
    <x v="3"/>
    <x v="17"/>
    <n v="1"/>
    <n v="13.65"/>
    <n v="8.7200000000000006"/>
    <s v="credit_card"/>
    <n v="3"/>
    <x v="1"/>
    <x v="2"/>
    <s v="Sao Paulo"/>
  </r>
  <r>
    <s v="bc4dd1342d6f1b0881391f55ce6de89c"/>
    <s v="2017-11-28"/>
    <x v="12"/>
    <x v="7"/>
    <x v="4"/>
    <n v="1"/>
    <n v="101.34"/>
    <n v="17.96"/>
    <s v="credit_card"/>
    <n v="13"/>
    <x v="1"/>
    <x v="3"/>
    <s v="Minas Gerais"/>
  </r>
  <r>
    <s v="efcb1e3ac5e7826d0395156ddcce513d"/>
    <s v="2017-11-28"/>
    <x v="12"/>
    <x v="21"/>
    <x v="20"/>
    <n v="2"/>
    <n v="58"/>
    <n v="51.26"/>
    <s v="voucher"/>
    <n v="21"/>
    <x v="1"/>
    <x v="2"/>
    <s v="Bahia"/>
  </r>
  <r>
    <s v="5fbaa35725c08e8527b1bcae123d2490"/>
    <s v="2017-11-28"/>
    <x v="12"/>
    <x v="18"/>
    <x v="12"/>
    <n v="1"/>
    <n v="179.9"/>
    <n v="22.1"/>
    <s v="credit_card"/>
    <n v="24"/>
    <x v="2"/>
    <x v="0"/>
    <s v="Distrito Federal"/>
  </r>
  <r>
    <s v="d828bfc73f08a09b4d5e7fc4671917ab"/>
    <s v="2017-11-28"/>
    <x v="12"/>
    <x v="4"/>
    <x v="2"/>
    <n v="2"/>
    <n v="199.98"/>
    <n v="17.82"/>
    <s v="credit_card"/>
    <n v="3"/>
    <x v="1"/>
    <x v="2"/>
    <s v="Rio de Janeiro"/>
  </r>
  <r>
    <s v="7af8ed2339bcf2d146c8ac50309f9555"/>
    <s v="2017-11-29"/>
    <x v="12"/>
    <x v="23"/>
    <x v="6"/>
    <n v="1"/>
    <n v="27.99"/>
    <n v="21.15"/>
    <s v="credit_card"/>
    <n v="9"/>
    <x v="1"/>
    <x v="1"/>
    <s v="Rio Grande do Norte"/>
  </r>
  <r>
    <s v="5400e2987acb955ee428c73ca8f28a76"/>
    <s v="2017-11-29"/>
    <x v="12"/>
    <x v="22"/>
    <x v="18"/>
    <n v="2"/>
    <n v="61.6"/>
    <n v="30.2"/>
    <s v="credit_card"/>
    <n v="28"/>
    <x v="2"/>
    <x v="0"/>
    <s v="Espirito Santo"/>
  </r>
  <r>
    <s v="185e9cacef8c11db7ae713ba0ac68895"/>
    <s v="2017-11-29"/>
    <x v="12"/>
    <x v="4"/>
    <x v="13"/>
    <n v="1"/>
    <n v="139"/>
    <n v="23.29"/>
    <s v="credit_card"/>
    <n v="29"/>
    <x v="2"/>
    <x v="0"/>
    <s v="Rio de Janeiro"/>
  </r>
  <r>
    <s v="30686c06dbe287c1eed625281774a98c"/>
    <s v="2017-11-29"/>
    <x v="12"/>
    <x v="5"/>
    <x v="29"/>
    <n v="1"/>
    <n v="269.89999999999998"/>
    <n v="22.38"/>
    <s v="credit_card"/>
    <n v="19"/>
    <x v="1"/>
    <x v="2"/>
    <s v="Parana"/>
  </r>
  <r>
    <s v="47c9687751ccee4ea76cf6386b30336d"/>
    <s v="2017-11-29"/>
    <x v="12"/>
    <x v="4"/>
    <x v="19"/>
    <n v="1"/>
    <n v="24.62"/>
    <n v="14.1"/>
    <s v="credit_card"/>
    <n v="41"/>
    <x v="2"/>
    <x v="0"/>
    <s v="Rio de Janeiro"/>
  </r>
  <r>
    <s v="9855d762d535fda66aa7f273116aa77d"/>
    <s v="2017-11-29"/>
    <x v="12"/>
    <x v="4"/>
    <x v="22"/>
    <n v="1"/>
    <n v="219.9"/>
    <n v="18.79"/>
    <s v="credit_card"/>
    <n v="29"/>
    <x v="2"/>
    <x v="0"/>
    <s v="Rio de Janeiro"/>
  </r>
  <r>
    <s v="b4cf18f6e47d64387501e0dc77b1ac82"/>
    <s v="2017-11-29"/>
    <x v="12"/>
    <x v="2"/>
    <x v="17"/>
    <n v="1"/>
    <n v="18.899999999999999"/>
    <n v="34.15"/>
    <s v="credit_card"/>
    <n v="19"/>
    <x v="1"/>
    <x v="0"/>
    <s v="Goias"/>
  </r>
  <r>
    <s v="8bf14f24c8e8641850e22e01ca1fd3bd"/>
    <s v="2017-11-29"/>
    <x v="12"/>
    <x v="21"/>
    <x v="29"/>
    <n v="1"/>
    <n v="199"/>
    <n v="17.829999999999998"/>
    <s v="credit_card"/>
    <n v="19"/>
    <x v="1"/>
    <x v="3"/>
    <s v="Bahia"/>
  </r>
  <r>
    <s v="01b241fa1421c8284e8c1029a503360f"/>
    <s v="2017-11-29"/>
    <x v="12"/>
    <x v="8"/>
    <x v="7"/>
    <n v="1"/>
    <n v="59"/>
    <n v="17.66"/>
    <s v="credit_card"/>
    <n v="46"/>
    <x v="2"/>
    <x v="0"/>
    <s v="Santa Catarina"/>
  </r>
  <r>
    <s v="4054f3a02c9191a518601fba04f06742"/>
    <s v="2017-11-29"/>
    <x v="12"/>
    <x v="7"/>
    <x v="9"/>
    <n v="1"/>
    <n v="29.9"/>
    <n v="15.1"/>
    <s v="credit_card"/>
    <n v="12"/>
    <x v="1"/>
    <x v="2"/>
    <s v="Minas Gerais"/>
  </r>
  <r>
    <s v="18bf6d7136b7e8ac817dc22f36ecbbd5"/>
    <s v="2017-11-29"/>
    <x v="12"/>
    <x v="5"/>
    <x v="23"/>
    <n v="1"/>
    <n v="199.9"/>
    <n v="18.649999999999999"/>
    <s v="boleto"/>
    <n v="28"/>
    <x v="2"/>
    <x v="2"/>
    <s v="Parana"/>
  </r>
  <r>
    <s v="6113734f28c4dd1490de62945a9adf43"/>
    <s v="2017-11-29"/>
    <x v="12"/>
    <x v="21"/>
    <x v="28"/>
    <n v="1"/>
    <n v="139.99"/>
    <n v="38.5"/>
    <s v="credit_card"/>
    <n v="28"/>
    <x v="1"/>
    <x v="2"/>
    <s v="Bahia"/>
  </r>
  <r>
    <s v="f95795398c6d7c5e32c51629aa345fdf"/>
    <s v="2017-11-29"/>
    <x v="12"/>
    <x v="3"/>
    <x v="25"/>
    <n v="2"/>
    <n v="91.8"/>
    <n v="26.16"/>
    <s v="boleto"/>
    <n v="13"/>
    <x v="1"/>
    <x v="3"/>
    <s v="Sao Paulo"/>
  </r>
  <r>
    <s v="64b5f5bed476f1c9f84b2fddb945ca48"/>
    <s v="2017-11-29"/>
    <x v="12"/>
    <x v="10"/>
    <x v="22"/>
    <n v="1"/>
    <n v="49"/>
    <n v="34.15"/>
    <s v="credit_card"/>
    <n v="29"/>
    <x v="2"/>
    <x v="5"/>
    <s v="Piaui"/>
  </r>
  <r>
    <s v="0901f97cdb91762c043d2330c81919a4"/>
    <s v="2017-11-29"/>
    <x v="12"/>
    <x v="3"/>
    <x v="22"/>
    <n v="1"/>
    <n v="399"/>
    <n v="11.61"/>
    <s v="boleto"/>
    <n v="8"/>
    <x v="1"/>
    <x v="2"/>
    <s v="Sao Paulo"/>
  </r>
  <r>
    <s v="e1d9e9bb816ce0bdfaf1cd02b96c6d10"/>
    <s v="2017-11-29"/>
    <x v="12"/>
    <x v="3"/>
    <x v="18"/>
    <n v="1"/>
    <n v="20.3"/>
    <n v="8.27"/>
    <s v="voucher"/>
    <n v="12"/>
    <x v="1"/>
    <x v="2"/>
    <s v="Sao Paulo"/>
  </r>
  <r>
    <s v="06d7e8cde0488b6d0b67852d2295368e"/>
    <s v="2017-11-30"/>
    <x v="12"/>
    <x v="3"/>
    <x v="19"/>
    <n v="2"/>
    <n v="99.8"/>
    <n v="18.68"/>
    <s v="credit_card"/>
    <n v="9"/>
    <x v="1"/>
    <x v="2"/>
    <s v="Sao Paulo"/>
  </r>
  <r>
    <s v="2fa74b22c65ece27ba1edf1f40354e19"/>
    <s v="2017-11-30"/>
    <x v="12"/>
    <x v="21"/>
    <x v="14"/>
    <n v="1"/>
    <n v="61"/>
    <n v="18"/>
    <s v="boleto"/>
    <n v="18"/>
    <x v="1"/>
    <x v="2"/>
    <s v="Bahia"/>
  </r>
  <r>
    <s v="8fc5d9ce2b81773eab28cea379428e6c"/>
    <s v="2017-11-30"/>
    <x v="12"/>
    <x v="7"/>
    <x v="5"/>
    <n v="1"/>
    <n v="56"/>
    <n v="15.14"/>
    <s v="credit_card"/>
    <n v="11"/>
    <x v="1"/>
    <x v="2"/>
    <s v="Minas Gerais"/>
  </r>
  <r>
    <s v="8277c9870ca20fd07d7d1a77992dc20d"/>
    <s v="2017-11-30"/>
    <x v="12"/>
    <x v="5"/>
    <x v="13"/>
    <n v="1"/>
    <n v="140.5"/>
    <n v="23.3"/>
    <s v="credit_card"/>
    <n v="13"/>
    <x v="1"/>
    <x v="2"/>
    <s v="Parana"/>
  </r>
  <r>
    <s v="554e0040525310e842d969553ab5b594"/>
    <s v="2017-11-30"/>
    <x v="12"/>
    <x v="22"/>
    <x v="17"/>
    <n v="2"/>
    <n v="27.3"/>
    <n v="30.2"/>
    <s v="boleto"/>
    <n v="18"/>
    <x v="1"/>
    <x v="2"/>
    <s v="Espirito Santo"/>
  </r>
  <r>
    <s v="29d0a6fb5e4342bc5bd0cd7ac3bb98f3"/>
    <s v="2017-11-30"/>
    <x v="12"/>
    <x v="21"/>
    <x v="17"/>
    <n v="1"/>
    <n v="189.9"/>
    <n v="29.85"/>
    <s v="boleto"/>
    <n v="43"/>
    <x v="2"/>
    <x v="0"/>
    <s v="Bahia"/>
  </r>
  <r>
    <s v="c2b1c0fcdd5d03ed47f2b02494cdbc63"/>
    <s v="2017-11-30"/>
    <x v="12"/>
    <x v="3"/>
    <x v="4"/>
    <n v="1"/>
    <n v="189"/>
    <n v="22.12"/>
    <s v="credit_card"/>
    <n v="12"/>
    <x v="1"/>
    <x v="2"/>
    <s v="Sao Paulo"/>
  </r>
  <r>
    <s v="25e460c20f54821a96f7570fe5b22934"/>
    <s v="2017-11-30"/>
    <x v="12"/>
    <x v="3"/>
    <x v="7"/>
    <n v="1"/>
    <n v="10"/>
    <n v="14.1"/>
    <s v="credit_card"/>
    <n v="15"/>
    <x v="1"/>
    <x v="2"/>
    <s v="Sao Paulo"/>
  </r>
  <r>
    <s v="afe207b8795179c5b29bc4c2f0052178"/>
    <s v="2017-11-30"/>
    <x v="12"/>
    <x v="3"/>
    <x v="12"/>
    <n v="1"/>
    <n v="110"/>
    <n v="14.5"/>
    <s v="boleto"/>
    <n v="7"/>
    <x v="1"/>
    <x v="2"/>
    <s v="Sao Paulo"/>
  </r>
  <r>
    <s v="81c625b19905554b5b5fd2277f4e5a0a"/>
    <s v="2017-11-30"/>
    <x v="12"/>
    <x v="5"/>
    <x v="6"/>
    <n v="1"/>
    <n v="39.9"/>
    <n v="15.1"/>
    <s v="credit_card"/>
    <n v="15"/>
    <x v="1"/>
    <x v="3"/>
    <s v="Parana"/>
  </r>
  <r>
    <s v="8b0f296c3900fc6945e8536812a789c0"/>
    <s v="2017-11-30"/>
    <x v="12"/>
    <x v="3"/>
    <x v="59"/>
    <n v="1"/>
    <n v="29.9"/>
    <n v="11.85"/>
    <s v="credit_card"/>
    <n v="6"/>
    <x v="1"/>
    <x v="2"/>
    <s v="Sao Paulo"/>
  </r>
  <r>
    <s v="eabb26aeb1ce1147b26952c40f719f0f"/>
    <s v="2017-11-30"/>
    <x v="12"/>
    <x v="3"/>
    <x v="56"/>
    <n v="1"/>
    <n v="45"/>
    <n v="9.27"/>
    <s v="credit_card"/>
    <n v="5"/>
    <x v="1"/>
    <x v="2"/>
    <s v="Sao Paulo"/>
  </r>
  <r>
    <s v="80b430d0029bb33110ac31d60e87e0b8"/>
    <s v="2017-11-30"/>
    <x v="12"/>
    <x v="5"/>
    <x v="13"/>
    <n v="1"/>
    <n v="139"/>
    <n v="15.73"/>
    <s v="credit_card"/>
    <n v="7"/>
    <x v="1"/>
    <x v="2"/>
    <s v="Parana"/>
  </r>
  <r>
    <s v="c1742783834afde8109d74422e9a4bca"/>
    <s v="2017-11-30"/>
    <x v="12"/>
    <x v="1"/>
    <x v="2"/>
    <n v="1"/>
    <n v="199.9"/>
    <n v="17.649999999999999"/>
    <s v="credit_card"/>
    <n v="13"/>
    <x v="1"/>
    <x v="2"/>
    <s v="Rio Grande do Sul"/>
  </r>
  <r>
    <s v="c73c7b94754de2363ea55ba35902321d"/>
    <s v="2017-11-30"/>
    <x v="12"/>
    <x v="3"/>
    <x v="3"/>
    <n v="1"/>
    <n v="24.5"/>
    <n v="11.85"/>
    <s v="boleto"/>
    <n v="18"/>
    <x v="1"/>
    <x v="2"/>
    <s v="Sao Paulo"/>
  </r>
  <r>
    <s v="c9db7e953006c9303b92dea9d91878bc"/>
    <s v="2017-11-30"/>
    <x v="12"/>
    <x v="3"/>
    <x v="25"/>
    <n v="1"/>
    <n v="94.9"/>
    <n v="16.420000000000002"/>
    <s v="credit_card"/>
    <n v="15"/>
    <x v="1"/>
    <x v="2"/>
    <s v="Sao Paulo"/>
  </r>
  <r>
    <s v="54369f1e37831273ce26f463ca306881"/>
    <s v="2017-11-30"/>
    <x v="12"/>
    <x v="3"/>
    <x v="14"/>
    <n v="2"/>
    <n v="199.8"/>
    <n v="26.08"/>
    <s v="credit_card"/>
    <n v="13"/>
    <x v="1"/>
    <x v="3"/>
    <s v="Sao Paulo"/>
  </r>
  <r>
    <s v="2bdb1ceae8421ac97f2d12683e1bd495"/>
    <s v="2017-11-30"/>
    <x v="12"/>
    <x v="9"/>
    <x v="46"/>
    <n v="1"/>
    <n v="119.9"/>
    <n v="15.6"/>
    <s v="credit_card"/>
    <n v="18"/>
    <x v="1"/>
    <x v="3"/>
    <s v="Sergipe"/>
  </r>
  <r>
    <s v="33862e8df33c7f4ce5d1c0142de3cf0e"/>
    <s v="2017-11-30"/>
    <x v="12"/>
    <x v="3"/>
    <x v="33"/>
    <n v="1"/>
    <n v="199"/>
    <n v="10.210000000000001"/>
    <s v="credit_card"/>
    <n v="5"/>
    <x v="1"/>
    <x v="0"/>
    <s v="Sao Paulo"/>
  </r>
  <r>
    <s v="15e2d9eb38b0fecf6c2bb792d11bfb93"/>
    <s v="2017-11-30"/>
    <x v="12"/>
    <x v="3"/>
    <x v="1"/>
    <n v="1"/>
    <n v="55"/>
    <n v="25.67"/>
    <s v="boleto"/>
    <n v="7"/>
    <x v="1"/>
    <x v="2"/>
    <s v="Sao Paulo"/>
  </r>
  <r>
    <s v="7ea79c5a0a141e742e9369fba0899043"/>
    <s v="2017-11-30"/>
    <x v="12"/>
    <x v="4"/>
    <x v="14"/>
    <n v="1"/>
    <n v="119.99"/>
    <n v="21.33"/>
    <s v="credit_card"/>
    <n v="27"/>
    <x v="1"/>
    <x v="3"/>
    <s v="Rio de Janeiro"/>
  </r>
  <r>
    <s v="50b254ace467cbdb9e5181a487f569dd"/>
    <s v="2017-11-30"/>
    <x v="12"/>
    <x v="4"/>
    <x v="29"/>
    <n v="1"/>
    <n v="45"/>
    <n v="15.1"/>
    <s v="boleto"/>
    <n v="12"/>
    <x v="1"/>
    <x v="2"/>
    <s v="Rio de Janeiro"/>
  </r>
  <r>
    <s v="3bc383f96dded5aa5e75309ecab074c5"/>
    <s v="2017-11-30"/>
    <x v="12"/>
    <x v="7"/>
    <x v="9"/>
    <n v="1"/>
    <n v="84.99"/>
    <n v="21.08"/>
    <s v="credit_card"/>
    <n v="9"/>
    <x v="1"/>
    <x v="2"/>
    <s v="Minas Gerais"/>
  </r>
  <r>
    <s v="6c068d7c483fb0d3386092cb50b4efcb"/>
    <s v="2017-11-30"/>
    <x v="12"/>
    <x v="5"/>
    <x v="9"/>
    <n v="1"/>
    <n v="46.49"/>
    <n v="15.1"/>
    <s v="credit_card"/>
    <n v="25"/>
    <x v="1"/>
    <x v="1"/>
    <s v="Parana"/>
  </r>
  <r>
    <s v="c4f4e4d627be7a7e0ca6af0fe3dd08af"/>
    <s v="2017-11-30"/>
    <x v="12"/>
    <x v="3"/>
    <x v="1"/>
    <n v="1"/>
    <n v="1199"/>
    <n v="134.25"/>
    <s v="credit_card"/>
    <n v="11"/>
    <x v="1"/>
    <x v="2"/>
    <s v="Sao Paulo"/>
  </r>
  <r>
    <s v="99b1cf2d12de43d084557a08d0c448e4"/>
    <s v="2017-11-30"/>
    <x v="12"/>
    <x v="22"/>
    <x v="2"/>
    <n v="1"/>
    <n v="139.9"/>
    <n v="15.74"/>
    <s v="boleto"/>
    <n v="18"/>
    <x v="1"/>
    <x v="2"/>
    <s v="Espirito Santo"/>
  </r>
  <r>
    <s v="bcf9b1ea597cf15ce7c93eebfd3a915a"/>
    <s v="2017-11-30"/>
    <x v="12"/>
    <x v="4"/>
    <x v="14"/>
    <n v="1"/>
    <n v="21.99"/>
    <n v="15.1"/>
    <s v="credit_card"/>
    <n v="34"/>
    <x v="2"/>
    <x v="5"/>
    <s v="Rio de Janeiro"/>
  </r>
  <r>
    <s v="7f2646b3858bd8c12613670a0da91593"/>
    <s v="2017-11-30"/>
    <x v="12"/>
    <x v="4"/>
    <x v="14"/>
    <n v="1"/>
    <n v="99.9"/>
    <n v="17.95"/>
    <s v="credit_card"/>
    <n v="20"/>
    <x v="1"/>
    <x v="3"/>
    <s v="Rio de Janeiro"/>
  </r>
  <r>
    <s v="281312c1f75aca1051527291272b4b46"/>
    <s v="2017-12-01"/>
    <x v="13"/>
    <x v="4"/>
    <x v="4"/>
    <n v="1"/>
    <n v="31.9"/>
    <n v="14.1"/>
    <s v="credit_card"/>
    <n v="20"/>
    <x v="1"/>
    <x v="2"/>
    <s v="Rio de Janeiro"/>
  </r>
  <r>
    <s v="5278f92718cd6d3de89da59a99515b34"/>
    <s v="2017-12-01"/>
    <x v="13"/>
    <x v="15"/>
    <x v="9"/>
    <n v="1"/>
    <n v="149.65"/>
    <n v="26.33"/>
    <s v="credit_card"/>
    <n v="32"/>
    <x v="1"/>
    <x v="2"/>
    <s v="Mato Grosso"/>
  </r>
  <r>
    <s v="a5d81ef92239f2dfe3b2aef1416077aa"/>
    <s v="2017-12-01"/>
    <x v="13"/>
    <x v="1"/>
    <x v="26"/>
    <n v="1"/>
    <n v="122.99"/>
    <n v="15.61"/>
    <s v="credit_card"/>
    <n v="11"/>
    <x v="1"/>
    <x v="2"/>
    <s v="Rio Grande do Sul"/>
  </r>
  <r>
    <s v="58a18ff759db7b6e8f84744c86b9b461"/>
    <s v="2017-12-01"/>
    <x v="13"/>
    <x v="3"/>
    <x v="14"/>
    <n v="2"/>
    <n v="57.8"/>
    <n v="18.54"/>
    <s v="boleto"/>
    <n v="11"/>
    <x v="1"/>
    <x v="3"/>
    <s v="Sao Paulo"/>
  </r>
  <r>
    <s v="b28f406dacca37ff27d85f7982344d2f"/>
    <s v="2017-12-01"/>
    <x v="13"/>
    <x v="3"/>
    <x v="4"/>
    <n v="1"/>
    <n v="109.9"/>
    <n v="12.9"/>
    <s v="boleto"/>
    <n v="10"/>
    <x v="1"/>
    <x v="3"/>
    <s v="Sao Paulo"/>
  </r>
  <r>
    <s v="52993856cd387ab5a4dd553e66dbdc6c"/>
    <s v="2017-12-01"/>
    <x v="13"/>
    <x v="4"/>
    <x v="22"/>
    <n v="1"/>
    <n v="348.8"/>
    <n v="16.190000000000001"/>
    <s v="credit_card"/>
    <n v="48"/>
    <x v="2"/>
    <x v="5"/>
    <s v="Rio de Janeiro"/>
  </r>
  <r>
    <s v="50c561609b802ec8d508a9f48c669918"/>
    <s v="2017-12-01"/>
    <x v="13"/>
    <x v="12"/>
    <x v="2"/>
    <n v="1"/>
    <n v="86.99"/>
    <n v="29.01"/>
    <s v="credit_card"/>
    <n v="34"/>
    <x v="2"/>
    <x v="1"/>
    <s v="Ceara"/>
  </r>
  <r>
    <s v="cf27162439419d0179b62ebc5a6dccd1"/>
    <s v="2017-12-01"/>
    <x v="13"/>
    <x v="3"/>
    <x v="14"/>
    <n v="1"/>
    <n v="54.9"/>
    <n v="13.08"/>
    <s v="credit_card"/>
    <n v="5"/>
    <x v="1"/>
    <x v="2"/>
    <s v="Sao Paulo"/>
  </r>
  <r>
    <s v="6fa1dd5611d4b380144fbe44fa788ad9"/>
    <s v="2017-12-01"/>
    <x v="13"/>
    <x v="3"/>
    <x v="4"/>
    <n v="1"/>
    <n v="215.5"/>
    <n v="14.53"/>
    <s v="boleto"/>
    <n v="11"/>
    <x v="1"/>
    <x v="3"/>
    <s v="Sao Paulo"/>
  </r>
  <r>
    <s v="6251915eca989de65a0d5bd949bb98fd"/>
    <s v="2017-12-01"/>
    <x v="13"/>
    <x v="5"/>
    <x v="7"/>
    <n v="1"/>
    <n v="89.99"/>
    <n v="50.5"/>
    <s v="credit_card"/>
    <n v="17"/>
    <x v="1"/>
    <x v="2"/>
    <s v="Parana"/>
  </r>
  <r>
    <s v="c7792e68d2b059a30e1393cf164f9adf"/>
    <s v="2017-12-02"/>
    <x v="13"/>
    <x v="4"/>
    <x v="20"/>
    <n v="1"/>
    <n v="64.989999999999995"/>
    <n v="16.21"/>
    <s v="credit_card"/>
    <n v="12"/>
    <x v="1"/>
    <x v="2"/>
    <s v="Rio de Janeiro"/>
  </r>
  <r>
    <s v="d664b2039deb4f567ef5367877766cf6"/>
    <s v="2017-12-02"/>
    <x v="13"/>
    <x v="3"/>
    <x v="2"/>
    <n v="2"/>
    <n v="119.98"/>
    <n v="18.68"/>
    <s v="credit_card"/>
    <n v="12"/>
    <x v="1"/>
    <x v="1"/>
    <s v="Sao Paulo"/>
  </r>
  <r>
    <s v="67118db7c6bb624924e2d3f7d1db78d9"/>
    <s v="2017-12-02"/>
    <x v="13"/>
    <x v="3"/>
    <x v="4"/>
    <n v="1"/>
    <n v="44.9"/>
    <n v="11.85"/>
    <s v="credit_card"/>
    <n v="13"/>
    <x v="1"/>
    <x v="2"/>
    <s v="Sao Paulo"/>
  </r>
  <r>
    <s v="17aee91466443df022e04e60326597b7"/>
    <s v="2017-12-02"/>
    <x v="13"/>
    <x v="4"/>
    <x v="2"/>
    <n v="1"/>
    <n v="299.99"/>
    <n v="11.11"/>
    <s v="credit_card"/>
    <n v="3"/>
    <x v="1"/>
    <x v="2"/>
    <s v="Rio de Janeiro"/>
  </r>
  <r>
    <s v="1a15666c4d5cfc217337ceebd70c3884"/>
    <s v="2017-12-02"/>
    <x v="13"/>
    <x v="3"/>
    <x v="0"/>
    <n v="1"/>
    <n v="50.9"/>
    <n v="12.7"/>
    <s v="credit_card"/>
    <n v="12"/>
    <x v="1"/>
    <x v="2"/>
    <s v="Sao Paulo"/>
  </r>
  <r>
    <s v="62a084114b1d8e549fbf1e0d9ebf4da6"/>
    <s v="2017-12-02"/>
    <x v="13"/>
    <x v="8"/>
    <x v="29"/>
    <n v="1"/>
    <n v="37.5"/>
    <n v="16.11"/>
    <s v="credit_card"/>
    <n v="16"/>
    <x v="1"/>
    <x v="2"/>
    <s v="Santa Catarina"/>
  </r>
  <r>
    <s v="ed6a309651e25df1caf213ebeaf1067b"/>
    <s v="2017-12-02"/>
    <x v="13"/>
    <x v="18"/>
    <x v="14"/>
    <n v="1"/>
    <n v="99.9"/>
    <n v="21.19"/>
    <s v="credit_card"/>
    <n v="17"/>
    <x v="1"/>
    <x v="1"/>
    <s v="Distrito Federal"/>
  </r>
  <r>
    <s v="6f0c6747db38e540068010194f8249e5"/>
    <s v="2017-12-02"/>
    <x v="13"/>
    <x v="3"/>
    <x v="9"/>
    <n v="1"/>
    <n v="34.99"/>
    <n v="7.78"/>
    <s v="boleto"/>
    <n v="6"/>
    <x v="1"/>
    <x v="0"/>
    <s v="Sao Paulo"/>
  </r>
  <r>
    <s v="f0dbbeed3a0b658b884893bcdde5e4d4"/>
    <s v="2017-12-02"/>
    <x v="13"/>
    <x v="3"/>
    <x v="0"/>
    <n v="1"/>
    <n v="148"/>
    <n v="18.29"/>
    <s v="credit_card"/>
    <n v="19"/>
    <x v="1"/>
    <x v="2"/>
    <s v="Sao Paulo"/>
  </r>
  <r>
    <s v="e9fecd900cce6b52424121bf98911932"/>
    <s v="2017-12-02"/>
    <x v="13"/>
    <x v="4"/>
    <x v="14"/>
    <n v="1"/>
    <n v="39.99"/>
    <n v="15.1"/>
    <s v="boleto"/>
    <n v="36"/>
    <x v="2"/>
    <x v="0"/>
    <s v="Rio de Janeiro"/>
  </r>
  <r>
    <s v="99564fb7290396571ca59529ad9e71f3"/>
    <s v="2017-12-03"/>
    <x v="13"/>
    <x v="3"/>
    <x v="0"/>
    <n v="1"/>
    <n v="89.9"/>
    <n v="13.65"/>
    <s v="boleto"/>
    <n v="5"/>
    <x v="1"/>
    <x v="2"/>
    <s v="Sao Paulo"/>
  </r>
  <r>
    <s v="4a34ebaf9dad918de4b5201d02bd7289"/>
    <s v="2017-12-03"/>
    <x v="13"/>
    <x v="3"/>
    <x v="14"/>
    <n v="1"/>
    <n v="140"/>
    <n v="25.5"/>
    <s v="credit_card"/>
    <n v="3"/>
    <x v="1"/>
    <x v="5"/>
    <s v="Sao Paulo"/>
  </r>
  <r>
    <s v="fa0705d5bfc72c07badff6fcffd697f6"/>
    <s v="2017-12-03"/>
    <x v="13"/>
    <x v="5"/>
    <x v="2"/>
    <n v="1"/>
    <n v="86.99"/>
    <n v="17.86"/>
    <s v="credit_card"/>
    <n v="31"/>
    <x v="1"/>
    <x v="5"/>
    <s v="Parana"/>
  </r>
  <r>
    <s v="3335f13449d5b75804a0a49611cf11a4"/>
    <s v="2017-12-03"/>
    <x v="13"/>
    <x v="1"/>
    <x v="56"/>
    <n v="1"/>
    <n v="40"/>
    <n v="17.600000000000001"/>
    <s v="credit_card"/>
    <n v="18"/>
    <x v="1"/>
    <x v="2"/>
    <s v="Rio Grande do Sul"/>
  </r>
  <r>
    <s v="e2fbbd87fea5a8b236b00e5b274b143d"/>
    <s v="2017-12-03"/>
    <x v="13"/>
    <x v="4"/>
    <x v="28"/>
    <n v="1"/>
    <n v="196.99"/>
    <n v="59.93"/>
    <s v="credit_card"/>
    <n v="30"/>
    <x v="1"/>
    <x v="0"/>
    <s v="Rio de Janeiro"/>
  </r>
  <r>
    <s v="13b18839db628ad38aab7490078a213e"/>
    <s v="2017-12-03"/>
    <x v="13"/>
    <x v="22"/>
    <x v="14"/>
    <n v="1"/>
    <n v="45.9"/>
    <n v="15.11"/>
    <s v="credit_card"/>
    <n v="15"/>
    <x v="1"/>
    <x v="2"/>
    <s v="Espirito Santo"/>
  </r>
  <r>
    <s v="6653d3fc131c01e7e7fa96daf4aea451"/>
    <s v="2017-12-03"/>
    <x v="13"/>
    <x v="4"/>
    <x v="22"/>
    <n v="1"/>
    <n v="170"/>
    <n v="15.94"/>
    <s v="credit_card"/>
    <n v="12"/>
    <x v="1"/>
    <x v="2"/>
    <s v="Rio de Janeiro"/>
  </r>
  <r>
    <s v="23f0043c61ae2348a350f3cc20762914"/>
    <s v="2017-12-03"/>
    <x v="13"/>
    <x v="4"/>
    <x v="0"/>
    <n v="1"/>
    <n v="69.900000000000006"/>
    <n v="26.81"/>
    <s v="credit_card"/>
    <n v="11"/>
    <x v="1"/>
    <x v="2"/>
    <s v="Rio de Janeiro"/>
  </r>
  <r>
    <s v="8fdc42676c9c6c74c4f8f062b53ebafa"/>
    <s v="2017-12-03"/>
    <x v="13"/>
    <x v="7"/>
    <x v="9"/>
    <n v="1"/>
    <n v="125.5"/>
    <n v="16.64"/>
    <s v="credit_card"/>
    <m/>
    <x v="0"/>
    <x v="0"/>
    <s v="Minas Gerais"/>
  </r>
  <r>
    <s v="de0076b42a023f53b398ce9ab0d9009c"/>
    <s v="2017-12-04"/>
    <x v="13"/>
    <x v="21"/>
    <x v="0"/>
    <n v="1"/>
    <n v="17.899999999999999"/>
    <n v="16.79"/>
    <s v="boleto"/>
    <n v="36"/>
    <x v="2"/>
    <x v="0"/>
    <s v="Bahia"/>
  </r>
  <r>
    <s v="db37f3a504d63cd9e2fb6133c80e0219"/>
    <s v="2017-12-04"/>
    <x v="13"/>
    <x v="3"/>
    <x v="21"/>
    <n v="1"/>
    <n v="129.99"/>
    <n v="17.16"/>
    <s v="credit_card"/>
    <n v="14"/>
    <x v="1"/>
    <x v="2"/>
    <s v="Sao Paulo"/>
  </r>
  <r>
    <s v="a2774eabce91067c32cfb2813ac902ad"/>
    <s v="2017-12-04"/>
    <x v="13"/>
    <x v="1"/>
    <x v="6"/>
    <n v="2"/>
    <n v="398"/>
    <n v="32.28"/>
    <s v="credit_card"/>
    <n v="9"/>
    <x v="1"/>
    <x v="0"/>
    <s v="Rio Grande do Sul"/>
  </r>
  <r>
    <s v="7da78752e9ddd817f22933c2763db33c"/>
    <s v="2017-12-04"/>
    <x v="13"/>
    <x v="4"/>
    <x v="14"/>
    <n v="1"/>
    <n v="69.900000000000006"/>
    <n v="18.059999999999999"/>
    <s v="boleto"/>
    <n v="16"/>
    <x v="1"/>
    <x v="2"/>
    <s v="Rio de Janeiro"/>
  </r>
  <r>
    <s v="0ec373cccbb9d0a08243467c9d81a0c5"/>
    <s v="2017-12-04"/>
    <x v="13"/>
    <x v="21"/>
    <x v="0"/>
    <n v="1"/>
    <n v="89.9"/>
    <n v="28.01"/>
    <s v="boleto"/>
    <n v="16"/>
    <x v="1"/>
    <x v="2"/>
    <s v="Bahia"/>
  </r>
  <r>
    <s v="8c535ee262be59eb38411054b7365ca2"/>
    <s v="2017-12-04"/>
    <x v="13"/>
    <x v="7"/>
    <x v="1"/>
    <n v="1"/>
    <n v="239.99"/>
    <n v="18.93"/>
    <s v="credit_card"/>
    <n v="21"/>
    <x v="1"/>
    <x v="3"/>
    <s v="Minas Gerais"/>
  </r>
  <r>
    <s v="adc51b6b60ec7fe71a757fdf57f0e3b2"/>
    <s v="2017-12-04"/>
    <x v="13"/>
    <x v="7"/>
    <x v="9"/>
    <n v="1"/>
    <n v="394.65"/>
    <n v="17.510000000000002"/>
    <s v="credit_card"/>
    <n v="24"/>
    <x v="2"/>
    <x v="3"/>
    <s v="Minas Gerais"/>
  </r>
  <r>
    <s v="06ba91cdc30ac6c7181e933cf2135932"/>
    <s v="2017-12-04"/>
    <x v="13"/>
    <x v="4"/>
    <x v="44"/>
    <n v="1"/>
    <n v="206.9"/>
    <n v="34.81"/>
    <s v="boleto"/>
    <n v="22"/>
    <x v="1"/>
    <x v="1"/>
    <s v="Rio de Janeiro"/>
  </r>
  <r>
    <s v="396ca10a49401efb99c1e55716800936"/>
    <s v="2017-12-04"/>
    <x v="13"/>
    <x v="7"/>
    <x v="22"/>
    <n v="1"/>
    <n v="49.99"/>
    <n v="15.1"/>
    <s v="boleto"/>
    <n v="16"/>
    <x v="1"/>
    <x v="3"/>
    <s v="Minas Gerais"/>
  </r>
  <r>
    <s v="fdce8dd7bb4b3a3424b42b3dd0e844da"/>
    <s v="2017-12-04"/>
    <x v="13"/>
    <x v="3"/>
    <x v="4"/>
    <n v="1"/>
    <n v="140"/>
    <n v="12.48"/>
    <s v="boleto"/>
    <n v="9"/>
    <x v="1"/>
    <x v="2"/>
    <s v="Sao Paulo"/>
  </r>
  <r>
    <s v="cfe5649887c20d8a27d7a9a2302a9d9b"/>
    <s v="2017-12-04"/>
    <x v="13"/>
    <x v="6"/>
    <x v="2"/>
    <n v="2"/>
    <n v="179.8"/>
    <n v="42.06"/>
    <s v="credit_card"/>
    <n v="22"/>
    <x v="1"/>
    <x v="3"/>
    <s v="Pernambuco"/>
  </r>
  <r>
    <s v="da2473475b308a32775353337f5c3c6d"/>
    <s v="2017-12-04"/>
    <x v="13"/>
    <x v="4"/>
    <x v="22"/>
    <n v="1"/>
    <n v="348.8"/>
    <n v="17.190000000000001"/>
    <s v="credit_card"/>
    <n v="37"/>
    <x v="2"/>
    <x v="0"/>
    <s v="Rio de Janeiro"/>
  </r>
  <r>
    <s v="fa464e66c13ab4ea69b7fb3c7888ea0c"/>
    <s v="2017-12-04"/>
    <x v="13"/>
    <x v="4"/>
    <x v="9"/>
    <n v="1"/>
    <n v="29.9"/>
    <n v="15.1"/>
    <s v="boleto"/>
    <n v="30"/>
    <x v="2"/>
    <x v="2"/>
    <s v="Rio de Janeiro"/>
  </r>
  <r>
    <s v="4e9ff1cf3de62fe0f78482fb03f190f1"/>
    <s v="2017-12-04"/>
    <x v="13"/>
    <x v="3"/>
    <x v="27"/>
    <n v="1"/>
    <n v="412"/>
    <n v="23.72"/>
    <s v="boleto"/>
    <n v="9"/>
    <x v="1"/>
    <x v="2"/>
    <s v="Sao Paulo"/>
  </r>
  <r>
    <s v="b0a3fa56d2d1b7e51873562656c0a796"/>
    <s v="2017-12-04"/>
    <x v="13"/>
    <x v="21"/>
    <x v="13"/>
    <n v="1"/>
    <n v="79.900000000000006"/>
    <n v="19.8"/>
    <s v="credit_card"/>
    <n v="14"/>
    <x v="1"/>
    <x v="2"/>
    <s v="Bahia"/>
  </r>
  <r>
    <s v="03d5b9a74ff46435640f8bd737ac2237"/>
    <s v="2017-12-04"/>
    <x v="13"/>
    <x v="3"/>
    <x v="25"/>
    <n v="1"/>
    <n v="110"/>
    <n v="36.43"/>
    <s v="credit_card"/>
    <n v="7"/>
    <x v="1"/>
    <x v="2"/>
    <s v="Sao Paulo"/>
  </r>
  <r>
    <s v="0f4ace47be2863cb7e7e547f32afbe2a"/>
    <s v="2017-12-04"/>
    <x v="13"/>
    <x v="3"/>
    <x v="1"/>
    <n v="1"/>
    <n v="36.99"/>
    <n v="15.11"/>
    <s v="credit_card"/>
    <m/>
    <x v="0"/>
    <x v="0"/>
    <s v="Sao Paulo"/>
  </r>
  <r>
    <s v="12ddc48a9deaa5607f5fe6dacbb1e436"/>
    <s v="2017-12-04"/>
    <x v="13"/>
    <x v="3"/>
    <x v="14"/>
    <n v="1"/>
    <n v="89.9"/>
    <n v="16.260000000000002"/>
    <s v="credit_card"/>
    <n v="11"/>
    <x v="1"/>
    <x v="2"/>
    <s v="Sao Paulo"/>
  </r>
  <r>
    <s v="1cfb210fdaf81f98065605323fe31fa3"/>
    <s v="2017-12-04"/>
    <x v="13"/>
    <x v="4"/>
    <x v="29"/>
    <n v="1"/>
    <n v="79"/>
    <n v="17.8"/>
    <s v="credit_card"/>
    <n v="37"/>
    <x v="2"/>
    <x v="0"/>
    <s v="Rio de Janeiro"/>
  </r>
  <r>
    <s v="977f75be9ecd1050220bf0c1ee226bda"/>
    <s v="2017-12-04"/>
    <x v="13"/>
    <x v="21"/>
    <x v="29"/>
    <n v="1"/>
    <n v="120"/>
    <n v="20.079999999999998"/>
    <s v="credit_card"/>
    <n v="32"/>
    <x v="2"/>
    <x v="3"/>
    <s v="Bahia"/>
  </r>
  <r>
    <s v="8d0104be66d2f2828b6dd123117d7c22"/>
    <s v="2017-12-04"/>
    <x v="13"/>
    <x v="22"/>
    <x v="26"/>
    <n v="1"/>
    <n v="259.77"/>
    <n v="15.57"/>
    <s v="credit_card"/>
    <n v="8"/>
    <x v="1"/>
    <x v="3"/>
    <s v="Espirito Santo"/>
  </r>
  <r>
    <s v="5e3729322319aad9409e9ca36aac26da"/>
    <s v="2017-12-04"/>
    <x v="13"/>
    <x v="22"/>
    <x v="4"/>
    <n v="1"/>
    <n v="42.79"/>
    <n v="15.79"/>
    <s v="boleto"/>
    <n v="8"/>
    <x v="1"/>
    <x v="2"/>
    <s v="Espirito Santo"/>
  </r>
  <r>
    <s v="95b1f6f56e1831a87c509debb79f3c52"/>
    <s v="2017-12-05"/>
    <x v="13"/>
    <x v="21"/>
    <x v="14"/>
    <n v="1"/>
    <n v="59.99"/>
    <n v="17.989999999999998"/>
    <s v="credit_card"/>
    <n v="31"/>
    <x v="2"/>
    <x v="2"/>
    <s v="Bahia"/>
  </r>
  <r>
    <s v="924b9944de552a095cc8e4978ac8a518"/>
    <s v="2017-12-05"/>
    <x v="13"/>
    <x v="7"/>
    <x v="13"/>
    <n v="1"/>
    <n v="83.9"/>
    <n v="16.350000000000001"/>
    <s v="credit_card"/>
    <n v="6"/>
    <x v="1"/>
    <x v="3"/>
    <s v="Minas Gerais"/>
  </r>
  <r>
    <s v="321117f0a62b449963231d318a6320d2"/>
    <s v="2017-12-05"/>
    <x v="13"/>
    <x v="4"/>
    <x v="22"/>
    <n v="1"/>
    <n v="79"/>
    <n v="14.3"/>
    <s v="credit_card"/>
    <m/>
    <x v="0"/>
    <x v="4"/>
    <s v="Rio de Janeiro"/>
  </r>
  <r>
    <s v="0bcc4cc85c24f23e22013fd22f99728f"/>
    <s v="2017-12-05"/>
    <x v="13"/>
    <x v="3"/>
    <x v="19"/>
    <n v="1"/>
    <n v="177.99"/>
    <n v="17.010000000000002"/>
    <s v="credit_card"/>
    <n v="15"/>
    <x v="1"/>
    <x v="2"/>
    <s v="Sao Paulo"/>
  </r>
  <r>
    <s v="c724a4299403a06db6a91f12801f845a"/>
    <s v="2017-12-05"/>
    <x v="13"/>
    <x v="5"/>
    <x v="9"/>
    <n v="1"/>
    <n v="92.9"/>
    <n v="17.22"/>
    <s v="credit_card"/>
    <n v="13"/>
    <x v="1"/>
    <x v="2"/>
    <s v="Parana"/>
  </r>
  <r>
    <s v="07424cae1deed4169c2b56d1d150acf8"/>
    <s v="2017-12-05"/>
    <x v="13"/>
    <x v="4"/>
    <x v="2"/>
    <n v="1"/>
    <n v="139.99"/>
    <n v="13.81"/>
    <s v="credit_card"/>
    <n v="8"/>
    <x v="1"/>
    <x v="3"/>
    <s v="Rio de Janeiro"/>
  </r>
  <r>
    <s v="7e40398e4b930885edc608594647816d"/>
    <s v="2017-12-05"/>
    <x v="13"/>
    <x v="2"/>
    <x v="9"/>
    <n v="2"/>
    <n v="58.9"/>
    <n v="28.2"/>
    <s v="voucher"/>
    <n v="23"/>
    <x v="1"/>
    <x v="1"/>
    <s v="Goias"/>
  </r>
  <r>
    <s v="13d37da7780bd1fb1eca0512a3e75f00"/>
    <s v="2017-12-05"/>
    <x v="13"/>
    <x v="4"/>
    <x v="25"/>
    <n v="1"/>
    <n v="29.9"/>
    <n v="16.600000000000001"/>
    <s v="voucher"/>
    <n v="36"/>
    <x v="2"/>
    <x v="0"/>
    <s v="Rio de Janeiro"/>
  </r>
  <r>
    <s v="ad192211a3b7e6018ffdea3e5fef1444"/>
    <s v="2017-12-05"/>
    <x v="13"/>
    <x v="3"/>
    <x v="1"/>
    <n v="1"/>
    <n v="67.900000000000006"/>
    <n v="11.98"/>
    <s v="credit_card"/>
    <n v="6"/>
    <x v="1"/>
    <x v="2"/>
    <s v="Sao Paulo"/>
  </r>
  <r>
    <s v="9d3496ddb05aea6b6b9a675bfa89e5ad"/>
    <s v="2017-12-05"/>
    <x v="13"/>
    <x v="3"/>
    <x v="19"/>
    <n v="1"/>
    <n v="18.8"/>
    <n v="7.78"/>
    <s v="credit_card"/>
    <n v="6"/>
    <x v="1"/>
    <x v="2"/>
    <s v="Sao Paulo"/>
  </r>
  <r>
    <s v="eb270c4cbf3671961f3883e8b888571b"/>
    <s v="2017-12-06"/>
    <x v="13"/>
    <x v="4"/>
    <x v="17"/>
    <n v="1"/>
    <n v="89.9"/>
    <n v="17.07"/>
    <s v="boleto"/>
    <n v="16"/>
    <x v="1"/>
    <x v="1"/>
    <s v="Rio de Janeiro"/>
  </r>
  <r>
    <s v="a698eb7ffd8072c3664a4950b259ff0b"/>
    <s v="2017-12-06"/>
    <x v="13"/>
    <x v="3"/>
    <x v="9"/>
    <n v="1"/>
    <n v="49"/>
    <n v="8.11"/>
    <s v="boleto"/>
    <n v="5"/>
    <x v="1"/>
    <x v="2"/>
    <s v="Sao Paulo"/>
  </r>
  <r>
    <s v="70607d8252a17da1eece85cc656be12f"/>
    <s v="2017-12-06"/>
    <x v="13"/>
    <x v="3"/>
    <x v="20"/>
    <n v="1"/>
    <n v="144.99"/>
    <n v="12.22"/>
    <s v="credit_card"/>
    <n v="5"/>
    <x v="1"/>
    <x v="2"/>
    <s v="Sao Paulo"/>
  </r>
  <r>
    <s v="969d261a3f4c639b3acdc0ba090fc039"/>
    <s v="2017-12-06"/>
    <x v="13"/>
    <x v="21"/>
    <x v="28"/>
    <n v="1"/>
    <n v="139.99"/>
    <n v="38.5"/>
    <s v="credit_card"/>
    <n v="33"/>
    <x v="1"/>
    <x v="2"/>
    <s v="Bahia"/>
  </r>
  <r>
    <s v="9526afac09af0c00e87b74eb7290b6ec"/>
    <s v="2017-12-06"/>
    <x v="13"/>
    <x v="3"/>
    <x v="12"/>
    <n v="1"/>
    <n v="14.9"/>
    <n v="16.11"/>
    <s v="credit_card"/>
    <n v="12"/>
    <x v="1"/>
    <x v="1"/>
    <s v="Sao Paulo"/>
  </r>
  <r>
    <s v="dd04e5bf2ed0f48d340eb1b2820dcb7b"/>
    <s v="2017-12-06"/>
    <x v="13"/>
    <x v="4"/>
    <x v="9"/>
    <n v="1"/>
    <n v="326.16000000000003"/>
    <n v="33.03"/>
    <s v="credit_card"/>
    <n v="37"/>
    <x v="2"/>
    <x v="0"/>
    <s v="Rio de Janeiro"/>
  </r>
  <r>
    <s v="5b7906a5a90957b0020ae90b2d7caf1b"/>
    <s v="2017-12-06"/>
    <x v="13"/>
    <x v="7"/>
    <x v="20"/>
    <n v="5"/>
    <n v="59.95"/>
    <n v="70.48"/>
    <s v="boleto"/>
    <n v="5"/>
    <x v="1"/>
    <x v="2"/>
    <s v="Minas Gerais"/>
  </r>
  <r>
    <s v="58be29292eff76e98cd5063f83ed7c51"/>
    <s v="2017-12-06"/>
    <x v="13"/>
    <x v="1"/>
    <x v="13"/>
    <n v="1"/>
    <n v="559"/>
    <n v="37.270000000000003"/>
    <s v="boleto"/>
    <n v="34"/>
    <x v="2"/>
    <x v="1"/>
    <s v="Rio Grande do Sul"/>
  </r>
  <r>
    <s v="c4d21595038e045af516cfd9f1496c2d"/>
    <s v="2017-12-06"/>
    <x v="13"/>
    <x v="4"/>
    <x v="20"/>
    <n v="1"/>
    <n v="599"/>
    <n v="20.440000000000001"/>
    <s v="credit_card"/>
    <n v="14"/>
    <x v="1"/>
    <x v="2"/>
    <s v="Rio de Janeiro"/>
  </r>
  <r>
    <s v="bd68fa144029a95327200fd368b4f4bb"/>
    <s v="2017-12-06"/>
    <x v="13"/>
    <x v="3"/>
    <x v="9"/>
    <n v="1"/>
    <n v="449"/>
    <n v="19.39"/>
    <s v="credit_card"/>
    <n v="10"/>
    <x v="1"/>
    <x v="2"/>
    <s v="Sao Paulo"/>
  </r>
  <r>
    <s v="a8aeb93e160470d999c4ead1c7702124"/>
    <s v="2017-12-06"/>
    <x v="13"/>
    <x v="3"/>
    <x v="9"/>
    <n v="1"/>
    <n v="39.9"/>
    <n v="11.85"/>
    <s v="boleto"/>
    <n v="7"/>
    <x v="1"/>
    <x v="2"/>
    <s v="Sao Paulo"/>
  </r>
  <r>
    <s v="68b12ff83359aac4ddb4bcf1244b3a66"/>
    <s v="2017-12-06"/>
    <x v="13"/>
    <x v="3"/>
    <x v="48"/>
    <n v="1"/>
    <n v="49.9"/>
    <n v="11.85"/>
    <s v="boleto"/>
    <n v="11"/>
    <x v="1"/>
    <x v="2"/>
    <s v="Sao Paulo"/>
  </r>
  <r>
    <s v="a57e5933aecc63699d3d4657af21b9ad"/>
    <s v="2017-12-07"/>
    <x v="13"/>
    <x v="18"/>
    <x v="1"/>
    <n v="1"/>
    <n v="45.9"/>
    <n v="14.1"/>
    <s v="boleto"/>
    <n v="13"/>
    <x v="1"/>
    <x v="2"/>
    <s v="Distrito Federal"/>
  </r>
  <r>
    <s v="196c08d79ccead358a5de691d9e86ffc"/>
    <s v="2017-12-07"/>
    <x v="13"/>
    <x v="7"/>
    <x v="9"/>
    <n v="1"/>
    <n v="89.99"/>
    <n v="16.39"/>
    <s v="credit_card"/>
    <n v="7"/>
    <x v="1"/>
    <x v="2"/>
    <s v="Minas Gerais"/>
  </r>
  <r>
    <s v="413570abe3d3b2e99c63f5d9ceadb6b3"/>
    <s v="2017-12-07"/>
    <x v="13"/>
    <x v="14"/>
    <x v="2"/>
    <n v="3"/>
    <n v="212.91"/>
    <n v="53.25"/>
    <s v="credit_card"/>
    <n v="16"/>
    <x v="1"/>
    <x v="0"/>
    <s v="Mato Grosso do Sul"/>
  </r>
  <r>
    <s v="d931bcdb789d6460815d187628a45ea0"/>
    <s v="2017-12-07"/>
    <x v="13"/>
    <x v="4"/>
    <x v="36"/>
    <n v="1"/>
    <n v="15.75"/>
    <n v="15.1"/>
    <s v="credit_card"/>
    <n v="33"/>
    <x v="1"/>
    <x v="3"/>
    <s v="Rio de Janeiro"/>
  </r>
  <r>
    <s v="bca67f1d036be009d17824489da2f178"/>
    <s v="2017-12-07"/>
    <x v="13"/>
    <x v="3"/>
    <x v="12"/>
    <n v="1"/>
    <n v="134.9"/>
    <n v="10.16"/>
    <s v="credit_card"/>
    <n v="6"/>
    <x v="1"/>
    <x v="2"/>
    <s v="Sao Paulo"/>
  </r>
  <r>
    <s v="80b77c666e1dab43571417e42bc149e5"/>
    <s v="2017-12-07"/>
    <x v="13"/>
    <x v="7"/>
    <x v="6"/>
    <n v="1"/>
    <n v="39.99"/>
    <n v="15.1"/>
    <s v="credit_card"/>
    <n v="12"/>
    <x v="1"/>
    <x v="0"/>
    <s v="Minas Gerais"/>
  </r>
  <r>
    <s v="857699cd8c2658e12a5870b9b54eadfb"/>
    <s v="2017-12-07"/>
    <x v="13"/>
    <x v="21"/>
    <x v="29"/>
    <n v="1"/>
    <n v="189.99"/>
    <n v="20.57"/>
    <s v="credit_card"/>
    <n v="39"/>
    <x v="2"/>
    <x v="1"/>
    <s v="Bahia"/>
  </r>
  <r>
    <s v="df30936d84a3371e34e3180c4fa953e3"/>
    <s v="2017-12-07"/>
    <x v="13"/>
    <x v="7"/>
    <x v="17"/>
    <n v="2"/>
    <n v="25.8"/>
    <n v="30.2"/>
    <s v="credit_card"/>
    <n v="21"/>
    <x v="1"/>
    <x v="0"/>
    <s v="Minas Gerais"/>
  </r>
  <r>
    <s v="5f944775bd47e27388f34caaac31649a"/>
    <s v="2017-12-07"/>
    <x v="13"/>
    <x v="3"/>
    <x v="2"/>
    <n v="1"/>
    <n v="69.989999999999995"/>
    <n v="12.83"/>
    <s v="boleto"/>
    <n v="20"/>
    <x v="1"/>
    <x v="2"/>
    <s v="Sao Paulo"/>
  </r>
  <r>
    <s v="66aa339665e1726ddd709618f3caf4ef"/>
    <s v="2017-12-07"/>
    <x v="13"/>
    <x v="4"/>
    <x v="22"/>
    <n v="1"/>
    <n v="108"/>
    <n v="9.77"/>
    <s v="boleto"/>
    <n v="7"/>
    <x v="1"/>
    <x v="2"/>
    <s v="Rio de Janeiro"/>
  </r>
  <r>
    <s v="06c2f55902daa48386515225a766e7d1"/>
    <s v="2017-12-08"/>
    <x v="13"/>
    <x v="3"/>
    <x v="2"/>
    <n v="1"/>
    <n v="99.9"/>
    <n v="16.46"/>
    <s v="credit_card"/>
    <n v="19"/>
    <x v="1"/>
    <x v="0"/>
    <s v="Sao Paulo"/>
  </r>
  <r>
    <s v="7d111bfefec4ae36c7554a594fea3afa"/>
    <s v="2017-12-08"/>
    <x v="13"/>
    <x v="3"/>
    <x v="1"/>
    <n v="1"/>
    <n v="99"/>
    <n v="7.95"/>
    <s v="boleto"/>
    <n v="7"/>
    <x v="1"/>
    <x v="2"/>
    <s v="Sao Paulo"/>
  </r>
  <r>
    <s v="aa45e41799067f67755e2e4e41925aa3"/>
    <s v="2017-12-08"/>
    <x v="13"/>
    <x v="3"/>
    <x v="1"/>
    <n v="1"/>
    <n v="149.9"/>
    <n v="21.54"/>
    <s v="credit_card"/>
    <n v="9"/>
    <x v="1"/>
    <x v="2"/>
    <s v="Sao Paulo"/>
  </r>
  <r>
    <s v="38b7ab73ffe50166a40179ecf80bfdc9"/>
    <s v="2017-12-08"/>
    <x v="13"/>
    <x v="3"/>
    <x v="5"/>
    <n v="1"/>
    <n v="16.899999999999999"/>
    <n v="7.78"/>
    <s v="debit_card"/>
    <n v="7"/>
    <x v="1"/>
    <x v="2"/>
    <s v="Sao Paulo"/>
  </r>
  <r>
    <s v="1f19e6ce9fb04dda9ce82b2172a84d82"/>
    <s v="2017-12-08"/>
    <x v="13"/>
    <x v="2"/>
    <x v="29"/>
    <n v="1"/>
    <n v="69"/>
    <n v="15.23"/>
    <s v="credit_card"/>
    <n v="34"/>
    <x v="2"/>
    <x v="0"/>
    <s v="Goias"/>
  </r>
  <r>
    <s v="6c20d70e7c720f7895651a703e320b86"/>
    <s v="2017-12-08"/>
    <x v="13"/>
    <x v="3"/>
    <x v="19"/>
    <n v="1"/>
    <n v="64.989999999999995"/>
    <n v="11.73"/>
    <s v="credit_card"/>
    <n v="5"/>
    <x v="1"/>
    <x v="2"/>
    <s v="Sao Paulo"/>
  </r>
  <r>
    <s v="71ffbe37a2e7ac438c81adb916832bba"/>
    <s v="2017-12-08"/>
    <x v="13"/>
    <x v="4"/>
    <x v="19"/>
    <n v="1"/>
    <n v="43"/>
    <n v="16.600000000000001"/>
    <s v="boleto"/>
    <n v="20"/>
    <x v="1"/>
    <x v="2"/>
    <s v="Rio de Janeiro"/>
  </r>
  <r>
    <s v="70ed97390f0c32ee36ebfb8a421ee1d5"/>
    <s v="2017-12-08"/>
    <x v="13"/>
    <x v="8"/>
    <x v="4"/>
    <n v="1"/>
    <n v="19.989999999999998"/>
    <n v="14.1"/>
    <s v="credit_card"/>
    <n v="14"/>
    <x v="1"/>
    <x v="2"/>
    <s v="Santa Catarina"/>
  </r>
  <r>
    <s v="898a25f87470b8e064878de16c52f6bc"/>
    <s v="2017-12-08"/>
    <x v="13"/>
    <x v="3"/>
    <x v="5"/>
    <n v="1"/>
    <n v="118"/>
    <n v="8.08"/>
    <s v="credit_card"/>
    <n v="3"/>
    <x v="1"/>
    <x v="3"/>
    <s v="Sao Paulo"/>
  </r>
  <r>
    <s v="b9189dcba2f5219bc348356dce47d124"/>
    <s v="2017-12-08"/>
    <x v="13"/>
    <x v="15"/>
    <x v="7"/>
    <n v="1"/>
    <n v="89.99"/>
    <n v="64.05"/>
    <s v="credit_card"/>
    <n v="31"/>
    <x v="1"/>
    <x v="2"/>
    <s v="Mato Grosso"/>
  </r>
  <r>
    <s v="02dec5fbe189e3c2ccd9ba071c6bb78d"/>
    <s v="2017-12-08"/>
    <x v="13"/>
    <x v="3"/>
    <x v="14"/>
    <n v="1"/>
    <n v="126"/>
    <n v="13.9"/>
    <s v="credit_card"/>
    <n v="20"/>
    <x v="1"/>
    <x v="2"/>
    <s v="Sao Paulo"/>
  </r>
  <r>
    <s v="9b7a83861460257909d451bdab55a720"/>
    <s v="2017-12-08"/>
    <x v="13"/>
    <x v="3"/>
    <x v="26"/>
    <n v="1"/>
    <n v="169.76"/>
    <n v="12.69"/>
    <s v="credit_card"/>
    <n v="20"/>
    <x v="1"/>
    <x v="2"/>
    <s v="Sao Paulo"/>
  </r>
  <r>
    <s v="1eeef7bced6c37a113b31c503ba1cdc4"/>
    <s v="2017-12-08"/>
    <x v="13"/>
    <x v="3"/>
    <x v="5"/>
    <n v="1"/>
    <n v="339.9"/>
    <n v="18.14"/>
    <s v="credit_card"/>
    <n v="15"/>
    <x v="1"/>
    <x v="3"/>
    <s v="Sao Paulo"/>
  </r>
  <r>
    <s v="90ff532c672099e61c781421d7e8593f"/>
    <s v="2017-12-08"/>
    <x v="13"/>
    <x v="8"/>
    <x v="9"/>
    <n v="1"/>
    <n v="23"/>
    <n v="15.1"/>
    <s v="credit_card"/>
    <n v="25"/>
    <x v="1"/>
    <x v="2"/>
    <s v="Santa Catarina"/>
  </r>
  <r>
    <s v="14385cf799c6efba6a9a6d51ea9a1a36"/>
    <s v="2017-12-08"/>
    <x v="13"/>
    <x v="7"/>
    <x v="9"/>
    <n v="1"/>
    <n v="81.900000000000006"/>
    <n v="16.82"/>
    <s v="debit_card"/>
    <n v="14"/>
    <x v="1"/>
    <x v="3"/>
    <s v="Minas Gerais"/>
  </r>
  <r>
    <s v="d0c7cbf522cc8fd33f0eede7f124db41"/>
    <s v="2017-12-08"/>
    <x v="13"/>
    <x v="3"/>
    <x v="6"/>
    <n v="1"/>
    <n v="29.99"/>
    <n v="7.78"/>
    <s v="credit_card"/>
    <n v="7"/>
    <x v="1"/>
    <x v="2"/>
    <s v="Sao Paulo"/>
  </r>
  <r>
    <s v="02905bba6aafd777542dacbfa8f4bc2d"/>
    <s v="2017-12-09"/>
    <x v="13"/>
    <x v="3"/>
    <x v="11"/>
    <n v="1"/>
    <n v="48.9"/>
    <n v="17.600000000000001"/>
    <s v="credit_card"/>
    <n v="17"/>
    <x v="1"/>
    <x v="2"/>
    <s v="Sao Paulo"/>
  </r>
  <r>
    <s v="023af4b88d12c9f3f56bcb55da0450c5"/>
    <s v="2017-12-09"/>
    <x v="13"/>
    <x v="4"/>
    <x v="29"/>
    <n v="2"/>
    <n v="178"/>
    <n v="35.74"/>
    <s v="credit_card"/>
    <n v="30"/>
    <x v="1"/>
    <x v="3"/>
    <s v="Rio de Janeiro"/>
  </r>
  <r>
    <s v="e257fe6c043babc3b737247f4f2a88c9"/>
    <s v="2017-12-09"/>
    <x v="13"/>
    <x v="3"/>
    <x v="14"/>
    <n v="1"/>
    <n v="119.9"/>
    <n v="13.86"/>
    <s v="credit_card"/>
    <n v="8"/>
    <x v="1"/>
    <x v="2"/>
    <s v="Sao Paulo"/>
  </r>
  <r>
    <s v="f3100bed66fcc67bf69111059a3aa4ac"/>
    <s v="2017-12-09"/>
    <x v="13"/>
    <x v="3"/>
    <x v="33"/>
    <n v="1"/>
    <n v="79.900000000000006"/>
    <n v="11.76"/>
    <s v="credit_card"/>
    <n v="3"/>
    <x v="1"/>
    <x v="5"/>
    <s v="Sao Paulo"/>
  </r>
  <r>
    <s v="9ecc7884797c901042fe3114f1e59f5f"/>
    <s v="2017-12-09"/>
    <x v="13"/>
    <x v="22"/>
    <x v="0"/>
    <n v="1"/>
    <n v="59.99"/>
    <n v="16.18"/>
    <s v="boleto"/>
    <n v="24"/>
    <x v="1"/>
    <x v="2"/>
    <s v="Espirito Santo"/>
  </r>
  <r>
    <s v="8ba268235fbb748f118500dc2f8f9781"/>
    <s v="2017-12-09"/>
    <x v="13"/>
    <x v="5"/>
    <x v="14"/>
    <n v="1"/>
    <n v="220"/>
    <n v="26.38"/>
    <s v="credit_card"/>
    <n v="10"/>
    <x v="1"/>
    <x v="0"/>
    <s v="Parana"/>
  </r>
  <r>
    <s v="1b2da30f37813b73fff52c5d5f6cbcac"/>
    <s v="2017-12-09"/>
    <x v="13"/>
    <x v="3"/>
    <x v="26"/>
    <n v="1"/>
    <n v="157.77000000000001"/>
    <n v="12.6"/>
    <s v="credit_card"/>
    <n v="11"/>
    <x v="1"/>
    <x v="2"/>
    <s v="Sao Paulo"/>
  </r>
  <r>
    <s v="c11daae957ee4447f2aa894fcdf28cac"/>
    <s v="2017-12-09"/>
    <x v="13"/>
    <x v="7"/>
    <x v="17"/>
    <n v="1"/>
    <n v="13.65"/>
    <n v="15.1"/>
    <s v="credit_card"/>
    <n v="18"/>
    <x v="1"/>
    <x v="1"/>
    <s v="Minas Gerais"/>
  </r>
  <r>
    <s v="b96a1d2c7e7e18ae3bfbdfc43366a42d"/>
    <s v="2017-12-10"/>
    <x v="13"/>
    <x v="4"/>
    <x v="22"/>
    <n v="1"/>
    <n v="124.9"/>
    <n v="14.62"/>
    <s v="credit_card"/>
    <n v="18"/>
    <x v="1"/>
    <x v="2"/>
    <s v="Rio de Janeiro"/>
  </r>
  <r>
    <s v="d68f3a6decbb8a868a1a87c33c9f50cd"/>
    <s v="2017-12-10"/>
    <x v="13"/>
    <x v="3"/>
    <x v="13"/>
    <n v="1"/>
    <n v="93.9"/>
    <n v="14.26"/>
    <s v="credit_card"/>
    <n v="4"/>
    <x v="1"/>
    <x v="2"/>
    <s v="Sao Paulo"/>
  </r>
  <r>
    <s v="ec3537b6b3607220dc74b6ca4f505e03"/>
    <s v="2017-12-10"/>
    <x v="13"/>
    <x v="5"/>
    <x v="57"/>
    <n v="1"/>
    <n v="130.80000000000001"/>
    <n v="15.67"/>
    <s v="credit_card"/>
    <n v="26"/>
    <x v="1"/>
    <x v="0"/>
    <s v="Parana"/>
  </r>
  <r>
    <s v="6811f439ad8873c28f8e1138e02229a5"/>
    <s v="2017-12-10"/>
    <x v="13"/>
    <x v="7"/>
    <x v="1"/>
    <n v="1"/>
    <n v="649"/>
    <n v="20.98"/>
    <s v="credit_card"/>
    <n v="9"/>
    <x v="1"/>
    <x v="2"/>
    <s v="Minas Gerais"/>
  </r>
  <r>
    <s v="a2ec8ff90a5ffced9e2d1853bf3cf609"/>
    <s v="2017-12-10"/>
    <x v="13"/>
    <x v="1"/>
    <x v="4"/>
    <n v="1"/>
    <n v="109.9"/>
    <n v="15.52"/>
    <s v="credit_card"/>
    <n v="24"/>
    <x v="1"/>
    <x v="2"/>
    <s v="Rio Grande do Sul"/>
  </r>
  <r>
    <s v="4a7daecdbb69d275f72866f7f8d00448"/>
    <s v="2017-12-10"/>
    <x v="13"/>
    <x v="4"/>
    <x v="24"/>
    <n v="1"/>
    <n v="46.99"/>
    <n v="25.22"/>
    <s v="credit_card"/>
    <n v="16"/>
    <x v="1"/>
    <x v="3"/>
    <s v="Rio de Janeiro"/>
  </r>
  <r>
    <s v="c8bf388d81617b961b598bc9b8b30811"/>
    <s v="2017-12-10"/>
    <x v="13"/>
    <x v="21"/>
    <x v="6"/>
    <n v="1"/>
    <n v="189.9"/>
    <n v="9.89"/>
    <s v="credit_card"/>
    <n v="3"/>
    <x v="1"/>
    <x v="2"/>
    <s v="Bahia"/>
  </r>
  <r>
    <s v="223b2b4c06ffe3ced7307cad0ebd5e44"/>
    <s v="2017-12-11"/>
    <x v="13"/>
    <x v="14"/>
    <x v="9"/>
    <n v="1"/>
    <n v="159.99"/>
    <n v="20.36"/>
    <s v="credit_card"/>
    <n v="16"/>
    <x v="1"/>
    <x v="2"/>
    <s v="Mato Grosso do Sul"/>
  </r>
  <r>
    <s v="b6bc67fe4d4fbc4307eafa56be5e4fdd"/>
    <s v="2017-12-11"/>
    <x v="13"/>
    <x v="4"/>
    <x v="0"/>
    <n v="1"/>
    <n v="89.9"/>
    <n v="16.88"/>
    <s v="credit_card"/>
    <n v="24"/>
    <x v="2"/>
    <x v="0"/>
    <s v="Rio de Janeiro"/>
  </r>
  <r>
    <s v="c7b1a19d2ae06ca24586ea3d67fb4f38"/>
    <s v="2017-12-11"/>
    <x v="13"/>
    <x v="4"/>
    <x v="1"/>
    <n v="1"/>
    <n v="129.9"/>
    <n v="27.16"/>
    <s v="credit_card"/>
    <n v="11"/>
    <x v="1"/>
    <x v="3"/>
    <s v="Rio de Janeiro"/>
  </r>
  <r>
    <s v="beee47428ec6a6984d07930d75eb3c17"/>
    <s v="2017-12-11"/>
    <x v="13"/>
    <x v="21"/>
    <x v="14"/>
    <n v="1"/>
    <n v="129.88999999999999"/>
    <n v="17.48"/>
    <s v="credit_card"/>
    <n v="16"/>
    <x v="1"/>
    <x v="0"/>
    <s v="Bahia"/>
  </r>
  <r>
    <s v="529c6a63825f705864c027436f173560"/>
    <s v="2017-12-11"/>
    <x v="13"/>
    <x v="21"/>
    <x v="46"/>
    <n v="2"/>
    <n v="159.97999999999999"/>
    <n v="34"/>
    <s v="credit_card"/>
    <n v="22"/>
    <x v="1"/>
    <x v="2"/>
    <s v="Bahia"/>
  </r>
  <r>
    <s v="3169ea0ca9e7b527454873b4aa6e6583"/>
    <s v="2017-12-11"/>
    <x v="13"/>
    <x v="3"/>
    <x v="22"/>
    <n v="1"/>
    <n v="65"/>
    <n v="7.78"/>
    <s v="credit_card"/>
    <n v="1"/>
    <x v="1"/>
    <x v="2"/>
    <s v="Sao Paulo"/>
  </r>
  <r>
    <s v="698b838e230eef7b304ba798ecc3ac1c"/>
    <s v="2017-12-11"/>
    <x v="13"/>
    <x v="7"/>
    <x v="9"/>
    <n v="1"/>
    <n v="58.99"/>
    <n v="17.66"/>
    <s v="credit_card"/>
    <n v="16"/>
    <x v="1"/>
    <x v="0"/>
    <s v="Minas Gerais"/>
  </r>
  <r>
    <s v="dc034558fc2acd4a0d55733dd55b3b9c"/>
    <s v="2017-12-11"/>
    <x v="13"/>
    <x v="4"/>
    <x v="22"/>
    <n v="1"/>
    <n v="170"/>
    <n v="15.94"/>
    <s v="credit_card"/>
    <n v="23"/>
    <x v="1"/>
    <x v="2"/>
    <s v="Rio de Janeiro"/>
  </r>
  <r>
    <s v="e277f0c1ac75d1659d13888efd4ff042"/>
    <s v="2017-12-11"/>
    <x v="13"/>
    <x v="3"/>
    <x v="19"/>
    <n v="1"/>
    <n v="57"/>
    <n v="22.72"/>
    <s v="boleto"/>
    <n v="11"/>
    <x v="1"/>
    <x v="2"/>
    <s v="Sao Paulo"/>
  </r>
  <r>
    <s v="9da6e3bacbae9dfb6f886b2fcdd80bcd"/>
    <s v="2017-12-12"/>
    <x v="13"/>
    <x v="5"/>
    <x v="2"/>
    <n v="1"/>
    <n v="239.9"/>
    <n v="14.83"/>
    <s v="credit_card"/>
    <n v="42"/>
    <x v="2"/>
    <x v="5"/>
    <s v="Parana"/>
  </r>
  <r>
    <s v="b64f09a4cf903c5767f9f537158c24ee"/>
    <s v="2017-12-12"/>
    <x v="13"/>
    <x v="5"/>
    <x v="1"/>
    <n v="1"/>
    <n v="89.99"/>
    <n v="15.38"/>
    <s v="credit_card"/>
    <n v="51"/>
    <x v="2"/>
    <x v="0"/>
    <s v="Parana"/>
  </r>
  <r>
    <s v="0e457aee274ec7e2e18d25ab6d212921"/>
    <s v="2017-12-12"/>
    <x v="13"/>
    <x v="22"/>
    <x v="0"/>
    <n v="1"/>
    <n v="148"/>
    <n v="21.44"/>
    <s v="credit_card"/>
    <n v="18"/>
    <x v="1"/>
    <x v="2"/>
    <s v="Espirito Santo"/>
  </r>
  <r>
    <s v="b47fa5a498bfce5bc5658eda28570768"/>
    <s v="2017-12-12"/>
    <x v="13"/>
    <x v="6"/>
    <x v="13"/>
    <n v="1"/>
    <n v="139"/>
    <n v="28.96"/>
    <s v="credit_card"/>
    <n v="16"/>
    <x v="1"/>
    <x v="3"/>
    <s v="Pernambuco"/>
  </r>
  <r>
    <s v="b1501234c007ae50246518bde6945cf6"/>
    <s v="2017-12-12"/>
    <x v="13"/>
    <x v="3"/>
    <x v="2"/>
    <n v="1"/>
    <n v="479.9"/>
    <n v="68.13"/>
    <s v="credit_card"/>
    <n v="14"/>
    <x v="1"/>
    <x v="0"/>
    <s v="Sao Paulo"/>
  </r>
  <r>
    <s v="2affd5996127141118380e30fdd8964a"/>
    <s v="2017-12-12"/>
    <x v="13"/>
    <x v="4"/>
    <x v="4"/>
    <n v="1"/>
    <n v="97.52"/>
    <n v="17.12"/>
    <s v="boleto"/>
    <n v="15"/>
    <x v="1"/>
    <x v="3"/>
    <s v="Rio de Janeiro"/>
  </r>
  <r>
    <s v="75d2d598319b1d4228d4ee4b82e61ff3"/>
    <s v="2017-12-12"/>
    <x v="13"/>
    <x v="4"/>
    <x v="2"/>
    <n v="1"/>
    <n v="69.900000000000006"/>
    <n v="17.739999999999998"/>
    <s v="credit_card"/>
    <n v="15"/>
    <x v="1"/>
    <x v="2"/>
    <s v="Rio de Janeiro"/>
  </r>
  <r>
    <s v="e47bfd40dd32463a27120cccaaf5aad9"/>
    <s v="2017-12-12"/>
    <x v="13"/>
    <x v="3"/>
    <x v="20"/>
    <n v="1"/>
    <n v="139.9"/>
    <n v="9.7899999999999991"/>
    <s v="credit_card"/>
    <n v="6"/>
    <x v="1"/>
    <x v="3"/>
    <s v="Sao Paulo"/>
  </r>
  <r>
    <s v="683bf306149bb869980b68d48a1bd6ab"/>
    <s v="2017-12-12"/>
    <x v="13"/>
    <x v="21"/>
    <x v="1"/>
    <n v="1"/>
    <n v="19.989999999999998"/>
    <n v="18.59"/>
    <s v="voucher"/>
    <n v="34"/>
    <x v="2"/>
    <x v="2"/>
    <s v="Bahia"/>
  </r>
  <r>
    <s v="657c1689361cce2eeaabea76ced5e30f"/>
    <s v="2017-12-12"/>
    <x v="13"/>
    <x v="3"/>
    <x v="0"/>
    <n v="1"/>
    <n v="75"/>
    <n v="13.08"/>
    <s v="boleto"/>
    <n v="5"/>
    <x v="1"/>
    <x v="2"/>
    <s v="Sao Paulo"/>
  </r>
  <r>
    <s v="ea967d0366237c813c6b152725ad11da"/>
    <s v="2017-12-12"/>
    <x v="13"/>
    <x v="4"/>
    <x v="2"/>
    <n v="1"/>
    <n v="194"/>
    <n v="17.12"/>
    <s v="credit_card"/>
    <n v="28"/>
    <x v="1"/>
    <x v="1"/>
    <s v="Rio de Janeiro"/>
  </r>
  <r>
    <s v="38d1046513a150583e3f00f86212d3c9"/>
    <s v="2017-12-12"/>
    <x v="13"/>
    <x v="18"/>
    <x v="14"/>
    <n v="1"/>
    <n v="79.900000000000006"/>
    <n v="16.32"/>
    <s v="credit_card"/>
    <n v="30"/>
    <x v="2"/>
    <x v="0"/>
    <s v="Distrito Federal"/>
  </r>
  <r>
    <s v="2480f727e869fdeb397244a21b721b67"/>
    <s v="2017-12-13"/>
    <x v="13"/>
    <x v="3"/>
    <x v="7"/>
    <n v="2"/>
    <n v="113.9"/>
    <n v="28"/>
    <s v="credit_card"/>
    <n v="5"/>
    <x v="1"/>
    <x v="2"/>
    <s v="Sao Paulo"/>
  </r>
  <r>
    <s v="0d4a6a514fd319d11eda911eda30da6a"/>
    <s v="2017-12-13"/>
    <x v="13"/>
    <x v="12"/>
    <x v="9"/>
    <n v="1"/>
    <n v="84.99"/>
    <n v="19.13"/>
    <s v="boleto"/>
    <n v="16"/>
    <x v="1"/>
    <x v="3"/>
    <s v="Ceara"/>
  </r>
  <r>
    <s v="356108ac93685d12f65fe827e25bb138"/>
    <s v="2017-12-13"/>
    <x v="13"/>
    <x v="7"/>
    <x v="9"/>
    <n v="1"/>
    <n v="234.9"/>
    <n v="16.39"/>
    <s v="boleto"/>
    <n v="12"/>
    <x v="1"/>
    <x v="3"/>
    <s v="Minas Gerais"/>
  </r>
  <r>
    <s v="a8698bce49d9222fa1a1b4cfb3cba3ef"/>
    <s v="2017-12-13"/>
    <x v="13"/>
    <x v="23"/>
    <x v="20"/>
    <n v="1"/>
    <n v="89.9"/>
    <n v="27.48"/>
    <s v="boleto"/>
    <n v="13"/>
    <x v="1"/>
    <x v="2"/>
    <s v="Rio Grande do Norte"/>
  </r>
  <r>
    <s v="e5535466d23681cc97013097a0644150"/>
    <s v="2017-12-13"/>
    <x v="13"/>
    <x v="4"/>
    <x v="20"/>
    <n v="1"/>
    <n v="195.9"/>
    <n v="16.12"/>
    <s v="credit_card"/>
    <n v="42"/>
    <x v="2"/>
    <x v="0"/>
    <s v="Rio de Janeiro"/>
  </r>
  <r>
    <s v="376e3ec5ba640fed451c34c6828c852e"/>
    <s v="2017-12-14"/>
    <x v="13"/>
    <x v="3"/>
    <x v="2"/>
    <n v="1"/>
    <n v="99.9"/>
    <n v="16.95"/>
    <s v="credit_card"/>
    <n v="20"/>
    <x v="1"/>
    <x v="3"/>
    <s v="Sao Paulo"/>
  </r>
  <r>
    <s v="52c8fe0f0dc37807e452b5f695c2eb77"/>
    <s v="2017-12-14"/>
    <x v="13"/>
    <x v="3"/>
    <x v="20"/>
    <n v="1"/>
    <n v="449.9"/>
    <n v="65.540000000000006"/>
    <s v="credit_card"/>
    <n v="8"/>
    <x v="1"/>
    <x v="2"/>
    <s v="Sao Paulo"/>
  </r>
  <r>
    <s v="d2b733c929342acefcd33572f8a1e3da"/>
    <s v="2017-12-14"/>
    <x v="13"/>
    <x v="5"/>
    <x v="13"/>
    <n v="1"/>
    <n v="59.9"/>
    <n v="26.74"/>
    <s v="boleto"/>
    <n v="13"/>
    <x v="1"/>
    <x v="0"/>
    <s v="Parana"/>
  </r>
  <r>
    <s v="0221d784b11a24077b3531e860b73434"/>
    <s v="2017-12-14"/>
    <x v="13"/>
    <x v="12"/>
    <x v="19"/>
    <n v="1"/>
    <n v="32"/>
    <n v="17.63"/>
    <s v="credit_card"/>
    <n v="12"/>
    <x v="1"/>
    <x v="2"/>
    <s v="Ceara"/>
  </r>
  <r>
    <s v="b6785f62f47a35b971f1353294849dff"/>
    <s v="2017-12-14"/>
    <x v="13"/>
    <x v="5"/>
    <x v="13"/>
    <n v="1"/>
    <n v="93.9"/>
    <n v="25.5"/>
    <s v="credit_card"/>
    <n v="20"/>
    <x v="1"/>
    <x v="2"/>
    <s v="Parana"/>
  </r>
  <r>
    <s v="252aabc5aca2bc51672fb4ded077dcd7"/>
    <s v="2017-12-14"/>
    <x v="13"/>
    <x v="1"/>
    <x v="0"/>
    <n v="1"/>
    <n v="45.9"/>
    <n v="16.11"/>
    <s v="credit_card"/>
    <n v="54"/>
    <x v="2"/>
    <x v="4"/>
    <s v="Rio Grande do Sul"/>
  </r>
  <r>
    <s v="829105b927ac0fb2b0b47fdd3ea440ac"/>
    <s v="2017-12-14"/>
    <x v="13"/>
    <x v="3"/>
    <x v="3"/>
    <n v="1"/>
    <n v="50"/>
    <n v="8.7200000000000006"/>
    <s v="credit_card"/>
    <n v="7"/>
    <x v="1"/>
    <x v="2"/>
    <s v="Sao Paulo"/>
  </r>
  <r>
    <s v="0ad0006728103ff08cda112f7940bcd1"/>
    <s v="2017-12-14"/>
    <x v="13"/>
    <x v="7"/>
    <x v="22"/>
    <n v="1"/>
    <n v="319.89999999999998"/>
    <n v="15.99"/>
    <s v="credit_card"/>
    <n v="13"/>
    <x v="1"/>
    <x v="2"/>
    <s v="Minas Gerais"/>
  </r>
  <r>
    <s v="bf794141e731463e42c59aac15cc5cd9"/>
    <s v="2017-12-14"/>
    <x v="13"/>
    <x v="3"/>
    <x v="6"/>
    <n v="1"/>
    <n v="29.99"/>
    <n v="7.78"/>
    <s v="credit_card"/>
    <n v="5"/>
    <x v="1"/>
    <x v="2"/>
    <s v="Sao Paulo"/>
  </r>
  <r>
    <s v="8ecd4e086e06a6e3b98920c11b565fc8"/>
    <s v="2017-12-14"/>
    <x v="13"/>
    <x v="5"/>
    <x v="17"/>
    <n v="1"/>
    <n v="29.9"/>
    <n v="15.1"/>
    <s v="boleto"/>
    <n v="12"/>
    <x v="1"/>
    <x v="3"/>
    <s v="Parana"/>
  </r>
  <r>
    <s v="51526aa307cfd9cd8d3e9d4fa0c26121"/>
    <s v="2017-12-14"/>
    <x v="13"/>
    <x v="21"/>
    <x v="1"/>
    <n v="1"/>
    <n v="29.99"/>
    <n v="16.79"/>
    <s v="voucher"/>
    <n v="25"/>
    <x v="1"/>
    <x v="2"/>
    <s v="Bahia"/>
  </r>
  <r>
    <s v="a26bfd667ba8c2433195ee30be0fd1d6"/>
    <s v="2017-12-15"/>
    <x v="13"/>
    <x v="7"/>
    <x v="6"/>
    <n v="1"/>
    <n v="21.99"/>
    <n v="15.1"/>
    <s v="boleto"/>
    <n v="19"/>
    <x v="1"/>
    <x v="2"/>
    <s v="Minas Gerais"/>
  </r>
  <r>
    <s v="cf76c6e04bd586a2cf526c57144cbede"/>
    <s v="2017-12-15"/>
    <x v="13"/>
    <x v="3"/>
    <x v="22"/>
    <n v="1"/>
    <n v="29"/>
    <n v="7.78"/>
    <s v="credit_card"/>
    <n v="5"/>
    <x v="1"/>
    <x v="2"/>
    <s v="Sao Paulo"/>
  </r>
  <r>
    <s v="b808172914c4ad1d4c3b7917097b33ea"/>
    <s v="2017-12-15"/>
    <x v="13"/>
    <x v="1"/>
    <x v="9"/>
    <n v="1"/>
    <n v="89.99"/>
    <n v="16.39"/>
    <s v="boleto"/>
    <n v="12"/>
    <x v="1"/>
    <x v="2"/>
    <s v="Rio Grande do Sul"/>
  </r>
  <r>
    <s v="809cadee53cde56e54180cf5d6631443"/>
    <s v="2017-12-15"/>
    <x v="13"/>
    <x v="5"/>
    <x v="22"/>
    <n v="1"/>
    <n v="170"/>
    <n v="15.94"/>
    <s v="credit_card"/>
    <n v="24"/>
    <x v="1"/>
    <x v="3"/>
    <s v="Parana"/>
  </r>
  <r>
    <s v="6e282f45b4785012970c523ef10737b2"/>
    <s v="2017-12-15"/>
    <x v="13"/>
    <x v="3"/>
    <x v="9"/>
    <n v="1"/>
    <n v="19.989999999999998"/>
    <n v="7.78"/>
    <s v="credit_card"/>
    <n v="7"/>
    <x v="1"/>
    <x v="2"/>
    <s v="Sao Paulo"/>
  </r>
  <r>
    <s v="ede4ebbb6e36cbd377eabcc7f5229575"/>
    <s v="2017-12-15"/>
    <x v="13"/>
    <x v="3"/>
    <x v="14"/>
    <n v="1"/>
    <n v="59.99"/>
    <n v="12.76"/>
    <s v="boleto"/>
    <n v="11"/>
    <x v="1"/>
    <x v="3"/>
    <s v="Sao Paulo"/>
  </r>
  <r>
    <s v="1ddb26b7e0414dad836e1a828c8ecfde"/>
    <s v="2017-12-15"/>
    <x v="13"/>
    <x v="6"/>
    <x v="0"/>
    <n v="1"/>
    <n v="55"/>
    <n v="26.93"/>
    <s v="boleto"/>
    <n v="22"/>
    <x v="1"/>
    <x v="2"/>
    <s v="Pernambuco"/>
  </r>
  <r>
    <s v="641fb0752bf5b5940c376b3a8bb9dc52"/>
    <s v="2017-12-15"/>
    <x v="13"/>
    <x v="4"/>
    <x v="22"/>
    <n v="1"/>
    <n v="369"/>
    <n v="17.329999999999998"/>
    <s v="credit_card"/>
    <n v="19"/>
    <x v="1"/>
    <x v="3"/>
    <s v="Rio de Janeiro"/>
  </r>
  <r>
    <s v="7146225dc080fb528c5c9571a11feca5"/>
    <s v="2017-12-15"/>
    <x v="13"/>
    <x v="3"/>
    <x v="19"/>
    <n v="2"/>
    <n v="86"/>
    <n v="42.36"/>
    <s v="credit_card"/>
    <n v="5"/>
    <x v="1"/>
    <x v="2"/>
    <s v="Sao Paulo"/>
  </r>
  <r>
    <s v="7532f61a8fc7649fe822d89af2ff0a76"/>
    <s v="2017-12-16"/>
    <x v="13"/>
    <x v="3"/>
    <x v="3"/>
    <n v="1"/>
    <n v="24.5"/>
    <n v="11.85"/>
    <s v="credit_card"/>
    <n v="23"/>
    <x v="1"/>
    <x v="2"/>
    <s v="Sao Paulo"/>
  </r>
  <r>
    <s v="cb2471f3b559b61183698ec6eb8694ba"/>
    <s v="2017-12-16"/>
    <x v="13"/>
    <x v="4"/>
    <x v="2"/>
    <n v="1"/>
    <n v="69.989999999999995"/>
    <n v="15.25"/>
    <s v="credit_card"/>
    <n v="10"/>
    <x v="1"/>
    <x v="3"/>
    <s v="Rio de Janeiro"/>
  </r>
  <r>
    <s v="1a46043f18f483b119bbeebb563aa77a"/>
    <s v="2017-12-16"/>
    <x v="13"/>
    <x v="5"/>
    <x v="19"/>
    <n v="1"/>
    <n v="25"/>
    <n v="15.1"/>
    <s v="voucher"/>
    <n v="10"/>
    <x v="1"/>
    <x v="1"/>
    <s v="Parana"/>
  </r>
  <r>
    <s v="2c04e9500d7402e891b3c1213847febb"/>
    <s v="2017-12-16"/>
    <x v="13"/>
    <x v="3"/>
    <x v="33"/>
    <n v="1"/>
    <n v="79.900000000000006"/>
    <n v="9.3699999999999992"/>
    <s v="credit_card"/>
    <n v="3"/>
    <x v="1"/>
    <x v="2"/>
    <s v="Sao Paulo"/>
  </r>
  <r>
    <s v="ae7ef564bd3b4c6b260aae6169c141f7"/>
    <s v="2017-12-16"/>
    <x v="13"/>
    <x v="7"/>
    <x v="12"/>
    <n v="1"/>
    <n v="124.99"/>
    <n v="13"/>
    <s v="credit_card"/>
    <n v="6"/>
    <x v="1"/>
    <x v="2"/>
    <s v="Minas Gerais"/>
  </r>
  <r>
    <s v="ef9a0c980b0d1cee2cb97b8ffe3fa64a"/>
    <s v="2017-12-16"/>
    <x v="13"/>
    <x v="3"/>
    <x v="0"/>
    <n v="1"/>
    <n v="36.9"/>
    <n v="11.85"/>
    <s v="credit_card"/>
    <n v="19"/>
    <x v="1"/>
    <x v="3"/>
    <s v="Sao Paulo"/>
  </r>
  <r>
    <s v="44ffd19b3bd3915642db0231344b8b0f"/>
    <s v="2017-12-17"/>
    <x v="13"/>
    <x v="3"/>
    <x v="9"/>
    <n v="1"/>
    <n v="29.9"/>
    <n v="8.11"/>
    <s v="credit_card"/>
    <n v="3"/>
    <x v="1"/>
    <x v="3"/>
    <s v="Sao Paulo"/>
  </r>
  <r>
    <s v="c046beae50286dc9ce99a36e02cb894a"/>
    <s v="2017-12-17"/>
    <x v="13"/>
    <x v="3"/>
    <x v="19"/>
    <n v="1"/>
    <n v="177.99"/>
    <n v="17.010000000000002"/>
    <s v="credit_card"/>
    <n v="18"/>
    <x v="1"/>
    <x v="2"/>
    <s v="Sao Paulo"/>
  </r>
  <r>
    <s v="ce5420f8e3e7e46d19de72c08c690ffc"/>
    <s v="2017-12-17"/>
    <x v="13"/>
    <x v="4"/>
    <x v="3"/>
    <n v="1"/>
    <n v="69.989999999999995"/>
    <n v="14.24"/>
    <s v="credit_card"/>
    <n v="26"/>
    <x v="2"/>
    <x v="1"/>
    <s v="Rio de Janeiro"/>
  </r>
  <r>
    <s v="b5256081b888baa655b51fd3a8446242"/>
    <s v="2017-12-17"/>
    <x v="13"/>
    <x v="3"/>
    <x v="13"/>
    <n v="1"/>
    <n v="159"/>
    <n v="14.86"/>
    <s v="voucher"/>
    <n v="9"/>
    <x v="1"/>
    <x v="2"/>
    <s v="Sao Paulo"/>
  </r>
  <r>
    <s v="3d98513a866612491197796c741dd71e"/>
    <s v="2017-12-17"/>
    <x v="13"/>
    <x v="4"/>
    <x v="22"/>
    <n v="2"/>
    <n v="115"/>
    <n v="22.07"/>
    <s v="boleto"/>
    <n v="10"/>
    <x v="1"/>
    <x v="5"/>
    <s v="Rio de Janeiro"/>
  </r>
  <r>
    <s v="c608468eb1bf28d4f4e70d4f38157357"/>
    <s v="2017-12-17"/>
    <x v="13"/>
    <x v="3"/>
    <x v="9"/>
    <n v="1"/>
    <n v="44.3"/>
    <n v="11.85"/>
    <s v="credit_card"/>
    <n v="9"/>
    <x v="1"/>
    <x v="2"/>
    <s v="Sao Paulo"/>
  </r>
  <r>
    <s v="d572a6599cdf43e5635e73d8b71efc65"/>
    <s v="2017-12-17"/>
    <x v="13"/>
    <x v="14"/>
    <x v="18"/>
    <n v="1"/>
    <n v="359"/>
    <n v="27.79"/>
    <s v="credit_card"/>
    <n v="31"/>
    <x v="1"/>
    <x v="5"/>
    <s v="Mato Grosso do Sul"/>
  </r>
  <r>
    <s v="33701411446fda95a2c013c5e38596ba"/>
    <s v="2017-12-17"/>
    <x v="13"/>
    <x v="4"/>
    <x v="1"/>
    <n v="2"/>
    <n v="145.80000000000001"/>
    <n v="36.159999999999997"/>
    <s v="credit_card"/>
    <n v="24"/>
    <x v="1"/>
    <x v="0"/>
    <s v="Rio de Janeiro"/>
  </r>
  <r>
    <s v="6640f59de104f0d99080a84abb0a9bbe"/>
    <s v="2017-12-18"/>
    <x v="13"/>
    <x v="3"/>
    <x v="14"/>
    <n v="1"/>
    <n v="89.9"/>
    <n v="13.65"/>
    <s v="credit_card"/>
    <n v="10"/>
    <x v="1"/>
    <x v="2"/>
    <s v="Sao Paulo"/>
  </r>
  <r>
    <s v="d20cc478dbe8fa50221ece6ddf0641b3"/>
    <s v="2017-12-18"/>
    <x v="13"/>
    <x v="4"/>
    <x v="3"/>
    <n v="1"/>
    <n v="24.5"/>
    <n v="15.1"/>
    <s v="boleto"/>
    <n v="20"/>
    <x v="1"/>
    <x v="3"/>
    <s v="Rio de Janeiro"/>
  </r>
  <r>
    <s v="fe51b08eff082393ace3cbc822e4d33b"/>
    <s v="2017-12-18"/>
    <x v="13"/>
    <x v="4"/>
    <x v="5"/>
    <n v="1"/>
    <n v="84.99"/>
    <n v="15.35"/>
    <s v="credit_card"/>
    <n v="8"/>
    <x v="1"/>
    <x v="2"/>
    <s v="Rio de Janeiro"/>
  </r>
  <r>
    <s v="b2bcc44cd738d425393e6268c29f096d"/>
    <s v="2017-12-18"/>
    <x v="13"/>
    <x v="7"/>
    <x v="13"/>
    <n v="1"/>
    <n v="24.49"/>
    <n v="15.1"/>
    <s v="boleto"/>
    <n v="16"/>
    <x v="1"/>
    <x v="2"/>
    <s v="Minas Gerais"/>
  </r>
  <r>
    <s v="8eb3ea8875ea46e1d2631a59a278e059"/>
    <s v="2017-12-18"/>
    <x v="13"/>
    <x v="2"/>
    <x v="5"/>
    <n v="1"/>
    <n v="56.99"/>
    <n v="17"/>
    <s v="credit_card"/>
    <n v="18"/>
    <x v="1"/>
    <x v="2"/>
    <s v="Goias"/>
  </r>
  <r>
    <s v="19cfcf45fc399af9d3e9d1d98638997b"/>
    <s v="2017-12-18"/>
    <x v="13"/>
    <x v="3"/>
    <x v="0"/>
    <n v="1"/>
    <n v="99.9"/>
    <n v="21.19"/>
    <s v="credit_card"/>
    <n v="10"/>
    <x v="1"/>
    <x v="3"/>
    <s v="Sao Paulo"/>
  </r>
  <r>
    <s v="7ddca388c2366f7f22d6908a12601a6b"/>
    <s v="2017-12-18"/>
    <x v="13"/>
    <x v="2"/>
    <x v="22"/>
    <n v="1"/>
    <n v="190.83"/>
    <n v="16.09"/>
    <s v="boleto"/>
    <n v="11"/>
    <x v="1"/>
    <x v="2"/>
    <s v="Goias"/>
  </r>
  <r>
    <s v="d48ccff01a1b3e35b69d6b6ed81a352a"/>
    <s v="2017-12-18"/>
    <x v="13"/>
    <x v="3"/>
    <x v="3"/>
    <n v="1"/>
    <n v="25"/>
    <n v="12.99"/>
    <s v="credit_card"/>
    <n v="8"/>
    <x v="1"/>
    <x v="2"/>
    <s v="Sao Paulo"/>
  </r>
  <r>
    <s v="5fac67d3be074030a8dba9d398fa14ef"/>
    <s v="2017-12-18"/>
    <x v="13"/>
    <x v="3"/>
    <x v="5"/>
    <n v="1"/>
    <n v="118"/>
    <n v="12.33"/>
    <s v="boleto"/>
    <n v="3"/>
    <x v="1"/>
    <x v="2"/>
    <s v="Sao Paulo"/>
  </r>
  <r>
    <s v="bda4a979b6d9a0a3993ea2ef51a41497"/>
    <s v="2017-12-18"/>
    <x v="13"/>
    <x v="3"/>
    <x v="25"/>
    <n v="2"/>
    <n v="342"/>
    <n v="17.88"/>
    <s v="credit_card"/>
    <n v="3"/>
    <x v="1"/>
    <x v="2"/>
    <s v="Sao Paulo"/>
  </r>
  <r>
    <s v="f6a62f93fc38410844863ed6a061f425"/>
    <s v="2017-12-18"/>
    <x v="13"/>
    <x v="3"/>
    <x v="4"/>
    <n v="1"/>
    <n v="152"/>
    <n v="15.81"/>
    <s v="boleto"/>
    <n v="17"/>
    <x v="1"/>
    <x v="1"/>
    <s v="Sao Paulo"/>
  </r>
  <r>
    <s v="1d25367a9fef6c8938bc5e747e3a73b9"/>
    <s v="2017-12-19"/>
    <x v="13"/>
    <x v="3"/>
    <x v="56"/>
    <n v="1"/>
    <n v="55.49"/>
    <n v="9.94"/>
    <s v="boleto"/>
    <n v="4"/>
    <x v="1"/>
    <x v="2"/>
    <s v="Sao Paulo"/>
  </r>
  <r>
    <s v="6b901164a6a34cde6b892a1a3c549294"/>
    <s v="2017-12-19"/>
    <x v="13"/>
    <x v="6"/>
    <x v="18"/>
    <n v="1"/>
    <n v="35"/>
    <n v="25.63"/>
    <s v="credit_card"/>
    <n v="20"/>
    <x v="1"/>
    <x v="2"/>
    <s v="Pernambuco"/>
  </r>
  <r>
    <s v="3affb32917f79ab66f26546e066fe5db"/>
    <s v="2017-12-19"/>
    <x v="13"/>
    <x v="4"/>
    <x v="5"/>
    <n v="1"/>
    <n v="250.9"/>
    <n v="16.510000000000002"/>
    <s v="credit_card"/>
    <n v="50"/>
    <x v="2"/>
    <x v="0"/>
    <s v="Rio de Janeiro"/>
  </r>
  <r>
    <s v="9274443a23faa8fd9d5805fc0bd68c5e"/>
    <s v="2017-12-19"/>
    <x v="13"/>
    <x v="18"/>
    <x v="51"/>
    <n v="3"/>
    <n v="38.1"/>
    <n v="45.33"/>
    <s v="credit_card"/>
    <n v="8"/>
    <x v="1"/>
    <x v="2"/>
    <s v="Distrito Federal"/>
  </r>
  <r>
    <s v="250dcd1c3cc5c78b8c8f1c6da5ee4933"/>
    <s v="2017-12-19"/>
    <x v="13"/>
    <x v="3"/>
    <x v="9"/>
    <n v="1"/>
    <n v="150"/>
    <n v="12.55"/>
    <s v="credit_card"/>
    <n v="7"/>
    <x v="1"/>
    <x v="2"/>
    <s v="Sao Paulo"/>
  </r>
  <r>
    <s v="dfb753bfb675436ca257d189c5377417"/>
    <s v="2017-12-19"/>
    <x v="13"/>
    <x v="7"/>
    <x v="13"/>
    <n v="1"/>
    <n v="69.900000000000006"/>
    <n v="17.739999999999998"/>
    <s v="voucher"/>
    <n v="10"/>
    <x v="1"/>
    <x v="2"/>
    <s v="Minas Gerais"/>
  </r>
  <r>
    <s v="3681bab4effe9b62e6ad70e65a7637de"/>
    <s v="2017-12-20"/>
    <x v="13"/>
    <x v="3"/>
    <x v="3"/>
    <n v="1"/>
    <n v="24.5"/>
    <n v="11.85"/>
    <s v="boleto"/>
    <n v="19"/>
    <x v="1"/>
    <x v="2"/>
    <s v="Sao Paulo"/>
  </r>
  <r>
    <s v="a113213b73eab23b8cc9744a43f7f65c"/>
    <s v="2017-12-20"/>
    <x v="13"/>
    <x v="3"/>
    <x v="1"/>
    <n v="1"/>
    <n v="22.99"/>
    <n v="11.85"/>
    <s v="boleto"/>
    <n v="9"/>
    <x v="1"/>
    <x v="2"/>
    <s v="Sao Paulo"/>
  </r>
  <r>
    <s v="2e798d923f1fa1373bef8fb916af50d2"/>
    <s v="2017-12-20"/>
    <x v="13"/>
    <x v="21"/>
    <x v="13"/>
    <n v="1"/>
    <n v="64.02"/>
    <n v="17.73"/>
    <s v="credit_card"/>
    <n v="9"/>
    <x v="1"/>
    <x v="2"/>
    <s v="Bahia"/>
  </r>
  <r>
    <s v="3cf7d2f50fc31d36d208c46a30855d22"/>
    <s v="2017-12-20"/>
    <x v="13"/>
    <x v="6"/>
    <x v="18"/>
    <n v="1"/>
    <n v="49.9"/>
    <n v="34.15"/>
    <s v="boleto"/>
    <n v="14"/>
    <x v="1"/>
    <x v="3"/>
    <s v="Pernambuco"/>
  </r>
  <r>
    <s v="4fd754f42b2d84fcafd63991c1680329"/>
    <s v="2017-12-20"/>
    <x v="13"/>
    <x v="12"/>
    <x v="22"/>
    <n v="1"/>
    <n v="155.99"/>
    <n v="26.37"/>
    <s v="credit_card"/>
    <n v="15"/>
    <x v="1"/>
    <x v="3"/>
    <s v="Ceara"/>
  </r>
  <r>
    <s v="74aacfe89f7715e9d6655dd55c86da46"/>
    <s v="2017-12-20"/>
    <x v="13"/>
    <x v="7"/>
    <x v="33"/>
    <n v="1"/>
    <n v="1288.72"/>
    <n v="26.27"/>
    <s v="credit_card"/>
    <n v="13"/>
    <x v="1"/>
    <x v="4"/>
    <s v="Minas Gerais"/>
  </r>
  <r>
    <s v="505efa2eaeb145cfa984edf0efc092f2"/>
    <s v="2017-12-21"/>
    <x v="13"/>
    <x v="14"/>
    <x v="14"/>
    <n v="1"/>
    <n v="122.9"/>
    <n v="16.62"/>
    <s v="boleto"/>
    <n v="20"/>
    <x v="1"/>
    <x v="2"/>
    <s v="Mato Grosso do Sul"/>
  </r>
  <r>
    <s v="5e49f5d6df788d49b16273923cfcf7e2"/>
    <s v="2017-12-21"/>
    <x v="13"/>
    <x v="18"/>
    <x v="29"/>
    <n v="1"/>
    <n v="79"/>
    <n v="17.8"/>
    <s v="credit_card"/>
    <n v="8"/>
    <x v="1"/>
    <x v="2"/>
    <s v="Distrito Federal"/>
  </r>
  <r>
    <s v="c26761f0a70b2b7e0bb437aef502ffc1"/>
    <s v="2017-12-21"/>
    <x v="13"/>
    <x v="7"/>
    <x v="4"/>
    <n v="1"/>
    <n v="14.99"/>
    <n v="14.1"/>
    <s v="boleto"/>
    <n v="12"/>
    <x v="1"/>
    <x v="3"/>
    <s v="Minas Gerais"/>
  </r>
  <r>
    <s v="0197cb265e2c84b9f89dfd784095d2f6"/>
    <s v="2017-12-21"/>
    <x v="13"/>
    <x v="14"/>
    <x v="0"/>
    <n v="1"/>
    <n v="320"/>
    <n v="58.91"/>
    <s v="boleto"/>
    <n v="6"/>
    <x v="1"/>
    <x v="3"/>
    <s v="Mato Grosso do Sul"/>
  </r>
  <r>
    <s v="bc53c8f21c0b72e517882835cd767c69"/>
    <s v="2017-12-21"/>
    <x v="13"/>
    <x v="4"/>
    <x v="29"/>
    <n v="1"/>
    <n v="79"/>
    <n v="17.8"/>
    <s v="voucher"/>
    <n v="7"/>
    <x v="1"/>
    <x v="2"/>
    <s v="Rio de Janeiro"/>
  </r>
  <r>
    <s v="fe752108fc4e35deba17eca323635246"/>
    <s v="2017-12-21"/>
    <x v="13"/>
    <x v="18"/>
    <x v="2"/>
    <n v="1"/>
    <n v="329.9"/>
    <n v="87.93"/>
    <s v="credit_card"/>
    <n v="7"/>
    <x v="1"/>
    <x v="1"/>
    <s v="Distrito Federal"/>
  </r>
  <r>
    <s v="ef58b71f4ad3a17f606417f1737c9d13"/>
    <s v="2017-12-21"/>
    <x v="13"/>
    <x v="3"/>
    <x v="2"/>
    <n v="1"/>
    <n v="201.6"/>
    <n v="10.23"/>
    <s v="credit_card"/>
    <n v="5"/>
    <x v="1"/>
    <x v="3"/>
    <s v="Sao Paulo"/>
  </r>
  <r>
    <s v="1def7af24cb7182497acfd953f6dd88b"/>
    <s v="2017-12-21"/>
    <x v="13"/>
    <x v="4"/>
    <x v="1"/>
    <n v="1"/>
    <n v="244.69"/>
    <n v="54.31"/>
    <s v="boleto"/>
    <m/>
    <x v="0"/>
    <x v="0"/>
    <s v="Rio de Janeiro"/>
  </r>
  <r>
    <s v="6806f0c7951cb006052a1c2c8e305057"/>
    <s v="2017-12-21"/>
    <x v="13"/>
    <x v="3"/>
    <x v="19"/>
    <n v="1"/>
    <n v="71.67"/>
    <n v="9.34"/>
    <s v="credit_card"/>
    <n v="1"/>
    <x v="1"/>
    <x v="3"/>
    <s v="Sao Paulo"/>
  </r>
  <r>
    <s v="47af229bbf080cd988ee4be19bb5c888"/>
    <s v="2017-12-21"/>
    <x v="13"/>
    <x v="7"/>
    <x v="12"/>
    <n v="1"/>
    <n v="388"/>
    <n v="23.21"/>
    <s v="boleto"/>
    <n v="6"/>
    <x v="1"/>
    <x v="1"/>
    <s v="Minas Gerais"/>
  </r>
  <r>
    <s v="8236871cb131f90f8cea6a9f84140b42"/>
    <s v="2017-12-21"/>
    <x v="13"/>
    <x v="3"/>
    <x v="2"/>
    <n v="1"/>
    <n v="94.9"/>
    <n v="7.92"/>
    <s v="credit_card"/>
    <n v="1"/>
    <x v="1"/>
    <x v="2"/>
    <s v="Sao Paulo"/>
  </r>
  <r>
    <s v="109e073454b94ec80ff968765bb1bffe"/>
    <s v="2017-12-21"/>
    <x v="13"/>
    <x v="3"/>
    <x v="14"/>
    <n v="1"/>
    <n v="25"/>
    <n v="8.7200000000000006"/>
    <s v="credit_card"/>
    <n v="6"/>
    <x v="1"/>
    <x v="2"/>
    <s v="Sao Paulo"/>
  </r>
  <r>
    <s v="b37e66984bc386101154f129feee1830"/>
    <s v="2017-12-22"/>
    <x v="13"/>
    <x v="3"/>
    <x v="14"/>
    <n v="1"/>
    <n v="134.9"/>
    <n v="12.65"/>
    <s v="credit_card"/>
    <n v="16"/>
    <x v="1"/>
    <x v="3"/>
    <s v="Sao Paulo"/>
  </r>
  <r>
    <s v="76b8258d41352cf46d8f0a57404d9c03"/>
    <s v="2017-12-22"/>
    <x v="13"/>
    <x v="23"/>
    <x v="29"/>
    <n v="1"/>
    <n v="149"/>
    <n v="38.590000000000003"/>
    <s v="credit_card"/>
    <n v="27"/>
    <x v="1"/>
    <x v="3"/>
    <s v="Rio Grande do Norte"/>
  </r>
  <r>
    <s v="fbfa10bf164dfe834823b4a02cd0ae1c"/>
    <s v="2017-12-22"/>
    <x v="13"/>
    <x v="7"/>
    <x v="4"/>
    <n v="1"/>
    <n v="149.99"/>
    <n v="23.85"/>
    <s v="credit_card"/>
    <n v="17"/>
    <x v="1"/>
    <x v="2"/>
    <s v="Minas Gerais"/>
  </r>
  <r>
    <s v="8bde999dc4ad8ff2e39ca01c02a81119"/>
    <s v="2017-12-22"/>
    <x v="13"/>
    <x v="22"/>
    <x v="14"/>
    <n v="1"/>
    <n v="39"/>
    <n v="16.11"/>
    <s v="credit_card"/>
    <n v="21"/>
    <x v="1"/>
    <x v="0"/>
    <s v="Espirito Santo"/>
  </r>
  <r>
    <s v="3789e9b1be0db55442c1ae8b24ab51ec"/>
    <s v="2017-12-22"/>
    <x v="13"/>
    <x v="1"/>
    <x v="7"/>
    <n v="5"/>
    <n v="295"/>
    <n v="88.3"/>
    <s v="credit_card"/>
    <n v="18"/>
    <x v="1"/>
    <x v="0"/>
    <s v="Rio Grande do Sul"/>
  </r>
  <r>
    <s v="f11877a328215697cb35c93e04e7780a"/>
    <s v="2017-12-23"/>
    <x v="13"/>
    <x v="21"/>
    <x v="4"/>
    <n v="1"/>
    <n v="140"/>
    <n v="17.420000000000002"/>
    <s v="boleto"/>
    <n v="31"/>
    <x v="1"/>
    <x v="2"/>
    <s v="Bahia"/>
  </r>
  <r>
    <s v="a2773e1bc198e397853da179908a5724"/>
    <s v="2017-12-23"/>
    <x v="13"/>
    <x v="7"/>
    <x v="9"/>
    <n v="1"/>
    <n v="78.989999999999995"/>
    <n v="15.3"/>
    <s v="credit_card"/>
    <n v="13"/>
    <x v="1"/>
    <x v="3"/>
    <s v="Minas Gerais"/>
  </r>
  <r>
    <s v="ca2d86fb163d5e6c45cd1eeaf6c76a43"/>
    <s v="2017-12-23"/>
    <x v="13"/>
    <x v="21"/>
    <x v="7"/>
    <n v="1"/>
    <n v="14.46"/>
    <n v="15.79"/>
    <s v="credit_card"/>
    <n v="20"/>
    <x v="1"/>
    <x v="3"/>
    <s v="Bahia"/>
  </r>
  <r>
    <s v="e1c236043073a6a483972402917e8cc6"/>
    <s v="2017-12-24"/>
    <x v="13"/>
    <x v="7"/>
    <x v="4"/>
    <n v="1"/>
    <n v="44.99"/>
    <n v="16.11"/>
    <s v="credit_card"/>
    <n v="10"/>
    <x v="1"/>
    <x v="2"/>
    <s v="Minas Gerais"/>
  </r>
  <r>
    <s v="5c94707bab626971391f6a6a31ea75d2"/>
    <s v="2017-12-24"/>
    <x v="13"/>
    <x v="5"/>
    <x v="22"/>
    <n v="1"/>
    <n v="248.9"/>
    <n v="15.49"/>
    <s v="credit_card"/>
    <n v="10"/>
    <x v="1"/>
    <x v="2"/>
    <s v="Parana"/>
  </r>
  <r>
    <s v="64f65d9b37717ef40554badd2b22d6f8"/>
    <s v="2017-12-24"/>
    <x v="13"/>
    <x v="3"/>
    <x v="14"/>
    <n v="1"/>
    <n v="129.9"/>
    <n v="12.11"/>
    <s v="credit_card"/>
    <n v="3"/>
    <x v="1"/>
    <x v="1"/>
    <s v="Sao Paulo"/>
  </r>
  <r>
    <s v="5357520c35cc3e6341658161b67151b1"/>
    <s v="2017-12-25"/>
    <x v="13"/>
    <x v="1"/>
    <x v="9"/>
    <n v="1"/>
    <n v="58.99"/>
    <n v="17.66"/>
    <s v="credit_card"/>
    <n v="14"/>
    <x v="1"/>
    <x v="2"/>
    <s v="Rio Grande do Sul"/>
  </r>
  <r>
    <s v="1b5c359c2188ceeab2777c0d27e7c343"/>
    <s v="2017-12-25"/>
    <x v="13"/>
    <x v="3"/>
    <x v="56"/>
    <n v="1"/>
    <n v="57.49"/>
    <n v="9.94"/>
    <s v="credit_card"/>
    <n v="2"/>
    <x v="1"/>
    <x v="2"/>
    <s v="Sao Paulo"/>
  </r>
  <r>
    <s v="87f652e7b494335099f630e05edcf3b9"/>
    <s v="2017-12-25"/>
    <x v="13"/>
    <x v="8"/>
    <x v="29"/>
    <n v="1"/>
    <n v="79"/>
    <n v="17.8"/>
    <s v="credit_card"/>
    <n v="3"/>
    <x v="1"/>
    <x v="1"/>
    <s v="Santa Catarina"/>
  </r>
  <r>
    <s v="43ac8d91a0749b176f9c311545881aa7"/>
    <s v="2017-12-25"/>
    <x v="13"/>
    <x v="3"/>
    <x v="3"/>
    <n v="1"/>
    <n v="129"/>
    <n v="13.92"/>
    <s v="credit_card"/>
    <n v="37"/>
    <x v="2"/>
    <x v="0"/>
    <s v="Sao Paulo"/>
  </r>
  <r>
    <s v="9d3ec17c877b8a749b1f9523a47773c8"/>
    <s v="2017-12-25"/>
    <x v="13"/>
    <x v="4"/>
    <x v="6"/>
    <n v="1"/>
    <n v="27.99"/>
    <n v="15.1"/>
    <s v="credit_card"/>
    <n v="9"/>
    <x v="1"/>
    <x v="3"/>
    <s v="Rio de Janeiro"/>
  </r>
  <r>
    <s v="6c673e7f0e59af3f88e62db4bde6b126"/>
    <s v="2017-12-26"/>
    <x v="13"/>
    <x v="3"/>
    <x v="0"/>
    <n v="1"/>
    <n v="180"/>
    <n v="12.47"/>
    <s v="credit_card"/>
    <n v="2"/>
    <x v="1"/>
    <x v="2"/>
    <s v="Sao Paulo"/>
  </r>
  <r>
    <s v="e2078bdcaaa9e81bb8bab8641489dcd8"/>
    <s v="2017-12-26"/>
    <x v="13"/>
    <x v="3"/>
    <x v="14"/>
    <n v="1"/>
    <n v="80"/>
    <n v="12.9"/>
    <s v="credit_card"/>
    <n v="7"/>
    <x v="1"/>
    <x v="2"/>
    <s v="Sao Paulo"/>
  </r>
  <r>
    <s v="98515e643e7cc228244834ea1b21a345"/>
    <s v="2017-12-26"/>
    <x v="13"/>
    <x v="3"/>
    <x v="2"/>
    <n v="1"/>
    <n v="69.989999999999995"/>
    <n v="9.34"/>
    <s v="boleto"/>
    <n v="2"/>
    <x v="1"/>
    <x v="2"/>
    <s v="Sao Paulo"/>
  </r>
  <r>
    <s v="55cab049972ffdc89fd0f17ab75ee52d"/>
    <s v="2017-12-26"/>
    <x v="13"/>
    <x v="1"/>
    <x v="6"/>
    <n v="1"/>
    <n v="55"/>
    <n v="16.149999999999999"/>
    <s v="boleto"/>
    <n v="13"/>
    <x v="1"/>
    <x v="2"/>
    <s v="Rio Grande do Sul"/>
  </r>
  <r>
    <s v="aef74ec8efdbc859026336c7110b4886"/>
    <s v="2017-12-26"/>
    <x v="13"/>
    <x v="4"/>
    <x v="14"/>
    <n v="1"/>
    <n v="135"/>
    <n v="18.2"/>
    <s v="boleto"/>
    <n v="22"/>
    <x v="1"/>
    <x v="0"/>
    <s v="Rio de Janeiro"/>
  </r>
  <r>
    <s v="c6ddeb6ecc91ffa34944150d8bfe960a"/>
    <s v="2017-12-26"/>
    <x v="13"/>
    <x v="3"/>
    <x v="5"/>
    <n v="1"/>
    <n v="13.99"/>
    <n v="11.85"/>
    <s v="boleto"/>
    <n v="20"/>
    <x v="1"/>
    <x v="2"/>
    <s v="Sao Paulo"/>
  </r>
  <r>
    <s v="801f0faf13878ee42788d7bd0e4c72fe"/>
    <s v="2017-12-26"/>
    <x v="13"/>
    <x v="5"/>
    <x v="14"/>
    <n v="1"/>
    <n v="45.9"/>
    <n v="15.11"/>
    <s v="credit_card"/>
    <n v="10"/>
    <x v="1"/>
    <x v="2"/>
    <s v="Parana"/>
  </r>
  <r>
    <s v="ef0dcf520a0a4634713a5ef4806433c2"/>
    <s v="2017-12-27"/>
    <x v="13"/>
    <x v="7"/>
    <x v="20"/>
    <n v="1"/>
    <n v="229.99"/>
    <n v="22.1"/>
    <s v="credit_card"/>
    <n v="8"/>
    <x v="1"/>
    <x v="2"/>
    <s v="Minas Gerais"/>
  </r>
  <r>
    <s v="58f43661df7f4ebc6182ed467729a405"/>
    <s v="2017-12-27"/>
    <x v="13"/>
    <x v="1"/>
    <x v="18"/>
    <n v="1"/>
    <n v="429"/>
    <n v="19.440000000000001"/>
    <s v="credit_card"/>
    <n v="33"/>
    <x v="2"/>
    <x v="0"/>
    <s v="Rio Grande do Sul"/>
  </r>
  <r>
    <s v="316495342fc714e50303c6cf4feea79f"/>
    <s v="2017-12-27"/>
    <x v="13"/>
    <x v="3"/>
    <x v="0"/>
    <n v="1"/>
    <n v="40.9"/>
    <n v="7.78"/>
    <s v="credit_card"/>
    <n v="8"/>
    <x v="1"/>
    <x v="2"/>
    <s v="Sao Paulo"/>
  </r>
  <r>
    <s v="eb6c151662d92e0f9c6b1c3f30122348"/>
    <s v="2017-12-27"/>
    <x v="13"/>
    <x v="3"/>
    <x v="25"/>
    <n v="1"/>
    <n v="77.7"/>
    <n v="11.75"/>
    <s v="voucher"/>
    <n v="12"/>
    <x v="1"/>
    <x v="2"/>
    <s v="Sao Paulo"/>
  </r>
  <r>
    <s v="5dc5e6edeb0fc2cc0b95d21e149d996a"/>
    <s v="2017-12-27"/>
    <x v="13"/>
    <x v="4"/>
    <x v="33"/>
    <n v="1"/>
    <n v="67.900000000000006"/>
    <n v="16.920000000000002"/>
    <s v="credit_card"/>
    <n v="36"/>
    <x v="2"/>
    <x v="0"/>
    <s v="Rio de Janeiro"/>
  </r>
  <r>
    <s v="7b564c50e97389bff9754fc6f189fef2"/>
    <s v="2017-12-28"/>
    <x v="13"/>
    <x v="9"/>
    <x v="6"/>
    <n v="1"/>
    <n v="82.99"/>
    <n v="17.829999999999998"/>
    <s v="credit_card"/>
    <n v="27"/>
    <x v="1"/>
    <x v="2"/>
    <s v="Sergipe"/>
  </r>
  <r>
    <s v="4677f9438ab0c129fd625699019e160f"/>
    <s v="2017-12-28"/>
    <x v="13"/>
    <x v="3"/>
    <x v="6"/>
    <n v="1"/>
    <n v="24.99"/>
    <n v="7.78"/>
    <s v="credit_card"/>
    <n v="8"/>
    <x v="1"/>
    <x v="2"/>
    <s v="Sao Paulo"/>
  </r>
  <r>
    <s v="919a615149354b4e074eff65adaeae81"/>
    <s v="2017-12-28"/>
    <x v="13"/>
    <x v="1"/>
    <x v="0"/>
    <n v="1"/>
    <n v="45.99"/>
    <n v="14.1"/>
    <s v="debit_card"/>
    <n v="19"/>
    <x v="1"/>
    <x v="2"/>
    <s v="Rio Grande do Sul"/>
  </r>
  <r>
    <s v="203a651bc28694f332b40c3e61bf8e04"/>
    <s v="2017-12-28"/>
    <x v="13"/>
    <x v="7"/>
    <x v="27"/>
    <n v="1"/>
    <n v="412"/>
    <n v="30.26"/>
    <s v="credit_card"/>
    <n v="12"/>
    <x v="1"/>
    <x v="2"/>
    <s v="Minas Gerais"/>
  </r>
  <r>
    <s v="ef631f2168b86a6efd53a9fdfb9d4699"/>
    <s v="2017-12-28"/>
    <x v="13"/>
    <x v="16"/>
    <x v="29"/>
    <n v="1"/>
    <n v="46.5"/>
    <n v="25.38"/>
    <s v="credit_card"/>
    <n v="41"/>
    <x v="1"/>
    <x v="2"/>
    <s v="Amazonas"/>
  </r>
  <r>
    <s v="cdab4d92ae28f85057ae6c55246c8049"/>
    <s v="2017-12-28"/>
    <x v="13"/>
    <x v="3"/>
    <x v="20"/>
    <n v="1"/>
    <n v="64.900000000000006"/>
    <n v="25.29"/>
    <s v="credit_card"/>
    <n v="10"/>
    <x v="1"/>
    <x v="2"/>
    <s v="Sao Paulo"/>
  </r>
  <r>
    <s v="74dacb2dfb8eb52a7a5130854cb9d58e"/>
    <s v="2017-12-28"/>
    <x v="13"/>
    <x v="4"/>
    <x v="19"/>
    <n v="1"/>
    <n v="42.9"/>
    <n v="16.11"/>
    <s v="voucher"/>
    <n v="25"/>
    <x v="1"/>
    <x v="2"/>
    <s v="Rio de Janeiro"/>
  </r>
  <r>
    <s v="d742edc736f4fa6a173ee4a049322e45"/>
    <s v="2017-12-28"/>
    <x v="13"/>
    <x v="7"/>
    <x v="4"/>
    <n v="1"/>
    <n v="149.99"/>
    <n v="23.85"/>
    <s v="credit_card"/>
    <n v="11"/>
    <x v="1"/>
    <x v="2"/>
    <s v="Minas Gerais"/>
  </r>
  <r>
    <s v="a4ff93cafe11fd211ea627c3cd253480"/>
    <s v="2017-12-29"/>
    <x v="13"/>
    <x v="3"/>
    <x v="4"/>
    <n v="1"/>
    <n v="181.01"/>
    <n v="15.02"/>
    <s v="credit_card"/>
    <n v="11"/>
    <x v="1"/>
    <x v="2"/>
    <s v="Sao Paulo"/>
  </r>
  <r>
    <s v="dcc9db54a4861b6fad2db082fbcdbffc"/>
    <s v="2017-12-29"/>
    <x v="13"/>
    <x v="3"/>
    <x v="21"/>
    <n v="1"/>
    <n v="99.9"/>
    <n v="9.51"/>
    <s v="credit_card"/>
    <n v="9"/>
    <x v="1"/>
    <x v="2"/>
    <s v="Sao Paulo"/>
  </r>
  <r>
    <s v="47d4cec8efbcb39b6dad3398a957ae67"/>
    <s v="2017-12-29"/>
    <x v="13"/>
    <x v="4"/>
    <x v="7"/>
    <n v="1"/>
    <n v="89.99"/>
    <n v="45.09"/>
    <s v="credit_card"/>
    <n v="24"/>
    <x v="1"/>
    <x v="2"/>
    <s v="Rio de Janeiro"/>
  </r>
  <r>
    <s v="eaa327106ae5437fcdfca397f45beca9"/>
    <s v="2017-12-29"/>
    <x v="13"/>
    <x v="3"/>
    <x v="6"/>
    <n v="1"/>
    <n v="18"/>
    <n v="7.78"/>
    <s v="credit_card"/>
    <n v="6"/>
    <x v="1"/>
    <x v="2"/>
    <s v="Sao Paulo"/>
  </r>
  <r>
    <s v="18bab9568c4898babcda154767606442"/>
    <s v="2017-12-30"/>
    <x v="13"/>
    <x v="3"/>
    <x v="3"/>
    <n v="1"/>
    <n v="24.5"/>
    <n v="11.85"/>
    <s v="credit_card"/>
    <n v="7"/>
    <x v="1"/>
    <x v="5"/>
    <s v="Sao Paulo"/>
  </r>
  <r>
    <s v="4de6d713d9ceeaea4bc2e26389fd8c66"/>
    <s v="2017-12-30"/>
    <x v="13"/>
    <x v="7"/>
    <x v="7"/>
    <n v="1"/>
    <n v="239.99"/>
    <n v="27.3"/>
    <s v="credit_card"/>
    <n v="10"/>
    <x v="1"/>
    <x v="1"/>
    <s v="Minas Gerais"/>
  </r>
  <r>
    <s v="c2df028c86d4158c1bae5a4028860656"/>
    <s v="2017-12-30"/>
    <x v="13"/>
    <x v="4"/>
    <x v="9"/>
    <n v="1"/>
    <n v="129.9"/>
    <n v="12.86"/>
    <s v="credit_card"/>
    <n v="5"/>
    <x v="1"/>
    <x v="2"/>
    <s v="Rio de Janeiro"/>
  </r>
  <r>
    <s v="cfc558750a7ad84d94c1348dfd89543c"/>
    <s v="2017-12-30"/>
    <x v="13"/>
    <x v="7"/>
    <x v="20"/>
    <n v="1"/>
    <n v="199"/>
    <n v="20.63"/>
    <s v="credit_card"/>
    <n v="12"/>
    <x v="1"/>
    <x v="3"/>
    <s v="Minas Gerais"/>
  </r>
  <r>
    <s v="1449e2bfe7a48a4534cd242f0d60e414"/>
    <s v="2017-12-30"/>
    <x v="13"/>
    <x v="21"/>
    <x v="4"/>
    <n v="1"/>
    <n v="235.92"/>
    <n v="19.22"/>
    <s v="credit_card"/>
    <n v="16"/>
    <x v="1"/>
    <x v="2"/>
    <s v="Bahia"/>
  </r>
  <r>
    <s v="bf4ad1a5f0eccfffdad0fa4efd493d2a"/>
    <s v="2017-12-30"/>
    <x v="13"/>
    <x v="3"/>
    <x v="2"/>
    <n v="1"/>
    <n v="89.9"/>
    <n v="12.13"/>
    <s v="credit_card"/>
    <n v="11"/>
    <x v="1"/>
    <x v="2"/>
    <s v="Sao Paulo"/>
  </r>
  <r>
    <s v="4027aaf151a408af313fee7a5af64c5a"/>
    <s v="2017-12-31"/>
    <x v="13"/>
    <x v="3"/>
    <x v="18"/>
    <n v="1"/>
    <n v="34.9"/>
    <n v="15.1"/>
    <s v="credit_card"/>
    <n v="9"/>
    <x v="1"/>
    <x v="2"/>
    <s v="Sao Paulo"/>
  </r>
  <r>
    <s v="db640157e1dcec75f26ab07653111cf2"/>
    <s v="2017-12-31"/>
    <x v="13"/>
    <x v="3"/>
    <x v="26"/>
    <n v="1"/>
    <n v="122.99"/>
    <n v="12.36"/>
    <s v="credit_card"/>
    <m/>
    <x v="0"/>
    <x v="0"/>
    <s v="Sao Paulo"/>
  </r>
  <r>
    <s v="89ed06112208a473f65e0f9f40fc5af5"/>
    <s v="2017-12-31"/>
    <x v="13"/>
    <x v="8"/>
    <x v="56"/>
    <n v="1"/>
    <n v="57.49"/>
    <n v="16.16"/>
    <s v="credit_card"/>
    <n v="26"/>
    <x v="1"/>
    <x v="2"/>
    <s v="Santa Catarina"/>
  </r>
  <r>
    <s v="2ae1a1178ebaf2ed27989112cf9f4a2d"/>
    <s v="2018-01-01"/>
    <x v="14"/>
    <x v="4"/>
    <x v="1"/>
    <n v="1"/>
    <n v="249.9"/>
    <n v="16.5"/>
    <s v="credit_card"/>
    <n v="17"/>
    <x v="1"/>
    <x v="2"/>
    <s v="Rio de Janeiro"/>
  </r>
  <r>
    <s v="7bbf4d89a154102fdd36ae71da6e0326"/>
    <s v="2018-01-01"/>
    <x v="14"/>
    <x v="5"/>
    <x v="19"/>
    <n v="1"/>
    <n v="72"/>
    <n v="15.25"/>
    <s v="debit_card"/>
    <n v="8"/>
    <x v="1"/>
    <x v="3"/>
    <s v="Parana"/>
  </r>
  <r>
    <s v="1537883594710d72e0f3e96f796fcd27"/>
    <s v="2018-01-01"/>
    <x v="14"/>
    <x v="18"/>
    <x v="18"/>
    <n v="1"/>
    <n v="20.3"/>
    <n v="15.1"/>
    <s v="credit_card"/>
    <n v="17"/>
    <x v="1"/>
    <x v="3"/>
    <s v="Distrito Federal"/>
  </r>
  <r>
    <s v="559115c14f48d999adcc027b4a702c8b"/>
    <s v="2018-01-01"/>
    <x v="14"/>
    <x v="3"/>
    <x v="22"/>
    <n v="1"/>
    <n v="49"/>
    <n v="7.78"/>
    <s v="credit_card"/>
    <n v="7"/>
    <x v="1"/>
    <x v="2"/>
    <s v="Sao Paulo"/>
  </r>
  <r>
    <s v="af74091f111e705ab46de44f0f46aee0"/>
    <s v="2018-01-01"/>
    <x v="14"/>
    <x v="4"/>
    <x v="9"/>
    <n v="1"/>
    <n v="89.9"/>
    <n v="16.07"/>
    <s v="boleto"/>
    <n v="31"/>
    <x v="1"/>
    <x v="2"/>
    <s v="Rio de Janeiro"/>
  </r>
  <r>
    <s v="7efedf2c0bfaa6cae462a2d447584503"/>
    <s v="2018-01-02"/>
    <x v="14"/>
    <x v="3"/>
    <x v="7"/>
    <n v="1"/>
    <n v="248"/>
    <n v="16.489999999999998"/>
    <s v="boleto"/>
    <n v="14"/>
    <x v="1"/>
    <x v="2"/>
    <s v="Sao Paulo"/>
  </r>
  <r>
    <s v="dd3d73f70b77e2a07f64360620621ca4"/>
    <s v="2018-01-02"/>
    <x v="14"/>
    <x v="3"/>
    <x v="0"/>
    <n v="1"/>
    <n v="249.99"/>
    <n v="12.95"/>
    <s v="credit_card"/>
    <n v="2"/>
    <x v="1"/>
    <x v="5"/>
    <s v="Sao Paulo"/>
  </r>
  <r>
    <s v="bf0f1a792476855668552e27ec7d263f"/>
    <s v="2018-01-02"/>
    <x v="14"/>
    <x v="5"/>
    <x v="17"/>
    <n v="1"/>
    <n v="12.25"/>
    <n v="14.1"/>
    <s v="credit_card"/>
    <n v="7"/>
    <x v="1"/>
    <x v="2"/>
    <s v="Parana"/>
  </r>
  <r>
    <s v="a34caabc66a97d7d5228c0c98789ea62"/>
    <s v="2018-01-02"/>
    <x v="14"/>
    <x v="9"/>
    <x v="9"/>
    <n v="1"/>
    <n v="819.89"/>
    <n v="41.06"/>
    <s v="credit_card"/>
    <n v="9"/>
    <x v="1"/>
    <x v="2"/>
    <s v="Sergipe"/>
  </r>
  <r>
    <s v="25f1a44846759c52334309da493877c6"/>
    <s v="2018-01-02"/>
    <x v="14"/>
    <x v="3"/>
    <x v="9"/>
    <n v="1"/>
    <n v="119.9"/>
    <n v="14.59"/>
    <s v="credit_card"/>
    <n v="9"/>
    <x v="1"/>
    <x v="0"/>
    <s v="Sao Paulo"/>
  </r>
  <r>
    <s v="0378193927bcea58a229c432fa102ba9"/>
    <s v="2018-01-02"/>
    <x v="14"/>
    <x v="3"/>
    <x v="9"/>
    <n v="1"/>
    <n v="98"/>
    <n v="13.03"/>
    <s v="credit_card"/>
    <n v="8"/>
    <x v="1"/>
    <x v="3"/>
    <s v="Sao Paulo"/>
  </r>
  <r>
    <s v="b29d96922098efb8c23532318576dffc"/>
    <s v="2018-01-02"/>
    <x v="14"/>
    <x v="3"/>
    <x v="11"/>
    <n v="1"/>
    <n v="179.9"/>
    <n v="10.07"/>
    <s v="boleto"/>
    <n v="3"/>
    <x v="1"/>
    <x v="2"/>
    <s v="Sao Paulo"/>
  </r>
  <r>
    <s v="173cd9df6006351e8e5151ea0f400bd3"/>
    <s v="2018-01-02"/>
    <x v="14"/>
    <x v="3"/>
    <x v="13"/>
    <n v="2"/>
    <n v="228.38"/>
    <n v="28.91"/>
    <s v="credit_card"/>
    <n v="6"/>
    <x v="1"/>
    <x v="3"/>
    <s v="Sao Paulo"/>
  </r>
  <r>
    <s v="3829f15c6412e72045f01b63e798d413"/>
    <s v="2018-01-02"/>
    <x v="14"/>
    <x v="4"/>
    <x v="14"/>
    <n v="1"/>
    <n v="179.9"/>
    <n v="21.75"/>
    <s v="voucher"/>
    <n v="13"/>
    <x v="1"/>
    <x v="2"/>
    <s v="Rio de Janeiro"/>
  </r>
  <r>
    <s v="23e9d59ee7ad86ca85f8fc571420345e"/>
    <s v="2018-01-02"/>
    <x v="14"/>
    <x v="2"/>
    <x v="26"/>
    <n v="1"/>
    <n v="122.99"/>
    <n v="14.61"/>
    <s v="credit_card"/>
    <n v="12"/>
    <x v="1"/>
    <x v="3"/>
    <s v="Goias"/>
  </r>
  <r>
    <s v="4b16b807a377f833778fc8b96f6d9ac4"/>
    <s v="2018-01-02"/>
    <x v="14"/>
    <x v="17"/>
    <x v="20"/>
    <n v="1"/>
    <n v="199.98"/>
    <n v="35.200000000000003"/>
    <s v="credit_card"/>
    <n v="27"/>
    <x v="1"/>
    <x v="2"/>
    <s v="Rondonia"/>
  </r>
  <r>
    <s v="19c2ba00be4e129ae7890ad07836befb"/>
    <s v="2018-01-02"/>
    <x v="14"/>
    <x v="3"/>
    <x v="20"/>
    <n v="1"/>
    <n v="166.99"/>
    <n v="13.72"/>
    <s v="credit_card"/>
    <n v="2"/>
    <x v="1"/>
    <x v="3"/>
    <s v="Sao Paulo"/>
  </r>
  <r>
    <s v="09914aa3bf0c742de9a4819692ec756b"/>
    <s v="2018-01-03"/>
    <x v="14"/>
    <x v="5"/>
    <x v="0"/>
    <n v="1"/>
    <n v="230"/>
    <n v="22.1"/>
    <s v="boleto"/>
    <n v="8"/>
    <x v="1"/>
    <x v="2"/>
    <s v="Parana"/>
  </r>
  <r>
    <s v="d2cb7c100806e87a227d413e9157cb76"/>
    <s v="2018-01-03"/>
    <x v="14"/>
    <x v="8"/>
    <x v="60"/>
    <n v="1"/>
    <n v="59.9"/>
    <n v="15.17"/>
    <s v="boleto"/>
    <n v="13"/>
    <x v="1"/>
    <x v="2"/>
    <s v="Santa Catarina"/>
  </r>
  <r>
    <s v="7c65caaf993acf13ce6a8c0aba410801"/>
    <s v="2018-01-03"/>
    <x v="14"/>
    <x v="5"/>
    <x v="6"/>
    <n v="1"/>
    <n v="27.99"/>
    <n v="15.1"/>
    <s v="boleto"/>
    <n v="34"/>
    <x v="2"/>
    <x v="0"/>
    <s v="Parana"/>
  </r>
  <r>
    <s v="67648ec95026605e68918a83edf5f13a"/>
    <s v="2018-01-03"/>
    <x v="14"/>
    <x v="3"/>
    <x v="14"/>
    <n v="1"/>
    <n v="75.5"/>
    <n v="11.73"/>
    <s v="credit_card"/>
    <n v="8"/>
    <x v="1"/>
    <x v="1"/>
    <s v="Sao Paulo"/>
  </r>
  <r>
    <s v="37e1d9b8fc877b2c60bf51d2c4d8dbc6"/>
    <s v="2018-01-03"/>
    <x v="14"/>
    <x v="3"/>
    <x v="1"/>
    <n v="1"/>
    <n v="93.49"/>
    <n v="14.05"/>
    <s v="credit_card"/>
    <n v="5"/>
    <x v="1"/>
    <x v="2"/>
    <s v="Sao Paulo"/>
  </r>
  <r>
    <s v="d16d1d91feaf7e5d293ea1ebb0a60b7f"/>
    <s v="2018-01-03"/>
    <x v="14"/>
    <x v="3"/>
    <x v="6"/>
    <n v="1"/>
    <n v="18.989999999999998"/>
    <n v="7.78"/>
    <s v="voucher"/>
    <n v="5"/>
    <x v="1"/>
    <x v="3"/>
    <s v="Sao Paulo"/>
  </r>
  <r>
    <s v="e98fdad1f9ba500a9aecfaa90e1662cd"/>
    <s v="2018-01-03"/>
    <x v="14"/>
    <x v="3"/>
    <x v="28"/>
    <n v="3"/>
    <n v="236.97"/>
    <n v="64.679999999999993"/>
    <s v="boleto"/>
    <n v="27"/>
    <x v="1"/>
    <x v="3"/>
    <s v="Sao Paulo"/>
  </r>
  <r>
    <s v="bf7c6e08d475b7f505065edf5357ba16"/>
    <s v="2018-01-03"/>
    <x v="14"/>
    <x v="3"/>
    <x v="17"/>
    <n v="1"/>
    <n v="109.9"/>
    <n v="8.02"/>
    <s v="credit_card"/>
    <n v="15"/>
    <x v="1"/>
    <x v="1"/>
    <s v="Sao Paulo"/>
  </r>
  <r>
    <s v="9d80c772b0c65884e80514abb626b94d"/>
    <s v="2018-01-03"/>
    <x v="14"/>
    <x v="3"/>
    <x v="6"/>
    <n v="1"/>
    <n v="49"/>
    <n v="9.27"/>
    <s v="boleto"/>
    <n v="4"/>
    <x v="1"/>
    <x v="2"/>
    <s v="Sao Paulo"/>
  </r>
  <r>
    <s v="e83d7904c216c3a03eb6c215d82b7fec"/>
    <s v="2018-01-03"/>
    <x v="14"/>
    <x v="15"/>
    <x v="6"/>
    <n v="1"/>
    <n v="29.99"/>
    <n v="16.79"/>
    <s v="boleto"/>
    <n v="12"/>
    <x v="1"/>
    <x v="3"/>
    <s v="Mato Grosso"/>
  </r>
  <r>
    <s v="ca801e184e659bcf7b7e4f4995d30ba8"/>
    <s v="2018-01-03"/>
    <x v="14"/>
    <x v="1"/>
    <x v="9"/>
    <n v="1"/>
    <n v="149.99"/>
    <n v="15.81"/>
    <s v="debit_card"/>
    <n v="16"/>
    <x v="1"/>
    <x v="2"/>
    <s v="Rio Grande do Sul"/>
  </r>
  <r>
    <s v="652436e8f3a1ba0f1eb9798fedb75426"/>
    <s v="2018-01-03"/>
    <x v="14"/>
    <x v="2"/>
    <x v="9"/>
    <n v="1"/>
    <n v="69.989999999999995"/>
    <n v="14.24"/>
    <s v="credit_card"/>
    <n v="19"/>
    <x v="1"/>
    <x v="2"/>
    <s v="Goias"/>
  </r>
  <r>
    <s v="17b18aa0bfdcebddefdf2d7da5718181"/>
    <s v="2018-01-03"/>
    <x v="14"/>
    <x v="8"/>
    <x v="9"/>
    <n v="1"/>
    <n v="84.99"/>
    <n v="16.350000000000001"/>
    <s v="credit_card"/>
    <n v="7"/>
    <x v="1"/>
    <x v="2"/>
    <s v="Santa Catarina"/>
  </r>
  <r>
    <s v="b00122d54463704c33f4768470c6db03"/>
    <s v="2018-01-03"/>
    <x v="14"/>
    <x v="21"/>
    <x v="22"/>
    <n v="1"/>
    <n v="299.99"/>
    <n v="19.670000000000002"/>
    <s v="credit_card"/>
    <n v="12"/>
    <x v="1"/>
    <x v="2"/>
    <s v="Bahia"/>
  </r>
  <r>
    <s v="638ef1788b79081e63829d44a8f15e0c"/>
    <s v="2018-01-03"/>
    <x v="14"/>
    <x v="13"/>
    <x v="29"/>
    <n v="1"/>
    <n v="79"/>
    <n v="38.1"/>
    <s v="credit_card"/>
    <n v="23"/>
    <x v="1"/>
    <x v="3"/>
    <s v="Maranhao"/>
  </r>
  <r>
    <s v="5f38b72f814e9f46ed3792fed53fa221"/>
    <s v="2018-01-04"/>
    <x v="14"/>
    <x v="3"/>
    <x v="22"/>
    <n v="1"/>
    <n v="199"/>
    <n v="12.89"/>
    <s v="credit_card"/>
    <n v="11"/>
    <x v="1"/>
    <x v="2"/>
    <s v="Sao Paulo"/>
  </r>
  <r>
    <s v="3da7a532b6ae989967fda8b6e790f2da"/>
    <s v="2018-01-04"/>
    <x v="14"/>
    <x v="3"/>
    <x v="2"/>
    <n v="1"/>
    <n v="389.9"/>
    <n v="11.54"/>
    <s v="credit_card"/>
    <n v="4"/>
    <x v="1"/>
    <x v="2"/>
    <s v="Sao Paulo"/>
  </r>
  <r>
    <s v="489d362ded79f4394b61b6e58453ab18"/>
    <s v="2018-01-04"/>
    <x v="14"/>
    <x v="3"/>
    <x v="0"/>
    <n v="1"/>
    <n v="14.9"/>
    <n v="15.1"/>
    <s v="credit_card"/>
    <n v="14"/>
    <x v="1"/>
    <x v="2"/>
    <s v="Sao Paulo"/>
  </r>
  <r>
    <s v="2939b6d48c2488e276205bc547c56aac"/>
    <s v="2018-01-04"/>
    <x v="14"/>
    <x v="3"/>
    <x v="14"/>
    <n v="1"/>
    <n v="179.9"/>
    <n v="15.46"/>
    <s v="boleto"/>
    <n v="7"/>
    <x v="1"/>
    <x v="2"/>
    <s v="Sao Paulo"/>
  </r>
  <r>
    <s v="e809c167a9cfd31aee1293abe8995065"/>
    <s v="2018-01-04"/>
    <x v="14"/>
    <x v="7"/>
    <x v="22"/>
    <n v="1"/>
    <n v="129.9"/>
    <n v="15.66"/>
    <s v="boleto"/>
    <m/>
    <x v="0"/>
    <x v="0"/>
    <s v="Minas Gerais"/>
  </r>
  <r>
    <s v="ff08fd76861967a9d7cf3b5443efb8d7"/>
    <s v="2018-01-04"/>
    <x v="14"/>
    <x v="3"/>
    <x v="14"/>
    <n v="1"/>
    <n v="137.80000000000001"/>
    <n v="25.8"/>
    <s v="credit_card"/>
    <n v="18"/>
    <x v="1"/>
    <x v="3"/>
    <s v="Sao Paulo"/>
  </r>
  <r>
    <s v="e58ed0440e44bc5b5e5cba33106e3f66"/>
    <s v="2018-01-04"/>
    <x v="14"/>
    <x v="3"/>
    <x v="6"/>
    <n v="1"/>
    <n v="49.99"/>
    <n v="7.78"/>
    <s v="credit_card"/>
    <n v="6"/>
    <x v="1"/>
    <x v="2"/>
    <s v="Sao Paulo"/>
  </r>
  <r>
    <s v="aec77276e0dacfea29f58e0908b46e21"/>
    <s v="2018-01-04"/>
    <x v="14"/>
    <x v="8"/>
    <x v="9"/>
    <n v="1"/>
    <n v="16.04"/>
    <n v="15.1"/>
    <s v="voucher"/>
    <n v="29"/>
    <x v="1"/>
    <x v="3"/>
    <s v="Santa Catarina"/>
  </r>
  <r>
    <s v="b0ba58e96fcf1892b604e398e472af5e"/>
    <s v="2018-01-04"/>
    <x v="14"/>
    <x v="11"/>
    <x v="13"/>
    <n v="1"/>
    <n v="59.47"/>
    <n v="26.96"/>
    <s v="boleto"/>
    <n v="53"/>
    <x v="2"/>
    <x v="0"/>
    <s v="Para"/>
  </r>
  <r>
    <s v="55898410e4c5e6aff68607cf55c05847"/>
    <s v="2018-01-04"/>
    <x v="14"/>
    <x v="3"/>
    <x v="14"/>
    <n v="1"/>
    <n v="99.9"/>
    <n v="12.4"/>
    <s v="credit_card"/>
    <n v="4"/>
    <x v="1"/>
    <x v="2"/>
    <s v="Sao Paulo"/>
  </r>
  <r>
    <s v="672bf50de46d0642f77ef0d01a96bf06"/>
    <s v="2018-01-04"/>
    <x v="14"/>
    <x v="13"/>
    <x v="22"/>
    <n v="1"/>
    <n v="56"/>
    <n v="34.19"/>
    <s v="credit_card"/>
    <n v="12"/>
    <x v="1"/>
    <x v="2"/>
    <s v="Maranhao"/>
  </r>
  <r>
    <s v="dbfa3d8c05cc5d84083fc259a9feb5bc"/>
    <s v="2018-01-04"/>
    <x v="14"/>
    <x v="14"/>
    <x v="17"/>
    <n v="1"/>
    <n v="129.9"/>
    <n v="34.270000000000003"/>
    <s v="boleto"/>
    <n v="17"/>
    <x v="1"/>
    <x v="2"/>
    <s v="Mato Grosso do Sul"/>
  </r>
  <r>
    <s v="9abcbe39820292dab15332cef33e7a3c"/>
    <s v="2018-01-04"/>
    <x v="14"/>
    <x v="1"/>
    <x v="9"/>
    <n v="1"/>
    <n v="81.900000000000006"/>
    <n v="16.82"/>
    <s v="credit_card"/>
    <n v="16"/>
    <x v="1"/>
    <x v="3"/>
    <s v="Rio Grande do Sul"/>
  </r>
  <r>
    <s v="c9b8a39ed5297ea28a01944f413d6636"/>
    <s v="2018-01-05"/>
    <x v="14"/>
    <x v="4"/>
    <x v="29"/>
    <n v="1"/>
    <n v="79"/>
    <n v="17.8"/>
    <s v="credit_card"/>
    <n v="29"/>
    <x v="1"/>
    <x v="2"/>
    <s v="Rio de Janeiro"/>
  </r>
  <r>
    <s v="5eca24d683e367960eb71efa3fbad661"/>
    <s v="2018-01-05"/>
    <x v="14"/>
    <x v="21"/>
    <x v="14"/>
    <n v="2"/>
    <n v="79.98"/>
    <n v="33.58"/>
    <s v="credit_card"/>
    <n v="15"/>
    <x v="1"/>
    <x v="1"/>
    <s v="Bahia"/>
  </r>
  <r>
    <s v="6f0c925fc5d548afcddeea046d4e30d1"/>
    <s v="2018-01-05"/>
    <x v="14"/>
    <x v="5"/>
    <x v="20"/>
    <n v="1"/>
    <n v="238"/>
    <n v="17.920000000000002"/>
    <s v="credit_card"/>
    <n v="17"/>
    <x v="1"/>
    <x v="2"/>
    <s v="Parana"/>
  </r>
  <r>
    <s v="ad926ae0ce086bc0ae23f92128253ede"/>
    <s v="2018-01-05"/>
    <x v="14"/>
    <x v="25"/>
    <x v="22"/>
    <n v="1"/>
    <n v="219"/>
    <n v="35.33"/>
    <s v="boleto"/>
    <n v="31"/>
    <x v="1"/>
    <x v="3"/>
    <s v="Amapa"/>
  </r>
  <r>
    <s v="6e6fe7a46410884d0ad0f30ac48f7c4b"/>
    <s v="2018-01-05"/>
    <x v="14"/>
    <x v="3"/>
    <x v="18"/>
    <n v="1"/>
    <n v="34.299999999999997"/>
    <n v="8.11"/>
    <s v="debit_card"/>
    <n v="4"/>
    <x v="1"/>
    <x v="2"/>
    <s v="Sao Paulo"/>
  </r>
  <r>
    <s v="e713fb4142ff3dd5799a73faf546c9cb"/>
    <s v="2018-01-05"/>
    <x v="14"/>
    <x v="1"/>
    <x v="6"/>
    <n v="1"/>
    <n v="24.99"/>
    <n v="15.1"/>
    <s v="credit_card"/>
    <n v="14"/>
    <x v="1"/>
    <x v="3"/>
    <s v="Rio Grande do Sul"/>
  </r>
  <r>
    <s v="43150008aa4569cfef4be756bd7dbdd3"/>
    <s v="2018-01-05"/>
    <x v="14"/>
    <x v="5"/>
    <x v="1"/>
    <n v="2"/>
    <n v="90"/>
    <n v="32.22"/>
    <s v="credit_card"/>
    <n v="12"/>
    <x v="1"/>
    <x v="5"/>
    <s v="Parana"/>
  </r>
  <r>
    <s v="47c93dc8a83b7fcf68ce05de387fa24a"/>
    <s v="2018-01-05"/>
    <x v="14"/>
    <x v="3"/>
    <x v="9"/>
    <n v="1"/>
    <n v="39.9"/>
    <n v="7.78"/>
    <s v="credit_card"/>
    <n v="6"/>
    <x v="1"/>
    <x v="2"/>
    <s v="Sao Paulo"/>
  </r>
  <r>
    <s v="6c8fdc6f1b35e5126442a74c3bcc36d5"/>
    <s v="2018-01-05"/>
    <x v="14"/>
    <x v="4"/>
    <x v="9"/>
    <n v="1"/>
    <n v="259.89999999999998"/>
    <n v="17.260000000000002"/>
    <s v="credit_card"/>
    <n v="28"/>
    <x v="1"/>
    <x v="2"/>
    <s v="Rio de Janeiro"/>
  </r>
  <r>
    <s v="fed058642b519335c834d73b851e20d0"/>
    <s v="2018-01-05"/>
    <x v="14"/>
    <x v="12"/>
    <x v="20"/>
    <n v="1"/>
    <n v="129.99"/>
    <n v="29.31"/>
    <s v="credit_card"/>
    <n v="17"/>
    <x v="1"/>
    <x v="1"/>
    <s v="Ceara"/>
  </r>
  <r>
    <s v="225d8e0b99ff5a086559a0ec1b21f7c5"/>
    <s v="2018-01-06"/>
    <x v="14"/>
    <x v="3"/>
    <x v="14"/>
    <n v="1"/>
    <n v="78"/>
    <n v="9.36"/>
    <s v="credit_card"/>
    <n v="5"/>
    <x v="1"/>
    <x v="2"/>
    <s v="Sao Paulo"/>
  </r>
  <r>
    <s v="bbe32ce108f0fa16e209fbaee6005f2b"/>
    <s v="2018-01-06"/>
    <x v="14"/>
    <x v="7"/>
    <x v="28"/>
    <n v="1"/>
    <n v="139.99"/>
    <n v="17"/>
    <s v="credit_card"/>
    <n v="42"/>
    <x v="1"/>
    <x v="0"/>
    <s v="Minas Gerais"/>
  </r>
  <r>
    <s v="47d5c4cb8aba6b76371169d9c9f8089b"/>
    <s v="2018-01-06"/>
    <x v="14"/>
    <x v="3"/>
    <x v="1"/>
    <n v="1"/>
    <n v="39.6"/>
    <n v="7.78"/>
    <s v="credit_card"/>
    <n v="3"/>
    <x v="1"/>
    <x v="1"/>
    <s v="Sao Paulo"/>
  </r>
  <r>
    <s v="37fc96845277017406e269d41347fb37"/>
    <s v="2018-01-06"/>
    <x v="14"/>
    <x v="7"/>
    <x v="0"/>
    <n v="1"/>
    <n v="69.900000000000006"/>
    <n v="26.11"/>
    <s v="boleto"/>
    <n v="9"/>
    <x v="1"/>
    <x v="2"/>
    <s v="Minas Gerais"/>
  </r>
  <r>
    <s v="7538c7b3219a1c960b4a0561e2099cae"/>
    <s v="2018-01-06"/>
    <x v="14"/>
    <x v="5"/>
    <x v="23"/>
    <n v="1"/>
    <n v="19.95"/>
    <n v="15.1"/>
    <s v="credit_card"/>
    <n v="17"/>
    <x v="1"/>
    <x v="2"/>
    <s v="Parana"/>
  </r>
  <r>
    <s v="f7bb1808de8fcbb7b751fd8f7687f14d"/>
    <s v="2018-01-06"/>
    <x v="14"/>
    <x v="21"/>
    <x v="1"/>
    <n v="1"/>
    <n v="17.899999999999999"/>
    <n v="16.79"/>
    <s v="boleto"/>
    <n v="12"/>
    <x v="1"/>
    <x v="2"/>
    <s v="Bahia"/>
  </r>
  <r>
    <s v="1b0b1c71db83d610e4cb483d0481a6eb"/>
    <s v="2018-01-06"/>
    <x v="14"/>
    <x v="8"/>
    <x v="2"/>
    <n v="1"/>
    <n v="149.9"/>
    <n v="18.350000000000001"/>
    <s v="credit_card"/>
    <n v="27"/>
    <x v="1"/>
    <x v="0"/>
    <s v="Santa Catarina"/>
  </r>
  <r>
    <s v="6df2cfb6624c3e0b13775087f1cda182"/>
    <s v="2018-01-06"/>
    <x v="14"/>
    <x v="3"/>
    <x v="14"/>
    <n v="1"/>
    <n v="69.2"/>
    <n v="20.97"/>
    <s v="credit_card"/>
    <n v="23"/>
    <x v="1"/>
    <x v="3"/>
    <s v="Sao Paulo"/>
  </r>
  <r>
    <s v="43439c4b45b39d5a7d27a31d6cebe43c"/>
    <s v="2018-01-06"/>
    <x v="14"/>
    <x v="7"/>
    <x v="2"/>
    <n v="1"/>
    <n v="64.900000000000006"/>
    <n v="16.89"/>
    <s v="boleto"/>
    <n v="20"/>
    <x v="1"/>
    <x v="1"/>
    <s v="Minas Gerais"/>
  </r>
  <r>
    <s v="19f60164db6130153f77c00960387648"/>
    <s v="2018-01-06"/>
    <x v="14"/>
    <x v="3"/>
    <x v="19"/>
    <n v="1"/>
    <n v="89.18"/>
    <n v="12.96"/>
    <s v="boleto"/>
    <n v="10"/>
    <x v="1"/>
    <x v="0"/>
    <s v="Sao Paulo"/>
  </r>
  <r>
    <s v="af18dcad5c76de4eec9a63dfc1672296"/>
    <s v="2018-01-07"/>
    <x v="14"/>
    <x v="4"/>
    <x v="17"/>
    <n v="1"/>
    <n v="18.899999999999999"/>
    <n v="16.79"/>
    <s v="credit_card"/>
    <n v="15"/>
    <x v="1"/>
    <x v="2"/>
    <s v="Rio de Janeiro"/>
  </r>
  <r>
    <s v="41ed8506413669db4dc723ccad490421"/>
    <s v="2018-01-07"/>
    <x v="14"/>
    <x v="3"/>
    <x v="9"/>
    <n v="1"/>
    <n v="349.9"/>
    <n v="18.7"/>
    <s v="credit_card"/>
    <n v="15"/>
    <x v="1"/>
    <x v="3"/>
    <s v="Sao Paulo"/>
  </r>
  <r>
    <s v="f1f595bed1ee64a492e47dfdd7306983"/>
    <s v="2018-01-07"/>
    <x v="14"/>
    <x v="4"/>
    <x v="5"/>
    <n v="1"/>
    <n v="98"/>
    <n v="36.01"/>
    <s v="credit_card"/>
    <n v="16"/>
    <x v="1"/>
    <x v="2"/>
    <s v="Rio de Janeiro"/>
  </r>
  <r>
    <s v="110002a2f7cc77699dcd81a24423cfc1"/>
    <s v="2018-01-07"/>
    <x v="14"/>
    <x v="3"/>
    <x v="2"/>
    <n v="1"/>
    <n v="45"/>
    <n v="12.69"/>
    <s v="credit_card"/>
    <n v="3"/>
    <x v="1"/>
    <x v="1"/>
    <s v="Sao Paulo"/>
  </r>
  <r>
    <s v="ef690426d84aff4f5560cb63d1092557"/>
    <s v="2018-01-07"/>
    <x v="14"/>
    <x v="18"/>
    <x v="13"/>
    <n v="1"/>
    <n v="110"/>
    <n v="20.260000000000002"/>
    <s v="credit_card"/>
    <n v="6"/>
    <x v="1"/>
    <x v="2"/>
    <s v="Distrito Federal"/>
  </r>
  <r>
    <s v="785c89d4e249aa8f0ec838dded807fd1"/>
    <s v="2018-01-07"/>
    <x v="14"/>
    <x v="3"/>
    <x v="56"/>
    <n v="1"/>
    <n v="55.49"/>
    <n v="9.94"/>
    <s v="credit_card"/>
    <n v="5"/>
    <x v="1"/>
    <x v="2"/>
    <s v="Sao Paulo"/>
  </r>
  <r>
    <s v="e94db86cfc0247d6bb6ae5f1307b4805"/>
    <s v="2018-01-07"/>
    <x v="14"/>
    <x v="1"/>
    <x v="6"/>
    <n v="1"/>
    <n v="19.899999999999999"/>
    <n v="15.1"/>
    <s v="debit_card"/>
    <n v="9"/>
    <x v="1"/>
    <x v="1"/>
    <s v="Rio Grande do Sul"/>
  </r>
  <r>
    <s v="1c0eb7262ceb60db69b3825f1fb1deb8"/>
    <s v="2018-01-07"/>
    <x v="14"/>
    <x v="3"/>
    <x v="9"/>
    <n v="1"/>
    <n v="54.39"/>
    <n v="12.72"/>
    <s v="credit_card"/>
    <n v="5"/>
    <x v="1"/>
    <x v="2"/>
    <s v="Sao Paulo"/>
  </r>
  <r>
    <s v="35a6518f311840d6bbc5998c7201db80"/>
    <s v="2018-01-08"/>
    <x v="14"/>
    <x v="1"/>
    <x v="14"/>
    <n v="1"/>
    <n v="86.9"/>
    <n v="21.1"/>
    <s v="credit_card"/>
    <n v="23"/>
    <x v="1"/>
    <x v="2"/>
    <s v="Rio Grande do Sul"/>
  </r>
  <r>
    <s v="d28b75209a5e2bb2ef86b7eb3b81dd55"/>
    <s v="2018-01-08"/>
    <x v="14"/>
    <x v="2"/>
    <x v="28"/>
    <n v="1"/>
    <n v="114.6"/>
    <n v="30.64"/>
    <s v="boleto"/>
    <n v="23"/>
    <x v="1"/>
    <x v="3"/>
    <s v="Goias"/>
  </r>
  <r>
    <s v="d7ac124b50e54544b4cb85315b5f2793"/>
    <s v="2018-01-08"/>
    <x v="14"/>
    <x v="3"/>
    <x v="1"/>
    <n v="1"/>
    <n v="169.9"/>
    <n v="12.69"/>
    <s v="credit_card"/>
    <n v="10"/>
    <x v="1"/>
    <x v="2"/>
    <s v="Sao Paulo"/>
  </r>
  <r>
    <s v="4cbc42107122bbbbd5abe620ff9b9115"/>
    <s v="2018-01-08"/>
    <x v="14"/>
    <x v="4"/>
    <x v="10"/>
    <n v="1"/>
    <n v="24.97"/>
    <n v="15.1"/>
    <s v="boleto"/>
    <n v="8"/>
    <x v="1"/>
    <x v="2"/>
    <s v="Rio de Janeiro"/>
  </r>
  <r>
    <s v="0e62b7f0d74e42edd997cf3dfaac54c2"/>
    <s v="2018-01-08"/>
    <x v="14"/>
    <x v="6"/>
    <x v="4"/>
    <n v="1"/>
    <n v="949.9"/>
    <n v="104.73"/>
    <s v="boleto"/>
    <n v="14"/>
    <x v="1"/>
    <x v="3"/>
    <s v="Pernambuco"/>
  </r>
  <r>
    <s v="682a34b810b30b9d81683fa8ad2113d5"/>
    <s v="2018-01-08"/>
    <x v="14"/>
    <x v="14"/>
    <x v="25"/>
    <n v="1"/>
    <n v="75.989999999999995"/>
    <n v="23"/>
    <s v="boleto"/>
    <n v="9"/>
    <x v="1"/>
    <x v="2"/>
    <s v="Mato Grosso do Sul"/>
  </r>
  <r>
    <s v="ed09706e867828c762e46ad418d064d7"/>
    <s v="2018-01-08"/>
    <x v="14"/>
    <x v="3"/>
    <x v="28"/>
    <n v="1"/>
    <n v="289.89999999999998"/>
    <n v="33.630000000000003"/>
    <s v="boleto"/>
    <n v="3"/>
    <x v="1"/>
    <x v="2"/>
    <s v="Sao Paulo"/>
  </r>
  <r>
    <s v="79736d8897b41dc2f3b2096def7a5f7e"/>
    <s v="2018-01-08"/>
    <x v="14"/>
    <x v="12"/>
    <x v="17"/>
    <n v="1"/>
    <n v="13.65"/>
    <n v="17.63"/>
    <s v="credit_card"/>
    <n v="15"/>
    <x v="1"/>
    <x v="3"/>
    <s v="Ceara"/>
  </r>
  <r>
    <s v="840d0fe65e307594f2f5fcd49d6898d7"/>
    <s v="2018-01-08"/>
    <x v="14"/>
    <x v="3"/>
    <x v="19"/>
    <n v="1"/>
    <n v="5.31"/>
    <n v="9.34"/>
    <s v="credit_card"/>
    <n v="5"/>
    <x v="1"/>
    <x v="5"/>
    <s v="Sao Paulo"/>
  </r>
  <r>
    <s v="193dce17420e5a1662145bdba0605cd6"/>
    <s v="2018-01-08"/>
    <x v="14"/>
    <x v="18"/>
    <x v="14"/>
    <n v="1"/>
    <n v="25"/>
    <n v="14.1"/>
    <s v="voucher"/>
    <n v="11"/>
    <x v="1"/>
    <x v="2"/>
    <s v="Distrito Federal"/>
  </r>
  <r>
    <s v="95266dbfb7e20354baba07964dac78d5"/>
    <s v="2018-01-08"/>
    <x v="14"/>
    <x v="8"/>
    <x v="12"/>
    <n v="1"/>
    <n v="129.99"/>
    <n v="57.58"/>
    <s v="credit_card"/>
    <n v="18"/>
    <x v="1"/>
    <x v="3"/>
    <s v="Santa Catarina"/>
  </r>
  <r>
    <s v="68b73b2773ff90dc774d217f5a554680"/>
    <s v="2018-01-08"/>
    <x v="14"/>
    <x v="26"/>
    <x v="2"/>
    <n v="1"/>
    <n v="89.9"/>
    <n v="21.43"/>
    <s v="boleto"/>
    <n v="12"/>
    <x v="1"/>
    <x v="2"/>
    <s v="Paraiba"/>
  </r>
  <r>
    <s v="5e0f498aef45e2d62d0c983110ef0892"/>
    <s v="2018-01-09"/>
    <x v="14"/>
    <x v="7"/>
    <x v="1"/>
    <n v="1"/>
    <n v="129.9"/>
    <n v="27.23"/>
    <s v="boleto"/>
    <n v="10"/>
    <x v="1"/>
    <x v="2"/>
    <s v="Minas Gerais"/>
  </r>
  <r>
    <s v="2522de34f8d922703d83ac636084a756"/>
    <s v="2018-01-09"/>
    <x v="14"/>
    <x v="21"/>
    <x v="25"/>
    <n v="1"/>
    <n v="89.7"/>
    <n v="17.07"/>
    <s v="boleto"/>
    <n v="13"/>
    <x v="1"/>
    <x v="2"/>
    <s v="Bahia"/>
  </r>
  <r>
    <s v="9bcc43446a687456408f7c92cf486f48"/>
    <s v="2018-01-09"/>
    <x v="14"/>
    <x v="3"/>
    <x v="1"/>
    <n v="1"/>
    <n v="23.8"/>
    <n v="15.1"/>
    <s v="credit_card"/>
    <n v="15"/>
    <x v="1"/>
    <x v="1"/>
    <s v="Sao Paulo"/>
  </r>
  <r>
    <s v="2f184c1f767b1dab8ce9aefda0db5b33"/>
    <s v="2018-01-09"/>
    <x v="14"/>
    <x v="1"/>
    <x v="2"/>
    <n v="1"/>
    <n v="597.9"/>
    <n v="21.44"/>
    <s v="credit_card"/>
    <n v="9"/>
    <x v="1"/>
    <x v="2"/>
    <s v="Rio Grande do Sul"/>
  </r>
  <r>
    <s v="d70e8cbc1daa0295b64e9d465b8835a5"/>
    <s v="2018-01-09"/>
    <x v="14"/>
    <x v="3"/>
    <x v="1"/>
    <n v="1"/>
    <n v="107"/>
    <n v="12.25"/>
    <s v="credit_card"/>
    <n v="6"/>
    <x v="1"/>
    <x v="2"/>
    <s v="Sao Paulo"/>
  </r>
  <r>
    <s v="b0b54e4c452d66681d67e588398ecf7c"/>
    <s v="2018-01-09"/>
    <x v="14"/>
    <x v="7"/>
    <x v="13"/>
    <n v="1"/>
    <n v="135.99"/>
    <n v="23.27"/>
    <s v="voucher"/>
    <n v="7"/>
    <x v="1"/>
    <x v="3"/>
    <s v="Minas Gerais"/>
  </r>
  <r>
    <s v="c23b694adb7d7d7438e6d33f3d6c8ce8"/>
    <s v="2018-01-09"/>
    <x v="14"/>
    <x v="3"/>
    <x v="17"/>
    <n v="1"/>
    <n v="13.65"/>
    <n v="11.85"/>
    <s v="boleto"/>
    <n v="14"/>
    <x v="1"/>
    <x v="2"/>
    <s v="Sao Paulo"/>
  </r>
  <r>
    <s v="37ef684ef56e80eac9ebcf864d5989b3"/>
    <s v="2018-01-09"/>
    <x v="14"/>
    <x v="3"/>
    <x v="14"/>
    <n v="1"/>
    <n v="54.9"/>
    <n v="16.010000000000002"/>
    <s v="credit_card"/>
    <n v="12"/>
    <x v="1"/>
    <x v="3"/>
    <s v="Sao Paulo"/>
  </r>
  <r>
    <s v="38c61d1bbf5143a8c347ebaa490e234b"/>
    <s v="2018-01-09"/>
    <x v="14"/>
    <x v="7"/>
    <x v="21"/>
    <n v="1"/>
    <n v="82.9"/>
    <n v="14.31"/>
    <s v="voucher"/>
    <n v="5"/>
    <x v="1"/>
    <x v="2"/>
    <s v="Minas Gerais"/>
  </r>
  <r>
    <s v="a393492a87f42dc60b9b63b4ec2f6480"/>
    <s v="2018-01-09"/>
    <x v="14"/>
    <x v="2"/>
    <x v="6"/>
    <n v="1"/>
    <n v="39.99"/>
    <n v="14.1"/>
    <s v="credit_card"/>
    <n v="13"/>
    <x v="1"/>
    <x v="2"/>
    <s v="Goias"/>
  </r>
  <r>
    <s v="b740e269153085cde628edc64b3ef029"/>
    <s v="2018-01-09"/>
    <x v="14"/>
    <x v="26"/>
    <x v="4"/>
    <n v="1"/>
    <n v="39.9"/>
    <n v="15.1"/>
    <s v="credit_card"/>
    <n v="10"/>
    <x v="1"/>
    <x v="3"/>
    <s v="Paraiba"/>
  </r>
  <r>
    <s v="65709b9620e3ef6f575918b8348a8ece"/>
    <s v="2018-01-09"/>
    <x v="14"/>
    <x v="3"/>
    <x v="4"/>
    <n v="2"/>
    <n v="394.99"/>
    <n v="21.6"/>
    <s v="credit_card"/>
    <n v="8"/>
    <x v="1"/>
    <x v="1"/>
    <s v="Sao Paulo"/>
  </r>
  <r>
    <s v="0d778ab2a536db4175fd9e51f7022c91"/>
    <s v="2018-01-09"/>
    <x v="14"/>
    <x v="11"/>
    <x v="25"/>
    <n v="1"/>
    <n v="159.9"/>
    <n v="33.57"/>
    <s v="credit_card"/>
    <n v="26"/>
    <x v="1"/>
    <x v="3"/>
    <s v="Para"/>
  </r>
  <r>
    <s v="41cee5026118f211f95963f5638bcbe2"/>
    <s v="2018-01-09"/>
    <x v="14"/>
    <x v="3"/>
    <x v="14"/>
    <n v="1"/>
    <n v="35"/>
    <n v="11.85"/>
    <s v="boleto"/>
    <n v="9"/>
    <x v="1"/>
    <x v="2"/>
    <s v="Sao Paulo"/>
  </r>
  <r>
    <s v="b77ffad8b6c7bb5dedfb6a61f8e7cf57"/>
    <s v="2018-01-09"/>
    <x v="14"/>
    <x v="8"/>
    <x v="19"/>
    <n v="2"/>
    <n v="138"/>
    <n v="51.02"/>
    <s v="credit_card"/>
    <n v="29"/>
    <x v="1"/>
    <x v="2"/>
    <s v="Santa Catarina"/>
  </r>
  <r>
    <s v="e567001ce77d68566b016e7929c11bfa"/>
    <s v="2018-01-09"/>
    <x v="14"/>
    <x v="8"/>
    <x v="7"/>
    <n v="2"/>
    <n v="99.8"/>
    <n v="35.200000000000003"/>
    <s v="credit_card"/>
    <n v="23"/>
    <x v="1"/>
    <x v="0"/>
    <s v="Santa Catarina"/>
  </r>
  <r>
    <s v="e6190dea235662449d160357e46eaec8"/>
    <s v="2018-01-09"/>
    <x v="14"/>
    <x v="3"/>
    <x v="9"/>
    <n v="1"/>
    <n v="69.900000000000006"/>
    <n v="19.98"/>
    <s v="credit_card"/>
    <n v="6"/>
    <x v="1"/>
    <x v="2"/>
    <s v="Sao Paulo"/>
  </r>
  <r>
    <s v="98b71d23b2914a171ca5c5824a1d38b1"/>
    <s v="2018-01-09"/>
    <x v="14"/>
    <x v="7"/>
    <x v="12"/>
    <n v="1"/>
    <n v="27.9"/>
    <n v="15.1"/>
    <s v="credit_card"/>
    <n v="9"/>
    <x v="1"/>
    <x v="2"/>
    <s v="Minas Gerais"/>
  </r>
  <r>
    <s v="8b75efcac52e6144df576321437f12eb"/>
    <s v="2018-01-09"/>
    <x v="14"/>
    <x v="3"/>
    <x v="4"/>
    <n v="2"/>
    <n v="327.45999999999998"/>
    <n v="26.56"/>
    <s v="credit_card"/>
    <n v="8"/>
    <x v="1"/>
    <x v="2"/>
    <s v="Sao Paulo"/>
  </r>
  <r>
    <s v="6cb0e1664e861687126a22bcb14e9def"/>
    <s v="2018-01-09"/>
    <x v="14"/>
    <x v="5"/>
    <x v="6"/>
    <n v="1"/>
    <n v="12.99"/>
    <n v="15.1"/>
    <s v="credit_card"/>
    <n v="8"/>
    <x v="1"/>
    <x v="2"/>
    <s v="Parana"/>
  </r>
  <r>
    <s v="a6d26cc151cf55506e5fa88970b09edf"/>
    <s v="2018-01-09"/>
    <x v="14"/>
    <x v="3"/>
    <x v="14"/>
    <n v="1"/>
    <n v="150"/>
    <n v="9.86"/>
    <s v="credit_card"/>
    <n v="1"/>
    <x v="1"/>
    <x v="2"/>
    <s v="Sao Paulo"/>
  </r>
  <r>
    <s v="b8fba4dc6ff421731ed01f46c701084a"/>
    <s v="2018-01-09"/>
    <x v="14"/>
    <x v="5"/>
    <x v="6"/>
    <n v="1"/>
    <n v="12.98"/>
    <n v="14.1"/>
    <s v="boleto"/>
    <n v="13"/>
    <x v="1"/>
    <x v="2"/>
    <s v="Parana"/>
  </r>
  <r>
    <s v="d8c70ddb5b67b5e92df691abb6bafd01"/>
    <s v="2018-01-09"/>
    <x v="14"/>
    <x v="3"/>
    <x v="28"/>
    <n v="1"/>
    <n v="149.99"/>
    <n v="17.78"/>
    <s v="boleto"/>
    <n v="17"/>
    <x v="1"/>
    <x v="1"/>
    <s v="Sao Paulo"/>
  </r>
  <r>
    <s v="c99da7a5a4c3328c4d6494f061c4c3d2"/>
    <s v="2018-01-09"/>
    <x v="14"/>
    <x v="12"/>
    <x v="9"/>
    <n v="1"/>
    <n v="89.99"/>
    <n v="27.17"/>
    <s v="credit_card"/>
    <n v="20"/>
    <x v="1"/>
    <x v="3"/>
    <s v="Ceara"/>
  </r>
  <r>
    <s v="eb7ad8aef38707da6cf8a476dd47198e"/>
    <s v="2018-01-09"/>
    <x v="14"/>
    <x v="3"/>
    <x v="36"/>
    <n v="1"/>
    <n v="155"/>
    <n v="8.83"/>
    <s v="credit_card"/>
    <n v="1"/>
    <x v="1"/>
    <x v="3"/>
    <s v="Sao Paulo"/>
  </r>
  <r>
    <s v="659ce33e2ba9b51a83056aaaf3fc92a1"/>
    <s v="2018-01-10"/>
    <x v="14"/>
    <x v="3"/>
    <x v="4"/>
    <n v="2"/>
    <n v="705.14"/>
    <n v="80.040000000000006"/>
    <s v="credit_card"/>
    <n v="13"/>
    <x v="1"/>
    <x v="3"/>
    <s v="Sao Paulo"/>
  </r>
  <r>
    <s v="64f8d43fc9ba9110bc3142d2f7a1f40a"/>
    <s v="2018-01-10"/>
    <x v="14"/>
    <x v="4"/>
    <x v="4"/>
    <n v="1"/>
    <n v="184.79"/>
    <n v="17.05"/>
    <s v="credit_card"/>
    <n v="20"/>
    <x v="1"/>
    <x v="2"/>
    <s v="Rio de Janeiro"/>
  </r>
  <r>
    <s v="da48ff98ca6bec2aa39f5cce1db9f04b"/>
    <s v="2018-01-10"/>
    <x v="14"/>
    <x v="4"/>
    <x v="4"/>
    <n v="1"/>
    <n v="28.9"/>
    <n v="15.1"/>
    <s v="credit_card"/>
    <n v="18"/>
    <x v="1"/>
    <x v="2"/>
    <s v="Rio de Janeiro"/>
  </r>
  <r>
    <s v="de859e22b1ba2980cdd352637fb1ab0a"/>
    <s v="2018-01-10"/>
    <x v="14"/>
    <x v="4"/>
    <x v="12"/>
    <n v="1"/>
    <n v="109.9"/>
    <n v="20.010000000000002"/>
    <s v="credit_card"/>
    <n v="37"/>
    <x v="2"/>
    <x v="0"/>
    <s v="Rio de Janeiro"/>
  </r>
  <r>
    <s v="219889e4dae6af086c47d02b538f0589"/>
    <s v="2018-01-10"/>
    <x v="14"/>
    <x v="21"/>
    <x v="1"/>
    <n v="2"/>
    <n v="71.8"/>
    <n v="33.58"/>
    <s v="credit_card"/>
    <n v="13"/>
    <x v="1"/>
    <x v="2"/>
    <s v="Bahia"/>
  </r>
  <r>
    <s v="4d9974c8797599512e8216eeb315817d"/>
    <s v="2018-01-10"/>
    <x v="14"/>
    <x v="7"/>
    <x v="17"/>
    <n v="1"/>
    <n v="30"/>
    <n v="11.85"/>
    <s v="credit_card"/>
    <n v="29"/>
    <x v="2"/>
    <x v="0"/>
    <s v="Minas Gerais"/>
  </r>
  <r>
    <s v="1461dd5a43608d03158f13131d6fa3a8"/>
    <s v="2018-01-10"/>
    <x v="14"/>
    <x v="5"/>
    <x v="54"/>
    <n v="1"/>
    <n v="78"/>
    <n v="15.3"/>
    <s v="credit_card"/>
    <n v="13"/>
    <x v="1"/>
    <x v="2"/>
    <s v="Parana"/>
  </r>
  <r>
    <s v="1446390485bfa8ea593dbd273d725218"/>
    <s v="2018-01-10"/>
    <x v="14"/>
    <x v="3"/>
    <x v="29"/>
    <n v="1"/>
    <n v="89"/>
    <n v="13.64"/>
    <s v="credit_card"/>
    <n v="7"/>
    <x v="1"/>
    <x v="2"/>
    <s v="Sao Paulo"/>
  </r>
  <r>
    <s v="46e5628ac4a223fe4ecb24dab9d6b26a"/>
    <s v="2018-01-10"/>
    <x v="14"/>
    <x v="22"/>
    <x v="17"/>
    <n v="1"/>
    <n v="18.899999999999999"/>
    <n v="25.63"/>
    <s v="credit_card"/>
    <n v="20"/>
    <x v="1"/>
    <x v="2"/>
    <s v="Espirito Santo"/>
  </r>
  <r>
    <s v="ed9e4b8509d37b7dd87c23fb4cc69452"/>
    <s v="2018-01-10"/>
    <x v="14"/>
    <x v="22"/>
    <x v="18"/>
    <n v="1"/>
    <n v="27.3"/>
    <n v="15.1"/>
    <s v="boleto"/>
    <n v="28"/>
    <x v="2"/>
    <x v="1"/>
    <s v="Espirito Santo"/>
  </r>
  <r>
    <s v="55e437ea6e09474dfdddee9b983aa798"/>
    <s v="2018-01-10"/>
    <x v="14"/>
    <x v="3"/>
    <x v="9"/>
    <n v="1"/>
    <n v="29.9"/>
    <n v="8.27"/>
    <s v="boleto"/>
    <n v="2"/>
    <x v="1"/>
    <x v="2"/>
    <s v="Sao Paulo"/>
  </r>
  <r>
    <s v="dc6d833bfea9fd5fbb4336fbc918b39b"/>
    <s v="2018-01-10"/>
    <x v="14"/>
    <x v="2"/>
    <x v="6"/>
    <n v="1"/>
    <n v="18.899999999999999"/>
    <n v="15.1"/>
    <s v="credit_card"/>
    <n v="6"/>
    <x v="1"/>
    <x v="2"/>
    <s v="Goias"/>
  </r>
  <r>
    <s v="d93a43bb061ed0512c59729ff759da67"/>
    <s v="2018-01-10"/>
    <x v="14"/>
    <x v="3"/>
    <x v="23"/>
    <n v="1"/>
    <n v="44.9"/>
    <n v="12.69"/>
    <s v="credit_card"/>
    <n v="5"/>
    <x v="1"/>
    <x v="2"/>
    <s v="Sao Paulo"/>
  </r>
  <r>
    <s v="af70a5f50d99c3d85f9cc17bf5a854f3"/>
    <s v="2018-01-10"/>
    <x v="14"/>
    <x v="8"/>
    <x v="29"/>
    <n v="1"/>
    <n v="115.9"/>
    <n v="17.059999999999999"/>
    <s v="credit_card"/>
    <n v="20"/>
    <x v="1"/>
    <x v="3"/>
    <s v="Santa Catarina"/>
  </r>
  <r>
    <s v="b9f31e3a32f182587fd629c681118d79"/>
    <s v="2018-01-11"/>
    <x v="14"/>
    <x v="3"/>
    <x v="1"/>
    <n v="1"/>
    <n v="499"/>
    <n v="18.239999999999998"/>
    <s v="credit_card"/>
    <n v="11"/>
    <x v="1"/>
    <x v="3"/>
    <s v="Sao Paulo"/>
  </r>
  <r>
    <s v="1e7daa50f3b5b4b0325e1467947249f1"/>
    <s v="2018-01-11"/>
    <x v="14"/>
    <x v="3"/>
    <x v="4"/>
    <n v="2"/>
    <n v="225.8"/>
    <n v="22.53"/>
    <s v="credit_card"/>
    <n v="11"/>
    <x v="1"/>
    <x v="0"/>
    <s v="Sao Paulo"/>
  </r>
  <r>
    <s v="0653cf037de0812e8ba775b4a0ea9c2f"/>
    <s v="2018-01-11"/>
    <x v="14"/>
    <x v="18"/>
    <x v="19"/>
    <n v="1"/>
    <n v="79.900000000000006"/>
    <n v="17.809999999999999"/>
    <s v="credit_card"/>
    <n v="11"/>
    <x v="1"/>
    <x v="0"/>
    <s v="Distrito Federal"/>
  </r>
  <r>
    <s v="9be2582f6092606b2b3e9607581df63e"/>
    <s v="2018-01-11"/>
    <x v="14"/>
    <x v="7"/>
    <x v="17"/>
    <n v="1"/>
    <n v="13.65"/>
    <n v="11.85"/>
    <s v="boleto"/>
    <n v="7"/>
    <x v="1"/>
    <x v="3"/>
    <s v="Minas Gerais"/>
  </r>
  <r>
    <s v="e1dbf5fa2a0830e4f3464b2d7aeb1ed5"/>
    <s v="2018-01-11"/>
    <x v="14"/>
    <x v="3"/>
    <x v="14"/>
    <n v="1"/>
    <n v="159.9"/>
    <n v="16.75"/>
    <s v="credit_card"/>
    <n v="7"/>
    <x v="1"/>
    <x v="2"/>
    <s v="Sao Paulo"/>
  </r>
  <r>
    <s v="e34289f949f822de6f3a2f6a8402e5cb"/>
    <s v="2018-01-11"/>
    <x v="14"/>
    <x v="1"/>
    <x v="4"/>
    <n v="1"/>
    <n v="104.9"/>
    <n v="34.53"/>
    <s v="boleto"/>
    <n v="12"/>
    <x v="1"/>
    <x v="2"/>
    <s v="Rio Grande do Sul"/>
  </r>
  <r>
    <s v="3f72ea1795b17aa187fb729bd33b4f6f"/>
    <s v="2018-01-11"/>
    <x v="14"/>
    <x v="22"/>
    <x v="1"/>
    <n v="1"/>
    <n v="229.9"/>
    <n v="26.45"/>
    <s v="credit_card"/>
    <n v="17"/>
    <x v="1"/>
    <x v="2"/>
    <s v="Espirito Santo"/>
  </r>
  <r>
    <s v="38936627aa1233ea6b3f8046c93cd207"/>
    <s v="2018-01-11"/>
    <x v="14"/>
    <x v="7"/>
    <x v="20"/>
    <n v="1"/>
    <n v="29.5"/>
    <n v="19.84"/>
    <s v="credit_card"/>
    <n v="8"/>
    <x v="1"/>
    <x v="3"/>
    <s v="Minas Gerais"/>
  </r>
  <r>
    <s v="3f220b15c7ba9352cf87f6c869c55314"/>
    <s v="2018-01-11"/>
    <x v="14"/>
    <x v="3"/>
    <x v="33"/>
    <n v="1"/>
    <n v="102.9"/>
    <n v="13.74"/>
    <s v="boleto"/>
    <n v="18"/>
    <x v="1"/>
    <x v="3"/>
    <s v="Sao Paulo"/>
  </r>
  <r>
    <s v="6f433e1b5764eb255869aedbee1b9d72"/>
    <s v="2018-01-11"/>
    <x v="14"/>
    <x v="20"/>
    <x v="22"/>
    <n v="1"/>
    <n v="129"/>
    <n v="33.35"/>
    <s v="credit_card"/>
    <n v="18"/>
    <x v="1"/>
    <x v="2"/>
    <s v="Tocantins"/>
  </r>
  <r>
    <s v="60f2ddc8d4430b5d01a1b3aa873d2d03"/>
    <s v="2018-01-11"/>
    <x v="14"/>
    <x v="3"/>
    <x v="6"/>
    <n v="2"/>
    <n v="49.98"/>
    <n v="15.56"/>
    <s v="credit_card"/>
    <n v="7"/>
    <x v="1"/>
    <x v="2"/>
    <s v="Sao Paulo"/>
  </r>
  <r>
    <s v="3a213fcdfe7d98be74ea0dc05a8b31ae"/>
    <s v="2018-01-11"/>
    <x v="14"/>
    <x v="5"/>
    <x v="22"/>
    <n v="12"/>
    <n v="1296"/>
    <n v="186.24"/>
    <s v="boleto"/>
    <n v="11"/>
    <x v="1"/>
    <x v="0"/>
    <s v="Parana"/>
  </r>
  <r>
    <s v="5c3353d0e879379685e40fcfee970725"/>
    <s v="2018-01-11"/>
    <x v="14"/>
    <x v="4"/>
    <x v="14"/>
    <n v="2"/>
    <n v="279.8"/>
    <n v="36.46"/>
    <s v="boleto"/>
    <n v="14"/>
    <x v="1"/>
    <x v="2"/>
    <s v="Rio de Janeiro"/>
  </r>
  <r>
    <s v="79552be7b4863907fb19aa3c8bba9692"/>
    <s v="2018-01-11"/>
    <x v="14"/>
    <x v="3"/>
    <x v="61"/>
    <n v="1"/>
    <n v="75"/>
    <n v="36.619999999999997"/>
    <s v="credit_card"/>
    <n v="4"/>
    <x v="1"/>
    <x v="2"/>
    <s v="Sao Paulo"/>
  </r>
  <r>
    <s v="82d3f649aa623394cf7ad9432dd748d4"/>
    <s v="2018-01-11"/>
    <x v="14"/>
    <x v="3"/>
    <x v="11"/>
    <n v="1"/>
    <n v="48"/>
    <n v="13.37"/>
    <s v="boleto"/>
    <n v="7"/>
    <x v="1"/>
    <x v="2"/>
    <s v="Sao Paulo"/>
  </r>
  <r>
    <s v="c7334d7e05d30a59be01b74a71a53b9a"/>
    <s v="2018-01-11"/>
    <x v="14"/>
    <x v="3"/>
    <x v="9"/>
    <n v="1"/>
    <n v="59.99"/>
    <n v="9.34"/>
    <s v="credit_card"/>
    <n v="8"/>
    <x v="1"/>
    <x v="2"/>
    <s v="Sao Paulo"/>
  </r>
  <r>
    <s v="ee853ac1586ba81c396f4612daa1553f"/>
    <s v="2018-01-12"/>
    <x v="14"/>
    <x v="4"/>
    <x v="9"/>
    <n v="1"/>
    <n v="89.99"/>
    <n v="15.39"/>
    <s v="credit_card"/>
    <n v="5"/>
    <x v="1"/>
    <x v="1"/>
    <s v="Rio de Janeiro"/>
  </r>
  <r>
    <s v="4f709a231b1d99a9e12f4f86f458dbcb"/>
    <s v="2018-01-12"/>
    <x v="14"/>
    <x v="3"/>
    <x v="5"/>
    <n v="1"/>
    <n v="349.9"/>
    <n v="18.21"/>
    <s v="credit_card"/>
    <n v="20"/>
    <x v="1"/>
    <x v="2"/>
    <s v="Sao Paulo"/>
  </r>
  <r>
    <s v="5982f7ae2a7fe7f609c44a33a9780ffd"/>
    <s v="2018-01-12"/>
    <x v="14"/>
    <x v="6"/>
    <x v="6"/>
    <n v="1"/>
    <n v="39.99"/>
    <n v="17.63"/>
    <s v="credit_card"/>
    <n v="17"/>
    <x v="1"/>
    <x v="2"/>
    <s v="Pernambuco"/>
  </r>
  <r>
    <s v="2b857e133a619f873130ee050ffa17a1"/>
    <s v="2018-01-12"/>
    <x v="14"/>
    <x v="21"/>
    <x v="12"/>
    <n v="1"/>
    <n v="110"/>
    <n v="36.090000000000003"/>
    <s v="boleto"/>
    <n v="19"/>
    <x v="1"/>
    <x v="2"/>
    <s v="Bahia"/>
  </r>
  <r>
    <s v="6d0ee01ab8a73e07883af627b8cbdff5"/>
    <s v="2018-01-12"/>
    <x v="14"/>
    <x v="7"/>
    <x v="29"/>
    <n v="1"/>
    <n v="89"/>
    <n v="17.87"/>
    <s v="credit_card"/>
    <n v="18"/>
    <x v="1"/>
    <x v="3"/>
    <s v="Minas Gerais"/>
  </r>
  <r>
    <s v="4ba61a173049b183dab04f266855be13"/>
    <s v="2018-01-12"/>
    <x v="14"/>
    <x v="3"/>
    <x v="13"/>
    <n v="1"/>
    <n v="35.9"/>
    <n v="12.69"/>
    <s v="credit_card"/>
    <n v="9"/>
    <x v="1"/>
    <x v="1"/>
    <s v="Sao Paulo"/>
  </r>
  <r>
    <s v="99439b0756d8f30273d1a49e1ad02baa"/>
    <s v="2018-01-12"/>
    <x v="14"/>
    <x v="4"/>
    <x v="7"/>
    <n v="1"/>
    <n v="49.9"/>
    <n v="17.600000000000001"/>
    <s v="boleto"/>
    <n v="14"/>
    <x v="1"/>
    <x v="2"/>
    <s v="Rio de Janeiro"/>
  </r>
  <r>
    <s v="2f93e05c16a3539594b2bd00bf46027b"/>
    <s v="2018-01-12"/>
    <x v="14"/>
    <x v="3"/>
    <x v="22"/>
    <n v="1"/>
    <n v="59.99"/>
    <n v="14.17"/>
    <s v="boleto"/>
    <n v="24"/>
    <x v="2"/>
    <x v="3"/>
    <s v="Sao Paulo"/>
  </r>
  <r>
    <s v="3fa59277573f0fe06ece044ebec2eb02"/>
    <s v="2018-01-12"/>
    <x v="14"/>
    <x v="5"/>
    <x v="1"/>
    <n v="1"/>
    <n v="79"/>
    <n v="12.05"/>
    <s v="boleto"/>
    <n v="9"/>
    <x v="1"/>
    <x v="2"/>
    <s v="Parana"/>
  </r>
  <r>
    <s v="045fdf416ed4db7ae710009397448586"/>
    <s v="2018-01-12"/>
    <x v="14"/>
    <x v="20"/>
    <x v="14"/>
    <n v="1"/>
    <n v="153"/>
    <n v="33.520000000000003"/>
    <s v="credit_card"/>
    <n v="12"/>
    <x v="1"/>
    <x v="3"/>
    <s v="Tocantins"/>
  </r>
  <r>
    <s v="491f5fabbd1c4d86ab4ae7a2024d7368"/>
    <s v="2018-01-12"/>
    <x v="14"/>
    <x v="3"/>
    <x v="0"/>
    <n v="2"/>
    <n v="158.9"/>
    <n v="34.119999999999997"/>
    <s v="boleto"/>
    <n v="18"/>
    <x v="1"/>
    <x v="2"/>
    <s v="Sao Paulo"/>
  </r>
  <r>
    <s v="084e6aea84bfcc0627bf4da8d657938e"/>
    <s v="2018-01-12"/>
    <x v="14"/>
    <x v="3"/>
    <x v="28"/>
    <n v="1"/>
    <n v="136.99"/>
    <n v="43.19"/>
    <s v="credit_card"/>
    <n v="19"/>
    <x v="1"/>
    <x v="1"/>
    <s v="Sao Paulo"/>
  </r>
  <r>
    <s v="f1084769a9d3a8c88ae9aa1ceb9c63f6"/>
    <s v="2018-01-12"/>
    <x v="14"/>
    <x v="5"/>
    <x v="9"/>
    <n v="1"/>
    <n v="49.99"/>
    <n v="17.600000000000001"/>
    <s v="credit_card"/>
    <n v="9"/>
    <x v="1"/>
    <x v="2"/>
    <s v="Parana"/>
  </r>
  <r>
    <s v="a9539f1fbe0e0a9eed2c492f6ac40852"/>
    <s v="2018-01-12"/>
    <x v="14"/>
    <x v="3"/>
    <x v="0"/>
    <n v="1"/>
    <n v="69.900000000000006"/>
    <n v="13.08"/>
    <s v="credit_card"/>
    <n v="6"/>
    <x v="1"/>
    <x v="2"/>
    <s v="Sao Paulo"/>
  </r>
  <r>
    <s v="045d5f2b9ec233c262c0ba79867e37fb"/>
    <s v="2018-01-13"/>
    <x v="14"/>
    <x v="7"/>
    <x v="1"/>
    <n v="1"/>
    <n v="219"/>
    <n v="17.97"/>
    <s v="credit_card"/>
    <n v="15"/>
    <x v="1"/>
    <x v="2"/>
    <s v="Minas Gerais"/>
  </r>
  <r>
    <s v="f8813be969dfa2d97ee44b025c9bcaf3"/>
    <s v="2018-01-13"/>
    <x v="14"/>
    <x v="3"/>
    <x v="21"/>
    <n v="1"/>
    <n v="99.9"/>
    <n v="36.21"/>
    <s v="voucher"/>
    <n v="11"/>
    <x v="1"/>
    <x v="2"/>
    <s v="Sao Paulo"/>
  </r>
  <r>
    <s v="72a794bae5b6c1f19b1f2fee83e94e85"/>
    <s v="2018-01-13"/>
    <x v="14"/>
    <x v="3"/>
    <x v="13"/>
    <n v="1"/>
    <n v="189"/>
    <n v="9.89"/>
    <s v="debit_card"/>
    <n v="3"/>
    <x v="1"/>
    <x v="2"/>
    <s v="Sao Paulo"/>
  </r>
  <r>
    <s v="12958a97a4e26a4e7dd8bce7de8955b9"/>
    <s v="2018-01-13"/>
    <x v="14"/>
    <x v="4"/>
    <x v="6"/>
    <n v="1"/>
    <n v="39.99"/>
    <n v="14.1"/>
    <s v="credit_card"/>
    <n v="11"/>
    <x v="1"/>
    <x v="2"/>
    <s v="Rio de Janeiro"/>
  </r>
  <r>
    <s v="8c49b48367363f2894bccea3248be15d"/>
    <s v="2018-01-13"/>
    <x v="14"/>
    <x v="3"/>
    <x v="27"/>
    <n v="1"/>
    <n v="29.5"/>
    <n v="9.94"/>
    <s v="credit_card"/>
    <n v="12"/>
    <x v="1"/>
    <x v="2"/>
    <s v="Sao Paulo"/>
  </r>
  <r>
    <s v="361454f6abef97fcf00c67ec27a32e6f"/>
    <s v="2018-01-13"/>
    <x v="14"/>
    <x v="4"/>
    <x v="13"/>
    <n v="2"/>
    <n v="79.8"/>
    <n v="30.2"/>
    <s v="credit_card"/>
    <n v="17"/>
    <x v="1"/>
    <x v="3"/>
    <s v="Rio de Janeiro"/>
  </r>
  <r>
    <s v="2a301a7ce18d62a743d2cdf9555c15c9"/>
    <s v="2018-01-13"/>
    <x v="14"/>
    <x v="3"/>
    <x v="59"/>
    <n v="1"/>
    <n v="140.99"/>
    <n v="14.01"/>
    <s v="credit_card"/>
    <n v="9"/>
    <x v="1"/>
    <x v="3"/>
    <s v="Sao Paulo"/>
  </r>
  <r>
    <s v="49afe75c3c09b9e94e1456ffa5e67ff4"/>
    <s v="2018-01-13"/>
    <x v="14"/>
    <x v="3"/>
    <x v="26"/>
    <n v="1"/>
    <n v="21.1"/>
    <n v="9.34"/>
    <s v="credit_card"/>
    <n v="5"/>
    <x v="1"/>
    <x v="2"/>
    <s v="Sao Paulo"/>
  </r>
  <r>
    <s v="ecbfdf489fbd7cfdb3598186d8891670"/>
    <s v="2018-01-13"/>
    <x v="14"/>
    <x v="22"/>
    <x v="1"/>
    <n v="1"/>
    <n v="81"/>
    <n v="16.329999999999998"/>
    <s v="credit_card"/>
    <n v="10"/>
    <x v="1"/>
    <x v="3"/>
    <s v="Espirito Santo"/>
  </r>
  <r>
    <s v="79186d3a09b1799222f2860be082e832"/>
    <s v="2018-01-13"/>
    <x v="14"/>
    <x v="3"/>
    <x v="1"/>
    <n v="1"/>
    <n v="22.5"/>
    <n v="17.059999999999999"/>
    <s v="credit_card"/>
    <n v="11"/>
    <x v="1"/>
    <x v="1"/>
    <s v="Sao Paulo"/>
  </r>
  <r>
    <s v="028aa7c930356788f861ed1b7f984819"/>
    <s v="2018-01-13"/>
    <x v="14"/>
    <x v="4"/>
    <x v="4"/>
    <n v="1"/>
    <n v="39.9"/>
    <n v="17.63"/>
    <s v="credit_card"/>
    <n v="16"/>
    <x v="1"/>
    <x v="3"/>
    <s v="Rio de Janeiro"/>
  </r>
  <r>
    <s v="18b0e5ee71617b58ca825b6ea8d94255"/>
    <s v="2018-01-13"/>
    <x v="14"/>
    <x v="3"/>
    <x v="4"/>
    <n v="1"/>
    <n v="56"/>
    <n v="12.73"/>
    <s v="boleto"/>
    <n v="6"/>
    <x v="1"/>
    <x v="2"/>
    <s v="Sao Paulo"/>
  </r>
  <r>
    <s v="4bd03dd6a8e45ca2f88013cf71bd22f8"/>
    <s v="2018-01-13"/>
    <x v="14"/>
    <x v="1"/>
    <x v="1"/>
    <n v="1"/>
    <n v="194.99"/>
    <n v="27.68"/>
    <s v="boleto"/>
    <n v="11"/>
    <x v="1"/>
    <x v="2"/>
    <s v="Rio Grande do Sul"/>
  </r>
  <r>
    <s v="3e94e8193697342790ce0f1f8876fdc7"/>
    <s v="2018-01-13"/>
    <x v="14"/>
    <x v="3"/>
    <x v="4"/>
    <n v="1"/>
    <n v="29"/>
    <n v="12.69"/>
    <s v="boleto"/>
    <n v="10"/>
    <x v="1"/>
    <x v="2"/>
    <s v="Sao Paulo"/>
  </r>
  <r>
    <s v="103e18e9325ee41d8cfa4902f8abc16f"/>
    <s v="2018-01-14"/>
    <x v="14"/>
    <x v="3"/>
    <x v="19"/>
    <n v="1"/>
    <n v="189.9"/>
    <n v="14.35"/>
    <s v="credit_card"/>
    <n v="10"/>
    <x v="1"/>
    <x v="2"/>
    <s v="Sao Paulo"/>
  </r>
  <r>
    <s v="c5169d427c5a1a403a3eab0ca8d375fe"/>
    <s v="2018-01-14"/>
    <x v="14"/>
    <x v="4"/>
    <x v="13"/>
    <n v="1"/>
    <n v="179.49"/>
    <n v="15.01"/>
    <s v="boleto"/>
    <n v="12"/>
    <x v="1"/>
    <x v="1"/>
    <s v="Rio de Janeiro"/>
  </r>
  <r>
    <s v="d8616719eeea1779ffc680fea646f9a3"/>
    <s v="2018-01-14"/>
    <x v="14"/>
    <x v="3"/>
    <x v="4"/>
    <n v="1"/>
    <n v="31.9"/>
    <n v="15.1"/>
    <s v="credit_card"/>
    <n v="14"/>
    <x v="1"/>
    <x v="2"/>
    <s v="Sao Paulo"/>
  </r>
  <r>
    <s v="cc1b834e8d019a8c71e3c3b1a23edc61"/>
    <s v="2018-01-14"/>
    <x v="14"/>
    <x v="2"/>
    <x v="12"/>
    <n v="1"/>
    <n v="59.9"/>
    <n v="15.86"/>
    <s v="credit_card"/>
    <n v="15"/>
    <x v="1"/>
    <x v="6"/>
    <s v="Goias"/>
  </r>
  <r>
    <s v="34e6d418f368f8079ae152bc178bc66a"/>
    <s v="2018-01-14"/>
    <x v="14"/>
    <x v="5"/>
    <x v="9"/>
    <n v="1"/>
    <n v="33.799999999999997"/>
    <n v="15.1"/>
    <s v="credit_card"/>
    <n v="16"/>
    <x v="1"/>
    <x v="1"/>
    <s v="Parana"/>
  </r>
  <r>
    <s v="e3e2ca5afeb7f8dc5e95b1633d8cd6b1"/>
    <s v="2018-01-14"/>
    <x v="14"/>
    <x v="1"/>
    <x v="19"/>
    <n v="1"/>
    <n v="97"/>
    <n v="13.7"/>
    <s v="credit_card"/>
    <m/>
    <x v="0"/>
    <x v="0"/>
    <s v="Rio Grande do Sul"/>
  </r>
  <r>
    <s v="c1218efc92c0cfa49a96b164b6bc49c7"/>
    <s v="2018-01-14"/>
    <x v="14"/>
    <x v="7"/>
    <x v="14"/>
    <n v="2"/>
    <n v="95.01"/>
    <n v="29.21"/>
    <s v="credit_card"/>
    <n v="10"/>
    <x v="1"/>
    <x v="0"/>
    <s v="Minas Gerais"/>
  </r>
  <r>
    <s v="d6af9770d6d713b4c3a4cd6267e9d2ea"/>
    <s v="2018-01-14"/>
    <x v="14"/>
    <x v="4"/>
    <x v="4"/>
    <n v="1"/>
    <n v="89.9"/>
    <n v="17.07"/>
    <s v="boleto"/>
    <n v="16"/>
    <x v="1"/>
    <x v="2"/>
    <s v="Rio de Janeiro"/>
  </r>
  <r>
    <s v="c7bd1a3c1d8c727292184ef4f919c9ca"/>
    <s v="2018-01-14"/>
    <x v="14"/>
    <x v="7"/>
    <x v="29"/>
    <n v="1"/>
    <n v="46.9"/>
    <n v="16.11"/>
    <s v="credit_card"/>
    <n v="11"/>
    <x v="1"/>
    <x v="0"/>
    <s v="Minas Gerais"/>
  </r>
  <r>
    <s v="d1588d441c1e70c5a7997c91a6e1ca37"/>
    <s v="2018-01-14"/>
    <x v="14"/>
    <x v="3"/>
    <x v="0"/>
    <n v="1"/>
    <n v="69.900000000000006"/>
    <n v="13.08"/>
    <s v="credit_card"/>
    <n v="2"/>
    <x v="1"/>
    <x v="3"/>
    <s v="Sao Paulo"/>
  </r>
  <r>
    <s v="deb65bf7b9297aaa6cb47853deed4e0b"/>
    <s v="2018-01-14"/>
    <x v="14"/>
    <x v="3"/>
    <x v="14"/>
    <n v="2"/>
    <n v="164.79"/>
    <n v="24.14"/>
    <s v="credit_card"/>
    <n v="8"/>
    <x v="1"/>
    <x v="1"/>
    <s v="Sao Paulo"/>
  </r>
  <r>
    <s v="883fdce7fa0a4c3f8cbee2c10f7cfc08"/>
    <s v="2018-01-15"/>
    <x v="14"/>
    <x v="7"/>
    <x v="29"/>
    <n v="1"/>
    <n v="59.9"/>
    <n v="8.11"/>
    <s v="credit_card"/>
    <n v="4"/>
    <x v="1"/>
    <x v="2"/>
    <s v="Minas Gerais"/>
  </r>
  <r>
    <s v="138154e59536bfac1cccbc4198385c08"/>
    <s v="2018-01-15"/>
    <x v="14"/>
    <x v="3"/>
    <x v="40"/>
    <n v="1"/>
    <n v="32.299999999999997"/>
    <n v="15.1"/>
    <s v="credit_card"/>
    <n v="7"/>
    <x v="1"/>
    <x v="2"/>
    <s v="Sao Paulo"/>
  </r>
  <r>
    <s v="b17efd627b5a3689ab418e47f824cc3f"/>
    <s v="2018-01-15"/>
    <x v="14"/>
    <x v="5"/>
    <x v="4"/>
    <n v="1"/>
    <n v="89.9"/>
    <n v="8.3699999999999992"/>
    <s v="boleto"/>
    <n v="3"/>
    <x v="1"/>
    <x v="1"/>
    <s v="Parana"/>
  </r>
  <r>
    <s v="6beca98b92f3be5d6cd909faa28b0d98"/>
    <s v="2018-01-15"/>
    <x v="14"/>
    <x v="22"/>
    <x v="9"/>
    <n v="1"/>
    <n v="118"/>
    <n v="18.079999999999998"/>
    <s v="credit_card"/>
    <n v="10"/>
    <x v="1"/>
    <x v="2"/>
    <s v="Espirito Santo"/>
  </r>
  <r>
    <s v="bd6dce6c4936210f8fd197e2ba523fae"/>
    <s v="2018-01-15"/>
    <x v="14"/>
    <x v="8"/>
    <x v="19"/>
    <n v="1"/>
    <n v="470"/>
    <n v="161.71"/>
    <s v="boleto"/>
    <n v="37"/>
    <x v="2"/>
    <x v="1"/>
    <s v="Santa Catarina"/>
  </r>
  <r>
    <s v="1894d82dee0829455132dc62056cd7da"/>
    <s v="2018-01-15"/>
    <x v="14"/>
    <x v="3"/>
    <x v="9"/>
    <n v="1"/>
    <n v="199.9"/>
    <n v="18.649999999999999"/>
    <s v="credit_card"/>
    <n v="15"/>
    <x v="1"/>
    <x v="3"/>
    <s v="Sao Paulo"/>
  </r>
  <r>
    <s v="bda372c8f4f99cac883f9f8462f5fdfd"/>
    <s v="2018-01-15"/>
    <x v="14"/>
    <x v="3"/>
    <x v="0"/>
    <n v="1"/>
    <n v="99.9"/>
    <n v="16.46"/>
    <s v="credit_card"/>
    <n v="13"/>
    <x v="1"/>
    <x v="2"/>
    <s v="Sao Paulo"/>
  </r>
  <r>
    <s v="393f9b061ec569fc6025870b559afdb0"/>
    <s v="2018-01-15"/>
    <x v="14"/>
    <x v="4"/>
    <x v="1"/>
    <n v="1"/>
    <n v="189"/>
    <n v="20.81"/>
    <s v="credit_card"/>
    <n v="8"/>
    <x v="1"/>
    <x v="2"/>
    <s v="Rio de Janeiro"/>
  </r>
  <r>
    <s v="16647da0639fd5db20f1e8de9305bc5c"/>
    <s v="2018-01-15"/>
    <x v="14"/>
    <x v="23"/>
    <x v="14"/>
    <n v="1"/>
    <n v="39.99"/>
    <n v="34.15"/>
    <s v="credit_card"/>
    <n v="21"/>
    <x v="1"/>
    <x v="3"/>
    <s v="Rio Grande do Norte"/>
  </r>
  <r>
    <s v="524373cdfe081410364850a83583b23f"/>
    <s v="2018-01-15"/>
    <x v="14"/>
    <x v="7"/>
    <x v="1"/>
    <n v="1"/>
    <n v="69.900000000000006"/>
    <n v="15.24"/>
    <s v="credit_card"/>
    <n v="8"/>
    <x v="1"/>
    <x v="3"/>
    <s v="Minas Gerais"/>
  </r>
  <r>
    <s v="c00ec2c5d2f145b694e4f478c71c5711"/>
    <s v="2018-01-15"/>
    <x v="14"/>
    <x v="3"/>
    <x v="6"/>
    <n v="1"/>
    <n v="688"/>
    <n v="16.32"/>
    <s v="credit_card"/>
    <n v="7"/>
    <x v="1"/>
    <x v="2"/>
    <s v="Sao Paulo"/>
  </r>
  <r>
    <s v="20f6d173df627e8c6f72650504ddfa7c"/>
    <s v="2018-01-15"/>
    <x v="14"/>
    <x v="18"/>
    <x v="5"/>
    <n v="1"/>
    <n v="49.9"/>
    <n v="15.1"/>
    <s v="boleto"/>
    <n v="9"/>
    <x v="1"/>
    <x v="2"/>
    <s v="Distrito Federal"/>
  </r>
  <r>
    <s v="09e1adca3506ecf15eefdb37196f2515"/>
    <s v="2018-01-15"/>
    <x v="14"/>
    <x v="3"/>
    <x v="1"/>
    <n v="1"/>
    <n v="21.05"/>
    <n v="11.85"/>
    <s v="credit_card"/>
    <n v="7"/>
    <x v="1"/>
    <x v="2"/>
    <s v="Sao Paulo"/>
  </r>
  <r>
    <s v="e06a1ec7a71b079fca2cd43d67dbed30"/>
    <s v="2018-01-15"/>
    <x v="14"/>
    <x v="2"/>
    <x v="1"/>
    <n v="1"/>
    <n v="120"/>
    <n v="16.600000000000001"/>
    <s v="boleto"/>
    <n v="14"/>
    <x v="1"/>
    <x v="3"/>
    <s v="Goias"/>
  </r>
  <r>
    <s v="c1e057b24816b20c350825a55dcfb11b"/>
    <s v="2018-01-15"/>
    <x v="14"/>
    <x v="21"/>
    <x v="17"/>
    <n v="1"/>
    <n v="38.99"/>
    <n v="16.79"/>
    <s v="credit_card"/>
    <n v="21"/>
    <x v="1"/>
    <x v="2"/>
    <s v="Bahia"/>
  </r>
  <r>
    <s v="f9af701b20215d529fbc24a4884ccf73"/>
    <s v="2018-01-15"/>
    <x v="14"/>
    <x v="3"/>
    <x v="1"/>
    <n v="1"/>
    <n v="99.9"/>
    <n v="16.46"/>
    <s v="boleto"/>
    <n v="16"/>
    <x v="1"/>
    <x v="2"/>
    <s v="Sao Paulo"/>
  </r>
  <r>
    <s v="3aea5a83ca5bc41e6ecd21afd19bbd81"/>
    <s v="2018-01-15"/>
    <x v="14"/>
    <x v="12"/>
    <x v="22"/>
    <n v="1"/>
    <n v="179.99"/>
    <n v="26.54"/>
    <s v="credit_card"/>
    <n v="22"/>
    <x v="1"/>
    <x v="2"/>
    <s v="Ceara"/>
  </r>
  <r>
    <s v="4c44a8ec249fe349a7e4edb44665bdd4"/>
    <s v="2018-01-15"/>
    <x v="14"/>
    <x v="18"/>
    <x v="22"/>
    <n v="1"/>
    <n v="200"/>
    <n v="16.149999999999999"/>
    <s v="credit_card"/>
    <n v="7"/>
    <x v="1"/>
    <x v="2"/>
    <s v="Distrito Federal"/>
  </r>
  <r>
    <s v="39d83b95ee59584c2232febd3336f1e5"/>
    <s v="2018-01-15"/>
    <x v="14"/>
    <x v="1"/>
    <x v="29"/>
    <n v="1"/>
    <n v="139"/>
    <n v="18.22"/>
    <s v="credit_card"/>
    <n v="46"/>
    <x v="2"/>
    <x v="3"/>
    <s v="Rio Grande do Sul"/>
  </r>
  <r>
    <s v="33e5224f58fe2ca5d11f07b36f3fb6ec"/>
    <s v="2018-01-15"/>
    <x v="14"/>
    <x v="7"/>
    <x v="4"/>
    <n v="1"/>
    <n v="79.900000000000006"/>
    <n v="17"/>
    <s v="credit_card"/>
    <n v="14"/>
    <x v="1"/>
    <x v="2"/>
    <s v="Minas Gerais"/>
  </r>
  <r>
    <s v="08ccf73c206d15fd2668cdb6f32b5e04"/>
    <s v="2018-01-15"/>
    <x v="14"/>
    <x v="7"/>
    <x v="17"/>
    <n v="1"/>
    <n v="18.899999999999999"/>
    <n v="16.79"/>
    <s v="credit_card"/>
    <n v="15"/>
    <x v="1"/>
    <x v="3"/>
    <s v="Minas Gerais"/>
  </r>
  <r>
    <s v="96eb3b1e9be34336c89369e6efa182f5"/>
    <s v="2018-01-16"/>
    <x v="14"/>
    <x v="6"/>
    <x v="9"/>
    <n v="1"/>
    <n v="29.9"/>
    <n v="25.63"/>
    <s v="boleto"/>
    <n v="24"/>
    <x v="1"/>
    <x v="2"/>
    <s v="Pernambuco"/>
  </r>
  <r>
    <s v="f512eafa07f2352dec6a35497bccfc65"/>
    <s v="2018-01-16"/>
    <x v="14"/>
    <x v="3"/>
    <x v="36"/>
    <n v="1"/>
    <n v="50.4"/>
    <n v="11.85"/>
    <s v="credit_card"/>
    <n v="21"/>
    <x v="1"/>
    <x v="2"/>
    <s v="Sao Paulo"/>
  </r>
  <r>
    <s v="418018cd21bcca5f7cc37f9f17ac1466"/>
    <s v="2018-01-16"/>
    <x v="14"/>
    <x v="4"/>
    <x v="14"/>
    <n v="1"/>
    <n v="39.9"/>
    <n v="16.600000000000001"/>
    <s v="credit_card"/>
    <n v="13"/>
    <x v="1"/>
    <x v="2"/>
    <s v="Rio de Janeiro"/>
  </r>
  <r>
    <s v="2484292effef815afca81d5c348d769b"/>
    <s v="2018-01-16"/>
    <x v="14"/>
    <x v="17"/>
    <x v="28"/>
    <n v="1"/>
    <n v="189.99"/>
    <n v="70.14"/>
    <s v="credit_card"/>
    <n v="50"/>
    <x v="1"/>
    <x v="3"/>
    <s v="Rondonia"/>
  </r>
  <r>
    <s v="a8e925972920153be4f6c40a5bcd630f"/>
    <s v="2018-01-16"/>
    <x v="14"/>
    <x v="7"/>
    <x v="2"/>
    <n v="1"/>
    <n v="259.89999999999998"/>
    <n v="17.260000000000002"/>
    <s v="credit_card"/>
    <n v="7"/>
    <x v="1"/>
    <x v="0"/>
    <s v="Minas Gerais"/>
  </r>
  <r>
    <s v="0d800c3800fa49e84cbcbd26b1dcd510"/>
    <s v="2018-01-16"/>
    <x v="14"/>
    <x v="18"/>
    <x v="1"/>
    <n v="1"/>
    <n v="229.99"/>
    <n v="17.86"/>
    <s v="credit_card"/>
    <n v="8"/>
    <x v="1"/>
    <x v="2"/>
    <s v="Distrito Federal"/>
  </r>
  <r>
    <s v="7a00da9515dc144e302458e696d61943"/>
    <s v="2018-01-16"/>
    <x v="14"/>
    <x v="3"/>
    <x v="3"/>
    <n v="1"/>
    <n v="200"/>
    <n v="16.149999999999999"/>
    <s v="debit_card"/>
    <n v="5"/>
    <x v="1"/>
    <x v="2"/>
    <s v="Sao Paulo"/>
  </r>
  <r>
    <s v="df23ed2daa7af696a5334c284dbc13ba"/>
    <s v="2018-01-16"/>
    <x v="14"/>
    <x v="4"/>
    <x v="1"/>
    <n v="1"/>
    <n v="39"/>
    <n v="15.1"/>
    <s v="credit_card"/>
    <n v="11"/>
    <x v="1"/>
    <x v="2"/>
    <s v="Rio de Janeiro"/>
  </r>
  <r>
    <s v="6ed043d494d076830babf38c25630d86"/>
    <s v="2018-01-16"/>
    <x v="14"/>
    <x v="3"/>
    <x v="0"/>
    <n v="4"/>
    <n v="286.89999999999998"/>
    <n v="54.62"/>
    <s v="credit_card"/>
    <n v="1"/>
    <x v="1"/>
    <x v="5"/>
    <s v="Sao Paulo"/>
  </r>
  <r>
    <s v="570bfe053ed74671bd9bd9505fa1c785"/>
    <s v="2018-01-16"/>
    <x v="14"/>
    <x v="7"/>
    <x v="1"/>
    <n v="1"/>
    <n v="168.99"/>
    <n v="15.93"/>
    <s v="credit_card"/>
    <n v="8"/>
    <x v="1"/>
    <x v="2"/>
    <s v="Minas Gerais"/>
  </r>
  <r>
    <s v="7801e6c26c480c6f6d6b878d20000f89"/>
    <s v="2018-01-16"/>
    <x v="14"/>
    <x v="8"/>
    <x v="17"/>
    <n v="1"/>
    <n v="18.899999999999999"/>
    <n v="15.1"/>
    <s v="credit_card"/>
    <n v="19"/>
    <x v="1"/>
    <x v="5"/>
    <s v="Santa Catarina"/>
  </r>
  <r>
    <s v="f1462fd2d8a35339426c88472ba32354"/>
    <s v="2018-01-16"/>
    <x v="14"/>
    <x v="3"/>
    <x v="0"/>
    <n v="1"/>
    <n v="69.900000000000006"/>
    <n v="16.12"/>
    <s v="credit_card"/>
    <n v="9"/>
    <x v="1"/>
    <x v="1"/>
    <s v="Sao Paulo"/>
  </r>
  <r>
    <s v="e550243ca45f5dc1f8c1ee12ff4a267a"/>
    <s v="2018-01-16"/>
    <x v="14"/>
    <x v="4"/>
    <x v="4"/>
    <n v="1"/>
    <n v="159"/>
    <n v="40.44"/>
    <s v="credit_card"/>
    <n v="17"/>
    <x v="1"/>
    <x v="1"/>
    <s v="Rio de Janeiro"/>
  </r>
  <r>
    <s v="a96a09a27673f20f77e888e9cb0b864b"/>
    <s v="2018-01-16"/>
    <x v="14"/>
    <x v="3"/>
    <x v="0"/>
    <n v="1"/>
    <n v="99.9"/>
    <n v="16.46"/>
    <s v="credit_card"/>
    <n v="20"/>
    <x v="1"/>
    <x v="3"/>
    <s v="Sao Paulo"/>
  </r>
  <r>
    <s v="8f649220cbd4ddee3bb61401b5c230a7"/>
    <s v="2018-01-16"/>
    <x v="14"/>
    <x v="3"/>
    <x v="20"/>
    <n v="1"/>
    <n v="29.5"/>
    <n v="13.08"/>
    <s v="boleto"/>
    <n v="3"/>
    <x v="1"/>
    <x v="3"/>
    <s v="Sao Paulo"/>
  </r>
  <r>
    <s v="657d6c967a9b233cc5213fdc0434d8b2"/>
    <s v="2018-01-16"/>
    <x v="14"/>
    <x v="3"/>
    <x v="1"/>
    <n v="1"/>
    <n v="252"/>
    <n v="15.51"/>
    <s v="credit_card"/>
    <n v="22"/>
    <x v="2"/>
    <x v="5"/>
    <s v="Sao Paulo"/>
  </r>
  <r>
    <s v="827d8ae687faef2e9c2bc79196b26f6e"/>
    <s v="2018-01-16"/>
    <x v="14"/>
    <x v="3"/>
    <x v="14"/>
    <n v="1"/>
    <n v="80"/>
    <n v="12.9"/>
    <s v="boleto"/>
    <n v="8"/>
    <x v="1"/>
    <x v="0"/>
    <s v="Sao Paulo"/>
  </r>
  <r>
    <s v="352624ca0ead1f999686becd48b614c8"/>
    <s v="2018-01-17"/>
    <x v="14"/>
    <x v="1"/>
    <x v="8"/>
    <n v="1"/>
    <n v="104"/>
    <n v="27.05"/>
    <s v="credit_card"/>
    <n v="12"/>
    <x v="1"/>
    <x v="2"/>
    <s v="Rio Grande do Sul"/>
  </r>
  <r>
    <s v="db18d072fff5f67b311bf00d7ebd1d64"/>
    <s v="2018-01-17"/>
    <x v="14"/>
    <x v="2"/>
    <x v="5"/>
    <n v="1"/>
    <n v="155"/>
    <n v="20.329999999999998"/>
    <s v="credit_card"/>
    <n v="11"/>
    <x v="1"/>
    <x v="1"/>
    <s v="Goias"/>
  </r>
  <r>
    <s v="e138f0eeabd6890e100c82b9f2925272"/>
    <s v="2018-01-17"/>
    <x v="14"/>
    <x v="1"/>
    <x v="12"/>
    <n v="1"/>
    <n v="887"/>
    <n v="26.7"/>
    <s v="boleto"/>
    <n v="6"/>
    <x v="1"/>
    <x v="1"/>
    <s v="Rio Grande do Sul"/>
  </r>
  <r>
    <s v="f58228001d45c09c8447ef1f2fa6a2df"/>
    <s v="2018-01-17"/>
    <x v="14"/>
    <x v="7"/>
    <x v="19"/>
    <n v="1"/>
    <n v="49.8"/>
    <n v="13.37"/>
    <s v="voucher"/>
    <n v="8"/>
    <x v="1"/>
    <x v="2"/>
    <s v="Minas Gerais"/>
  </r>
  <r>
    <s v="45942e54bf1edb4b2c481b77f7f8486c"/>
    <s v="2018-01-17"/>
    <x v="14"/>
    <x v="3"/>
    <x v="5"/>
    <n v="1"/>
    <n v="7"/>
    <n v="14.1"/>
    <s v="credit_card"/>
    <n v="8"/>
    <x v="1"/>
    <x v="2"/>
    <s v="Sao Paulo"/>
  </r>
  <r>
    <s v="ecc7442000366925655497d9dc353f50"/>
    <s v="2018-01-17"/>
    <x v="14"/>
    <x v="18"/>
    <x v="4"/>
    <n v="1"/>
    <n v="49.99"/>
    <n v="14.1"/>
    <s v="credit_card"/>
    <n v="8"/>
    <x v="1"/>
    <x v="3"/>
    <s v="Distrito Federal"/>
  </r>
  <r>
    <s v="d28b5d86a3eed220a736db5a42815270"/>
    <s v="2018-01-17"/>
    <x v="14"/>
    <x v="3"/>
    <x v="4"/>
    <n v="2"/>
    <n v="29.98"/>
    <n v="15.56"/>
    <s v="credit_card"/>
    <n v="1"/>
    <x v="1"/>
    <x v="2"/>
    <s v="Sao Paulo"/>
  </r>
  <r>
    <s v="b9a9e9876a24264089b78553266b219f"/>
    <s v="2018-01-17"/>
    <x v="14"/>
    <x v="3"/>
    <x v="20"/>
    <n v="1"/>
    <n v="29.5"/>
    <n v="13.08"/>
    <s v="credit_card"/>
    <n v="2"/>
    <x v="1"/>
    <x v="2"/>
    <s v="Sao Paulo"/>
  </r>
  <r>
    <s v="ae61611405fa179462dd33ca793d75a3"/>
    <s v="2018-01-17"/>
    <x v="14"/>
    <x v="3"/>
    <x v="62"/>
    <n v="1"/>
    <n v="139.99"/>
    <n v="14.37"/>
    <s v="debit_card"/>
    <n v="10"/>
    <x v="1"/>
    <x v="2"/>
    <s v="Sao Paulo"/>
  </r>
  <r>
    <s v="2edf4dbc4da7d9813d86079ebd0b7e7b"/>
    <s v="2018-01-17"/>
    <x v="14"/>
    <x v="18"/>
    <x v="17"/>
    <n v="1"/>
    <n v="19.899999999999999"/>
    <n v="25.63"/>
    <s v="credit_card"/>
    <n v="10"/>
    <x v="1"/>
    <x v="2"/>
    <s v="Distrito Federal"/>
  </r>
  <r>
    <s v="218ed7d83ada6c7163efb96ca0cbd210"/>
    <s v="2018-01-18"/>
    <x v="14"/>
    <x v="3"/>
    <x v="0"/>
    <n v="2"/>
    <n v="179.9"/>
    <n v="40.14"/>
    <s v="credit_card"/>
    <n v="7"/>
    <x v="1"/>
    <x v="2"/>
    <s v="Sao Paulo"/>
  </r>
  <r>
    <s v="1125c81efc6a16e16349a678434feac0"/>
    <s v="2018-01-18"/>
    <x v="14"/>
    <x v="2"/>
    <x v="6"/>
    <n v="1"/>
    <n v="17.989999999999998"/>
    <n v="15.1"/>
    <s v="boleto"/>
    <n v="18"/>
    <x v="1"/>
    <x v="2"/>
    <s v="Goias"/>
  </r>
  <r>
    <s v="fcabe539367ad08049d814361278560b"/>
    <s v="2018-01-18"/>
    <x v="14"/>
    <x v="3"/>
    <x v="17"/>
    <n v="1"/>
    <n v="13.65"/>
    <n v="7.78"/>
    <s v="credit_card"/>
    <n v="4"/>
    <x v="1"/>
    <x v="0"/>
    <s v="Sao Paulo"/>
  </r>
  <r>
    <s v="440fd902b617080eeb9463a65ffae07a"/>
    <s v="2018-01-18"/>
    <x v="14"/>
    <x v="3"/>
    <x v="61"/>
    <n v="1"/>
    <n v="249"/>
    <n v="17.18"/>
    <s v="credit_card"/>
    <n v="11"/>
    <x v="1"/>
    <x v="0"/>
    <s v="Sao Paulo"/>
  </r>
  <r>
    <s v="09df1b5edd28f22201dd19d1acccd5f3"/>
    <s v="2018-01-18"/>
    <x v="14"/>
    <x v="11"/>
    <x v="26"/>
    <n v="1"/>
    <n v="20.3"/>
    <n v="25.63"/>
    <s v="credit_card"/>
    <n v="29"/>
    <x v="1"/>
    <x v="2"/>
    <s v="Para"/>
  </r>
  <r>
    <s v="a3a09d0a201027720550355df943b598"/>
    <s v="2018-01-18"/>
    <x v="14"/>
    <x v="4"/>
    <x v="27"/>
    <n v="4"/>
    <n v="92"/>
    <n v="63.16"/>
    <s v="credit_card"/>
    <n v="7"/>
    <x v="1"/>
    <x v="2"/>
    <s v="Rio de Janeiro"/>
  </r>
  <r>
    <s v="e03f2a110a3c771d1e0e126f139503d9"/>
    <s v="2018-01-18"/>
    <x v="14"/>
    <x v="3"/>
    <x v="6"/>
    <n v="1"/>
    <n v="49.99"/>
    <n v="7.78"/>
    <s v="boleto"/>
    <n v="11"/>
    <x v="1"/>
    <x v="5"/>
    <s v="Sao Paulo"/>
  </r>
  <r>
    <s v="dcd9b00fff62919c208f9e424f8b2c13"/>
    <s v="2018-01-18"/>
    <x v="14"/>
    <x v="4"/>
    <x v="2"/>
    <n v="1"/>
    <n v="49.99"/>
    <n v="15.79"/>
    <s v="voucher"/>
    <n v="11"/>
    <x v="1"/>
    <x v="2"/>
    <s v="Rio de Janeiro"/>
  </r>
  <r>
    <s v="d71bc96c14d72c5f5b76bd286d6304f9"/>
    <s v="2018-01-19"/>
    <x v="14"/>
    <x v="3"/>
    <x v="9"/>
    <n v="1"/>
    <n v="97.49"/>
    <n v="12.64"/>
    <s v="boleto"/>
    <n v="13"/>
    <x v="1"/>
    <x v="2"/>
    <s v="Sao Paulo"/>
  </r>
  <r>
    <s v="d7a02af9805cff844c09f3fcf61a73b2"/>
    <s v="2018-01-19"/>
    <x v="14"/>
    <x v="18"/>
    <x v="0"/>
    <n v="1"/>
    <n v="89.18"/>
    <n v="15.38"/>
    <s v="credit_card"/>
    <n v="17"/>
    <x v="1"/>
    <x v="3"/>
    <s v="Distrito Federal"/>
  </r>
  <r>
    <s v="dd17bd5a29df3e2c3ce7e66feaa2a323"/>
    <s v="2018-01-19"/>
    <x v="14"/>
    <x v="3"/>
    <x v="13"/>
    <n v="1"/>
    <n v="45.49"/>
    <n v="8.27"/>
    <s v="credit_card"/>
    <n v="4"/>
    <x v="1"/>
    <x v="2"/>
    <s v="Sao Paulo"/>
  </r>
  <r>
    <s v="9bc75a6264272c1cb4cffbd286cf39e4"/>
    <s v="2018-01-19"/>
    <x v="14"/>
    <x v="18"/>
    <x v="5"/>
    <n v="1"/>
    <n v="179"/>
    <n v="16.010000000000002"/>
    <s v="credit_card"/>
    <n v="11"/>
    <x v="1"/>
    <x v="1"/>
    <s v="Distrito Federal"/>
  </r>
  <r>
    <s v="35aba7f433d46b2f03caae475720adb0"/>
    <s v="2018-01-19"/>
    <x v="14"/>
    <x v="3"/>
    <x v="26"/>
    <n v="1"/>
    <n v="149"/>
    <n v="8.3000000000000007"/>
    <s v="credit_card"/>
    <n v="3"/>
    <x v="1"/>
    <x v="0"/>
    <s v="Sao Paulo"/>
  </r>
  <r>
    <s v="c94380d457c5b733057185e23d14b4ed"/>
    <s v="2018-01-19"/>
    <x v="14"/>
    <x v="3"/>
    <x v="22"/>
    <n v="1"/>
    <n v="78"/>
    <n v="7.8"/>
    <s v="boleto"/>
    <n v="10"/>
    <x v="1"/>
    <x v="2"/>
    <s v="Sao Paulo"/>
  </r>
  <r>
    <s v="cecd9c6ae9fe969cdedf8c252eeaac73"/>
    <s v="2018-01-19"/>
    <x v="14"/>
    <x v="24"/>
    <x v="3"/>
    <n v="1"/>
    <n v="689.89"/>
    <n v="48.68"/>
    <s v="credit_card"/>
    <n v="34"/>
    <x v="1"/>
    <x v="0"/>
    <s v="Alagoas"/>
  </r>
  <r>
    <s v="b8bfa12431142333a0c84802f9529d87"/>
    <s v="2018-01-19"/>
    <x v="14"/>
    <x v="3"/>
    <x v="26"/>
    <n v="3"/>
    <n v="261.3"/>
    <n v="38.85"/>
    <s v="boleto"/>
    <n v="12"/>
    <x v="1"/>
    <x v="0"/>
    <s v="Sao Paulo"/>
  </r>
  <r>
    <s v="491fc1fb624207b2123368e6b0ea4df1"/>
    <s v="2018-01-19"/>
    <x v="14"/>
    <x v="4"/>
    <x v="1"/>
    <n v="1"/>
    <n v="899"/>
    <n v="104.08"/>
    <s v="credit_card"/>
    <n v="47"/>
    <x v="2"/>
    <x v="0"/>
    <s v="Rio de Janeiro"/>
  </r>
  <r>
    <s v="b116148f0b8c4d1a5f8aeba7204a50c0"/>
    <s v="2018-01-19"/>
    <x v="14"/>
    <x v="3"/>
    <x v="20"/>
    <n v="1"/>
    <n v="62.99"/>
    <n v="11.73"/>
    <s v="credit_card"/>
    <n v="4"/>
    <x v="1"/>
    <x v="3"/>
    <s v="Sao Paulo"/>
  </r>
  <r>
    <s v="f5ef1b1dc8aed14279eeb0f4b745d887"/>
    <s v="2018-01-19"/>
    <x v="14"/>
    <x v="3"/>
    <x v="5"/>
    <n v="1"/>
    <n v="52.9"/>
    <n v="15.12"/>
    <s v="credit_card"/>
    <n v="12"/>
    <x v="1"/>
    <x v="0"/>
    <s v="Sao Paulo"/>
  </r>
  <r>
    <s v="61417f74f6caf083ff60fa4dc315f050"/>
    <s v="2018-01-19"/>
    <x v="14"/>
    <x v="3"/>
    <x v="14"/>
    <n v="1"/>
    <n v="75.5"/>
    <n v="11.73"/>
    <s v="credit_card"/>
    <n v="5"/>
    <x v="1"/>
    <x v="2"/>
    <s v="Sao Paulo"/>
  </r>
  <r>
    <s v="fec76d3c7d37a989bdd3a22911340c75"/>
    <s v="2018-01-19"/>
    <x v="14"/>
    <x v="3"/>
    <x v="11"/>
    <n v="1"/>
    <n v="429.9"/>
    <n v="41.94"/>
    <s v="credit_card"/>
    <m/>
    <x v="0"/>
    <x v="0"/>
    <s v="Sao Paulo"/>
  </r>
  <r>
    <s v="146479aaf9d2856e1d613691b0d0b049"/>
    <s v="2018-01-20"/>
    <x v="14"/>
    <x v="3"/>
    <x v="3"/>
    <n v="1"/>
    <n v="89"/>
    <n v="15.37"/>
    <s v="credit_card"/>
    <n v="12"/>
    <x v="1"/>
    <x v="0"/>
    <s v="Sao Paulo"/>
  </r>
  <r>
    <s v="cf41661584eda445aed5c0534bb31275"/>
    <s v="2018-01-20"/>
    <x v="14"/>
    <x v="3"/>
    <x v="12"/>
    <n v="1"/>
    <n v="124.99"/>
    <n v="14.62"/>
    <s v="boleto"/>
    <n v="12"/>
    <x v="1"/>
    <x v="2"/>
    <s v="Sao Paulo"/>
  </r>
  <r>
    <s v="e418e6620e03b70aed56a90a2b92db5d"/>
    <s v="2018-01-20"/>
    <x v="14"/>
    <x v="5"/>
    <x v="21"/>
    <n v="1"/>
    <n v="289"/>
    <n v="46.48"/>
    <s v="credit_card"/>
    <n v="15"/>
    <x v="1"/>
    <x v="2"/>
    <s v="Parana"/>
  </r>
  <r>
    <s v="0719c4577b69cf807be736608c144bc8"/>
    <s v="2018-01-20"/>
    <x v="14"/>
    <x v="8"/>
    <x v="24"/>
    <n v="1"/>
    <n v="59.99"/>
    <n v="22.74"/>
    <s v="credit_card"/>
    <n v="9"/>
    <x v="1"/>
    <x v="2"/>
    <s v="Santa Catarina"/>
  </r>
  <r>
    <s v="6113788590e7bcc9aa5b824b6ddad202"/>
    <s v="2018-01-20"/>
    <x v="14"/>
    <x v="4"/>
    <x v="18"/>
    <n v="1"/>
    <n v="270"/>
    <n v="16.64"/>
    <s v="credit_card"/>
    <n v="25"/>
    <x v="1"/>
    <x v="2"/>
    <s v="Rio de Janeiro"/>
  </r>
  <r>
    <s v="f0e01d6f2b6f8e6d1284230a837c26c1"/>
    <s v="2018-01-20"/>
    <x v="14"/>
    <x v="7"/>
    <x v="28"/>
    <n v="1"/>
    <n v="106.94"/>
    <n v="28.11"/>
    <s v="credit_card"/>
    <n v="27"/>
    <x v="1"/>
    <x v="2"/>
    <s v="Minas Gerais"/>
  </r>
  <r>
    <s v="7911b64405b6667c48cb3f1334f85432"/>
    <s v="2018-01-21"/>
    <x v="14"/>
    <x v="3"/>
    <x v="18"/>
    <n v="1"/>
    <n v="34.9"/>
    <n v="14.1"/>
    <s v="credit_card"/>
    <n v="15"/>
    <x v="1"/>
    <x v="2"/>
    <s v="Sao Paulo"/>
  </r>
  <r>
    <s v="db3fd10393c002f66ac4556352012620"/>
    <s v="2018-01-21"/>
    <x v="14"/>
    <x v="3"/>
    <x v="55"/>
    <n v="1"/>
    <n v="122.9"/>
    <n v="14.47"/>
    <s v="credit_card"/>
    <n v="9"/>
    <x v="1"/>
    <x v="2"/>
    <s v="Sao Paulo"/>
  </r>
  <r>
    <s v="a5376eacc65c47eeceb1e796b6c2600d"/>
    <s v="2018-01-21"/>
    <x v="14"/>
    <x v="4"/>
    <x v="31"/>
    <n v="1"/>
    <n v="89"/>
    <n v="13.46"/>
    <s v="credit_card"/>
    <n v="4"/>
    <x v="1"/>
    <x v="2"/>
    <s v="Rio de Janeiro"/>
  </r>
  <r>
    <s v="110e8ac89d295b26aff6fc751c94dbec"/>
    <s v="2018-01-21"/>
    <x v="14"/>
    <x v="1"/>
    <x v="5"/>
    <n v="1"/>
    <n v="49.9"/>
    <n v="16.79"/>
    <s v="credit_card"/>
    <n v="9"/>
    <x v="1"/>
    <x v="2"/>
    <s v="Rio Grande do Sul"/>
  </r>
  <r>
    <s v="ed130f481df6a3d6729bee8371261e93"/>
    <s v="2018-01-21"/>
    <x v="14"/>
    <x v="8"/>
    <x v="9"/>
    <n v="1"/>
    <n v="199.9"/>
    <n v="20.64"/>
    <s v="voucher"/>
    <n v="38"/>
    <x v="2"/>
    <x v="0"/>
    <s v="Santa Catarina"/>
  </r>
  <r>
    <s v="99cf9baabb2f8e480c047c45957fd0aa"/>
    <s v="2018-01-21"/>
    <x v="14"/>
    <x v="3"/>
    <x v="20"/>
    <n v="1"/>
    <n v="144.99"/>
    <n v="12.22"/>
    <s v="boleto"/>
    <n v="9"/>
    <x v="1"/>
    <x v="2"/>
    <s v="Sao Paulo"/>
  </r>
  <r>
    <s v="3a594497943c5d46c735d2b2417f43b6"/>
    <s v="2018-01-21"/>
    <x v="14"/>
    <x v="4"/>
    <x v="17"/>
    <n v="1"/>
    <n v="18.899999999999999"/>
    <n v="16.79"/>
    <s v="boleto"/>
    <n v="38"/>
    <x v="2"/>
    <x v="0"/>
    <s v="Rio de Janeiro"/>
  </r>
  <r>
    <s v="da5839ce50528e73a7b48bd91613d715"/>
    <s v="2018-01-21"/>
    <x v="14"/>
    <x v="3"/>
    <x v="0"/>
    <n v="1"/>
    <n v="159"/>
    <n v="19"/>
    <s v="boleto"/>
    <n v="9"/>
    <x v="1"/>
    <x v="2"/>
    <s v="Sao Paulo"/>
  </r>
  <r>
    <s v="aabd0efcccfbadac5e162e9ba42b1f28"/>
    <s v="2018-01-21"/>
    <x v="14"/>
    <x v="14"/>
    <x v="7"/>
    <n v="1"/>
    <n v="99.9"/>
    <n v="19.940000000000001"/>
    <s v="credit_card"/>
    <n v="11"/>
    <x v="1"/>
    <x v="2"/>
    <s v="Mato Grosso do Sul"/>
  </r>
  <r>
    <s v="3e22c141d2861860889375c6fd7b89b3"/>
    <s v="2018-01-21"/>
    <x v="14"/>
    <x v="12"/>
    <x v="14"/>
    <n v="2"/>
    <n v="165.9"/>
    <n v="54.24"/>
    <s v="credit_card"/>
    <n v="18"/>
    <x v="1"/>
    <x v="3"/>
    <s v="Ceara"/>
  </r>
  <r>
    <s v="89b343512f0ecef64745c4e3bf856efc"/>
    <s v="2018-01-21"/>
    <x v="14"/>
    <x v="3"/>
    <x v="17"/>
    <n v="1"/>
    <n v="12.25"/>
    <n v="7.78"/>
    <s v="credit_card"/>
    <n v="4"/>
    <x v="1"/>
    <x v="5"/>
    <s v="Sao Paulo"/>
  </r>
  <r>
    <s v="b2c3a55ae550dfe8fea2cdca7df095cf"/>
    <s v="2018-01-21"/>
    <x v="14"/>
    <x v="21"/>
    <x v="20"/>
    <n v="1"/>
    <n v="29.5"/>
    <n v="23.22"/>
    <s v="credit_card"/>
    <n v="11"/>
    <x v="1"/>
    <x v="0"/>
    <s v="Bahia"/>
  </r>
  <r>
    <s v="688904e4bf47962bfa787f67c04ec8ce"/>
    <s v="2018-01-21"/>
    <x v="14"/>
    <x v="3"/>
    <x v="26"/>
    <n v="1"/>
    <n v="150"/>
    <n v="8.3000000000000007"/>
    <s v="credit_card"/>
    <n v="12"/>
    <x v="1"/>
    <x v="1"/>
    <s v="Sao Paulo"/>
  </r>
  <r>
    <s v="f2fe1323701bf698117de51d28425ee2"/>
    <s v="2018-01-21"/>
    <x v="14"/>
    <x v="7"/>
    <x v="4"/>
    <n v="1"/>
    <n v="25.9"/>
    <n v="15.1"/>
    <s v="boleto"/>
    <n v="7"/>
    <x v="1"/>
    <x v="3"/>
    <s v="Minas Gerais"/>
  </r>
  <r>
    <s v="fc0d78109239dcb41dc110f375f1b397"/>
    <s v="2018-01-21"/>
    <x v="14"/>
    <x v="3"/>
    <x v="18"/>
    <n v="1"/>
    <n v="89"/>
    <n v="14.37"/>
    <s v="credit_card"/>
    <n v="24"/>
    <x v="1"/>
    <x v="3"/>
    <s v="Sao Paulo"/>
  </r>
  <r>
    <s v="0e43d3e03f2ae293fc9e34a0ef9a24eb"/>
    <s v="2018-01-21"/>
    <x v="14"/>
    <x v="7"/>
    <x v="0"/>
    <n v="1"/>
    <n v="99.9"/>
    <n v="17.95"/>
    <s v="credit_card"/>
    <n v="11"/>
    <x v="1"/>
    <x v="2"/>
    <s v="Minas Gerais"/>
  </r>
  <r>
    <s v="357699224271146ddda4a57375993805"/>
    <s v="2018-01-22"/>
    <x v="14"/>
    <x v="7"/>
    <x v="1"/>
    <n v="1"/>
    <n v="39.9"/>
    <n v="16.79"/>
    <s v="credit_card"/>
    <m/>
    <x v="0"/>
    <x v="0"/>
    <s v="Minas Gerais"/>
  </r>
  <r>
    <s v="0b517c01a5b46fd3e16b389ea6f4ad3a"/>
    <s v="2018-01-22"/>
    <x v="14"/>
    <x v="3"/>
    <x v="24"/>
    <n v="1"/>
    <n v="59.99"/>
    <n v="15.28"/>
    <s v="voucher"/>
    <n v="37"/>
    <x v="1"/>
    <x v="5"/>
    <s v="Sao Paulo"/>
  </r>
  <r>
    <s v="83d4cdc8d1407f164545f19c29fda95f"/>
    <s v="2018-01-22"/>
    <x v="14"/>
    <x v="4"/>
    <x v="1"/>
    <n v="1"/>
    <n v="135"/>
    <n v="18.2"/>
    <s v="boleto"/>
    <n v="12"/>
    <x v="1"/>
    <x v="0"/>
    <s v="Rio de Janeiro"/>
  </r>
  <r>
    <s v="60bfb63930f066b16ee32b640d38c501"/>
    <s v="2018-01-22"/>
    <x v="14"/>
    <x v="17"/>
    <x v="17"/>
    <n v="1"/>
    <n v="13.65"/>
    <n v="34.15"/>
    <s v="boleto"/>
    <n v="24"/>
    <x v="1"/>
    <x v="2"/>
    <s v="Rondonia"/>
  </r>
  <r>
    <s v="e3457b638ebc9288bdb7aeaf57d6847a"/>
    <s v="2018-01-22"/>
    <x v="14"/>
    <x v="25"/>
    <x v="4"/>
    <n v="1"/>
    <n v="14.99"/>
    <n v="21.15"/>
    <s v="boleto"/>
    <n v="30"/>
    <x v="1"/>
    <x v="0"/>
    <s v="Amapa"/>
  </r>
  <r>
    <s v="938cf86c22cfbcdef5e04f4038fad081"/>
    <s v="2018-01-22"/>
    <x v="14"/>
    <x v="3"/>
    <x v="14"/>
    <n v="1"/>
    <n v="56.99"/>
    <n v="12.74"/>
    <s v="credit_card"/>
    <n v="6"/>
    <x v="1"/>
    <x v="2"/>
    <s v="Sao Paulo"/>
  </r>
  <r>
    <s v="ade2cfaa99535244a44133b4116c7f05"/>
    <s v="2018-01-22"/>
    <x v="14"/>
    <x v="14"/>
    <x v="4"/>
    <n v="2"/>
    <n v="179.6"/>
    <n v="34.14"/>
    <s v="boleto"/>
    <n v="13"/>
    <x v="1"/>
    <x v="2"/>
    <s v="Mato Grosso do Sul"/>
  </r>
  <r>
    <s v="00b9e0f8f588d0406a3de447eb606970"/>
    <s v="2018-01-22"/>
    <x v="14"/>
    <x v="4"/>
    <x v="14"/>
    <n v="1"/>
    <n v="39.9"/>
    <n v="16.600000000000001"/>
    <s v="boleto"/>
    <n v="25"/>
    <x v="2"/>
    <x v="2"/>
    <s v="Rio de Janeiro"/>
  </r>
  <r>
    <s v="d75cb3755738c4ae466303358f97bc55"/>
    <s v="2018-01-22"/>
    <x v="14"/>
    <x v="15"/>
    <x v="17"/>
    <n v="1"/>
    <n v="21.9"/>
    <n v="15.79"/>
    <s v="boleto"/>
    <n v="16"/>
    <x v="1"/>
    <x v="0"/>
    <s v="Mato Grosso"/>
  </r>
  <r>
    <s v="31d9a6982f9690f7618f0a5d647504b0"/>
    <s v="2018-01-22"/>
    <x v="14"/>
    <x v="8"/>
    <x v="12"/>
    <n v="2"/>
    <n v="152.88999999999999"/>
    <n v="32.4"/>
    <s v="credit_card"/>
    <n v="16"/>
    <x v="1"/>
    <x v="0"/>
    <s v="Santa Catarina"/>
  </r>
  <r>
    <s v="89dfa3424af84d352b23e927753fcc2a"/>
    <s v="2018-01-22"/>
    <x v="14"/>
    <x v="3"/>
    <x v="19"/>
    <n v="1"/>
    <n v="69.8"/>
    <n v="9.94"/>
    <s v="credit_card"/>
    <n v="3"/>
    <x v="1"/>
    <x v="2"/>
    <s v="Sao Paulo"/>
  </r>
  <r>
    <s v="13b405c01103fcb4ab199d6a8f7825ef"/>
    <s v="2018-01-22"/>
    <x v="14"/>
    <x v="3"/>
    <x v="26"/>
    <n v="1"/>
    <n v="150"/>
    <n v="8.3000000000000007"/>
    <s v="credit_card"/>
    <n v="16"/>
    <x v="2"/>
    <x v="1"/>
    <s v="Sao Paulo"/>
  </r>
  <r>
    <s v="8fda82d5d041f776798e037d6628bd89"/>
    <s v="2018-01-22"/>
    <x v="14"/>
    <x v="7"/>
    <x v="4"/>
    <n v="1"/>
    <n v="89.8"/>
    <n v="15.38"/>
    <s v="credit_card"/>
    <n v="15"/>
    <x v="1"/>
    <x v="2"/>
    <s v="Minas Gerais"/>
  </r>
  <r>
    <s v="551c21a415e6d07ce3dfc85e627f8aaf"/>
    <s v="2018-01-22"/>
    <x v="14"/>
    <x v="3"/>
    <x v="29"/>
    <n v="1"/>
    <n v="79"/>
    <n v="13.57"/>
    <s v="credit_card"/>
    <n v="10"/>
    <x v="1"/>
    <x v="2"/>
    <s v="Sao Paulo"/>
  </r>
  <r>
    <s v="ddad987b1ab585281640b4b7e7261ede"/>
    <s v="2018-01-22"/>
    <x v="14"/>
    <x v="8"/>
    <x v="4"/>
    <n v="1"/>
    <n v="89.8"/>
    <n v="15.38"/>
    <s v="credit_card"/>
    <n v="16"/>
    <x v="1"/>
    <x v="2"/>
    <s v="Santa Catarina"/>
  </r>
  <r>
    <s v="45b0a671da62d1c868294b22b4837dca"/>
    <s v="2018-01-22"/>
    <x v="14"/>
    <x v="4"/>
    <x v="4"/>
    <n v="1"/>
    <n v="149"/>
    <n v="40.369999999999997"/>
    <s v="credit_card"/>
    <n v="54"/>
    <x v="2"/>
    <x v="0"/>
    <s v="Rio de Janeiro"/>
  </r>
  <r>
    <s v="ea244f8057c5a9f042e1bd9c70a7895d"/>
    <s v="2018-01-22"/>
    <x v="14"/>
    <x v="3"/>
    <x v="4"/>
    <n v="1"/>
    <n v="84.9"/>
    <n v="12.72"/>
    <s v="credit_card"/>
    <n v="11"/>
    <x v="1"/>
    <x v="3"/>
    <s v="Sao Paulo"/>
  </r>
  <r>
    <s v="bbd63ef30a5e6276e5353d5736b8bd21"/>
    <s v="2018-01-22"/>
    <x v="14"/>
    <x v="7"/>
    <x v="18"/>
    <n v="1"/>
    <n v="69.900000000000006"/>
    <n v="14.24"/>
    <s v="credit_card"/>
    <n v="9"/>
    <x v="1"/>
    <x v="2"/>
    <s v="Minas Gerais"/>
  </r>
  <r>
    <s v="00f8fc0cb9d9b7813f1f54fbd75426f1"/>
    <s v="2018-01-22"/>
    <x v="14"/>
    <x v="5"/>
    <x v="23"/>
    <n v="1"/>
    <n v="149"/>
    <n v="14.77"/>
    <s v="credit_card"/>
    <n v="10"/>
    <x v="1"/>
    <x v="2"/>
    <s v="Parana"/>
  </r>
  <r>
    <s v="e56d88cbec1f6fa11c71a07941433b0c"/>
    <s v="2018-01-23"/>
    <x v="14"/>
    <x v="3"/>
    <x v="12"/>
    <n v="1"/>
    <n v="1269"/>
    <n v="37.26"/>
    <s v="credit_card"/>
    <n v="3"/>
    <x v="1"/>
    <x v="2"/>
    <s v="Sao Paulo"/>
  </r>
  <r>
    <s v="31026c762ccd760199ad552ea17e0269"/>
    <s v="2018-01-23"/>
    <x v="14"/>
    <x v="5"/>
    <x v="1"/>
    <n v="1"/>
    <n v="27.61"/>
    <n v="14.1"/>
    <s v="credit_card"/>
    <n v="13"/>
    <x v="1"/>
    <x v="2"/>
    <s v="Parana"/>
  </r>
  <r>
    <s v="6551aa5197870cea53e483f92d3a75df"/>
    <s v="2018-01-23"/>
    <x v="14"/>
    <x v="7"/>
    <x v="29"/>
    <n v="1"/>
    <n v="64.900000000000006"/>
    <n v="15.2"/>
    <s v="boleto"/>
    <n v="23"/>
    <x v="1"/>
    <x v="2"/>
    <s v="Minas Gerais"/>
  </r>
  <r>
    <s v="aba440032be16b32505c6e14bb755b0c"/>
    <s v="2018-01-23"/>
    <x v="14"/>
    <x v="4"/>
    <x v="13"/>
    <n v="1"/>
    <n v="20"/>
    <n v="16.11"/>
    <s v="credit_card"/>
    <n v="13"/>
    <x v="1"/>
    <x v="2"/>
    <s v="Rio de Janeiro"/>
  </r>
  <r>
    <s v="33bfe472174712c99483919c79e837cd"/>
    <s v="2018-01-23"/>
    <x v="14"/>
    <x v="10"/>
    <x v="14"/>
    <n v="3"/>
    <n v="159"/>
    <n v="104.03"/>
    <s v="credit_card"/>
    <n v="10"/>
    <x v="1"/>
    <x v="2"/>
    <s v="Piaui"/>
  </r>
  <r>
    <s v="69bfec47c3230907ad9552f2f1e0c690"/>
    <s v="2018-01-23"/>
    <x v="14"/>
    <x v="8"/>
    <x v="41"/>
    <n v="1"/>
    <n v="28.9"/>
    <n v="12.6"/>
    <s v="boleto"/>
    <n v="13"/>
    <x v="1"/>
    <x v="3"/>
    <s v="Santa Catarina"/>
  </r>
  <r>
    <s v="98e94d121fb6444de93e426ceeb1e0e0"/>
    <s v="2018-01-23"/>
    <x v="14"/>
    <x v="7"/>
    <x v="14"/>
    <n v="1"/>
    <n v="219.9"/>
    <n v="22.03"/>
    <s v="credit_card"/>
    <n v="14"/>
    <x v="1"/>
    <x v="0"/>
    <s v="Minas Gerais"/>
  </r>
  <r>
    <s v="609fffa13438b14471bd24446e84bf3d"/>
    <s v="2018-01-23"/>
    <x v="14"/>
    <x v="7"/>
    <x v="9"/>
    <n v="1"/>
    <n v="326.16000000000003"/>
    <n v="33.03"/>
    <s v="boleto"/>
    <n v="16"/>
    <x v="1"/>
    <x v="2"/>
    <s v="Minas Gerais"/>
  </r>
  <r>
    <s v="96c284fea37bf65abad9c4c8847a869c"/>
    <s v="2018-01-23"/>
    <x v="14"/>
    <x v="3"/>
    <x v="9"/>
    <n v="1"/>
    <n v="78"/>
    <n v="12.05"/>
    <s v="boleto"/>
    <n v="6"/>
    <x v="1"/>
    <x v="2"/>
    <s v="Sao Paulo"/>
  </r>
  <r>
    <s v="4b3b2a4d7cfb8d3ffdc5d92337550ae9"/>
    <s v="2018-01-23"/>
    <x v="14"/>
    <x v="3"/>
    <x v="4"/>
    <n v="1"/>
    <n v="84.9"/>
    <n v="12.72"/>
    <s v="voucher"/>
    <n v="12"/>
    <x v="1"/>
    <x v="2"/>
    <s v="Sao Paulo"/>
  </r>
  <r>
    <s v="c08d66a6714c940c505deae9b3916bcf"/>
    <s v="2018-01-23"/>
    <x v="14"/>
    <x v="3"/>
    <x v="20"/>
    <n v="1"/>
    <n v="139.99"/>
    <n v="12.18"/>
    <s v="boleto"/>
    <n v="2"/>
    <x v="1"/>
    <x v="3"/>
    <s v="Sao Paulo"/>
  </r>
  <r>
    <s v="34b630a20e82d7e009b8fd8347596cac"/>
    <s v="2018-01-23"/>
    <x v="14"/>
    <x v="3"/>
    <x v="12"/>
    <n v="1"/>
    <n v="124.99"/>
    <n v="14.62"/>
    <s v="boleto"/>
    <n v="6"/>
    <x v="1"/>
    <x v="2"/>
    <s v="Sao Paulo"/>
  </r>
  <r>
    <s v="e457a2de930926d39e56a93d5d53627e"/>
    <s v="2018-01-23"/>
    <x v="14"/>
    <x v="7"/>
    <x v="7"/>
    <n v="1"/>
    <n v="49.9"/>
    <n v="17.600000000000001"/>
    <s v="boleto"/>
    <n v="16"/>
    <x v="1"/>
    <x v="2"/>
    <s v="Minas Gerais"/>
  </r>
  <r>
    <s v="cdb1c73916a0078aba40629cf9f26cff"/>
    <s v="2018-01-23"/>
    <x v="14"/>
    <x v="1"/>
    <x v="0"/>
    <n v="1"/>
    <n v="96.36"/>
    <n v="16.43"/>
    <s v="boleto"/>
    <n v="10"/>
    <x v="1"/>
    <x v="2"/>
    <s v="Rio Grande do Sul"/>
  </r>
  <r>
    <s v="5e092cf7a8c77ef8b4592a9c656c498f"/>
    <s v="2018-01-23"/>
    <x v="14"/>
    <x v="3"/>
    <x v="9"/>
    <n v="1"/>
    <n v="89.99"/>
    <n v="9.44"/>
    <s v="credit_card"/>
    <n v="2"/>
    <x v="1"/>
    <x v="0"/>
    <s v="Sao Paulo"/>
  </r>
  <r>
    <s v="03d0e68d9f396f3c4e69dbbb0abc3564"/>
    <s v="2018-01-24"/>
    <x v="14"/>
    <x v="4"/>
    <x v="2"/>
    <n v="1"/>
    <n v="46.9"/>
    <n v="14.1"/>
    <s v="boleto"/>
    <n v="30"/>
    <x v="2"/>
    <x v="0"/>
    <s v="Rio de Janeiro"/>
  </r>
  <r>
    <s v="3a830ecb5338f0ff69822d388b64822e"/>
    <s v="2018-01-24"/>
    <x v="14"/>
    <x v="14"/>
    <x v="1"/>
    <n v="1"/>
    <n v="109"/>
    <n v="98.02"/>
    <s v="credit_card"/>
    <n v="22"/>
    <x v="1"/>
    <x v="3"/>
    <s v="Mato Grosso do Sul"/>
  </r>
  <r>
    <s v="4600963d4b12ee01d7393b723a34516f"/>
    <s v="2018-01-24"/>
    <x v="14"/>
    <x v="4"/>
    <x v="22"/>
    <n v="1"/>
    <n v="1849.9"/>
    <n v="22.36"/>
    <s v="credit_card"/>
    <n v="6"/>
    <x v="1"/>
    <x v="2"/>
    <s v="Rio de Janeiro"/>
  </r>
  <r>
    <s v="0762fe35b71987563f8771eb6d14938f"/>
    <s v="2018-01-24"/>
    <x v="14"/>
    <x v="3"/>
    <x v="4"/>
    <n v="1"/>
    <n v="75"/>
    <n v="12.03"/>
    <s v="credit_card"/>
    <n v="20"/>
    <x v="1"/>
    <x v="1"/>
    <s v="Sao Paulo"/>
  </r>
  <r>
    <s v="b86ec88f5bffbf1f61fb5daed332e355"/>
    <s v="2018-01-24"/>
    <x v="14"/>
    <x v="3"/>
    <x v="37"/>
    <n v="1"/>
    <n v="52"/>
    <n v="8.7200000000000006"/>
    <s v="boleto"/>
    <n v="36"/>
    <x v="2"/>
    <x v="3"/>
    <s v="Sao Paulo"/>
  </r>
  <r>
    <s v="53c13f6010b84ebe8ee418785dd62890"/>
    <s v="2018-01-24"/>
    <x v="14"/>
    <x v="3"/>
    <x v="19"/>
    <n v="1"/>
    <n v="194"/>
    <n v="34.630000000000003"/>
    <s v="credit_card"/>
    <n v="13"/>
    <x v="1"/>
    <x v="2"/>
    <s v="Sao Paulo"/>
  </r>
  <r>
    <s v="3e6bf80e5361b0fd113b9185bf09d8d0"/>
    <s v="2018-01-24"/>
    <x v="14"/>
    <x v="7"/>
    <x v="7"/>
    <n v="1"/>
    <n v="39.9"/>
    <n v="15.1"/>
    <s v="credit_card"/>
    <n v="11"/>
    <x v="1"/>
    <x v="2"/>
    <s v="Minas Gerais"/>
  </r>
  <r>
    <s v="8125fe0b0c7e59423a24402d9cb3ad85"/>
    <s v="2018-01-24"/>
    <x v="14"/>
    <x v="8"/>
    <x v="19"/>
    <n v="4"/>
    <n v="247.6"/>
    <n v="70.72"/>
    <s v="credit_card"/>
    <n v="35"/>
    <x v="2"/>
    <x v="0"/>
    <s v="Santa Catarina"/>
  </r>
  <r>
    <s v="d8e60d045809e16f66fdc3f775d0e870"/>
    <s v="2018-01-24"/>
    <x v="14"/>
    <x v="4"/>
    <x v="1"/>
    <n v="1"/>
    <n v="160"/>
    <n v="17.37"/>
    <s v="credit_card"/>
    <n v="12"/>
    <x v="1"/>
    <x v="2"/>
    <s v="Rio de Janeiro"/>
  </r>
  <r>
    <s v="c9fc6a8e6b1fe646f9358b9ea7b1a446"/>
    <s v="2018-01-24"/>
    <x v="14"/>
    <x v="1"/>
    <x v="56"/>
    <n v="1"/>
    <n v="47.49"/>
    <n v="16.11"/>
    <s v="credit_card"/>
    <n v="28"/>
    <x v="1"/>
    <x v="1"/>
    <s v="Rio Grande do Sul"/>
  </r>
  <r>
    <s v="91fbe60f1b4b1e79c0f577bb6ac24502"/>
    <s v="2018-01-24"/>
    <x v="14"/>
    <x v="7"/>
    <x v="14"/>
    <n v="1"/>
    <n v="54.9"/>
    <n v="19.87"/>
    <s v="credit_card"/>
    <n v="3"/>
    <x v="1"/>
    <x v="3"/>
    <s v="Minas Gerais"/>
  </r>
  <r>
    <s v="9f0e70e8d046d9e0626bbdaf1aff88c4"/>
    <s v="2018-01-24"/>
    <x v="14"/>
    <x v="11"/>
    <x v="0"/>
    <n v="1"/>
    <n v="126.69"/>
    <n v="39.880000000000003"/>
    <s v="credit_card"/>
    <m/>
    <x v="0"/>
    <x v="0"/>
    <s v="Para"/>
  </r>
  <r>
    <s v="02e20d5cc0d1df880e43ab3ed50a238b"/>
    <s v="2018-01-24"/>
    <x v="14"/>
    <x v="3"/>
    <x v="2"/>
    <n v="1"/>
    <n v="129.99"/>
    <n v="14.51"/>
    <s v="credit_card"/>
    <n v="7"/>
    <x v="1"/>
    <x v="2"/>
    <s v="Sao Paulo"/>
  </r>
  <r>
    <s v="905cf34043925642f36abb99eea3f3d6"/>
    <s v="2018-01-24"/>
    <x v="14"/>
    <x v="18"/>
    <x v="17"/>
    <n v="2"/>
    <n v="158"/>
    <n v="32.619999999999997"/>
    <s v="boleto"/>
    <n v="35"/>
    <x v="2"/>
    <x v="0"/>
    <s v="Distrito Federal"/>
  </r>
  <r>
    <s v="ba2e16aeb4e0a8e7f3d8eaf0ed7589e2"/>
    <s v="2018-01-24"/>
    <x v="14"/>
    <x v="25"/>
    <x v="17"/>
    <n v="1"/>
    <n v="13.65"/>
    <n v="21.15"/>
    <s v="boleto"/>
    <n v="29"/>
    <x v="1"/>
    <x v="3"/>
    <s v="Amapa"/>
  </r>
  <r>
    <s v="adf281b98295b5c27f37e402ed781595"/>
    <s v="2018-01-25"/>
    <x v="14"/>
    <x v="3"/>
    <x v="19"/>
    <n v="2"/>
    <n v="178"/>
    <n v="33.74"/>
    <s v="credit_card"/>
    <n v="29"/>
    <x v="1"/>
    <x v="0"/>
    <s v="Sao Paulo"/>
  </r>
  <r>
    <s v="f59f19205098bc544feb263fcdc667d9"/>
    <s v="2018-01-25"/>
    <x v="14"/>
    <x v="7"/>
    <x v="28"/>
    <n v="3"/>
    <n v="239.97"/>
    <n v="80.64"/>
    <s v="credit_card"/>
    <n v="26"/>
    <x v="1"/>
    <x v="3"/>
    <s v="Minas Gerais"/>
  </r>
  <r>
    <s v="46b6741ad3894b35c9345747e8a326a3"/>
    <s v="2018-01-25"/>
    <x v="14"/>
    <x v="3"/>
    <x v="41"/>
    <n v="1"/>
    <n v="219"/>
    <n v="17.16"/>
    <s v="credit_card"/>
    <n v="13"/>
    <x v="1"/>
    <x v="2"/>
    <s v="Sao Paulo"/>
  </r>
  <r>
    <s v="06fef7fd666bfeff415e544f1648a7de"/>
    <s v="2018-01-25"/>
    <x v="14"/>
    <x v="18"/>
    <x v="6"/>
    <n v="1"/>
    <n v="29.99"/>
    <n v="14.1"/>
    <s v="boleto"/>
    <n v="12"/>
    <x v="1"/>
    <x v="0"/>
    <s v="Distrito Federal"/>
  </r>
  <r>
    <s v="8f50817faced9fa9f4c8807f6fc4548a"/>
    <s v="2018-01-25"/>
    <x v="14"/>
    <x v="3"/>
    <x v="9"/>
    <n v="1"/>
    <n v="89.99"/>
    <n v="9.44"/>
    <s v="credit_card"/>
    <n v="4"/>
    <x v="1"/>
    <x v="2"/>
    <s v="Sao Paulo"/>
  </r>
  <r>
    <s v="3c79ec251c0c9e0831dcc2cf541c5dda"/>
    <s v="2018-01-25"/>
    <x v="14"/>
    <x v="8"/>
    <x v="5"/>
    <n v="1"/>
    <n v="37.9"/>
    <n v="15.11"/>
    <s v="credit_card"/>
    <n v="19"/>
    <x v="1"/>
    <x v="3"/>
    <s v="Santa Catarina"/>
  </r>
  <r>
    <s v="1762d5c6c1f5efce31b1d21339212730"/>
    <s v="2018-01-25"/>
    <x v="14"/>
    <x v="7"/>
    <x v="19"/>
    <n v="1"/>
    <n v="36.9"/>
    <n v="17.600000000000001"/>
    <s v="credit_card"/>
    <n v="6"/>
    <x v="1"/>
    <x v="2"/>
    <s v="Minas Gerais"/>
  </r>
  <r>
    <s v="cb6257603930f3618def090a02e57d92"/>
    <s v="2018-01-25"/>
    <x v="14"/>
    <x v="4"/>
    <x v="24"/>
    <n v="1"/>
    <n v="179.99"/>
    <n v="27.58"/>
    <s v="credit_card"/>
    <n v="9"/>
    <x v="1"/>
    <x v="2"/>
    <s v="Rio de Janeiro"/>
  </r>
  <r>
    <s v="3a129877493c8189c59c60eb71d97c29"/>
    <s v="2018-01-25"/>
    <x v="14"/>
    <x v="5"/>
    <x v="1"/>
    <n v="1"/>
    <n v="35.9"/>
    <n v="15.1"/>
    <s v="voucher"/>
    <m/>
    <x v="0"/>
    <x v="0"/>
    <s v="Parana"/>
  </r>
  <r>
    <s v="4211e9c52967c6118ba50e4efde875a5"/>
    <s v="2018-01-25"/>
    <x v="14"/>
    <x v="3"/>
    <x v="9"/>
    <n v="3"/>
    <n v="44.97"/>
    <n v="23.34"/>
    <s v="credit_card"/>
    <n v="7"/>
    <x v="1"/>
    <x v="2"/>
    <s v="Sao Paulo"/>
  </r>
  <r>
    <s v="884e5d3456c8de94634174aa2fa4cb5e"/>
    <s v="2018-01-26"/>
    <x v="14"/>
    <x v="3"/>
    <x v="14"/>
    <n v="1"/>
    <n v="31.9"/>
    <n v="12.69"/>
    <s v="credit_card"/>
    <n v="6"/>
    <x v="1"/>
    <x v="3"/>
    <s v="Sao Paulo"/>
  </r>
  <r>
    <s v="dc49dbbb4fdb62c17557f79ebfed0225"/>
    <s v="2018-01-26"/>
    <x v="14"/>
    <x v="3"/>
    <x v="0"/>
    <n v="1"/>
    <n v="169"/>
    <n v="12.39"/>
    <s v="credit_card"/>
    <n v="6"/>
    <x v="1"/>
    <x v="2"/>
    <s v="Sao Paulo"/>
  </r>
  <r>
    <s v="75d64d83a9bbe69f614a590930b789f0"/>
    <s v="2018-01-26"/>
    <x v="14"/>
    <x v="22"/>
    <x v="33"/>
    <n v="1"/>
    <n v="478.7"/>
    <n v="21.59"/>
    <s v="boleto"/>
    <n v="26"/>
    <x v="1"/>
    <x v="1"/>
    <s v="Espirito Santo"/>
  </r>
  <r>
    <s v="8b4116b3c788f8fc49c7d5089ad2450d"/>
    <s v="2018-01-26"/>
    <x v="14"/>
    <x v="3"/>
    <x v="8"/>
    <n v="1"/>
    <n v="104"/>
    <n v="15.48"/>
    <s v="credit_card"/>
    <n v="4"/>
    <x v="1"/>
    <x v="2"/>
    <s v="Sao Paulo"/>
  </r>
  <r>
    <s v="e352ff9f2e0ad057b6ce41cc5a662991"/>
    <s v="2018-01-26"/>
    <x v="14"/>
    <x v="8"/>
    <x v="14"/>
    <n v="4"/>
    <n v="35.96"/>
    <n v="67.16"/>
    <s v="boleto"/>
    <n v="32"/>
    <x v="1"/>
    <x v="0"/>
    <s v="Santa Catarina"/>
  </r>
  <r>
    <s v="12ba6eb5ae5bb52161567bf261f9339e"/>
    <s v="2018-01-26"/>
    <x v="14"/>
    <x v="3"/>
    <x v="22"/>
    <n v="1"/>
    <n v="215"/>
    <n v="13.01"/>
    <s v="credit_card"/>
    <n v="7"/>
    <x v="1"/>
    <x v="2"/>
    <s v="Sao Paulo"/>
  </r>
  <r>
    <s v="3a7f40eab12e1d0bbd77a6cbb0e9f4e0"/>
    <s v="2018-01-26"/>
    <x v="14"/>
    <x v="4"/>
    <x v="9"/>
    <n v="1"/>
    <n v="150"/>
    <n v="15.8"/>
    <s v="credit_card"/>
    <n v="24"/>
    <x v="1"/>
    <x v="1"/>
    <s v="Rio de Janeiro"/>
  </r>
  <r>
    <s v="aeae8ce86f335790a6beccae2f8c5092"/>
    <s v="2018-01-26"/>
    <x v="14"/>
    <x v="6"/>
    <x v="57"/>
    <n v="1"/>
    <n v="65"/>
    <n v="26.99"/>
    <s v="credit_card"/>
    <n v="13"/>
    <x v="1"/>
    <x v="2"/>
    <s v="Pernambuco"/>
  </r>
  <r>
    <s v="611e352f93ae51674ed15e44ec53f99e"/>
    <s v="2018-01-26"/>
    <x v="14"/>
    <x v="22"/>
    <x v="13"/>
    <n v="1"/>
    <n v="53"/>
    <n v="14.12"/>
    <s v="boleto"/>
    <n v="19"/>
    <x v="1"/>
    <x v="2"/>
    <s v="Espirito Santo"/>
  </r>
  <r>
    <s v="2b44f8afc9f2df6a6090d45db68f9162"/>
    <s v="2018-01-27"/>
    <x v="14"/>
    <x v="3"/>
    <x v="9"/>
    <n v="1"/>
    <n v="199.9"/>
    <n v="17.16"/>
    <s v="credit_card"/>
    <n v="30"/>
    <x v="1"/>
    <x v="3"/>
    <s v="Sao Paulo"/>
  </r>
  <r>
    <s v="37ce40447807e0d3e58cc474ce549881"/>
    <s v="2018-01-27"/>
    <x v="14"/>
    <x v="21"/>
    <x v="29"/>
    <n v="1"/>
    <n v="99.9"/>
    <n v="17.14"/>
    <s v="credit_card"/>
    <m/>
    <x v="0"/>
    <x v="0"/>
    <s v="Bahia"/>
  </r>
  <r>
    <s v="6afe56a58c8b67e87e2abd3e88c4f41d"/>
    <s v="2018-01-27"/>
    <x v="14"/>
    <x v="5"/>
    <x v="6"/>
    <n v="1"/>
    <n v="49.99"/>
    <n v="14.1"/>
    <s v="credit_card"/>
    <n v="5"/>
    <x v="1"/>
    <x v="2"/>
    <s v="Parana"/>
  </r>
  <r>
    <s v="cb5856e20e27928c1e437683b9c0c9ec"/>
    <s v="2018-01-27"/>
    <x v="14"/>
    <x v="3"/>
    <x v="28"/>
    <n v="1"/>
    <n v="106.94"/>
    <n v="18.46"/>
    <s v="credit_card"/>
    <n v="18"/>
    <x v="1"/>
    <x v="3"/>
    <s v="Sao Paulo"/>
  </r>
  <r>
    <s v="88c8805f126160713535daf5badbd485"/>
    <s v="2018-01-28"/>
    <x v="14"/>
    <x v="3"/>
    <x v="9"/>
    <n v="1"/>
    <n v="359"/>
    <n v="16.260000000000002"/>
    <s v="credit_card"/>
    <n v="9"/>
    <x v="1"/>
    <x v="2"/>
    <s v="Sao Paulo"/>
  </r>
  <r>
    <s v="128874d639055ad5609b5269defad1c3"/>
    <s v="2018-01-28"/>
    <x v="14"/>
    <x v="3"/>
    <x v="1"/>
    <n v="1"/>
    <n v="90"/>
    <n v="13.65"/>
    <s v="credit_card"/>
    <n v="5"/>
    <x v="1"/>
    <x v="3"/>
    <s v="Sao Paulo"/>
  </r>
  <r>
    <s v="cc9c27c90afa88462b4d852d81b367fc"/>
    <s v="2018-01-28"/>
    <x v="14"/>
    <x v="7"/>
    <x v="33"/>
    <n v="1"/>
    <n v="269"/>
    <n v="26.72"/>
    <s v="credit_card"/>
    <n v="5"/>
    <x v="1"/>
    <x v="2"/>
    <s v="Minas Gerais"/>
  </r>
  <r>
    <s v="2286b145b395497c04386640eb5cb5cb"/>
    <s v="2018-01-28"/>
    <x v="14"/>
    <x v="3"/>
    <x v="0"/>
    <n v="1"/>
    <n v="97"/>
    <n v="14.41"/>
    <s v="boleto"/>
    <n v="22"/>
    <x v="1"/>
    <x v="3"/>
    <s v="Sao Paulo"/>
  </r>
  <r>
    <s v="320830bbdec047e0eb59a44965450195"/>
    <s v="2018-01-28"/>
    <x v="14"/>
    <x v="3"/>
    <x v="19"/>
    <n v="1"/>
    <n v="64.959999999999994"/>
    <n v="26.97"/>
    <s v="credit_card"/>
    <n v="9"/>
    <x v="1"/>
    <x v="1"/>
    <s v="Sao Paulo"/>
  </r>
  <r>
    <s v="293bc7dd9611917b0037860893adb256"/>
    <s v="2018-01-28"/>
    <x v="14"/>
    <x v="3"/>
    <x v="61"/>
    <n v="1"/>
    <n v="75"/>
    <n v="36.619999999999997"/>
    <s v="credit_card"/>
    <n v="9"/>
    <x v="1"/>
    <x v="3"/>
    <s v="Sao Paulo"/>
  </r>
  <r>
    <s v="6362a7fa249232a216ff4ed1cec9f7b3"/>
    <s v="2018-01-28"/>
    <x v="14"/>
    <x v="7"/>
    <x v="22"/>
    <n v="1"/>
    <n v="229.9"/>
    <n v="16.36"/>
    <s v="credit_card"/>
    <n v="17"/>
    <x v="1"/>
    <x v="2"/>
    <s v="Minas Gerais"/>
  </r>
  <r>
    <s v="ccdbdaee1f24ce882d752fe79410cfef"/>
    <s v="2018-01-28"/>
    <x v="14"/>
    <x v="7"/>
    <x v="8"/>
    <n v="1"/>
    <n v="187.9"/>
    <n v="24.19"/>
    <s v="credit_card"/>
    <n v="10"/>
    <x v="1"/>
    <x v="2"/>
    <s v="Minas Gerais"/>
  </r>
  <r>
    <s v="eadd6e0947c9e1304fecc4a1d4b04da9"/>
    <s v="2018-01-28"/>
    <x v="14"/>
    <x v="3"/>
    <x v="9"/>
    <n v="1"/>
    <n v="99.9"/>
    <n v="14.43"/>
    <s v="debit_card"/>
    <n v="9"/>
    <x v="1"/>
    <x v="2"/>
    <s v="Sao Paulo"/>
  </r>
  <r>
    <s v="4930f37130adb20a3c7d0b02b07050ca"/>
    <s v="2018-01-28"/>
    <x v="14"/>
    <x v="1"/>
    <x v="14"/>
    <n v="1"/>
    <n v="42.99"/>
    <n v="17.600000000000001"/>
    <s v="credit_card"/>
    <n v="21"/>
    <x v="1"/>
    <x v="4"/>
    <s v="Rio Grande do Sul"/>
  </r>
  <r>
    <s v="e3d24d79c3175a6511519e3c4cd64c14"/>
    <s v="2018-01-29"/>
    <x v="14"/>
    <x v="8"/>
    <x v="1"/>
    <n v="1"/>
    <n v="479.9"/>
    <n v="26.23"/>
    <s v="credit_card"/>
    <n v="16"/>
    <x v="1"/>
    <x v="2"/>
    <s v="Santa Catarina"/>
  </r>
  <r>
    <s v="8631a3dfd0bd0c5d450e5219edb4e506"/>
    <s v="2018-01-29"/>
    <x v="14"/>
    <x v="3"/>
    <x v="49"/>
    <n v="1"/>
    <n v="125"/>
    <n v="10.09"/>
    <s v="credit_card"/>
    <n v="7"/>
    <x v="1"/>
    <x v="2"/>
    <s v="Sao Paulo"/>
  </r>
  <r>
    <s v="a7b10e487b0ab6b5e6f059a7fd2e79bc"/>
    <s v="2018-01-29"/>
    <x v="14"/>
    <x v="3"/>
    <x v="14"/>
    <n v="1"/>
    <n v="178"/>
    <n v="45.72"/>
    <s v="boleto"/>
    <n v="7"/>
    <x v="1"/>
    <x v="0"/>
    <s v="Sao Paulo"/>
  </r>
  <r>
    <s v="a1d1fd8981cd1da55c3dc58cef2ecd8c"/>
    <s v="2018-01-29"/>
    <x v="14"/>
    <x v="4"/>
    <x v="14"/>
    <n v="1"/>
    <n v="99.9"/>
    <n v="17.95"/>
    <s v="credit_card"/>
    <n v="8"/>
    <x v="1"/>
    <x v="2"/>
    <s v="Rio de Janeiro"/>
  </r>
  <r>
    <s v="893a4c6dd6508b5e0db4f76986f77a3c"/>
    <s v="2018-01-29"/>
    <x v="14"/>
    <x v="7"/>
    <x v="13"/>
    <n v="1"/>
    <n v="28.5"/>
    <n v="15.1"/>
    <s v="boleto"/>
    <n v="22"/>
    <x v="1"/>
    <x v="3"/>
    <s v="Minas Gerais"/>
  </r>
  <r>
    <s v="12231ecac809d329ff8a11fe2264697a"/>
    <s v="2018-01-29"/>
    <x v="14"/>
    <x v="3"/>
    <x v="9"/>
    <n v="1"/>
    <n v="30"/>
    <n v="7.78"/>
    <s v="boleto"/>
    <n v="4"/>
    <x v="1"/>
    <x v="3"/>
    <s v="Sao Paulo"/>
  </r>
  <r>
    <s v="6eb2a690131ac9952365adf622793a1e"/>
    <s v="2018-01-29"/>
    <x v="14"/>
    <x v="6"/>
    <x v="9"/>
    <n v="1"/>
    <n v="349.9"/>
    <n v="48.98"/>
    <s v="credit_card"/>
    <n v="10"/>
    <x v="1"/>
    <x v="2"/>
    <s v="Pernambuco"/>
  </r>
  <r>
    <s v="24a36fdfb713ce43bf2b074fdc339995"/>
    <s v="2018-01-29"/>
    <x v="14"/>
    <x v="3"/>
    <x v="21"/>
    <n v="1"/>
    <n v="99.9"/>
    <n v="14.43"/>
    <s v="credit_card"/>
    <n v="8"/>
    <x v="1"/>
    <x v="1"/>
    <s v="Sao Paulo"/>
  </r>
  <r>
    <s v="0f7f0f5f679b32fd80e1535ca33a7c30"/>
    <s v="2018-01-29"/>
    <x v="14"/>
    <x v="1"/>
    <x v="19"/>
    <n v="1"/>
    <n v="85.71"/>
    <n v="16.850000000000001"/>
    <s v="credit_card"/>
    <n v="17"/>
    <x v="1"/>
    <x v="3"/>
    <s v="Rio Grande do Sul"/>
  </r>
  <r>
    <s v="2148d1d6458e2aed4af9ddd978c48ac3"/>
    <s v="2018-01-29"/>
    <x v="14"/>
    <x v="11"/>
    <x v="9"/>
    <n v="1"/>
    <n v="139.65"/>
    <n v="43.01"/>
    <s v="credit_card"/>
    <n v="36"/>
    <x v="1"/>
    <x v="3"/>
    <s v="Para"/>
  </r>
  <r>
    <s v="fe4275936c291c453f09fad434e6b3d2"/>
    <s v="2018-01-29"/>
    <x v="14"/>
    <x v="5"/>
    <x v="19"/>
    <n v="1"/>
    <n v="35.9"/>
    <n v="15.1"/>
    <s v="boleto"/>
    <n v="24"/>
    <x v="1"/>
    <x v="3"/>
    <s v="Parana"/>
  </r>
  <r>
    <s v="e0be387e4482cc1e135c5ffe3d896885"/>
    <s v="2018-01-29"/>
    <x v="14"/>
    <x v="3"/>
    <x v="7"/>
    <n v="2"/>
    <n v="99.8"/>
    <n v="26.74"/>
    <s v="credit_card"/>
    <n v="11"/>
    <x v="1"/>
    <x v="0"/>
    <s v="Sao Paulo"/>
  </r>
  <r>
    <s v="4575195c5ca6f5a5e4b623b45e865a6e"/>
    <s v="2018-01-29"/>
    <x v="14"/>
    <x v="5"/>
    <x v="1"/>
    <n v="3"/>
    <n v="115.44"/>
    <n v="45.3"/>
    <s v="boleto"/>
    <n v="16"/>
    <x v="1"/>
    <x v="1"/>
    <s v="Parana"/>
  </r>
  <r>
    <s v="44eebc94f0d68e1da78cc8e088db945a"/>
    <s v="2018-01-29"/>
    <x v="14"/>
    <x v="7"/>
    <x v="1"/>
    <n v="1"/>
    <n v="49.9"/>
    <n v="15.1"/>
    <s v="credit_card"/>
    <n v="21"/>
    <x v="1"/>
    <x v="3"/>
    <s v="Minas Gerais"/>
  </r>
  <r>
    <s v="152a293b457051eb0d7673c27bba44c7"/>
    <s v="2018-01-30"/>
    <x v="14"/>
    <x v="3"/>
    <x v="18"/>
    <n v="1"/>
    <n v="29.99"/>
    <n v="14.1"/>
    <s v="credit_card"/>
    <n v="3"/>
    <x v="1"/>
    <x v="2"/>
    <s v="Sao Paulo"/>
  </r>
  <r>
    <s v="5990719adf4d9d93dd602a9e14879bc3"/>
    <s v="2018-01-30"/>
    <x v="14"/>
    <x v="11"/>
    <x v="26"/>
    <n v="1"/>
    <n v="122.99"/>
    <n v="18.14"/>
    <s v="boleto"/>
    <n v="28"/>
    <x v="1"/>
    <x v="0"/>
    <s v="Para"/>
  </r>
  <r>
    <s v="5f22a7ee1c317c6e6f25ebe122f66bdd"/>
    <s v="2018-01-30"/>
    <x v="14"/>
    <x v="3"/>
    <x v="4"/>
    <n v="1"/>
    <n v="53.99"/>
    <n v="8.7200000000000006"/>
    <s v="credit_card"/>
    <n v="2"/>
    <x v="1"/>
    <x v="3"/>
    <s v="Sao Paulo"/>
  </r>
  <r>
    <s v="27d40c905fcf5d681df561eb736986e2"/>
    <s v="2018-01-30"/>
    <x v="14"/>
    <x v="21"/>
    <x v="4"/>
    <n v="2"/>
    <n v="200"/>
    <n v="36.54"/>
    <s v="credit_card"/>
    <n v="25"/>
    <x v="1"/>
    <x v="0"/>
    <s v="Bahia"/>
  </r>
  <r>
    <s v="0d88c1807ea23596e9a3222c2aad549d"/>
    <s v="2018-01-30"/>
    <x v="14"/>
    <x v="7"/>
    <x v="17"/>
    <n v="2"/>
    <n v="25.8"/>
    <n v="28.2"/>
    <s v="credit_card"/>
    <n v="15"/>
    <x v="1"/>
    <x v="0"/>
    <s v="Minas Gerais"/>
  </r>
  <r>
    <s v="3e23457628bb06cc3328814e58a4f889"/>
    <s v="2018-01-30"/>
    <x v="14"/>
    <x v="3"/>
    <x v="4"/>
    <n v="1"/>
    <n v="89.5"/>
    <n v="10.039999999999999"/>
    <s v="credit_card"/>
    <n v="6"/>
    <x v="1"/>
    <x v="1"/>
    <s v="Sao Paulo"/>
  </r>
  <r>
    <s v="a8efa4edb9c660aab65cfeb8c5375d81"/>
    <s v="2018-01-30"/>
    <x v="14"/>
    <x v="7"/>
    <x v="14"/>
    <n v="2"/>
    <n v="109.1"/>
    <n v="30.26"/>
    <s v="credit_card"/>
    <n v="16"/>
    <x v="1"/>
    <x v="1"/>
    <s v="Minas Gerais"/>
  </r>
  <r>
    <s v="13580847458b662c5919901d5d9eae94"/>
    <s v="2018-01-30"/>
    <x v="14"/>
    <x v="7"/>
    <x v="1"/>
    <n v="1"/>
    <n v="148.9"/>
    <n v="23.91"/>
    <s v="credit_card"/>
    <n v="15"/>
    <x v="1"/>
    <x v="3"/>
    <s v="Minas Gerais"/>
  </r>
  <r>
    <s v="18d86dc05e56e4fe15bf2d5570ba8c4c"/>
    <s v="2018-01-30"/>
    <x v="14"/>
    <x v="3"/>
    <x v="11"/>
    <n v="1"/>
    <n v="119.9"/>
    <n v="17.55"/>
    <s v="credit_card"/>
    <n v="2"/>
    <x v="1"/>
    <x v="2"/>
    <s v="Sao Paulo"/>
  </r>
  <r>
    <s v="5b9983c12367a47fae641c25ac8877f4"/>
    <s v="2018-01-30"/>
    <x v="14"/>
    <x v="7"/>
    <x v="26"/>
    <n v="1"/>
    <n v="122.99"/>
    <n v="14.61"/>
    <s v="boleto"/>
    <n v="8"/>
    <x v="1"/>
    <x v="2"/>
    <s v="Minas Gerais"/>
  </r>
  <r>
    <s v="6b24fdfdcbca62d19e7fa83f37af2fb7"/>
    <s v="2018-01-30"/>
    <x v="14"/>
    <x v="7"/>
    <x v="4"/>
    <n v="1"/>
    <n v="41.9"/>
    <n v="15.1"/>
    <s v="credit_card"/>
    <n v="9"/>
    <x v="1"/>
    <x v="2"/>
    <s v="Minas Gerais"/>
  </r>
  <r>
    <s v="b9e02f2f3a6648709578cdd17f31976d"/>
    <s v="2018-01-30"/>
    <x v="14"/>
    <x v="3"/>
    <x v="13"/>
    <n v="1"/>
    <n v="16.899999999999999"/>
    <n v="11.85"/>
    <s v="credit_card"/>
    <n v="16"/>
    <x v="1"/>
    <x v="1"/>
    <s v="Sao Paulo"/>
  </r>
  <r>
    <s v="a632507614b292ff5f60b5282ba78df1"/>
    <s v="2018-01-30"/>
    <x v="14"/>
    <x v="6"/>
    <x v="7"/>
    <n v="1"/>
    <n v="49.9"/>
    <n v="28.75"/>
    <s v="credit_card"/>
    <n v="15"/>
    <x v="1"/>
    <x v="0"/>
    <s v="Pernambuco"/>
  </r>
  <r>
    <s v="77a2e7c36ffbd077e377bba2f76eec9f"/>
    <s v="2018-01-30"/>
    <x v="14"/>
    <x v="1"/>
    <x v="6"/>
    <n v="1"/>
    <n v="29.99"/>
    <n v="14.1"/>
    <s v="credit_card"/>
    <n v="26"/>
    <x v="1"/>
    <x v="1"/>
    <s v="Rio Grande do Sul"/>
  </r>
  <r>
    <s v="6890a2ccd47e0016c365c4e1a240cbfb"/>
    <s v="2018-01-31"/>
    <x v="14"/>
    <x v="3"/>
    <x v="4"/>
    <n v="1"/>
    <n v="68.989999999999995"/>
    <n v="11.98"/>
    <s v="credit_card"/>
    <n v="8"/>
    <x v="1"/>
    <x v="2"/>
    <s v="Sao Paulo"/>
  </r>
  <r>
    <s v="414cadf0b930cce31271e8d9d6c1da64"/>
    <s v="2018-01-31"/>
    <x v="14"/>
    <x v="4"/>
    <x v="26"/>
    <n v="1"/>
    <n v="34.299999999999997"/>
    <n v="15.1"/>
    <s v="credit_card"/>
    <n v="16"/>
    <x v="1"/>
    <x v="2"/>
    <s v="Rio de Janeiro"/>
  </r>
  <r>
    <s v="aaeb62cc323c2669aa1d7f2b7bf0b02a"/>
    <s v="2018-01-31"/>
    <x v="14"/>
    <x v="7"/>
    <x v="14"/>
    <n v="1"/>
    <n v="99.9"/>
    <n v="17.95"/>
    <s v="boleto"/>
    <n v="14"/>
    <x v="1"/>
    <x v="3"/>
    <s v="Minas Gerais"/>
  </r>
  <r>
    <s v="1e9808b58869f4edf92ce918b62efb74"/>
    <s v="2018-01-31"/>
    <x v="14"/>
    <x v="3"/>
    <x v="14"/>
    <n v="1"/>
    <n v="79.989999999999995"/>
    <n v="8.75"/>
    <s v="credit_card"/>
    <n v="11"/>
    <x v="1"/>
    <x v="2"/>
    <s v="Sao Paulo"/>
  </r>
  <r>
    <s v="1580aa3360c01bdd268dd1665a8ff929"/>
    <s v="2018-01-31"/>
    <x v="14"/>
    <x v="5"/>
    <x v="4"/>
    <n v="1"/>
    <n v="89.5"/>
    <n v="16.39"/>
    <s v="boleto"/>
    <n v="19"/>
    <x v="1"/>
    <x v="3"/>
    <s v="Parana"/>
  </r>
  <r>
    <s v="0f6665a373c36216e96163b3162404b0"/>
    <s v="2018-01-31"/>
    <x v="14"/>
    <x v="2"/>
    <x v="13"/>
    <n v="1"/>
    <n v="42.6"/>
    <n v="31.1"/>
    <s v="voucher"/>
    <n v="16"/>
    <x v="1"/>
    <x v="3"/>
    <s v="Goias"/>
  </r>
  <r>
    <s v="6460cc80249f46f8289b2a8d55d61dbd"/>
    <s v="2018-01-31"/>
    <x v="14"/>
    <x v="3"/>
    <x v="14"/>
    <n v="2"/>
    <n v="129.80000000000001"/>
    <n v="23.59"/>
    <s v="credit_card"/>
    <n v="7"/>
    <x v="1"/>
    <x v="0"/>
    <s v="Sao Paulo"/>
  </r>
  <r>
    <s v="8ebf7a16041c5ed735384020269ae2b6"/>
    <s v="2018-01-31"/>
    <x v="14"/>
    <x v="2"/>
    <x v="1"/>
    <n v="3"/>
    <n v="50.7"/>
    <n v="45.3"/>
    <s v="boleto"/>
    <n v="14"/>
    <x v="1"/>
    <x v="2"/>
    <s v="Goias"/>
  </r>
  <r>
    <s v="5236307716393b7114b53ee991f36956"/>
    <s v="2018-01-31"/>
    <x v="14"/>
    <x v="4"/>
    <x v="62"/>
    <n v="1"/>
    <n v="248"/>
    <n v="17.989999999999998"/>
    <s v="voucher"/>
    <n v="15"/>
    <x v="1"/>
    <x v="2"/>
    <s v="Rio de Janeiro"/>
  </r>
  <r>
    <s v="a0ed4ee4837f4807030d5ebbe2ea16e2"/>
    <s v="2018-01-31"/>
    <x v="14"/>
    <x v="7"/>
    <x v="1"/>
    <n v="1"/>
    <n v="49.9"/>
    <n v="15.1"/>
    <s v="credit_card"/>
    <n v="19"/>
    <x v="1"/>
    <x v="1"/>
    <s v="Minas Gerais"/>
  </r>
  <r>
    <s v="bc54c3719175670ad9effca0e152ec38"/>
    <s v="2018-01-31"/>
    <x v="14"/>
    <x v="3"/>
    <x v="11"/>
    <n v="1"/>
    <n v="48.9"/>
    <n v="17.600000000000001"/>
    <s v="credit_card"/>
    <n v="19"/>
    <x v="1"/>
    <x v="5"/>
    <s v="Sao Paulo"/>
  </r>
  <r>
    <s v="0ee315717889c709f2cd864a34eb3ded"/>
    <s v="2018-01-31"/>
    <x v="14"/>
    <x v="3"/>
    <x v="7"/>
    <n v="1"/>
    <n v="49.9"/>
    <n v="13.37"/>
    <s v="boleto"/>
    <n v="19"/>
    <x v="1"/>
    <x v="3"/>
    <s v="Sao Paulo"/>
  </r>
  <r>
    <s v="29210b1d48462ce1f12d87ed7ccd6397"/>
    <s v="2018-01-31"/>
    <x v="14"/>
    <x v="3"/>
    <x v="14"/>
    <n v="1"/>
    <n v="19.899999999999999"/>
    <n v="11.85"/>
    <s v="boleto"/>
    <n v="14"/>
    <x v="1"/>
    <x v="2"/>
    <s v="Sao Paulo"/>
  </r>
  <r>
    <s v="9827d07ad9392a9fff10d7b9f6c05f7e"/>
    <s v="2018-01-31"/>
    <x v="14"/>
    <x v="4"/>
    <x v="14"/>
    <n v="1"/>
    <n v="422"/>
    <n v="36.31"/>
    <s v="credit_card"/>
    <n v="8"/>
    <x v="1"/>
    <x v="2"/>
    <s v="Rio de Janeiro"/>
  </r>
  <r>
    <s v="72661cd9e4da775b13011b9afff1969e"/>
    <s v="2018-02-01"/>
    <x v="15"/>
    <x v="3"/>
    <x v="18"/>
    <n v="1"/>
    <n v="14.7"/>
    <n v="8.11"/>
    <s v="credit_card"/>
    <n v="5"/>
    <x v="1"/>
    <x v="2"/>
    <s v="Sao Paulo"/>
  </r>
  <r>
    <s v="c40e2f36cb82dc5413567d994a7add93"/>
    <s v="2018-02-01"/>
    <x v="15"/>
    <x v="4"/>
    <x v="9"/>
    <n v="1"/>
    <n v="34.99"/>
    <n v="25.38"/>
    <s v="credit_card"/>
    <n v="12"/>
    <x v="1"/>
    <x v="2"/>
    <s v="Rio de Janeiro"/>
  </r>
  <r>
    <s v="770df021424ca2a0552fb73c4583e2da"/>
    <s v="2018-02-01"/>
    <x v="15"/>
    <x v="3"/>
    <x v="14"/>
    <n v="1"/>
    <n v="99.9"/>
    <n v="12.4"/>
    <s v="boleto"/>
    <n v="5"/>
    <x v="1"/>
    <x v="2"/>
    <s v="Sao Paulo"/>
  </r>
  <r>
    <s v="98200dd99e0bfe78c2d1378ad05fe51c"/>
    <s v="2018-02-01"/>
    <x v="15"/>
    <x v="4"/>
    <x v="17"/>
    <n v="1"/>
    <n v="97.9"/>
    <n v="17.940000000000001"/>
    <s v="credit_card"/>
    <n v="21"/>
    <x v="1"/>
    <x v="3"/>
    <s v="Rio de Janeiro"/>
  </r>
  <r>
    <s v="423000c9a3d2d87b594ab701c1c9b944"/>
    <s v="2018-02-01"/>
    <x v="15"/>
    <x v="4"/>
    <x v="6"/>
    <n v="1"/>
    <n v="39.99"/>
    <n v="14.1"/>
    <s v="credit_card"/>
    <n v="18"/>
    <x v="1"/>
    <x v="2"/>
    <s v="Rio de Janeiro"/>
  </r>
  <r>
    <s v="182fb1824c0cd548ce120c6108630e37"/>
    <s v="2018-02-01"/>
    <x v="15"/>
    <x v="8"/>
    <x v="22"/>
    <n v="1"/>
    <n v="209.9"/>
    <n v="18.72"/>
    <s v="voucher"/>
    <n v="19"/>
    <x v="1"/>
    <x v="2"/>
    <s v="Santa Catarina"/>
  </r>
  <r>
    <s v="183ee0e3ebd4c1c995e5f9ac2d950ee8"/>
    <s v="2018-02-01"/>
    <x v="15"/>
    <x v="3"/>
    <x v="17"/>
    <n v="2"/>
    <n v="43.8"/>
    <n v="23.7"/>
    <s v="credit_card"/>
    <n v="12"/>
    <x v="1"/>
    <x v="3"/>
    <s v="Sao Paulo"/>
  </r>
  <r>
    <s v="a7d6661622ba254f0be9fa2c51d97253"/>
    <s v="2018-02-01"/>
    <x v="15"/>
    <x v="3"/>
    <x v="2"/>
    <n v="1"/>
    <n v="79.900000000000006"/>
    <n v="7.81"/>
    <s v="credit_card"/>
    <n v="2"/>
    <x v="1"/>
    <x v="2"/>
    <s v="Sao Paulo"/>
  </r>
  <r>
    <s v="897fd799ba00cbe2a0d8f726dd211231"/>
    <s v="2018-02-01"/>
    <x v="15"/>
    <x v="4"/>
    <x v="17"/>
    <n v="1"/>
    <n v="12.3"/>
    <n v="14.1"/>
    <s v="credit_card"/>
    <n v="13"/>
    <x v="1"/>
    <x v="3"/>
    <s v="Rio de Janeiro"/>
  </r>
  <r>
    <s v="417d2c0b5fb1f2aacd28ed66e8b9c194"/>
    <s v="2018-02-01"/>
    <x v="15"/>
    <x v="3"/>
    <x v="1"/>
    <n v="1"/>
    <n v="94"/>
    <n v="8.4"/>
    <s v="credit_card"/>
    <n v="1"/>
    <x v="1"/>
    <x v="2"/>
    <s v="Sao Paulo"/>
  </r>
  <r>
    <s v="012248555cb0bf51df99199cef81d562"/>
    <s v="2018-02-01"/>
    <x v="15"/>
    <x v="21"/>
    <x v="22"/>
    <n v="1"/>
    <n v="55"/>
    <n v="15.83"/>
    <s v="credit_card"/>
    <n v="16"/>
    <x v="1"/>
    <x v="2"/>
    <s v="Bahia"/>
  </r>
  <r>
    <s v="62fffe3cf205e0deb385d92481d3cb40"/>
    <s v="2018-02-02"/>
    <x v="15"/>
    <x v="18"/>
    <x v="14"/>
    <n v="2"/>
    <n v="230"/>
    <n v="29.12"/>
    <s v="credit_card"/>
    <n v="18"/>
    <x v="1"/>
    <x v="0"/>
    <s v="Distrito Federal"/>
  </r>
  <r>
    <s v="9156ebc5786466511701db24f06c5daf"/>
    <s v="2018-02-02"/>
    <x v="15"/>
    <x v="4"/>
    <x v="17"/>
    <n v="1"/>
    <n v="390"/>
    <n v="17.48"/>
    <s v="credit_card"/>
    <n v="14"/>
    <x v="1"/>
    <x v="2"/>
    <s v="Rio de Janeiro"/>
  </r>
  <r>
    <s v="49bd41f48c18196e903f49c327dc57f6"/>
    <s v="2018-02-02"/>
    <x v="15"/>
    <x v="3"/>
    <x v="14"/>
    <n v="1"/>
    <n v="19.899999999999999"/>
    <n v="11.85"/>
    <s v="credit_card"/>
    <n v="7"/>
    <x v="1"/>
    <x v="2"/>
    <s v="Sao Paulo"/>
  </r>
  <r>
    <s v="98c9c5c7df242bfccd1ad3510eff89f2"/>
    <s v="2018-02-02"/>
    <x v="15"/>
    <x v="7"/>
    <x v="9"/>
    <n v="1"/>
    <n v="779.89"/>
    <n v="21.22"/>
    <s v="credit_card"/>
    <n v="18"/>
    <x v="1"/>
    <x v="2"/>
    <s v="Minas Gerais"/>
  </r>
  <r>
    <s v="ba42c755d2fd20af5e6ccc193942e46d"/>
    <s v="2018-02-02"/>
    <x v="15"/>
    <x v="3"/>
    <x v="17"/>
    <n v="1"/>
    <n v="21.9"/>
    <n v="11.85"/>
    <s v="boleto"/>
    <n v="14"/>
    <x v="1"/>
    <x v="2"/>
    <s v="Sao Paulo"/>
  </r>
  <r>
    <s v="8237087537c881d90057c801bfbbeb83"/>
    <s v="2018-02-02"/>
    <x v="15"/>
    <x v="4"/>
    <x v="0"/>
    <n v="1"/>
    <n v="119.9"/>
    <n v="20.079999999999998"/>
    <s v="boleto"/>
    <n v="22"/>
    <x v="1"/>
    <x v="2"/>
    <s v="Rio de Janeiro"/>
  </r>
  <r>
    <s v="b7248875eca77a299fa182dc16258c77"/>
    <s v="2018-02-02"/>
    <x v="15"/>
    <x v="3"/>
    <x v="1"/>
    <n v="1"/>
    <n v="133"/>
    <n v="13.27"/>
    <s v="credit_card"/>
    <n v="7"/>
    <x v="1"/>
    <x v="2"/>
    <s v="Sao Paulo"/>
  </r>
  <r>
    <s v="6b751a27edaaa33537b2e893d7fd18ce"/>
    <s v="2018-02-02"/>
    <x v="15"/>
    <x v="3"/>
    <x v="13"/>
    <n v="1"/>
    <n v="29.9"/>
    <n v="15.1"/>
    <s v="debit_card"/>
    <n v="18"/>
    <x v="1"/>
    <x v="2"/>
    <s v="Sao Paulo"/>
  </r>
  <r>
    <s v="5429402f55e24651d38a030602f4b50c"/>
    <s v="2018-02-02"/>
    <x v="15"/>
    <x v="3"/>
    <x v="14"/>
    <n v="1"/>
    <n v="34.99"/>
    <n v="11.85"/>
    <s v="boleto"/>
    <n v="11"/>
    <x v="1"/>
    <x v="0"/>
    <s v="Sao Paulo"/>
  </r>
  <r>
    <s v="d5bb9d038d2a63cbd482acc8b1e5941f"/>
    <s v="2018-02-02"/>
    <x v="15"/>
    <x v="7"/>
    <x v="14"/>
    <n v="1"/>
    <n v="109.9"/>
    <n v="25.61"/>
    <s v="boleto"/>
    <n v="15"/>
    <x v="1"/>
    <x v="2"/>
    <s v="Minas Gerais"/>
  </r>
  <r>
    <s v="ad1c49d96d60ad32cea5220dbe6aafda"/>
    <s v="2018-02-02"/>
    <x v="15"/>
    <x v="18"/>
    <x v="6"/>
    <n v="1"/>
    <n v="23.99"/>
    <n v="14.1"/>
    <s v="voucher"/>
    <n v="19"/>
    <x v="1"/>
    <x v="2"/>
    <s v="Distrito Federal"/>
  </r>
  <r>
    <s v="ea84037149fffac865af31b750615c96"/>
    <s v="2018-02-02"/>
    <x v="15"/>
    <x v="3"/>
    <x v="12"/>
    <n v="1"/>
    <n v="54"/>
    <n v="14.13"/>
    <s v="credit_card"/>
    <n v="12"/>
    <x v="1"/>
    <x v="3"/>
    <s v="Sao Paulo"/>
  </r>
  <r>
    <s v="566919db57e507da7ace615456eeba3a"/>
    <s v="2018-02-02"/>
    <x v="15"/>
    <x v="7"/>
    <x v="19"/>
    <n v="2"/>
    <n v="117.8"/>
    <n v="42.5"/>
    <s v="credit_card"/>
    <n v="21"/>
    <x v="1"/>
    <x v="5"/>
    <s v="Minas Gerais"/>
  </r>
  <r>
    <s v="e1cf4f3524c63c7e9c134666f89e722d"/>
    <s v="2018-02-02"/>
    <x v="15"/>
    <x v="3"/>
    <x v="14"/>
    <n v="1"/>
    <n v="86.9"/>
    <n v="13.63"/>
    <s v="credit_card"/>
    <n v="32"/>
    <x v="2"/>
    <x v="0"/>
    <s v="Sao Paulo"/>
  </r>
  <r>
    <s v="30da20eacd71a5e8cac16c775ef72984"/>
    <s v="2018-02-02"/>
    <x v="15"/>
    <x v="3"/>
    <x v="34"/>
    <n v="1"/>
    <n v="1320"/>
    <n v="49.63"/>
    <s v="credit_card"/>
    <n v="38"/>
    <x v="2"/>
    <x v="0"/>
    <s v="Sao Paulo"/>
  </r>
  <r>
    <s v="7620a7f338b6eb9b633cbf1d73e906f5"/>
    <s v="2018-02-02"/>
    <x v="15"/>
    <x v="7"/>
    <x v="4"/>
    <n v="1"/>
    <n v="89.15"/>
    <n v="17.059999999999999"/>
    <s v="boleto"/>
    <n v="13"/>
    <x v="1"/>
    <x v="0"/>
    <s v="Minas Gerais"/>
  </r>
  <r>
    <s v="13990518755c419d33e4fb67c28e843f"/>
    <s v="2018-02-03"/>
    <x v="15"/>
    <x v="11"/>
    <x v="5"/>
    <n v="1"/>
    <n v="98.9"/>
    <n v="17.97"/>
    <s v="credit_card"/>
    <n v="27"/>
    <x v="1"/>
    <x v="3"/>
    <s v="Para"/>
  </r>
  <r>
    <s v="4ecdf69ae9b28aba772d5f21e8c9b1ff"/>
    <s v="2018-02-03"/>
    <x v="15"/>
    <x v="5"/>
    <x v="29"/>
    <n v="1"/>
    <n v="49.9"/>
    <n v="14.1"/>
    <s v="credit_card"/>
    <n v="17"/>
    <x v="1"/>
    <x v="2"/>
    <s v="Parana"/>
  </r>
  <r>
    <s v="2996e4479715a9de3500ce7837eefde4"/>
    <s v="2018-02-03"/>
    <x v="15"/>
    <x v="25"/>
    <x v="22"/>
    <n v="1"/>
    <n v="209.9"/>
    <n v="39.020000000000003"/>
    <s v="credit_card"/>
    <n v="23"/>
    <x v="1"/>
    <x v="3"/>
    <s v="Amapa"/>
  </r>
  <r>
    <s v="3f7aea4e3cecef996bd62713fbf8712b"/>
    <s v="2018-02-03"/>
    <x v="15"/>
    <x v="7"/>
    <x v="19"/>
    <n v="1"/>
    <n v="9.9"/>
    <n v="15.1"/>
    <s v="credit_card"/>
    <n v="11"/>
    <x v="1"/>
    <x v="2"/>
    <s v="Minas Gerais"/>
  </r>
  <r>
    <s v="837227f97fa1b842e41273e07cf3e350"/>
    <s v="2018-02-03"/>
    <x v="15"/>
    <x v="7"/>
    <x v="17"/>
    <n v="1"/>
    <n v="13.65"/>
    <n v="14.1"/>
    <s v="credit_card"/>
    <n v="18"/>
    <x v="1"/>
    <x v="1"/>
    <s v="Minas Gerais"/>
  </r>
  <r>
    <s v="aab3b583efdded9a5a8214c4edfc387b"/>
    <s v="2018-02-03"/>
    <x v="15"/>
    <x v="2"/>
    <x v="26"/>
    <n v="1"/>
    <n v="159.77000000000001"/>
    <n v="16.88"/>
    <s v="boleto"/>
    <n v="23"/>
    <x v="1"/>
    <x v="2"/>
    <s v="Goias"/>
  </r>
  <r>
    <s v="f83cde9bf6f9593a8466b50ffc0507fa"/>
    <s v="2018-02-03"/>
    <x v="15"/>
    <x v="3"/>
    <x v="57"/>
    <n v="1"/>
    <n v="28"/>
    <n v="9.34"/>
    <s v="credit_card"/>
    <n v="6"/>
    <x v="1"/>
    <x v="2"/>
    <s v="Sao Paulo"/>
  </r>
  <r>
    <s v="4f1482e926881ff58f7384a6e6bd0771"/>
    <s v="2018-02-03"/>
    <x v="15"/>
    <x v="3"/>
    <x v="18"/>
    <n v="1"/>
    <n v="20.3"/>
    <n v="8.11"/>
    <s v="credit_card"/>
    <n v="23"/>
    <x v="2"/>
    <x v="0"/>
    <s v="Sao Paulo"/>
  </r>
  <r>
    <s v="bcd05b48176dab8d00672b325de126de"/>
    <s v="2018-02-03"/>
    <x v="15"/>
    <x v="3"/>
    <x v="14"/>
    <n v="1"/>
    <n v="148.9"/>
    <n v="21.53"/>
    <s v="credit_card"/>
    <n v="15"/>
    <x v="1"/>
    <x v="2"/>
    <s v="Sao Paulo"/>
  </r>
  <r>
    <s v="3f678ace108ecc7c2ffd70470390817b"/>
    <s v="2018-02-03"/>
    <x v="15"/>
    <x v="3"/>
    <x v="13"/>
    <n v="1"/>
    <n v="19.899999999999999"/>
    <n v="7.78"/>
    <s v="boleto"/>
    <n v="11"/>
    <x v="1"/>
    <x v="2"/>
    <s v="Sao Paulo"/>
  </r>
  <r>
    <s v="167d05678f810589a854d30460ae62f0"/>
    <s v="2018-02-03"/>
    <x v="15"/>
    <x v="1"/>
    <x v="1"/>
    <n v="1"/>
    <n v="192"/>
    <n v="17.78"/>
    <s v="credit_card"/>
    <m/>
    <x v="0"/>
    <x v="0"/>
    <s v="Rio Grande do Sul"/>
  </r>
  <r>
    <s v="2c0a28ce4971f66f2def8542ef0b6c18"/>
    <s v="2018-02-03"/>
    <x v="15"/>
    <x v="3"/>
    <x v="4"/>
    <n v="1"/>
    <n v="80.900000000000006"/>
    <n v="12.7"/>
    <s v="credit_card"/>
    <n v="12"/>
    <x v="1"/>
    <x v="3"/>
    <s v="Sao Paulo"/>
  </r>
  <r>
    <s v="e05a09fdfa909b44bbe0d68635a0f585"/>
    <s v="2018-02-03"/>
    <x v="15"/>
    <x v="7"/>
    <x v="4"/>
    <n v="1"/>
    <n v="24.99"/>
    <n v="15.1"/>
    <s v="credit_card"/>
    <n v="17"/>
    <x v="1"/>
    <x v="1"/>
    <s v="Minas Gerais"/>
  </r>
  <r>
    <s v="f3cd1b70420f1d1a3cbac5acce1a5b3d"/>
    <s v="2018-02-03"/>
    <x v="15"/>
    <x v="3"/>
    <x v="32"/>
    <n v="1"/>
    <n v="273"/>
    <n v="13.12"/>
    <s v="credit_card"/>
    <n v="5"/>
    <x v="1"/>
    <x v="2"/>
    <s v="Sao Paulo"/>
  </r>
  <r>
    <s v="0aea5ed8df108f7cb387c099ddec65c2"/>
    <s v="2018-02-04"/>
    <x v="15"/>
    <x v="3"/>
    <x v="20"/>
    <n v="1"/>
    <n v="34.9"/>
    <n v="16.79"/>
    <s v="voucher"/>
    <n v="12"/>
    <x v="1"/>
    <x v="2"/>
    <s v="Sao Paulo"/>
  </r>
  <r>
    <s v="de5c6352db0b15363de90c22e79d322c"/>
    <s v="2018-02-04"/>
    <x v="15"/>
    <x v="3"/>
    <x v="19"/>
    <n v="1"/>
    <n v="25.99"/>
    <n v="9.34"/>
    <s v="credit_card"/>
    <n v="1"/>
    <x v="1"/>
    <x v="2"/>
    <s v="Sao Paulo"/>
  </r>
  <r>
    <s v="17158b7ebb079668a6f21a5660ec6e83"/>
    <s v="2018-02-04"/>
    <x v="15"/>
    <x v="7"/>
    <x v="19"/>
    <n v="1"/>
    <n v="29.9"/>
    <n v="16.920000000000002"/>
    <s v="credit_card"/>
    <n v="3"/>
    <x v="1"/>
    <x v="2"/>
    <s v="Minas Gerais"/>
  </r>
  <r>
    <s v="2f0d70560615459213d3ea85549554a6"/>
    <s v="2018-02-04"/>
    <x v="15"/>
    <x v="3"/>
    <x v="14"/>
    <n v="1"/>
    <n v="24.9"/>
    <n v="9.09"/>
    <s v="credit_card"/>
    <n v="2"/>
    <x v="1"/>
    <x v="2"/>
    <s v="Sao Paulo"/>
  </r>
  <r>
    <s v="ce5fa76be23d99133bb5c88b56ee3a79"/>
    <s v="2018-02-04"/>
    <x v="15"/>
    <x v="11"/>
    <x v="22"/>
    <n v="1"/>
    <n v="255"/>
    <n v="27.07"/>
    <s v="credit_card"/>
    <n v="25"/>
    <x v="1"/>
    <x v="2"/>
    <s v="Para"/>
  </r>
  <r>
    <s v="84529952b44a7b19788d9398f07b6eea"/>
    <s v="2018-02-04"/>
    <x v="15"/>
    <x v="8"/>
    <x v="7"/>
    <n v="1"/>
    <n v="49.9"/>
    <n v="17.600000000000001"/>
    <s v="credit_card"/>
    <n v="23"/>
    <x v="1"/>
    <x v="2"/>
    <s v="Santa Catarina"/>
  </r>
  <r>
    <s v="8ca8fb2c57d4fbfbb9f7a363c95cdad5"/>
    <s v="2018-02-04"/>
    <x v="15"/>
    <x v="3"/>
    <x v="13"/>
    <n v="1"/>
    <n v="20"/>
    <n v="7.78"/>
    <s v="credit_card"/>
    <n v="3"/>
    <x v="1"/>
    <x v="2"/>
    <s v="Sao Paulo"/>
  </r>
  <r>
    <s v="06efe66e043ee5d43f8d6edcba44d653"/>
    <s v="2018-02-04"/>
    <x v="15"/>
    <x v="1"/>
    <x v="19"/>
    <n v="1"/>
    <n v="50"/>
    <n v="14.1"/>
    <s v="credit_card"/>
    <n v="14"/>
    <x v="1"/>
    <x v="3"/>
    <s v="Rio Grande do Sul"/>
  </r>
  <r>
    <s v="5dd63219d314ee0914d93920e6f091c3"/>
    <s v="2018-02-05"/>
    <x v="15"/>
    <x v="3"/>
    <x v="1"/>
    <n v="1"/>
    <n v="260"/>
    <n v="21.79"/>
    <s v="credit_card"/>
    <n v="13"/>
    <x v="1"/>
    <x v="2"/>
    <s v="Sao Paulo"/>
  </r>
  <r>
    <s v="bf5a0b2281067192ee4215a039245d05"/>
    <s v="2018-02-05"/>
    <x v="15"/>
    <x v="8"/>
    <x v="23"/>
    <n v="1"/>
    <n v="44.9"/>
    <n v="16.11"/>
    <s v="credit_card"/>
    <n v="25"/>
    <x v="1"/>
    <x v="3"/>
    <s v="Santa Catarina"/>
  </r>
  <r>
    <s v="2208f3a59d7067fe62c900692f5fdcaf"/>
    <s v="2018-02-05"/>
    <x v="15"/>
    <x v="3"/>
    <x v="2"/>
    <n v="1"/>
    <n v="99"/>
    <n v="27.01"/>
    <s v="voucher"/>
    <n v="11"/>
    <x v="1"/>
    <x v="5"/>
    <s v="Sao Paulo"/>
  </r>
  <r>
    <s v="1f63547f5743b270843ccf840f00108a"/>
    <s v="2018-02-05"/>
    <x v="15"/>
    <x v="2"/>
    <x v="14"/>
    <n v="2"/>
    <n v="159.80000000000001"/>
    <n v="32.64"/>
    <s v="credit_card"/>
    <n v="16"/>
    <x v="1"/>
    <x v="3"/>
    <s v="Goias"/>
  </r>
  <r>
    <s v="51e8b1751420d0520256aee3f5c81b9e"/>
    <s v="2018-02-05"/>
    <x v="15"/>
    <x v="7"/>
    <x v="7"/>
    <n v="1"/>
    <n v="509"/>
    <n v="49.57"/>
    <s v="credit_card"/>
    <n v="15"/>
    <x v="1"/>
    <x v="2"/>
    <s v="Minas Gerais"/>
  </r>
  <r>
    <s v="46a354ecffd29742e985db9b49cae302"/>
    <s v="2018-02-05"/>
    <x v="15"/>
    <x v="3"/>
    <x v="15"/>
    <n v="2"/>
    <n v="59.8"/>
    <n v="28.2"/>
    <s v="credit_card"/>
    <n v="15"/>
    <x v="1"/>
    <x v="2"/>
    <s v="Sao Paulo"/>
  </r>
  <r>
    <s v="7d52cc13ad48508237527a8681689106"/>
    <s v="2018-02-05"/>
    <x v="15"/>
    <x v="2"/>
    <x v="14"/>
    <n v="2"/>
    <n v="179.98"/>
    <n v="35.76"/>
    <s v="credit_card"/>
    <n v="17"/>
    <x v="1"/>
    <x v="2"/>
    <s v="Goias"/>
  </r>
  <r>
    <s v="76d8b3b6bdf825ebc88bd1b2aa81f65c"/>
    <s v="2018-02-05"/>
    <x v="15"/>
    <x v="3"/>
    <x v="1"/>
    <n v="1"/>
    <n v="194"/>
    <n v="16.989999999999998"/>
    <s v="credit_card"/>
    <n v="8"/>
    <x v="1"/>
    <x v="2"/>
    <s v="Sao Paulo"/>
  </r>
  <r>
    <s v="fdd8197e350ed073eeb591a6dc3e74c8"/>
    <s v="2018-02-05"/>
    <x v="15"/>
    <x v="3"/>
    <x v="22"/>
    <n v="1"/>
    <n v="148"/>
    <n v="12.54"/>
    <s v="credit_card"/>
    <n v="11"/>
    <x v="1"/>
    <x v="2"/>
    <s v="Sao Paulo"/>
  </r>
  <r>
    <s v="0822275bffed889280029c0c32b003e6"/>
    <s v="2018-02-05"/>
    <x v="15"/>
    <x v="4"/>
    <x v="17"/>
    <n v="1"/>
    <n v="21.9"/>
    <n v="14.1"/>
    <s v="credit_card"/>
    <n v="59"/>
    <x v="2"/>
    <x v="0"/>
    <s v="Rio de Janeiro"/>
  </r>
  <r>
    <s v="dc4e9e7d17fec4c4ded41724619a1b10"/>
    <s v="2018-02-05"/>
    <x v="15"/>
    <x v="3"/>
    <x v="1"/>
    <n v="1"/>
    <n v="29.5"/>
    <n v="16.11"/>
    <s v="credit_card"/>
    <n v="9"/>
    <x v="1"/>
    <x v="2"/>
    <s v="Sao Paulo"/>
  </r>
  <r>
    <s v="7af48c3262020f1e61fed763bbe80920"/>
    <s v="2018-02-05"/>
    <x v="15"/>
    <x v="1"/>
    <x v="4"/>
    <n v="2"/>
    <n v="360"/>
    <n v="32.020000000000003"/>
    <s v="credit_card"/>
    <n v="32"/>
    <x v="1"/>
    <x v="2"/>
    <s v="Rio Grande do Sul"/>
  </r>
  <r>
    <s v="76b4763b4e176f7859739182dcf5ff2f"/>
    <s v="2018-02-05"/>
    <x v="15"/>
    <x v="3"/>
    <x v="14"/>
    <n v="1"/>
    <n v="34.99"/>
    <n v="11.85"/>
    <s v="credit_card"/>
    <n v="10"/>
    <x v="1"/>
    <x v="3"/>
    <s v="Sao Paulo"/>
  </r>
  <r>
    <s v="ba57eec47403f7ec083e0283b0dbf50c"/>
    <s v="2018-02-06"/>
    <x v="15"/>
    <x v="15"/>
    <x v="4"/>
    <n v="1"/>
    <n v="11.9"/>
    <n v="16.79"/>
    <s v="boleto"/>
    <n v="17"/>
    <x v="1"/>
    <x v="3"/>
    <s v="Mato Grosso"/>
  </r>
  <r>
    <s v="55bd4049f3befad7afcead7894b3a0e1"/>
    <s v="2018-02-06"/>
    <x v="15"/>
    <x v="7"/>
    <x v="9"/>
    <n v="1"/>
    <n v="49.9"/>
    <n v="15.1"/>
    <s v="credit_card"/>
    <n v="8"/>
    <x v="1"/>
    <x v="2"/>
    <s v="Minas Gerais"/>
  </r>
  <r>
    <s v="ad075cd488e1c655afdbd461e1946cda"/>
    <s v="2018-02-06"/>
    <x v="15"/>
    <x v="7"/>
    <x v="18"/>
    <n v="1"/>
    <n v="49.99"/>
    <n v="15.1"/>
    <s v="credit_card"/>
    <n v="13"/>
    <x v="1"/>
    <x v="2"/>
    <s v="Minas Gerais"/>
  </r>
  <r>
    <s v="c7077af9c2e19b516a79690cab23a96d"/>
    <s v="2018-02-06"/>
    <x v="15"/>
    <x v="3"/>
    <x v="13"/>
    <n v="1"/>
    <n v="139"/>
    <n v="15.73"/>
    <s v="credit_card"/>
    <n v="8"/>
    <x v="1"/>
    <x v="2"/>
    <s v="Sao Paulo"/>
  </r>
  <r>
    <s v="c3789b2ed8f91ea1e56451bc6387454e"/>
    <s v="2018-02-06"/>
    <x v="15"/>
    <x v="4"/>
    <x v="28"/>
    <n v="1"/>
    <n v="139.99"/>
    <n v="28.34"/>
    <s v="credit_card"/>
    <n v="41"/>
    <x v="1"/>
    <x v="1"/>
    <s v="Rio de Janeiro"/>
  </r>
  <r>
    <s v="c6f24de5c976bfafc4a340b805c70fe7"/>
    <s v="2018-02-06"/>
    <x v="15"/>
    <x v="4"/>
    <x v="4"/>
    <n v="1"/>
    <n v="144.41"/>
    <n v="17.45"/>
    <s v="credit_card"/>
    <n v="25"/>
    <x v="1"/>
    <x v="3"/>
    <s v="Rio de Janeiro"/>
  </r>
  <r>
    <s v="807e1137296f0952dc5038aadf9d1f76"/>
    <s v="2018-02-06"/>
    <x v="15"/>
    <x v="7"/>
    <x v="5"/>
    <n v="1"/>
    <n v="53.99"/>
    <n v="15.13"/>
    <s v="boleto"/>
    <n v="22"/>
    <x v="1"/>
    <x v="5"/>
    <s v="Minas Gerais"/>
  </r>
  <r>
    <s v="6ded0b6cf54a34efba0b47373230a63b"/>
    <s v="2018-02-06"/>
    <x v="15"/>
    <x v="7"/>
    <x v="6"/>
    <n v="1"/>
    <n v="34.99"/>
    <n v="15.1"/>
    <s v="credit_card"/>
    <n v="10"/>
    <x v="1"/>
    <x v="2"/>
    <s v="Minas Gerais"/>
  </r>
  <r>
    <s v="0f77d110146ab4471e3492fa504f6377"/>
    <s v="2018-02-06"/>
    <x v="15"/>
    <x v="7"/>
    <x v="14"/>
    <n v="1"/>
    <n v="75.5"/>
    <n v="17.78"/>
    <s v="credit_card"/>
    <n v="12"/>
    <x v="1"/>
    <x v="3"/>
    <s v="Minas Gerais"/>
  </r>
  <r>
    <s v="ba8a2682e4b170d1b0f4f3507c2dddc5"/>
    <s v="2018-02-06"/>
    <x v="15"/>
    <x v="3"/>
    <x v="45"/>
    <n v="1"/>
    <n v="49"/>
    <n v="9.34"/>
    <s v="credit_card"/>
    <n v="8"/>
    <x v="1"/>
    <x v="2"/>
    <s v="Sao Paulo"/>
  </r>
  <r>
    <s v="1e76a4cb16c7849cd980f748e3d8dbed"/>
    <s v="2018-02-06"/>
    <x v="15"/>
    <x v="3"/>
    <x v="13"/>
    <n v="1"/>
    <n v="54.9"/>
    <n v="17.09"/>
    <s v="credit_card"/>
    <n v="13"/>
    <x v="1"/>
    <x v="2"/>
    <s v="Sao Paulo"/>
  </r>
  <r>
    <s v="fa0609cc7f74568f4f0b2fe9b286e76c"/>
    <s v="2018-02-06"/>
    <x v="15"/>
    <x v="3"/>
    <x v="20"/>
    <n v="1"/>
    <n v="144.41"/>
    <n v="13.14"/>
    <s v="credit_card"/>
    <n v="9"/>
    <x v="1"/>
    <x v="0"/>
    <s v="Sao Paulo"/>
  </r>
  <r>
    <s v="11752bcab98894b1c72fac988ed11392"/>
    <s v="2018-02-06"/>
    <x v="15"/>
    <x v="4"/>
    <x v="7"/>
    <n v="1"/>
    <n v="49.9"/>
    <n v="17.600000000000001"/>
    <s v="debit_card"/>
    <n v="31"/>
    <x v="2"/>
    <x v="0"/>
    <s v="Rio de Janeiro"/>
  </r>
  <r>
    <s v="76947ee86f94611940effa93c62ccdc0"/>
    <s v="2018-02-06"/>
    <x v="15"/>
    <x v="3"/>
    <x v="6"/>
    <n v="1"/>
    <n v="201.6"/>
    <n v="8.67"/>
    <s v="credit_card"/>
    <n v="9"/>
    <x v="1"/>
    <x v="0"/>
    <s v="Sao Paulo"/>
  </r>
  <r>
    <s v="726578ea1b027b33080a7a807e97941a"/>
    <s v="2018-02-06"/>
    <x v="15"/>
    <x v="5"/>
    <x v="1"/>
    <n v="1"/>
    <n v="99"/>
    <n v="15.44"/>
    <s v="credit_card"/>
    <n v="9"/>
    <x v="1"/>
    <x v="2"/>
    <s v="Parana"/>
  </r>
  <r>
    <s v="2c0032906c603dcc21cd954828fa77d0"/>
    <s v="2018-02-06"/>
    <x v="15"/>
    <x v="20"/>
    <x v="4"/>
    <n v="1"/>
    <n v="213.75"/>
    <n v="36.82"/>
    <s v="credit_card"/>
    <m/>
    <x v="0"/>
    <x v="0"/>
    <s v="Tocantins"/>
  </r>
  <r>
    <s v="c4cf72ea58abebc4b3fa344363bb750a"/>
    <s v="2018-02-07"/>
    <x v="15"/>
    <x v="3"/>
    <x v="1"/>
    <n v="1"/>
    <n v="72.900000000000006"/>
    <n v="16.27"/>
    <s v="credit_card"/>
    <n v="14"/>
    <x v="1"/>
    <x v="3"/>
    <s v="Sao Paulo"/>
  </r>
  <r>
    <s v="c32cd20b02f7a00f57fc945e5ff41a6f"/>
    <s v="2018-02-07"/>
    <x v="15"/>
    <x v="3"/>
    <x v="6"/>
    <n v="1"/>
    <n v="19.989999999999998"/>
    <n v="7.78"/>
    <s v="credit_card"/>
    <n v="7"/>
    <x v="1"/>
    <x v="3"/>
    <s v="Sao Paulo"/>
  </r>
  <r>
    <s v="65f881933f86384f769adf62da94be22"/>
    <s v="2018-02-07"/>
    <x v="15"/>
    <x v="7"/>
    <x v="9"/>
    <n v="1"/>
    <n v="170"/>
    <n v="20.43"/>
    <s v="credit_card"/>
    <n v="21"/>
    <x v="1"/>
    <x v="3"/>
    <s v="Minas Gerais"/>
  </r>
  <r>
    <s v="3dfb50022bb703d781966370133ed7a5"/>
    <s v="2018-02-07"/>
    <x v="15"/>
    <x v="6"/>
    <x v="0"/>
    <n v="2"/>
    <n v="78"/>
    <n v="37.78"/>
    <s v="voucher"/>
    <n v="20"/>
    <x v="1"/>
    <x v="4"/>
    <s v="Pernambuco"/>
  </r>
  <r>
    <s v="4e71292813192531d46de4a94b8ba881"/>
    <s v="2018-02-07"/>
    <x v="15"/>
    <x v="3"/>
    <x v="1"/>
    <n v="2"/>
    <n v="69.8"/>
    <n v="15.56"/>
    <s v="credit_card"/>
    <n v="7"/>
    <x v="1"/>
    <x v="3"/>
    <s v="Sao Paulo"/>
  </r>
  <r>
    <s v="c9a973cfedbc212cd02b06b4fd11c3cd"/>
    <s v="2018-02-07"/>
    <x v="15"/>
    <x v="7"/>
    <x v="17"/>
    <n v="1"/>
    <n v="21.9"/>
    <n v="14.1"/>
    <s v="credit_card"/>
    <n v="15"/>
    <x v="1"/>
    <x v="3"/>
    <s v="Minas Gerais"/>
  </r>
  <r>
    <s v="fcd173d025d9960fde973eb391a98e0b"/>
    <s v="2018-02-07"/>
    <x v="15"/>
    <x v="5"/>
    <x v="4"/>
    <n v="1"/>
    <n v="126.12"/>
    <n v="15.63"/>
    <s v="voucher"/>
    <n v="14"/>
    <x v="1"/>
    <x v="2"/>
    <s v="Parana"/>
  </r>
  <r>
    <s v="0758aeea44cefb9c7f59333c7c691714"/>
    <s v="2018-02-07"/>
    <x v="15"/>
    <x v="3"/>
    <x v="28"/>
    <n v="1"/>
    <n v="349.9"/>
    <n v="34.049999999999997"/>
    <s v="credit_card"/>
    <n v="8"/>
    <x v="1"/>
    <x v="3"/>
    <s v="Sao Paulo"/>
  </r>
  <r>
    <s v="cadea13175cc1434c96265941592ab7b"/>
    <s v="2018-02-07"/>
    <x v="15"/>
    <x v="4"/>
    <x v="6"/>
    <n v="2"/>
    <n v="59.98"/>
    <n v="28.2"/>
    <s v="credit_card"/>
    <n v="12"/>
    <x v="1"/>
    <x v="2"/>
    <s v="Rio de Janeiro"/>
  </r>
  <r>
    <s v="3f9cdc88397ce0308a37483fb2f146c1"/>
    <s v="2018-02-07"/>
    <x v="15"/>
    <x v="18"/>
    <x v="4"/>
    <n v="1"/>
    <n v="85"/>
    <n v="25.87"/>
    <s v="credit_card"/>
    <n v="19"/>
    <x v="1"/>
    <x v="2"/>
    <s v="Distrito Federal"/>
  </r>
  <r>
    <s v="8cafeef132aa9cfe9a86b1162012e14b"/>
    <s v="2018-02-07"/>
    <x v="15"/>
    <x v="6"/>
    <x v="20"/>
    <n v="1"/>
    <n v="60"/>
    <n v="17.7"/>
    <s v="credit_card"/>
    <n v="20"/>
    <x v="1"/>
    <x v="2"/>
    <s v="Pernambuco"/>
  </r>
  <r>
    <s v="ab6c2b531e877fad84a31aa845bc9345"/>
    <s v="2018-02-07"/>
    <x v="15"/>
    <x v="18"/>
    <x v="4"/>
    <n v="1"/>
    <n v="84.89"/>
    <n v="15.34"/>
    <s v="credit_card"/>
    <n v="32"/>
    <x v="2"/>
    <x v="3"/>
    <s v="Distrito Federal"/>
  </r>
  <r>
    <s v="8d2a68ca0ac61329c56e0b74695b04b4"/>
    <s v="2018-02-07"/>
    <x v="15"/>
    <x v="3"/>
    <x v="0"/>
    <n v="1"/>
    <n v="49.9"/>
    <n v="16.11"/>
    <s v="credit_card"/>
    <n v="7"/>
    <x v="1"/>
    <x v="1"/>
    <s v="Sao Paulo"/>
  </r>
  <r>
    <s v="8f0dcae3e35bc2577f2ee00a4b016029"/>
    <s v="2018-02-07"/>
    <x v="15"/>
    <x v="3"/>
    <x v="14"/>
    <n v="1"/>
    <n v="75.5"/>
    <n v="11.73"/>
    <s v="boleto"/>
    <n v="3"/>
    <x v="1"/>
    <x v="2"/>
    <s v="Sao Paulo"/>
  </r>
  <r>
    <s v="0ce50541293dbe475fde11c04962e953"/>
    <s v="2018-02-07"/>
    <x v="15"/>
    <x v="4"/>
    <x v="17"/>
    <n v="1"/>
    <n v="19.89"/>
    <n v="15.79"/>
    <s v="credit_card"/>
    <n v="8"/>
    <x v="1"/>
    <x v="2"/>
    <s v="Rio de Janeiro"/>
  </r>
  <r>
    <s v="8ef1c4b42bd6dd16b4793c1442342076"/>
    <s v="2018-02-07"/>
    <x v="15"/>
    <x v="5"/>
    <x v="7"/>
    <n v="1"/>
    <n v="99.9"/>
    <n v="12.4"/>
    <s v="boleto"/>
    <n v="12"/>
    <x v="1"/>
    <x v="2"/>
    <s v="Parana"/>
  </r>
  <r>
    <s v="a79c3cd45ec537f2601568523049fde2"/>
    <s v="2018-02-08"/>
    <x v="15"/>
    <x v="7"/>
    <x v="4"/>
    <n v="1"/>
    <n v="77"/>
    <n v="16.98"/>
    <s v="credit_card"/>
    <n v="10"/>
    <x v="1"/>
    <x v="2"/>
    <s v="Minas Gerais"/>
  </r>
  <r>
    <s v="b269f9c95ab6ee9fbc0a887627851d9d"/>
    <s v="2018-02-08"/>
    <x v="15"/>
    <x v="21"/>
    <x v="4"/>
    <n v="1"/>
    <n v="39.58"/>
    <n v="16.79"/>
    <s v="credit_card"/>
    <n v="12"/>
    <x v="1"/>
    <x v="2"/>
    <s v="Bahia"/>
  </r>
  <r>
    <s v="03eba6d9fef8f5b3e811d4b5a7cca9cd"/>
    <s v="2018-02-08"/>
    <x v="15"/>
    <x v="7"/>
    <x v="14"/>
    <n v="1"/>
    <n v="84.99"/>
    <n v="17.84"/>
    <s v="credit_card"/>
    <n v="13"/>
    <x v="1"/>
    <x v="7"/>
    <s v="Minas Gerais"/>
  </r>
  <r>
    <s v="444a494f39275142d9c75bd7307cdde1"/>
    <s v="2018-02-08"/>
    <x v="15"/>
    <x v="18"/>
    <x v="7"/>
    <n v="1"/>
    <n v="49.9"/>
    <n v="17.600000000000001"/>
    <s v="credit_card"/>
    <n v="26"/>
    <x v="2"/>
    <x v="3"/>
    <s v="Distrito Federal"/>
  </r>
  <r>
    <s v="44d1b486970419d4e0ed66e154ece21f"/>
    <s v="2018-02-08"/>
    <x v="15"/>
    <x v="11"/>
    <x v="3"/>
    <n v="1"/>
    <n v="689.89"/>
    <n v="48.68"/>
    <s v="debit_card"/>
    <n v="27"/>
    <x v="1"/>
    <x v="3"/>
    <s v="Para"/>
  </r>
  <r>
    <s v="10c3c7fea20a1ed15c6e55e90b3fb084"/>
    <s v="2018-02-08"/>
    <x v="15"/>
    <x v="3"/>
    <x v="5"/>
    <n v="1"/>
    <n v="13.99"/>
    <n v="11.85"/>
    <s v="credit_card"/>
    <n v="38"/>
    <x v="2"/>
    <x v="0"/>
    <s v="Sao Paulo"/>
  </r>
  <r>
    <s v="f0a3681de8bc46b204500087357b2a89"/>
    <s v="2018-02-08"/>
    <x v="15"/>
    <x v="3"/>
    <x v="29"/>
    <n v="1"/>
    <n v="59"/>
    <n v="11.91"/>
    <s v="voucher"/>
    <n v="8"/>
    <x v="1"/>
    <x v="1"/>
    <s v="Sao Paulo"/>
  </r>
  <r>
    <s v="b438ae3323566a4e25ebef7b8b3e50e4"/>
    <s v="2018-02-08"/>
    <x v="15"/>
    <x v="3"/>
    <x v="0"/>
    <n v="2"/>
    <n v="119.98"/>
    <n v="23.84"/>
    <s v="boleto"/>
    <n v="8"/>
    <x v="1"/>
    <x v="2"/>
    <s v="Sao Paulo"/>
  </r>
  <r>
    <s v="fcaa22948cf53b9b3ff7de0c67b6391c"/>
    <s v="2018-02-08"/>
    <x v="15"/>
    <x v="3"/>
    <x v="63"/>
    <n v="1"/>
    <n v="24.9"/>
    <n v="11.85"/>
    <s v="credit_card"/>
    <n v="7"/>
    <x v="1"/>
    <x v="2"/>
    <s v="Sao Paulo"/>
  </r>
  <r>
    <s v="78d08dbbd210373254dc4730f3aa25a0"/>
    <s v="2018-02-08"/>
    <x v="15"/>
    <x v="3"/>
    <x v="2"/>
    <n v="1"/>
    <n v="69.900000000000006"/>
    <n v="9.34"/>
    <s v="credit_card"/>
    <n v="7"/>
    <x v="1"/>
    <x v="2"/>
    <s v="Sao Paulo"/>
  </r>
  <r>
    <s v="d2f5633625bc4755a073b638481e8dcf"/>
    <s v="2018-02-08"/>
    <x v="15"/>
    <x v="4"/>
    <x v="17"/>
    <n v="1"/>
    <n v="15"/>
    <n v="14.1"/>
    <s v="credit_card"/>
    <n v="18"/>
    <x v="1"/>
    <x v="2"/>
    <s v="Rio de Janeiro"/>
  </r>
  <r>
    <s v="fe52554f43fb82f60254abfca92f8c55"/>
    <s v="2018-02-08"/>
    <x v="15"/>
    <x v="14"/>
    <x v="18"/>
    <n v="1"/>
    <n v="37.9"/>
    <n v="15.11"/>
    <s v="credit_card"/>
    <n v="26"/>
    <x v="1"/>
    <x v="2"/>
    <s v="Mato Grosso do Sul"/>
  </r>
  <r>
    <s v="dc65d81323bb8febba04644a959a6fc6"/>
    <s v="2018-02-08"/>
    <x v="15"/>
    <x v="21"/>
    <x v="7"/>
    <n v="1"/>
    <n v="120"/>
    <n v="50.71"/>
    <s v="credit_card"/>
    <n v="22"/>
    <x v="1"/>
    <x v="2"/>
    <s v="Bahia"/>
  </r>
  <r>
    <s v="6d6c3ad8291ffb9fd855faa127500137"/>
    <s v="2018-02-08"/>
    <x v="15"/>
    <x v="15"/>
    <x v="13"/>
    <n v="1"/>
    <n v="199.9"/>
    <n v="24.27"/>
    <s v="credit_card"/>
    <n v="35"/>
    <x v="1"/>
    <x v="0"/>
    <s v="Mato Grosso"/>
  </r>
  <r>
    <s v="86ed94eb351cf5bd2ec4389a2ca92680"/>
    <s v="2018-02-08"/>
    <x v="15"/>
    <x v="3"/>
    <x v="14"/>
    <n v="1"/>
    <n v="54.9"/>
    <n v="13.08"/>
    <s v="voucher"/>
    <n v="3"/>
    <x v="1"/>
    <x v="1"/>
    <s v="Sao Paulo"/>
  </r>
  <r>
    <s v="50109a6c720b998320449ebdf2c0798b"/>
    <s v="2018-02-08"/>
    <x v="15"/>
    <x v="7"/>
    <x v="29"/>
    <n v="1"/>
    <n v="89"/>
    <n v="17.87"/>
    <s v="credit_card"/>
    <n v="14"/>
    <x v="1"/>
    <x v="2"/>
    <s v="Minas Gerais"/>
  </r>
  <r>
    <s v="13755e9cd8234edd7750fb497caf403e"/>
    <s v="2018-02-09"/>
    <x v="15"/>
    <x v="3"/>
    <x v="33"/>
    <n v="1"/>
    <n v="189.9"/>
    <n v="16.079999999999998"/>
    <s v="credit_card"/>
    <n v="12"/>
    <x v="1"/>
    <x v="2"/>
    <s v="Sao Paulo"/>
  </r>
  <r>
    <s v="c75dfb74f7e634744d13799759233b78"/>
    <s v="2018-02-09"/>
    <x v="15"/>
    <x v="3"/>
    <x v="13"/>
    <n v="1"/>
    <n v="1780"/>
    <n v="41.87"/>
    <s v="credit_card"/>
    <n v="24"/>
    <x v="1"/>
    <x v="0"/>
    <s v="Sao Paulo"/>
  </r>
  <r>
    <s v="2a3e60ce1465b6fd5a3702e28871fd70"/>
    <s v="2018-02-09"/>
    <x v="15"/>
    <x v="5"/>
    <x v="4"/>
    <n v="1"/>
    <n v="145.69"/>
    <n v="15.77"/>
    <s v="boleto"/>
    <n v="11"/>
    <x v="1"/>
    <x v="2"/>
    <s v="Parana"/>
  </r>
  <r>
    <s v="7578d16f248e3eb69ec30d3fb27a7a38"/>
    <s v="2018-02-09"/>
    <x v="15"/>
    <x v="7"/>
    <x v="14"/>
    <n v="1"/>
    <n v="49.99"/>
    <n v="16.11"/>
    <s v="credit_card"/>
    <n v="18"/>
    <x v="1"/>
    <x v="2"/>
    <s v="Minas Gerais"/>
  </r>
  <r>
    <s v="83962168dce2d06a69a7e27082962069"/>
    <s v="2018-02-09"/>
    <x v="15"/>
    <x v="4"/>
    <x v="17"/>
    <n v="1"/>
    <n v="25.9"/>
    <n v="16.79"/>
    <s v="credit_card"/>
    <n v="28"/>
    <x v="1"/>
    <x v="2"/>
    <s v="Rio de Janeiro"/>
  </r>
  <r>
    <s v="11d1d2c41d418db52862561ad533739a"/>
    <s v="2018-02-09"/>
    <x v="15"/>
    <x v="5"/>
    <x v="6"/>
    <n v="1"/>
    <n v="18.489999999999998"/>
    <n v="14.1"/>
    <s v="credit_card"/>
    <n v="12"/>
    <x v="1"/>
    <x v="3"/>
    <s v="Parana"/>
  </r>
  <r>
    <s v="9c90fbe071e26ccef32878449010af00"/>
    <s v="2018-02-09"/>
    <x v="15"/>
    <x v="5"/>
    <x v="4"/>
    <n v="1"/>
    <n v="149.9"/>
    <n v="27.9"/>
    <s v="credit_card"/>
    <n v="19"/>
    <x v="1"/>
    <x v="3"/>
    <s v="Parana"/>
  </r>
  <r>
    <s v="d99bb25e168c15db3113f5d5db1ee1b4"/>
    <s v="2018-02-09"/>
    <x v="15"/>
    <x v="3"/>
    <x v="4"/>
    <n v="1"/>
    <n v="74.900000000000006"/>
    <n v="12.65"/>
    <s v="boleto"/>
    <n v="17"/>
    <x v="1"/>
    <x v="1"/>
    <s v="Sao Paulo"/>
  </r>
  <r>
    <s v="2c283d6fe3628e20caec652ad3703c7e"/>
    <s v="2018-02-09"/>
    <x v="15"/>
    <x v="24"/>
    <x v="4"/>
    <n v="1"/>
    <n v="48.9"/>
    <n v="42.38"/>
    <s v="credit_card"/>
    <n v="28"/>
    <x v="1"/>
    <x v="2"/>
    <s v="Alagoas"/>
  </r>
  <r>
    <s v="8efa32589faa9ab3d9fb06ab4f2bceb7"/>
    <s v="2018-02-09"/>
    <x v="15"/>
    <x v="5"/>
    <x v="22"/>
    <n v="1"/>
    <n v="75"/>
    <n v="14.28"/>
    <s v="boleto"/>
    <n v="13"/>
    <x v="1"/>
    <x v="3"/>
    <s v="Parana"/>
  </r>
  <r>
    <s v="4f6d5b0656f4701bba88a3351199cb14"/>
    <s v="2018-02-09"/>
    <x v="15"/>
    <x v="21"/>
    <x v="19"/>
    <n v="1"/>
    <n v="139.9"/>
    <n v="23.85"/>
    <s v="credit_card"/>
    <n v="17"/>
    <x v="1"/>
    <x v="3"/>
    <s v="Bahia"/>
  </r>
  <r>
    <s v="87d3fcab78e748d404ae59a9e90e7834"/>
    <s v="2018-02-09"/>
    <x v="15"/>
    <x v="3"/>
    <x v="25"/>
    <n v="3"/>
    <n v="315"/>
    <n v="46.47"/>
    <s v="boleto"/>
    <n v="17"/>
    <x v="1"/>
    <x v="2"/>
    <s v="Sao Paulo"/>
  </r>
  <r>
    <s v="1d3a68238096f9cec486437166e57716"/>
    <s v="2018-02-09"/>
    <x v="15"/>
    <x v="4"/>
    <x v="9"/>
    <n v="1"/>
    <n v="129.9"/>
    <n v="16.350000000000001"/>
    <s v="credit_card"/>
    <n v="28"/>
    <x v="2"/>
    <x v="1"/>
    <s v="Rio de Janeiro"/>
  </r>
  <r>
    <s v="cb269e12d603437a1a1a1bf4c27c3716"/>
    <s v="2018-02-09"/>
    <x v="15"/>
    <x v="15"/>
    <x v="9"/>
    <n v="1"/>
    <n v="199"/>
    <n v="17.829999999999998"/>
    <s v="boleto"/>
    <n v="18"/>
    <x v="1"/>
    <x v="2"/>
    <s v="Mato Grosso"/>
  </r>
  <r>
    <s v="30995c2450c43a071181b6f0c3602296"/>
    <s v="2018-02-10"/>
    <x v="15"/>
    <x v="4"/>
    <x v="14"/>
    <n v="1"/>
    <n v="58"/>
    <n v="16.170000000000002"/>
    <s v="credit_card"/>
    <n v="18"/>
    <x v="1"/>
    <x v="0"/>
    <s v="Rio de Janeiro"/>
  </r>
  <r>
    <s v="87353bde98ae9505ac21bf4bc21b5d74"/>
    <s v="2018-02-10"/>
    <x v="15"/>
    <x v="5"/>
    <x v="25"/>
    <n v="1"/>
    <n v="56"/>
    <n v="17.96"/>
    <s v="credit_card"/>
    <n v="13"/>
    <x v="1"/>
    <x v="3"/>
    <s v="Parana"/>
  </r>
  <r>
    <s v="ffae83c600bcc82f84437a9248825b80"/>
    <s v="2018-02-10"/>
    <x v="15"/>
    <x v="21"/>
    <x v="55"/>
    <n v="1"/>
    <n v="139.9"/>
    <n v="23.85"/>
    <s v="credit_card"/>
    <n v="30"/>
    <x v="2"/>
    <x v="3"/>
    <s v="Bahia"/>
  </r>
  <r>
    <s v="a731b7db34fa6e6897216789ec1543bd"/>
    <s v="2018-02-10"/>
    <x v="15"/>
    <x v="4"/>
    <x v="22"/>
    <n v="1"/>
    <n v="189"/>
    <n v="15.07"/>
    <s v="credit_card"/>
    <n v="11"/>
    <x v="1"/>
    <x v="2"/>
    <s v="Rio de Janeiro"/>
  </r>
  <r>
    <s v="8e6bfb81e283fa7e4f11123a3fb894f1"/>
    <s v="2018-02-10"/>
    <x v="15"/>
    <x v="8"/>
    <x v="1"/>
    <n v="1"/>
    <n v="1199"/>
    <n v="134.25"/>
    <s v="credit_card"/>
    <n v="18"/>
    <x v="1"/>
    <x v="2"/>
    <s v="Santa Catarina"/>
  </r>
  <r>
    <s v="fd814f791bd23e12edad7656f27a8310"/>
    <s v="2018-02-10"/>
    <x v="15"/>
    <x v="3"/>
    <x v="20"/>
    <n v="1"/>
    <n v="389"/>
    <n v="16.329999999999998"/>
    <s v="credit_card"/>
    <n v="17"/>
    <x v="1"/>
    <x v="2"/>
    <s v="Sao Paulo"/>
  </r>
  <r>
    <s v="0fafef9491abc81f2975be1c75036a86"/>
    <s v="2018-02-10"/>
    <x v="15"/>
    <x v="3"/>
    <x v="7"/>
    <n v="1"/>
    <n v="49.9"/>
    <n v="13.37"/>
    <s v="credit_card"/>
    <n v="28"/>
    <x v="2"/>
    <x v="0"/>
    <s v="Sao Paulo"/>
  </r>
  <r>
    <s v="7be469d9b115e2a08cf56be2d9250b8c"/>
    <s v="2018-02-10"/>
    <x v="15"/>
    <x v="4"/>
    <x v="0"/>
    <n v="4"/>
    <n v="242.7"/>
    <n v="72.930000000000007"/>
    <s v="credit_card"/>
    <n v="17"/>
    <x v="1"/>
    <x v="0"/>
    <s v="Rio de Janeiro"/>
  </r>
  <r>
    <s v="721f02a8125f571ecbe34cb7073ff732"/>
    <s v="2018-02-10"/>
    <x v="15"/>
    <x v="7"/>
    <x v="0"/>
    <n v="1"/>
    <n v="219.9"/>
    <n v="36.6"/>
    <s v="credit_card"/>
    <n v="12"/>
    <x v="1"/>
    <x v="2"/>
    <s v="Minas Gerais"/>
  </r>
  <r>
    <s v="ec816a2c8c072f4907171e81a58bed46"/>
    <s v="2018-02-10"/>
    <x v="15"/>
    <x v="7"/>
    <x v="5"/>
    <n v="1"/>
    <n v="119.9"/>
    <n v="16.600000000000001"/>
    <s v="credit_card"/>
    <n v="16"/>
    <x v="1"/>
    <x v="2"/>
    <s v="Minas Gerais"/>
  </r>
  <r>
    <s v="6c041b8ad01f470b60c65c7d424fa0ae"/>
    <s v="2018-02-10"/>
    <x v="15"/>
    <x v="7"/>
    <x v="9"/>
    <n v="1"/>
    <n v="62"/>
    <n v="21.23"/>
    <s v="credit_card"/>
    <n v="10"/>
    <x v="1"/>
    <x v="2"/>
    <s v="Minas Gerais"/>
  </r>
  <r>
    <s v="1d84d00f6d2334d63f35ba528cd0d99d"/>
    <s v="2018-02-10"/>
    <x v="15"/>
    <x v="3"/>
    <x v="54"/>
    <n v="1"/>
    <n v="54.4"/>
    <n v="9.34"/>
    <s v="boleto"/>
    <n v="10"/>
    <x v="1"/>
    <x v="2"/>
    <s v="Sao Paulo"/>
  </r>
  <r>
    <s v="eb6fb95e3c0248ad7f1e3b668ac3f8b8"/>
    <s v="2018-02-11"/>
    <x v="15"/>
    <x v="12"/>
    <x v="9"/>
    <n v="1"/>
    <n v="325"/>
    <n v="19.55"/>
    <s v="credit_card"/>
    <n v="18"/>
    <x v="1"/>
    <x v="2"/>
    <s v="Ceara"/>
  </r>
  <r>
    <s v="4a4c236dd0a477add66133368e7fcde8"/>
    <s v="2018-02-11"/>
    <x v="15"/>
    <x v="3"/>
    <x v="19"/>
    <n v="1"/>
    <n v="265"/>
    <n v="39.69"/>
    <s v="credit_card"/>
    <n v="24"/>
    <x v="1"/>
    <x v="2"/>
    <s v="Sao Paulo"/>
  </r>
  <r>
    <s v="8531a53599c482d78f5eab067187c7fd"/>
    <s v="2018-02-11"/>
    <x v="15"/>
    <x v="22"/>
    <x v="4"/>
    <n v="1"/>
    <n v="180"/>
    <n v="16.010000000000002"/>
    <s v="credit_card"/>
    <n v="18"/>
    <x v="1"/>
    <x v="1"/>
    <s v="Espirito Santo"/>
  </r>
  <r>
    <s v="09c29dc1d814f755a8183dc859945531"/>
    <s v="2018-02-11"/>
    <x v="15"/>
    <x v="15"/>
    <x v="14"/>
    <n v="1"/>
    <n v="122.9"/>
    <n v="18.43"/>
    <s v="credit_card"/>
    <n v="19"/>
    <x v="1"/>
    <x v="1"/>
    <s v="Mato Grosso"/>
  </r>
  <r>
    <s v="9e14ba3a25712a0716d84a955940f200"/>
    <s v="2018-02-11"/>
    <x v="15"/>
    <x v="7"/>
    <x v="41"/>
    <n v="1"/>
    <n v="89.9"/>
    <n v="15.38"/>
    <s v="credit_card"/>
    <n v="18"/>
    <x v="1"/>
    <x v="3"/>
    <s v="Minas Gerais"/>
  </r>
  <r>
    <s v="00eef7fe9e315a85d1a61a50cccb2494"/>
    <s v="2018-02-11"/>
    <x v="15"/>
    <x v="3"/>
    <x v="7"/>
    <n v="1"/>
    <n v="49.9"/>
    <n v="13.37"/>
    <s v="credit_card"/>
    <n v="13"/>
    <x v="1"/>
    <x v="2"/>
    <s v="Sao Paulo"/>
  </r>
  <r>
    <s v="997cd0cc21c4cc23cf4b07c4f53834db"/>
    <s v="2018-02-11"/>
    <x v="15"/>
    <x v="7"/>
    <x v="32"/>
    <n v="1"/>
    <n v="128.80000000000001"/>
    <n v="34.26"/>
    <s v="boleto"/>
    <n v="12"/>
    <x v="1"/>
    <x v="3"/>
    <s v="Minas Gerais"/>
  </r>
  <r>
    <s v="189b3afbf782ff8ab44477e006153155"/>
    <s v="2018-02-11"/>
    <x v="15"/>
    <x v="7"/>
    <x v="14"/>
    <n v="1"/>
    <n v="39"/>
    <n v="16.11"/>
    <s v="voucher"/>
    <n v="21"/>
    <x v="1"/>
    <x v="3"/>
    <s v="Minas Gerais"/>
  </r>
  <r>
    <s v="9ac0defdd7d48e7dd9ed02a4e3e8a15f"/>
    <s v="2018-02-11"/>
    <x v="15"/>
    <x v="3"/>
    <x v="32"/>
    <n v="1"/>
    <n v="94.45"/>
    <n v="16.420000000000002"/>
    <s v="credit_card"/>
    <n v="12"/>
    <x v="1"/>
    <x v="2"/>
    <s v="Sao Paulo"/>
  </r>
  <r>
    <s v="cf89399a034c96945092cc819f31801d"/>
    <s v="2018-02-11"/>
    <x v="15"/>
    <x v="3"/>
    <x v="20"/>
    <n v="1"/>
    <n v="144.99"/>
    <n v="14.03"/>
    <s v="credit_card"/>
    <n v="17"/>
    <x v="1"/>
    <x v="2"/>
    <s v="Sao Paulo"/>
  </r>
  <r>
    <s v="eedfdd1e4ef97bae3bc2a49f06e3016b"/>
    <s v="2018-02-12"/>
    <x v="15"/>
    <x v="1"/>
    <x v="9"/>
    <n v="1"/>
    <n v="36"/>
    <n v="14.1"/>
    <s v="credit_card"/>
    <n v="17"/>
    <x v="1"/>
    <x v="2"/>
    <s v="Rio Grande do Sul"/>
  </r>
  <r>
    <s v="092e3282c11e71ea0c568efc2a92f91a"/>
    <s v="2018-02-12"/>
    <x v="15"/>
    <x v="7"/>
    <x v="9"/>
    <n v="1"/>
    <n v="150"/>
    <n v="15.8"/>
    <s v="credit_card"/>
    <n v="16"/>
    <x v="1"/>
    <x v="1"/>
    <s v="Minas Gerais"/>
  </r>
  <r>
    <s v="47e488415ce9fda6fee06ab849f35ec0"/>
    <s v="2018-02-12"/>
    <x v="15"/>
    <x v="4"/>
    <x v="4"/>
    <n v="1"/>
    <n v="15.9"/>
    <n v="15.1"/>
    <s v="credit_card"/>
    <n v="8"/>
    <x v="1"/>
    <x v="5"/>
    <s v="Rio de Janeiro"/>
  </r>
  <r>
    <s v="bccf051dcbdb40d7aa00e84a00b169e6"/>
    <s v="2018-02-12"/>
    <x v="15"/>
    <x v="3"/>
    <x v="12"/>
    <n v="1"/>
    <n v="109.9"/>
    <n v="11.97"/>
    <s v="credit_card"/>
    <n v="2"/>
    <x v="1"/>
    <x v="3"/>
    <s v="Sao Paulo"/>
  </r>
  <r>
    <s v="ee97923b6c1439e110fab51fb70c78b9"/>
    <s v="2018-02-12"/>
    <x v="15"/>
    <x v="3"/>
    <x v="17"/>
    <n v="1"/>
    <n v="21.9"/>
    <n v="11.85"/>
    <s v="credit_card"/>
    <n v="17"/>
    <x v="1"/>
    <x v="3"/>
    <s v="Sao Paulo"/>
  </r>
  <r>
    <s v="9cdbb1c345ba349adba6b394300770d1"/>
    <s v="2018-02-12"/>
    <x v="15"/>
    <x v="3"/>
    <x v="1"/>
    <n v="1"/>
    <n v="210"/>
    <n v="24.05"/>
    <s v="credit_card"/>
    <n v="6"/>
    <x v="1"/>
    <x v="2"/>
    <s v="Sao Paulo"/>
  </r>
  <r>
    <s v="839cdf42ef00fb4f5d66e449058b4d61"/>
    <s v="2018-02-12"/>
    <x v="15"/>
    <x v="3"/>
    <x v="9"/>
    <n v="1"/>
    <n v="99"/>
    <n v="12.82"/>
    <s v="credit_card"/>
    <n v="14"/>
    <x v="1"/>
    <x v="2"/>
    <s v="Sao Paulo"/>
  </r>
  <r>
    <s v="e0ef0c2437f6730f46ebb869c34c0656"/>
    <s v="2018-02-12"/>
    <x v="15"/>
    <x v="3"/>
    <x v="5"/>
    <n v="1"/>
    <n v="34.9"/>
    <n v="7.78"/>
    <s v="credit_card"/>
    <n v="4"/>
    <x v="1"/>
    <x v="2"/>
    <s v="Sao Paulo"/>
  </r>
  <r>
    <s v="77e4da3755c479aac3d6f7f2a5e94516"/>
    <s v="2018-02-13"/>
    <x v="15"/>
    <x v="3"/>
    <x v="4"/>
    <n v="1"/>
    <n v="99.99"/>
    <n v="14.43"/>
    <s v="credit_card"/>
    <n v="24"/>
    <x v="1"/>
    <x v="3"/>
    <s v="Sao Paulo"/>
  </r>
  <r>
    <s v="41c4425628d692f2d1b59c3c6702429e"/>
    <s v="2018-02-13"/>
    <x v="15"/>
    <x v="11"/>
    <x v="20"/>
    <n v="1"/>
    <n v="229.99"/>
    <n v="34.06"/>
    <s v="boleto"/>
    <n v="29"/>
    <x v="1"/>
    <x v="3"/>
    <s v="Para"/>
  </r>
  <r>
    <s v="f9987d1807253fd86a6152d06bcc46a3"/>
    <s v="2018-02-13"/>
    <x v="15"/>
    <x v="3"/>
    <x v="1"/>
    <n v="1"/>
    <n v="159.99"/>
    <n v="16.88"/>
    <s v="credit_card"/>
    <n v="13"/>
    <x v="1"/>
    <x v="2"/>
    <s v="Sao Paulo"/>
  </r>
  <r>
    <s v="b41f51ebf23530b00f69e5602f81a653"/>
    <s v="2018-02-13"/>
    <x v="15"/>
    <x v="3"/>
    <x v="9"/>
    <n v="1"/>
    <n v="180"/>
    <n v="15.01"/>
    <s v="credit_card"/>
    <n v="12"/>
    <x v="1"/>
    <x v="2"/>
    <s v="Sao Paulo"/>
  </r>
  <r>
    <s v="40ef39d72e573867de1282d22b03b6be"/>
    <s v="2018-02-13"/>
    <x v="15"/>
    <x v="3"/>
    <x v="14"/>
    <n v="1"/>
    <n v="124.9"/>
    <n v="13.89"/>
    <s v="credit_card"/>
    <n v="13"/>
    <x v="1"/>
    <x v="2"/>
    <s v="Sao Paulo"/>
  </r>
  <r>
    <s v="dee78f5da82e27d7d397d61769012fe9"/>
    <s v="2018-02-13"/>
    <x v="15"/>
    <x v="3"/>
    <x v="14"/>
    <n v="1"/>
    <n v="153"/>
    <n v="16.7"/>
    <s v="credit_card"/>
    <n v="8"/>
    <x v="1"/>
    <x v="2"/>
    <s v="Sao Paulo"/>
  </r>
  <r>
    <s v="74482752946085825e5c3270eec7d3a4"/>
    <s v="2018-02-13"/>
    <x v="15"/>
    <x v="7"/>
    <x v="7"/>
    <n v="2"/>
    <n v="99.8"/>
    <n v="35.200000000000003"/>
    <s v="credit_card"/>
    <n v="13"/>
    <x v="1"/>
    <x v="3"/>
    <s v="Minas Gerais"/>
  </r>
  <r>
    <s v="b743373d6701f25279252a6f98a14977"/>
    <s v="2018-02-13"/>
    <x v="15"/>
    <x v="5"/>
    <x v="12"/>
    <n v="1"/>
    <n v="109.9"/>
    <n v="17.02"/>
    <s v="credit_card"/>
    <n v="9"/>
    <x v="1"/>
    <x v="2"/>
    <s v="Parana"/>
  </r>
  <r>
    <s v="119db78602ec4f8cdb8aa475c1fbf655"/>
    <s v="2018-02-13"/>
    <x v="15"/>
    <x v="2"/>
    <x v="9"/>
    <n v="1"/>
    <n v="199"/>
    <n v="16.14"/>
    <s v="credit_card"/>
    <n v="34"/>
    <x v="2"/>
    <x v="0"/>
    <s v="Goias"/>
  </r>
  <r>
    <s v="b143da68f7399622e44dc8229e039413"/>
    <s v="2018-02-13"/>
    <x v="15"/>
    <x v="3"/>
    <x v="2"/>
    <n v="1"/>
    <n v="109"/>
    <n v="16.2"/>
    <s v="credit_card"/>
    <n v="8"/>
    <x v="1"/>
    <x v="1"/>
    <s v="Sao Paulo"/>
  </r>
  <r>
    <s v="c0364ee18a0b18e6da5e7754cf4f4e8a"/>
    <s v="2018-02-13"/>
    <x v="15"/>
    <x v="3"/>
    <x v="4"/>
    <n v="1"/>
    <n v="74.900000000000006"/>
    <n v="12.65"/>
    <s v="credit_card"/>
    <n v="13"/>
    <x v="1"/>
    <x v="2"/>
    <s v="Sao Paulo"/>
  </r>
  <r>
    <s v="00276d5c3491fbf55305e26891040df9"/>
    <s v="2018-02-13"/>
    <x v="15"/>
    <x v="5"/>
    <x v="0"/>
    <n v="1"/>
    <n v="44.9"/>
    <n v="23.22"/>
    <s v="credit_card"/>
    <n v="31"/>
    <x v="1"/>
    <x v="3"/>
    <s v="Parana"/>
  </r>
  <r>
    <s v="f9b9c3c69ef08b6eda32ed086133abb6"/>
    <s v="2018-02-14"/>
    <x v="15"/>
    <x v="3"/>
    <x v="12"/>
    <n v="1"/>
    <n v="48.9"/>
    <n v="9.74"/>
    <s v="credit_card"/>
    <n v="5"/>
    <x v="1"/>
    <x v="2"/>
    <s v="Sao Paulo"/>
  </r>
  <r>
    <s v="e358b1e356a4242ef1e60c1a8e8068a8"/>
    <s v="2018-02-14"/>
    <x v="15"/>
    <x v="5"/>
    <x v="19"/>
    <n v="1"/>
    <n v="73.34"/>
    <n v="77.53"/>
    <s v="debit_card"/>
    <n v="16"/>
    <x v="1"/>
    <x v="2"/>
    <s v="Parana"/>
  </r>
  <r>
    <s v="79b7eb93349ff756b079e5cb0195cd1f"/>
    <s v="2018-02-14"/>
    <x v="15"/>
    <x v="5"/>
    <x v="4"/>
    <n v="5"/>
    <n v="374.5"/>
    <n v="63.25"/>
    <s v="credit_card"/>
    <n v="14"/>
    <x v="1"/>
    <x v="3"/>
    <s v="Parana"/>
  </r>
  <r>
    <s v="87500eb4c129524a989447f3fb4d5c8d"/>
    <s v="2018-02-14"/>
    <x v="15"/>
    <x v="3"/>
    <x v="14"/>
    <n v="1"/>
    <n v="72.900000000000006"/>
    <n v="12.01"/>
    <s v="credit_card"/>
    <n v="28"/>
    <x v="2"/>
    <x v="0"/>
    <s v="Sao Paulo"/>
  </r>
  <r>
    <s v="bf9550703d5af230399ad5d1080d6683"/>
    <s v="2018-02-14"/>
    <x v="15"/>
    <x v="3"/>
    <x v="0"/>
    <n v="1"/>
    <n v="107.9"/>
    <n v="13.78"/>
    <s v="credit_card"/>
    <n v="9"/>
    <x v="1"/>
    <x v="2"/>
    <s v="Sao Paulo"/>
  </r>
  <r>
    <s v="79164f97a0f684659f0881551ed73a2e"/>
    <s v="2018-02-14"/>
    <x v="15"/>
    <x v="8"/>
    <x v="4"/>
    <n v="1"/>
    <n v="149.9"/>
    <n v="27.9"/>
    <s v="boleto"/>
    <n v="27"/>
    <x v="2"/>
    <x v="1"/>
    <s v="Santa Catarina"/>
  </r>
  <r>
    <s v="46b6b021ac3c927cdf04d4d7533e8759"/>
    <s v="2018-02-14"/>
    <x v="15"/>
    <x v="3"/>
    <x v="18"/>
    <n v="1"/>
    <n v="35"/>
    <n v="7.78"/>
    <s v="credit_card"/>
    <n v="7"/>
    <x v="1"/>
    <x v="2"/>
    <s v="Sao Paulo"/>
  </r>
  <r>
    <s v="2792c2657bcaae781c8261d93fda4937"/>
    <s v="2018-02-14"/>
    <x v="15"/>
    <x v="2"/>
    <x v="9"/>
    <n v="1"/>
    <n v="59.9"/>
    <n v="19.66"/>
    <s v="boleto"/>
    <n v="19"/>
    <x v="1"/>
    <x v="3"/>
    <s v="Goias"/>
  </r>
  <r>
    <s v="746327966e37217c499ecfb3caedf658"/>
    <s v="2018-02-14"/>
    <x v="15"/>
    <x v="26"/>
    <x v="45"/>
    <n v="1"/>
    <n v="16.989999999999998"/>
    <n v="21.15"/>
    <s v="credit_card"/>
    <n v="16"/>
    <x v="1"/>
    <x v="0"/>
    <s v="Paraiba"/>
  </r>
  <r>
    <s v="abe5ab54fe457eecba0ede09db8fa0ef"/>
    <s v="2018-02-14"/>
    <x v="15"/>
    <x v="3"/>
    <x v="4"/>
    <n v="1"/>
    <n v="69.900000000000006"/>
    <n v="12.62"/>
    <s v="credit_card"/>
    <n v="18"/>
    <x v="1"/>
    <x v="3"/>
    <s v="Sao Paulo"/>
  </r>
  <r>
    <s v="49fa096844c2241fc5db183cc11bd550"/>
    <s v="2018-02-15"/>
    <x v="15"/>
    <x v="3"/>
    <x v="9"/>
    <n v="1"/>
    <n v="23.99"/>
    <n v="7.78"/>
    <s v="credit_card"/>
    <n v="6"/>
    <x v="1"/>
    <x v="3"/>
    <s v="Sao Paulo"/>
  </r>
  <r>
    <s v="21fc1ff2a7ed8b2ec6ff62ac18d7a1b7"/>
    <s v="2018-02-15"/>
    <x v="15"/>
    <x v="5"/>
    <x v="8"/>
    <n v="1"/>
    <n v="55"/>
    <n v="16.64"/>
    <s v="credit_card"/>
    <n v="18"/>
    <x v="1"/>
    <x v="2"/>
    <s v="Parana"/>
  </r>
  <r>
    <s v="076ae5516316ecf9f17dc3cc78437eac"/>
    <s v="2018-02-15"/>
    <x v="15"/>
    <x v="21"/>
    <x v="13"/>
    <n v="1"/>
    <n v="27.9"/>
    <n v="16.79"/>
    <s v="credit_card"/>
    <n v="15"/>
    <x v="1"/>
    <x v="3"/>
    <s v="Bahia"/>
  </r>
  <r>
    <s v="46bdbe48b6f5daa3dcc38e41599d0403"/>
    <s v="2018-02-15"/>
    <x v="15"/>
    <x v="5"/>
    <x v="0"/>
    <n v="1"/>
    <n v="48.9"/>
    <n v="15.1"/>
    <s v="credit_card"/>
    <n v="7"/>
    <x v="1"/>
    <x v="3"/>
    <s v="Parana"/>
  </r>
  <r>
    <s v="b6dd6ea76331ce0249dae4167d1ca9d9"/>
    <s v="2018-02-15"/>
    <x v="15"/>
    <x v="3"/>
    <x v="1"/>
    <n v="1"/>
    <n v="28.7"/>
    <n v="14.1"/>
    <s v="boleto"/>
    <n v="11"/>
    <x v="1"/>
    <x v="3"/>
    <s v="Sao Paulo"/>
  </r>
  <r>
    <s v="424082e645209b3418f1b60266c28976"/>
    <s v="2018-02-15"/>
    <x v="15"/>
    <x v="1"/>
    <x v="26"/>
    <n v="1"/>
    <n v="227.88"/>
    <n v="59.22"/>
    <s v="credit_card"/>
    <n v="26"/>
    <x v="1"/>
    <x v="2"/>
    <s v="Rio Grande do Sul"/>
  </r>
  <r>
    <s v="784a19dd0d5ab3f6d2c970c3d5210215"/>
    <s v="2018-02-15"/>
    <x v="15"/>
    <x v="7"/>
    <x v="26"/>
    <n v="1"/>
    <n v="145.9"/>
    <n v="28.4"/>
    <s v="credit_card"/>
    <n v="5"/>
    <x v="1"/>
    <x v="2"/>
    <s v="Minas Gerais"/>
  </r>
  <r>
    <s v="845a41eded3c6992c0d8ac505c7475fb"/>
    <s v="2018-02-15"/>
    <x v="15"/>
    <x v="3"/>
    <x v="2"/>
    <n v="2"/>
    <n v="119.98"/>
    <n v="17.440000000000001"/>
    <s v="credit_card"/>
    <n v="4"/>
    <x v="1"/>
    <x v="0"/>
    <s v="Sao Paulo"/>
  </r>
  <r>
    <s v="02c8875e5351540e76019fb7429e163f"/>
    <s v="2018-02-15"/>
    <x v="15"/>
    <x v="3"/>
    <x v="17"/>
    <n v="1"/>
    <n v="9"/>
    <n v="7.78"/>
    <s v="credit_card"/>
    <n v="7"/>
    <x v="1"/>
    <x v="3"/>
    <s v="Sao Paulo"/>
  </r>
  <r>
    <s v="63099b1ba1729612750a8903f7be76d5"/>
    <s v="2018-02-16"/>
    <x v="15"/>
    <x v="18"/>
    <x v="1"/>
    <n v="1"/>
    <n v="120"/>
    <n v="14.59"/>
    <s v="credit_card"/>
    <n v="17"/>
    <x v="1"/>
    <x v="3"/>
    <s v="Distrito Federal"/>
  </r>
  <r>
    <s v="cdeec5de39a62045ad7edd0f00cc8858"/>
    <s v="2018-02-16"/>
    <x v="15"/>
    <x v="4"/>
    <x v="4"/>
    <n v="1"/>
    <n v="45.22"/>
    <n v="18.89"/>
    <s v="credit_card"/>
    <n v="59"/>
    <x v="2"/>
    <x v="0"/>
    <s v="Rio de Janeiro"/>
  </r>
  <r>
    <s v="db7a9e1d2cbac54cc7ead44f1ae8535c"/>
    <s v="2018-02-16"/>
    <x v="15"/>
    <x v="3"/>
    <x v="20"/>
    <n v="1"/>
    <n v="176.99"/>
    <n v="15.99"/>
    <s v="credit_card"/>
    <n v="4"/>
    <x v="1"/>
    <x v="1"/>
    <s v="Sao Paulo"/>
  </r>
  <r>
    <s v="ceb9cfd5bb1caf536006196e9469e396"/>
    <s v="2018-02-16"/>
    <x v="15"/>
    <x v="7"/>
    <x v="0"/>
    <n v="1"/>
    <n v="249.9"/>
    <n v="41.53"/>
    <s v="credit_card"/>
    <n v="11"/>
    <x v="1"/>
    <x v="2"/>
    <s v="Minas Gerais"/>
  </r>
  <r>
    <s v="0275c0ac1928093069b95bb67cba52d8"/>
    <s v="2018-02-16"/>
    <x v="15"/>
    <x v="21"/>
    <x v="14"/>
    <n v="1"/>
    <n v="49.8"/>
    <n v="16.79"/>
    <s v="credit_card"/>
    <n v="25"/>
    <x v="1"/>
    <x v="2"/>
    <s v="Bahia"/>
  </r>
  <r>
    <s v="202e894238874491c6d7ab51da37d94c"/>
    <s v="2018-02-16"/>
    <x v="15"/>
    <x v="3"/>
    <x v="12"/>
    <n v="1"/>
    <n v="979"/>
    <n v="78.2"/>
    <s v="credit_card"/>
    <n v="38"/>
    <x v="2"/>
    <x v="0"/>
    <s v="Sao Paulo"/>
  </r>
  <r>
    <s v="a2f1b733d3d3cb7185e9661387534161"/>
    <s v="2018-02-16"/>
    <x v="15"/>
    <x v="3"/>
    <x v="4"/>
    <n v="2"/>
    <n v="170.9"/>
    <n v="25.46"/>
    <s v="credit_card"/>
    <n v="11"/>
    <x v="1"/>
    <x v="0"/>
    <s v="Sao Paulo"/>
  </r>
  <r>
    <s v="bd8de0e9e67e7b99e86ed5f18b600577"/>
    <s v="2018-02-16"/>
    <x v="15"/>
    <x v="6"/>
    <x v="6"/>
    <n v="1"/>
    <n v="219"/>
    <n v="43.56"/>
    <s v="credit_card"/>
    <n v="23"/>
    <x v="1"/>
    <x v="2"/>
    <s v="Pernambuco"/>
  </r>
  <r>
    <s v="d73caf75e86f5410db52767cb6784b5a"/>
    <s v="2018-02-16"/>
    <x v="15"/>
    <x v="4"/>
    <x v="17"/>
    <n v="1"/>
    <n v="21.9"/>
    <n v="14.1"/>
    <s v="credit_card"/>
    <n v="10"/>
    <x v="1"/>
    <x v="2"/>
    <s v="Rio de Janeiro"/>
  </r>
  <r>
    <s v="462f9cc53b515876d85050cb79dabf3c"/>
    <s v="2018-02-16"/>
    <x v="15"/>
    <x v="8"/>
    <x v="7"/>
    <n v="1"/>
    <n v="229"/>
    <n v="15.47"/>
    <s v="credit_card"/>
    <n v="4"/>
    <x v="1"/>
    <x v="3"/>
    <s v="Santa Catarina"/>
  </r>
  <r>
    <s v="60f57fe756bf90250589634133afea3a"/>
    <s v="2018-02-16"/>
    <x v="15"/>
    <x v="3"/>
    <x v="6"/>
    <n v="1"/>
    <n v="24.99"/>
    <n v="7.78"/>
    <s v="credit_card"/>
    <n v="27"/>
    <x v="2"/>
    <x v="1"/>
    <s v="Sao Paulo"/>
  </r>
  <r>
    <s v="9293a0b9f66eb89c45d984173b2f3999"/>
    <s v="2018-02-16"/>
    <x v="15"/>
    <x v="7"/>
    <x v="4"/>
    <n v="2"/>
    <n v="189.9"/>
    <n v="53.21"/>
    <s v="boleto"/>
    <n v="18"/>
    <x v="1"/>
    <x v="3"/>
    <s v="Minas Gerais"/>
  </r>
  <r>
    <s v="2fe3cac4410271c6297a141898af28f0"/>
    <s v="2018-02-17"/>
    <x v="15"/>
    <x v="4"/>
    <x v="0"/>
    <n v="1"/>
    <n v="79.989999999999995"/>
    <n v="17.809999999999999"/>
    <s v="credit_card"/>
    <n v="65"/>
    <x v="2"/>
    <x v="0"/>
    <s v="Rio de Janeiro"/>
  </r>
  <r>
    <s v="53cc826fc95813b674969ef042406273"/>
    <s v="2018-02-17"/>
    <x v="15"/>
    <x v="3"/>
    <x v="19"/>
    <n v="1"/>
    <n v="58.9"/>
    <n v="14.13"/>
    <s v="credit_card"/>
    <n v="4"/>
    <x v="1"/>
    <x v="2"/>
    <s v="Sao Paulo"/>
  </r>
  <r>
    <s v="636cdd02667dc8d76d9296bf20a6890a"/>
    <s v="2018-02-17"/>
    <x v="15"/>
    <x v="3"/>
    <x v="7"/>
    <n v="1"/>
    <n v="179"/>
    <n v="45.71"/>
    <s v="boleto"/>
    <m/>
    <x v="0"/>
    <x v="0"/>
    <s v="Sao Paulo"/>
  </r>
  <r>
    <s v="2af0498329b50fd808f047d738bf0f39"/>
    <s v="2018-02-17"/>
    <x v="15"/>
    <x v="21"/>
    <x v="6"/>
    <n v="1"/>
    <n v="29.99"/>
    <n v="16.79"/>
    <s v="credit_card"/>
    <n v="18"/>
    <x v="1"/>
    <x v="2"/>
    <s v="Bahia"/>
  </r>
  <r>
    <s v="a7d6efcf25cbcbce23dbef446eb827d6"/>
    <s v="2018-02-17"/>
    <x v="15"/>
    <x v="5"/>
    <x v="19"/>
    <n v="1"/>
    <n v="97"/>
    <n v="16.440000000000001"/>
    <s v="boleto"/>
    <n v="38"/>
    <x v="2"/>
    <x v="0"/>
    <s v="Parana"/>
  </r>
  <r>
    <s v="4f0a2c058df62bfe77f0e0e1e1ca66eb"/>
    <s v="2018-02-17"/>
    <x v="15"/>
    <x v="3"/>
    <x v="19"/>
    <n v="1"/>
    <n v="120"/>
    <n v="17.55"/>
    <s v="credit_card"/>
    <n v="16"/>
    <x v="1"/>
    <x v="1"/>
    <s v="Sao Paulo"/>
  </r>
  <r>
    <s v="3ff79cc8f927df012dd6b1b823632745"/>
    <s v="2018-02-17"/>
    <x v="15"/>
    <x v="3"/>
    <x v="14"/>
    <n v="1"/>
    <n v="86.7"/>
    <n v="17.86"/>
    <s v="credit_card"/>
    <n v="16"/>
    <x v="1"/>
    <x v="2"/>
    <s v="Sao Paulo"/>
  </r>
  <r>
    <s v="fbab2f1499ada7711dc92e28e8e2cee9"/>
    <s v="2018-02-17"/>
    <x v="15"/>
    <x v="3"/>
    <x v="25"/>
    <n v="1"/>
    <n v="105"/>
    <n v="30.57"/>
    <s v="boleto"/>
    <n v="6"/>
    <x v="1"/>
    <x v="2"/>
    <s v="Sao Paulo"/>
  </r>
  <r>
    <s v="9b0ea51a8dddc4af77a94448e58d332f"/>
    <s v="2018-02-17"/>
    <x v="15"/>
    <x v="3"/>
    <x v="5"/>
    <n v="1"/>
    <n v="79.989999999999995"/>
    <n v="9.3699999999999992"/>
    <s v="credit_card"/>
    <n v="9"/>
    <x v="1"/>
    <x v="2"/>
    <s v="Sao Paulo"/>
  </r>
  <r>
    <s v="bf5a9e57fbe689b1b85de15b792b1d21"/>
    <s v="2018-02-18"/>
    <x v="15"/>
    <x v="3"/>
    <x v="37"/>
    <n v="1"/>
    <n v="53.49"/>
    <n v="8.7200000000000006"/>
    <s v="credit_card"/>
    <n v="9"/>
    <x v="1"/>
    <x v="3"/>
    <s v="Sao Paulo"/>
  </r>
  <r>
    <s v="de667b5fad55b8d18285f1d32a4f5e49"/>
    <s v="2018-02-18"/>
    <x v="15"/>
    <x v="4"/>
    <x v="17"/>
    <n v="1"/>
    <n v="19.899999999999999"/>
    <n v="16.79"/>
    <s v="credit_card"/>
    <n v="23"/>
    <x v="1"/>
    <x v="2"/>
    <s v="Rio de Janeiro"/>
  </r>
  <r>
    <s v="9b402354813f3cab904867d9ca2dfc92"/>
    <s v="2018-02-18"/>
    <x v="15"/>
    <x v="4"/>
    <x v="17"/>
    <n v="1"/>
    <n v="356"/>
    <n v="18.25"/>
    <s v="credit_card"/>
    <n v="12"/>
    <x v="1"/>
    <x v="2"/>
    <s v="Rio de Janeiro"/>
  </r>
  <r>
    <s v="8d29abe41d9157240194d0210b529771"/>
    <s v="2018-02-18"/>
    <x v="15"/>
    <x v="3"/>
    <x v="1"/>
    <n v="1"/>
    <n v="59.9"/>
    <n v="16.18"/>
    <s v="credit_card"/>
    <n v="9"/>
    <x v="1"/>
    <x v="3"/>
    <s v="Sao Paulo"/>
  </r>
  <r>
    <s v="52fbc14060ffe1b2c4ab8657fa248084"/>
    <s v="2018-02-18"/>
    <x v="15"/>
    <x v="3"/>
    <x v="17"/>
    <n v="1"/>
    <n v="18.899999999999999"/>
    <n v="12.48"/>
    <s v="credit_card"/>
    <n v="15"/>
    <x v="1"/>
    <x v="3"/>
    <s v="Sao Paulo"/>
  </r>
  <r>
    <s v="178e15ed751c7d56dfba347c28d50b06"/>
    <s v="2018-02-18"/>
    <x v="15"/>
    <x v="3"/>
    <x v="26"/>
    <n v="1"/>
    <n v="157.77000000000001"/>
    <n v="9.3000000000000007"/>
    <s v="credit_card"/>
    <n v="2"/>
    <x v="1"/>
    <x v="2"/>
    <s v="Sao Paulo"/>
  </r>
  <r>
    <s v="cc03c9ec9bb354486404b1df587bfc8f"/>
    <s v="2018-02-18"/>
    <x v="15"/>
    <x v="3"/>
    <x v="14"/>
    <n v="1"/>
    <n v="36.99"/>
    <n v="11.85"/>
    <s v="credit_card"/>
    <n v="7"/>
    <x v="1"/>
    <x v="3"/>
    <s v="Sao Paulo"/>
  </r>
  <r>
    <s v="a5f747164d57e9cdaf58787ec8158e9c"/>
    <s v="2018-02-18"/>
    <x v="15"/>
    <x v="4"/>
    <x v="17"/>
    <n v="1"/>
    <n v="199.9"/>
    <n v="41.79"/>
    <s v="credit_card"/>
    <n v="11"/>
    <x v="1"/>
    <x v="2"/>
    <s v="Rio de Janeiro"/>
  </r>
  <r>
    <s v="0e767a1aa94def2bf5f3520ddb1dbe96"/>
    <s v="2018-02-19"/>
    <x v="15"/>
    <x v="3"/>
    <x v="4"/>
    <n v="1"/>
    <n v="31.9"/>
    <n v="14.1"/>
    <s v="credit_card"/>
    <n v="13"/>
    <x v="1"/>
    <x v="2"/>
    <s v="Sao Paulo"/>
  </r>
  <r>
    <s v="a7eddde56d5836e33a95adc2e8586cf6"/>
    <s v="2018-02-19"/>
    <x v="15"/>
    <x v="3"/>
    <x v="19"/>
    <n v="2"/>
    <n v="29"/>
    <n v="23.46"/>
    <s v="credit_card"/>
    <n v="9"/>
    <x v="1"/>
    <x v="2"/>
    <s v="Sao Paulo"/>
  </r>
  <r>
    <s v="bf5099786cc9dcd17a4961c9406fb3f3"/>
    <s v="2018-02-19"/>
    <x v="15"/>
    <x v="4"/>
    <x v="4"/>
    <n v="1"/>
    <n v="68.900000000000006"/>
    <n v="16.920000000000002"/>
    <s v="credit_card"/>
    <n v="35"/>
    <x v="2"/>
    <x v="0"/>
    <s v="Rio de Janeiro"/>
  </r>
  <r>
    <s v="9bfcc088220bc74e76f4341292d16d76"/>
    <s v="2018-02-19"/>
    <x v="15"/>
    <x v="3"/>
    <x v="1"/>
    <n v="1"/>
    <n v="29"/>
    <n v="9.27"/>
    <s v="boleto"/>
    <n v="15"/>
    <x v="2"/>
    <x v="2"/>
    <s v="Sao Paulo"/>
  </r>
  <r>
    <s v="b12e6c26723c864922c152d097c3e87e"/>
    <s v="2018-02-19"/>
    <x v="15"/>
    <x v="4"/>
    <x v="1"/>
    <n v="1"/>
    <n v="104.9"/>
    <n v="16.489999999999998"/>
    <s v="credit_card"/>
    <n v="10"/>
    <x v="1"/>
    <x v="0"/>
    <s v="Rio de Janeiro"/>
  </r>
  <r>
    <s v="9ec74bf72142ae60bcda0241adf1b4d8"/>
    <s v="2018-02-19"/>
    <x v="15"/>
    <x v="7"/>
    <x v="20"/>
    <n v="1"/>
    <n v="144.99"/>
    <n v="18.260000000000002"/>
    <s v="credit_card"/>
    <n v="14"/>
    <x v="1"/>
    <x v="2"/>
    <s v="Minas Gerais"/>
  </r>
  <r>
    <s v="0055b77cca3186676c147f532dd2547b"/>
    <s v="2018-02-19"/>
    <x v="15"/>
    <x v="4"/>
    <x v="4"/>
    <n v="1"/>
    <n v="149"/>
    <n v="40.369999999999997"/>
    <s v="credit_card"/>
    <n v="15"/>
    <x v="1"/>
    <x v="2"/>
    <s v="Rio de Janeiro"/>
  </r>
  <r>
    <s v="3b7a0831b87f721284d340cd1b55fb91"/>
    <s v="2018-02-19"/>
    <x v="15"/>
    <x v="8"/>
    <x v="1"/>
    <n v="1"/>
    <n v="44.9"/>
    <n v="15.1"/>
    <s v="boleto"/>
    <n v="14"/>
    <x v="1"/>
    <x v="2"/>
    <s v="Santa Catarina"/>
  </r>
  <r>
    <s v="7ad98754c4b268d09d188885ab8145ef"/>
    <s v="2018-02-19"/>
    <x v="15"/>
    <x v="3"/>
    <x v="14"/>
    <n v="1"/>
    <n v="53"/>
    <n v="12.71"/>
    <s v="boleto"/>
    <n v="14"/>
    <x v="1"/>
    <x v="5"/>
    <s v="Sao Paulo"/>
  </r>
  <r>
    <s v="0d2ab5712ce82b9059da04a32ded871c"/>
    <s v="2018-02-19"/>
    <x v="15"/>
    <x v="3"/>
    <x v="33"/>
    <n v="1"/>
    <n v="129.9"/>
    <n v="13.93"/>
    <s v="credit_card"/>
    <n v="8"/>
    <x v="1"/>
    <x v="3"/>
    <s v="Sao Paulo"/>
  </r>
  <r>
    <s v="cafe1030b50f6fbe232a1532e95c89a6"/>
    <s v="2018-02-19"/>
    <x v="15"/>
    <x v="7"/>
    <x v="21"/>
    <n v="1"/>
    <n v="104.97"/>
    <n v="14.48"/>
    <s v="credit_card"/>
    <n v="28"/>
    <x v="2"/>
    <x v="5"/>
    <s v="Minas Gerais"/>
  </r>
  <r>
    <s v="9c0e8894e1007783cb1b4922e9e46aef"/>
    <s v="2018-02-19"/>
    <x v="15"/>
    <x v="21"/>
    <x v="4"/>
    <n v="1"/>
    <n v="46.9"/>
    <n v="16.79"/>
    <s v="credit_card"/>
    <m/>
    <x v="0"/>
    <x v="0"/>
    <s v="Bahia"/>
  </r>
  <r>
    <s v="2161b956d146a9bfd00fd463b69c6ba1"/>
    <s v="2018-02-19"/>
    <x v="15"/>
    <x v="18"/>
    <x v="4"/>
    <n v="1"/>
    <n v="74.900000000000006"/>
    <n v="14.27"/>
    <s v="credit_card"/>
    <n v="15"/>
    <x v="1"/>
    <x v="2"/>
    <s v="Distrito Federal"/>
  </r>
  <r>
    <s v="9a768a8d504ada830b38d678f12d972e"/>
    <s v="2018-02-19"/>
    <x v="15"/>
    <x v="3"/>
    <x v="6"/>
    <n v="1"/>
    <n v="29.98"/>
    <n v="7.78"/>
    <s v="boleto"/>
    <n v="4"/>
    <x v="1"/>
    <x v="3"/>
    <s v="Sao Paulo"/>
  </r>
  <r>
    <s v="d1b78e9aa448923bc97828d395174fb6"/>
    <s v="2018-02-19"/>
    <x v="15"/>
    <x v="4"/>
    <x v="12"/>
    <n v="1"/>
    <n v="134.9"/>
    <n v="16.7"/>
    <s v="credit_card"/>
    <n v="9"/>
    <x v="1"/>
    <x v="3"/>
    <s v="Rio de Janeiro"/>
  </r>
  <r>
    <s v="1a69d5fdff0003d4571dffa1a9a10967"/>
    <s v="2018-02-19"/>
    <x v="15"/>
    <x v="3"/>
    <x v="4"/>
    <n v="1"/>
    <n v="82"/>
    <n v="12.7"/>
    <s v="credit_card"/>
    <n v="17"/>
    <x v="1"/>
    <x v="3"/>
    <s v="Sao Paulo"/>
  </r>
  <r>
    <s v="46a9fa5d713a569777fb30562505588f"/>
    <s v="2018-02-20"/>
    <x v="15"/>
    <x v="4"/>
    <x v="13"/>
    <n v="1"/>
    <n v="119.9"/>
    <n v="25.68"/>
    <s v="credit_card"/>
    <n v="9"/>
    <x v="1"/>
    <x v="2"/>
    <s v="Rio de Janeiro"/>
  </r>
  <r>
    <s v="fddb3d597fc61e3f11ce9e3e8e7a3706"/>
    <s v="2018-02-20"/>
    <x v="15"/>
    <x v="8"/>
    <x v="29"/>
    <n v="1"/>
    <n v="19.899999999999999"/>
    <n v="15.1"/>
    <s v="credit_card"/>
    <n v="28"/>
    <x v="2"/>
    <x v="5"/>
    <s v="Santa Catarina"/>
  </r>
  <r>
    <s v="adaab7718f21c04f40290e5afb01486b"/>
    <s v="2018-02-20"/>
    <x v="15"/>
    <x v="7"/>
    <x v="9"/>
    <n v="1"/>
    <n v="45.36"/>
    <n v="15.1"/>
    <s v="boleto"/>
    <n v="41"/>
    <x v="2"/>
    <x v="0"/>
    <s v="Minas Gerais"/>
  </r>
  <r>
    <s v="438d21eed7b8ea0654acee9b08bdd5ce"/>
    <s v="2018-02-20"/>
    <x v="15"/>
    <x v="1"/>
    <x v="1"/>
    <n v="1"/>
    <n v="149.9"/>
    <n v="15.8"/>
    <s v="credit_card"/>
    <n v="16"/>
    <x v="1"/>
    <x v="2"/>
    <s v="Rio Grande do Sul"/>
  </r>
  <r>
    <s v="b3b79c755af727f1f4f48351296842c6"/>
    <s v="2018-02-20"/>
    <x v="15"/>
    <x v="21"/>
    <x v="6"/>
    <n v="1"/>
    <n v="27.99"/>
    <n v="15.79"/>
    <s v="credit_card"/>
    <n v="8"/>
    <x v="1"/>
    <x v="2"/>
    <s v="Bahia"/>
  </r>
  <r>
    <s v="23af56e201b15091e86aebe6bde84b2b"/>
    <s v="2018-02-20"/>
    <x v="15"/>
    <x v="4"/>
    <x v="22"/>
    <n v="1"/>
    <n v="127.49"/>
    <n v="20.13"/>
    <s v="credit_card"/>
    <n v="29"/>
    <x v="2"/>
    <x v="3"/>
    <s v="Rio de Janeiro"/>
  </r>
  <r>
    <s v="03fefb6f166efd081e05a842f7def973"/>
    <s v="2018-02-20"/>
    <x v="15"/>
    <x v="3"/>
    <x v="1"/>
    <n v="1"/>
    <n v="107"/>
    <n v="12.25"/>
    <s v="credit_card"/>
    <n v="15"/>
    <x v="1"/>
    <x v="2"/>
    <s v="Sao Paulo"/>
  </r>
  <r>
    <s v="1ec979be6088053a577e364179b5526b"/>
    <s v="2018-02-20"/>
    <x v="15"/>
    <x v="4"/>
    <x v="9"/>
    <n v="1"/>
    <n v="99.9"/>
    <n v="13.53"/>
    <s v="credit_card"/>
    <n v="6"/>
    <x v="1"/>
    <x v="2"/>
    <s v="Rio de Janeiro"/>
  </r>
  <r>
    <s v="759daf685e390bf00ca48c53b132205b"/>
    <s v="2018-02-20"/>
    <x v="15"/>
    <x v="5"/>
    <x v="0"/>
    <n v="1"/>
    <n v="119"/>
    <n v="12.54"/>
    <s v="credit_card"/>
    <n v="2"/>
    <x v="1"/>
    <x v="5"/>
    <s v="Parana"/>
  </r>
  <r>
    <s v="f24bbebc2c8ba687b65f1be751dd8982"/>
    <s v="2018-02-20"/>
    <x v="15"/>
    <x v="4"/>
    <x v="4"/>
    <n v="1"/>
    <n v="29.9"/>
    <n v="15.1"/>
    <s v="credit_card"/>
    <n v="57"/>
    <x v="2"/>
    <x v="0"/>
    <s v="Rio de Janeiro"/>
  </r>
  <r>
    <s v="372be5fecee4c918be0eb2a2053a3203"/>
    <s v="2018-02-20"/>
    <x v="15"/>
    <x v="3"/>
    <x v="54"/>
    <n v="1"/>
    <n v="320"/>
    <n v="16.989999999999998"/>
    <s v="credit_card"/>
    <n v="10"/>
    <x v="1"/>
    <x v="5"/>
    <s v="Sao Paulo"/>
  </r>
  <r>
    <s v="8d00e06d3fa925f408fd286f9805a765"/>
    <s v="2018-02-20"/>
    <x v="15"/>
    <x v="7"/>
    <x v="1"/>
    <n v="1"/>
    <n v="109.95"/>
    <n v="13.79"/>
    <s v="credit_card"/>
    <n v="9"/>
    <x v="1"/>
    <x v="2"/>
    <s v="Minas Gerais"/>
  </r>
  <r>
    <s v="22e899657e64cb7c60e18c2dba129498"/>
    <s v="2018-02-20"/>
    <x v="15"/>
    <x v="7"/>
    <x v="1"/>
    <n v="1"/>
    <n v="23.8"/>
    <n v="8.11"/>
    <s v="credit_card"/>
    <n v="2"/>
    <x v="1"/>
    <x v="2"/>
    <s v="Minas Gerais"/>
  </r>
  <r>
    <s v="74fabba2032e7c6ce81eddebe5c4a368"/>
    <s v="2018-02-20"/>
    <x v="15"/>
    <x v="26"/>
    <x v="64"/>
    <n v="1"/>
    <n v="309"/>
    <n v="46.01"/>
    <s v="credit_card"/>
    <n v="16"/>
    <x v="1"/>
    <x v="2"/>
    <s v="Paraiba"/>
  </r>
  <r>
    <s v="9a900606a9398af4cfd33ef935bb00ed"/>
    <s v="2018-02-20"/>
    <x v="15"/>
    <x v="4"/>
    <x v="9"/>
    <n v="1"/>
    <n v="59.99"/>
    <n v="17.670000000000002"/>
    <s v="credit_card"/>
    <n v="5"/>
    <x v="1"/>
    <x v="2"/>
    <s v="Rio de Janeiro"/>
  </r>
  <r>
    <s v="fcc5a62afff48fe81c286fba58b2fa08"/>
    <s v="2018-02-21"/>
    <x v="15"/>
    <x v="7"/>
    <x v="5"/>
    <n v="1"/>
    <n v="15.99"/>
    <n v="15.1"/>
    <s v="boleto"/>
    <n v="13"/>
    <x v="1"/>
    <x v="3"/>
    <s v="Minas Gerais"/>
  </r>
  <r>
    <s v="bb8fe9bf968acfff626cedabf06d766d"/>
    <s v="2018-02-21"/>
    <x v="15"/>
    <x v="3"/>
    <x v="1"/>
    <n v="1"/>
    <n v="130"/>
    <n v="8.65"/>
    <s v="credit_card"/>
    <n v="8"/>
    <x v="1"/>
    <x v="3"/>
    <s v="Sao Paulo"/>
  </r>
  <r>
    <s v="a0fb1c238c7bcff487ee3095d577be86"/>
    <s v="2018-02-21"/>
    <x v="15"/>
    <x v="3"/>
    <x v="9"/>
    <n v="1"/>
    <n v="150"/>
    <n v="12.55"/>
    <s v="credit_card"/>
    <n v="12"/>
    <x v="1"/>
    <x v="2"/>
    <s v="Sao Paulo"/>
  </r>
  <r>
    <s v="26047a1aef2518e6b2d19aaac4cc1520"/>
    <s v="2018-02-21"/>
    <x v="15"/>
    <x v="3"/>
    <x v="12"/>
    <n v="1"/>
    <n v="48.9"/>
    <n v="9.74"/>
    <s v="credit_card"/>
    <n v="5"/>
    <x v="1"/>
    <x v="2"/>
    <s v="Sao Paulo"/>
  </r>
  <r>
    <s v="c0cb4eb4f8b433eb1d73091276e12ebd"/>
    <s v="2018-02-21"/>
    <x v="15"/>
    <x v="3"/>
    <x v="19"/>
    <n v="1"/>
    <n v="204.99"/>
    <n v="18"/>
    <s v="credit_card"/>
    <n v="20"/>
    <x v="1"/>
    <x v="2"/>
    <s v="Sao Paulo"/>
  </r>
  <r>
    <s v="45d401cfadade31e1b461e030548b712"/>
    <s v="2018-02-21"/>
    <x v="15"/>
    <x v="7"/>
    <x v="12"/>
    <n v="1"/>
    <n v="130"/>
    <n v="20.149999999999999"/>
    <s v="credit_card"/>
    <n v="9"/>
    <x v="1"/>
    <x v="2"/>
    <s v="Minas Gerais"/>
  </r>
  <r>
    <s v="fde8ba9ac93d634f0221d048bae1dcf3"/>
    <s v="2018-02-21"/>
    <x v="15"/>
    <x v="3"/>
    <x v="21"/>
    <n v="1"/>
    <n v="249.99"/>
    <n v="12.95"/>
    <s v="credit_card"/>
    <n v="4"/>
    <x v="1"/>
    <x v="4"/>
    <s v="Sao Paulo"/>
  </r>
  <r>
    <s v="8d684f38cd1edd267da04f1d65ec5eff"/>
    <s v="2018-02-21"/>
    <x v="15"/>
    <x v="3"/>
    <x v="14"/>
    <n v="1"/>
    <n v="25"/>
    <n v="8.7200000000000006"/>
    <s v="credit_card"/>
    <n v="6"/>
    <x v="1"/>
    <x v="3"/>
    <s v="Sao Paulo"/>
  </r>
  <r>
    <s v="871ea4c791e2d977d094700806eef385"/>
    <s v="2018-02-21"/>
    <x v="15"/>
    <x v="8"/>
    <x v="14"/>
    <n v="1"/>
    <n v="129.99"/>
    <n v="18.16"/>
    <s v="credit_card"/>
    <n v="34"/>
    <x v="2"/>
    <x v="0"/>
    <s v="Santa Catarina"/>
  </r>
  <r>
    <s v="dea1e695f08ba5ff543ac1f0132f6db3"/>
    <s v="2018-02-21"/>
    <x v="15"/>
    <x v="6"/>
    <x v="4"/>
    <n v="1"/>
    <n v="149.9"/>
    <n v="10.26"/>
    <s v="credit_card"/>
    <n v="3"/>
    <x v="1"/>
    <x v="0"/>
    <s v="Pernambuco"/>
  </r>
  <r>
    <s v="2b6f54b1e447bf7916396c36596c4e9e"/>
    <s v="2018-02-21"/>
    <x v="15"/>
    <x v="18"/>
    <x v="0"/>
    <n v="1"/>
    <n v="99.9"/>
    <n v="14.45"/>
    <s v="credit_card"/>
    <n v="15"/>
    <x v="1"/>
    <x v="2"/>
    <s v="Distrito Federal"/>
  </r>
  <r>
    <s v="635b1de13b56852d3dca9d359b7ed8dd"/>
    <s v="2018-02-22"/>
    <x v="15"/>
    <x v="8"/>
    <x v="21"/>
    <n v="1"/>
    <n v="60"/>
    <n v="16.18"/>
    <s v="credit_card"/>
    <n v="14"/>
    <x v="1"/>
    <x v="2"/>
    <s v="Santa Catarina"/>
  </r>
  <r>
    <s v="100e8cf23e7518027376ac07ca0ec96b"/>
    <s v="2018-02-22"/>
    <x v="15"/>
    <x v="3"/>
    <x v="0"/>
    <n v="1"/>
    <n v="69.900000000000006"/>
    <n v="16.12"/>
    <s v="boleto"/>
    <n v="32"/>
    <x v="2"/>
    <x v="0"/>
    <s v="Sao Paulo"/>
  </r>
  <r>
    <s v="f3e2f155986b15b3fc25a97303ab4440"/>
    <s v="2018-02-22"/>
    <x v="15"/>
    <x v="3"/>
    <x v="8"/>
    <n v="2"/>
    <n v="107.8"/>
    <n v="30.26"/>
    <s v="credit_card"/>
    <n v="13"/>
    <x v="1"/>
    <x v="3"/>
    <s v="Sao Paulo"/>
  </r>
  <r>
    <s v="d1292ab43d93a1211d5e3f6589be78af"/>
    <s v="2018-02-22"/>
    <x v="15"/>
    <x v="4"/>
    <x v="1"/>
    <n v="1"/>
    <n v="59.9"/>
    <n v="19.91"/>
    <s v="credit_card"/>
    <m/>
    <x v="0"/>
    <x v="0"/>
    <s v="Rio de Janeiro"/>
  </r>
  <r>
    <s v="c26c0e4d81f8dabd04bd61f7545ece54"/>
    <s v="2018-02-22"/>
    <x v="15"/>
    <x v="7"/>
    <x v="6"/>
    <n v="1"/>
    <n v="21.99"/>
    <n v="14.1"/>
    <s v="credit_card"/>
    <n v="15"/>
    <x v="1"/>
    <x v="3"/>
    <s v="Minas Gerais"/>
  </r>
  <r>
    <s v="97abdc70b137f4f0934fb120debe3b58"/>
    <s v="2018-02-22"/>
    <x v="15"/>
    <x v="7"/>
    <x v="14"/>
    <n v="1"/>
    <n v="219.99"/>
    <n v="26.38"/>
    <s v="boleto"/>
    <n v="15"/>
    <x v="1"/>
    <x v="0"/>
    <s v="Minas Gerais"/>
  </r>
  <r>
    <s v="fa5e15141bbda711d3cf04222db75d2b"/>
    <s v="2018-02-22"/>
    <x v="15"/>
    <x v="3"/>
    <x v="22"/>
    <n v="1"/>
    <n v="165"/>
    <n v="16.78"/>
    <s v="credit_card"/>
    <m/>
    <x v="0"/>
    <x v="0"/>
    <s v="Sao Paulo"/>
  </r>
  <r>
    <s v="5168f4f478a3ad3d61e81119fc158910"/>
    <s v="2018-02-22"/>
    <x v="15"/>
    <x v="17"/>
    <x v="1"/>
    <n v="1"/>
    <n v="132"/>
    <n v="42.95"/>
    <s v="credit_card"/>
    <n v="21"/>
    <x v="1"/>
    <x v="2"/>
    <s v="Rondonia"/>
  </r>
  <r>
    <s v="01bc343311e5b8090b64d6ab287a5cf0"/>
    <s v="2018-02-22"/>
    <x v="15"/>
    <x v="1"/>
    <x v="14"/>
    <n v="2"/>
    <n v="43.98"/>
    <n v="30.2"/>
    <s v="credit_card"/>
    <n v="41"/>
    <x v="2"/>
    <x v="0"/>
    <s v="Rio Grande do Sul"/>
  </r>
  <r>
    <s v="7bd6f884504774c544ac34655eb8953a"/>
    <s v="2018-02-22"/>
    <x v="15"/>
    <x v="1"/>
    <x v="1"/>
    <n v="1"/>
    <n v="80"/>
    <n v="15.31"/>
    <s v="credit_card"/>
    <n v="27"/>
    <x v="1"/>
    <x v="1"/>
    <s v="Rio Grande do Sul"/>
  </r>
  <r>
    <s v="1b15974a0141d54e36626dca3fdc731a"/>
    <s v="2018-02-22"/>
    <x v="15"/>
    <x v="3"/>
    <x v="4"/>
    <n v="20"/>
    <n v="2000"/>
    <n v="202.4"/>
    <s v="boleto"/>
    <n v="10"/>
    <x v="1"/>
    <x v="0"/>
    <s v="Sao Paulo"/>
  </r>
  <r>
    <s v="0ccad283af81aa4910d7cd1e092326d1"/>
    <s v="2018-02-22"/>
    <x v="15"/>
    <x v="3"/>
    <x v="22"/>
    <n v="1"/>
    <n v="108"/>
    <n v="16.52"/>
    <s v="boleto"/>
    <n v="20"/>
    <x v="1"/>
    <x v="3"/>
    <s v="Sao Paulo"/>
  </r>
  <r>
    <s v="cfcb538b0e3d703532d8676f72674a66"/>
    <s v="2018-02-22"/>
    <x v="15"/>
    <x v="7"/>
    <x v="13"/>
    <n v="1"/>
    <n v="69.900000000000006"/>
    <n v="17.739999999999998"/>
    <s v="credit_card"/>
    <n v="13"/>
    <x v="1"/>
    <x v="2"/>
    <s v="Minas Gerais"/>
  </r>
  <r>
    <s v="149d32ba42826835e09c375b8a1fa923"/>
    <s v="2018-02-22"/>
    <x v="15"/>
    <x v="4"/>
    <x v="4"/>
    <n v="1"/>
    <n v="82"/>
    <n v="17.010000000000002"/>
    <s v="credit_card"/>
    <n v="43"/>
    <x v="2"/>
    <x v="0"/>
    <s v="Rio de Janeiro"/>
  </r>
  <r>
    <s v="ded4e6e4d721200bd599d81e5b29901f"/>
    <s v="2018-02-23"/>
    <x v="15"/>
    <x v="7"/>
    <x v="12"/>
    <n v="1"/>
    <n v="148.97999999999999"/>
    <n v="16.8"/>
    <s v="credit_card"/>
    <n v="13"/>
    <x v="1"/>
    <x v="2"/>
    <s v="Minas Gerais"/>
  </r>
  <r>
    <s v="c206348085f589eaf3bcd60a005bb15c"/>
    <s v="2018-02-23"/>
    <x v="15"/>
    <x v="3"/>
    <x v="22"/>
    <n v="1"/>
    <n v="145"/>
    <n v="12.51"/>
    <s v="boleto"/>
    <n v="46"/>
    <x v="2"/>
    <x v="0"/>
    <s v="Sao Paulo"/>
  </r>
  <r>
    <s v="c59585ab4509d02f4685423c12357ed6"/>
    <s v="2018-02-23"/>
    <x v="15"/>
    <x v="3"/>
    <x v="0"/>
    <n v="1"/>
    <n v="39.9"/>
    <n v="15.1"/>
    <s v="boleto"/>
    <n v="12"/>
    <x v="1"/>
    <x v="2"/>
    <s v="Sao Paulo"/>
  </r>
  <r>
    <s v="3a445f42bc5c0d6f94bba006b7de2a85"/>
    <s v="2018-02-23"/>
    <x v="15"/>
    <x v="10"/>
    <x v="7"/>
    <n v="1"/>
    <n v="210"/>
    <n v="23.79"/>
    <s v="credit_card"/>
    <n v="19"/>
    <x v="1"/>
    <x v="2"/>
    <s v="Piaui"/>
  </r>
  <r>
    <s v="2c326cc8b2ff60f30ceb556f4581d7a4"/>
    <s v="2018-02-23"/>
    <x v="15"/>
    <x v="3"/>
    <x v="3"/>
    <n v="1"/>
    <n v="689.89"/>
    <n v="20.59"/>
    <s v="credit_card"/>
    <n v="18"/>
    <x v="1"/>
    <x v="1"/>
    <s v="Sao Paulo"/>
  </r>
  <r>
    <s v="cc178cb47677a3eae9282800d609ffb4"/>
    <s v="2018-02-23"/>
    <x v="15"/>
    <x v="4"/>
    <x v="14"/>
    <n v="1"/>
    <n v="179.9"/>
    <n v="21.75"/>
    <s v="credit_card"/>
    <n v="28"/>
    <x v="2"/>
    <x v="5"/>
    <s v="Rio de Janeiro"/>
  </r>
  <r>
    <s v="ac710ab76d5651200cb6082f2c294d29"/>
    <s v="2018-02-23"/>
    <x v="15"/>
    <x v="5"/>
    <x v="4"/>
    <n v="1"/>
    <n v="29.99"/>
    <n v="14.1"/>
    <s v="credit_card"/>
    <n v="12"/>
    <x v="1"/>
    <x v="2"/>
    <s v="Parana"/>
  </r>
  <r>
    <s v="35774167bb17537229f8ffb6e662981c"/>
    <s v="2018-02-23"/>
    <x v="15"/>
    <x v="3"/>
    <x v="14"/>
    <n v="1"/>
    <n v="44.99"/>
    <n v="13.37"/>
    <s v="credit_card"/>
    <n v="13"/>
    <x v="1"/>
    <x v="3"/>
    <s v="Sao Paulo"/>
  </r>
  <r>
    <s v="a9c2ab2568ed61706babd520ef82b9b2"/>
    <s v="2018-02-24"/>
    <x v="15"/>
    <x v="7"/>
    <x v="1"/>
    <n v="1"/>
    <n v="45.5"/>
    <n v="16.79"/>
    <s v="credit_card"/>
    <n v="8"/>
    <x v="1"/>
    <x v="1"/>
    <s v="Minas Gerais"/>
  </r>
  <r>
    <s v="f93bcee6c5595d8b07ad4f799fe5b590"/>
    <s v="2018-02-24"/>
    <x v="15"/>
    <x v="2"/>
    <x v="13"/>
    <n v="1"/>
    <n v="219.9"/>
    <n v="35.340000000000003"/>
    <s v="credit_card"/>
    <n v="17"/>
    <x v="1"/>
    <x v="1"/>
    <s v="Goias"/>
  </r>
  <r>
    <s v="469693e7d8d566a64be410892965da82"/>
    <s v="2018-02-24"/>
    <x v="15"/>
    <x v="3"/>
    <x v="18"/>
    <n v="1"/>
    <n v="115"/>
    <n v="18.059999999999999"/>
    <s v="credit_card"/>
    <n v="10"/>
    <x v="1"/>
    <x v="2"/>
    <s v="Sao Paulo"/>
  </r>
  <r>
    <s v="0552997d7a7283a7761acc3a5f9bcefd"/>
    <s v="2018-02-24"/>
    <x v="15"/>
    <x v="3"/>
    <x v="33"/>
    <n v="1"/>
    <n v="22.99"/>
    <n v="14.1"/>
    <s v="credit_card"/>
    <n v="8"/>
    <x v="1"/>
    <x v="2"/>
    <s v="Sao Paulo"/>
  </r>
  <r>
    <s v="6966b21d5a0ca10f795dc14508c1b7bf"/>
    <s v="2018-02-24"/>
    <x v="15"/>
    <x v="4"/>
    <x v="17"/>
    <n v="1"/>
    <n v="280.10000000000002"/>
    <n v="16.71"/>
    <s v="credit_card"/>
    <n v="54"/>
    <x v="2"/>
    <x v="5"/>
    <s v="Rio de Janeiro"/>
  </r>
  <r>
    <s v="6170d8a92e5cd9a59e1f17ffdd5bf6ec"/>
    <s v="2018-02-24"/>
    <x v="15"/>
    <x v="5"/>
    <x v="4"/>
    <n v="1"/>
    <n v="149.9"/>
    <n v="27.9"/>
    <s v="credit_card"/>
    <n v="12"/>
    <x v="1"/>
    <x v="2"/>
    <s v="Parana"/>
  </r>
  <r>
    <s v="1ae207d919424c0be708422e3f833170"/>
    <s v="2018-02-24"/>
    <x v="15"/>
    <x v="3"/>
    <x v="31"/>
    <n v="1"/>
    <n v="700"/>
    <n v="68.59"/>
    <s v="credit_card"/>
    <n v="9"/>
    <x v="1"/>
    <x v="2"/>
    <s v="Sao Paulo"/>
  </r>
  <r>
    <s v="a18250c6b3610d91743d63ac9c8a1477"/>
    <s v="2018-02-24"/>
    <x v="15"/>
    <x v="7"/>
    <x v="25"/>
    <n v="1"/>
    <n v="89.7"/>
    <n v="12.76"/>
    <s v="credit_card"/>
    <n v="3"/>
    <x v="1"/>
    <x v="2"/>
    <s v="Minas Gerais"/>
  </r>
  <r>
    <s v="f4e69e26765d66772006b9885e1dc6f5"/>
    <s v="2018-02-24"/>
    <x v="15"/>
    <x v="3"/>
    <x v="17"/>
    <n v="1"/>
    <n v="13.65"/>
    <n v="7.78"/>
    <s v="credit_card"/>
    <n v="3"/>
    <x v="1"/>
    <x v="3"/>
    <s v="Sao Paulo"/>
  </r>
  <r>
    <s v="be7a773222d5a7d8b12e75ed2320037a"/>
    <s v="2018-02-24"/>
    <x v="15"/>
    <x v="1"/>
    <x v="22"/>
    <n v="1"/>
    <n v="38"/>
    <n v="15.1"/>
    <s v="credit_card"/>
    <n v="11"/>
    <x v="1"/>
    <x v="4"/>
    <s v="Rio Grande do Sul"/>
  </r>
  <r>
    <s v="7cae50310da9b9ad218aa7ca236e41ad"/>
    <s v="2018-02-24"/>
    <x v="15"/>
    <x v="3"/>
    <x v="4"/>
    <n v="1"/>
    <n v="74.900000000000006"/>
    <n v="15.27"/>
    <s v="credit_card"/>
    <n v="23"/>
    <x v="1"/>
    <x v="3"/>
    <s v="Sao Paulo"/>
  </r>
  <r>
    <s v="db9184ca76c81f6e6f102cda2b30e12f"/>
    <s v="2018-02-24"/>
    <x v="15"/>
    <x v="3"/>
    <x v="22"/>
    <n v="1"/>
    <n v="95"/>
    <n v="16.43"/>
    <s v="credit_card"/>
    <n v="44"/>
    <x v="2"/>
    <x v="2"/>
    <s v="Sao Paulo"/>
  </r>
  <r>
    <s v="64e3321a3a685e5fc72f768029201519"/>
    <s v="2018-02-24"/>
    <x v="15"/>
    <x v="4"/>
    <x v="6"/>
    <n v="2"/>
    <n v="119.8"/>
    <n v="30.34"/>
    <s v="credit_card"/>
    <n v="24"/>
    <x v="2"/>
    <x v="2"/>
    <s v="Rio de Janeiro"/>
  </r>
  <r>
    <s v="2c9f9957886293ce9bc43dee12fa1adb"/>
    <s v="2018-02-24"/>
    <x v="15"/>
    <x v="4"/>
    <x v="19"/>
    <n v="1"/>
    <n v="108.3"/>
    <n v="22.63"/>
    <s v="credit_card"/>
    <n v="11"/>
    <x v="1"/>
    <x v="2"/>
    <s v="Rio de Janeiro"/>
  </r>
  <r>
    <s v="3d205e6a3bde8bd5a480aba4d26dd315"/>
    <s v="2018-02-24"/>
    <x v="15"/>
    <x v="3"/>
    <x v="5"/>
    <n v="1"/>
    <n v="34.9"/>
    <n v="7.78"/>
    <s v="credit_card"/>
    <n v="5"/>
    <x v="1"/>
    <x v="2"/>
    <s v="Sao Paulo"/>
  </r>
  <r>
    <s v="3ee2cb486f75ff2899da20d9bec72017"/>
    <s v="2018-02-24"/>
    <x v="15"/>
    <x v="8"/>
    <x v="6"/>
    <n v="1"/>
    <n v="24.99"/>
    <n v="15.1"/>
    <s v="credit_card"/>
    <n v="23"/>
    <x v="1"/>
    <x v="1"/>
    <s v="Santa Catarina"/>
  </r>
  <r>
    <s v="b33f9582323f5ebe1c82f0ab04b03734"/>
    <s v="2018-02-25"/>
    <x v="15"/>
    <x v="3"/>
    <x v="46"/>
    <n v="2"/>
    <n v="30"/>
    <n v="16.54"/>
    <s v="credit_card"/>
    <n v="5"/>
    <x v="1"/>
    <x v="2"/>
    <s v="Sao Paulo"/>
  </r>
  <r>
    <s v="af392de2586db1645a4044ef1e84c47a"/>
    <s v="2018-02-25"/>
    <x v="15"/>
    <x v="3"/>
    <x v="14"/>
    <n v="1"/>
    <n v="139"/>
    <n v="13.99"/>
    <s v="credit_card"/>
    <n v="20"/>
    <x v="2"/>
    <x v="3"/>
    <s v="Sao Paulo"/>
  </r>
  <r>
    <s v="de71166519878c2eefa30e4203d31c92"/>
    <s v="2018-02-25"/>
    <x v="15"/>
    <x v="3"/>
    <x v="7"/>
    <n v="1"/>
    <n v="179"/>
    <n v="45.71"/>
    <s v="credit_card"/>
    <n v="18"/>
    <x v="1"/>
    <x v="1"/>
    <s v="Sao Paulo"/>
  </r>
  <r>
    <s v="08c7b46d1dfd29f3200c439119cfe4ac"/>
    <s v="2018-02-25"/>
    <x v="15"/>
    <x v="4"/>
    <x v="19"/>
    <n v="1"/>
    <n v="57.9"/>
    <n v="16.850000000000001"/>
    <s v="credit_card"/>
    <n v="10"/>
    <x v="1"/>
    <x v="2"/>
    <s v="Rio de Janeiro"/>
  </r>
  <r>
    <s v="ef1d282a121e2bee046bbab7f9f88331"/>
    <s v="2018-02-25"/>
    <x v="15"/>
    <x v="3"/>
    <x v="1"/>
    <n v="2"/>
    <n v="9"/>
    <n v="35.200000000000003"/>
    <s v="credit_card"/>
    <n v="21"/>
    <x v="1"/>
    <x v="1"/>
    <s v="Sao Paulo"/>
  </r>
  <r>
    <s v="1acffcfbb35247b9d15611ce0fe50460"/>
    <s v="2018-02-25"/>
    <x v="15"/>
    <x v="22"/>
    <x v="12"/>
    <n v="1"/>
    <n v="47.9"/>
    <n v="18.89"/>
    <s v="boleto"/>
    <n v="18"/>
    <x v="1"/>
    <x v="0"/>
    <s v="Espirito Santo"/>
  </r>
  <r>
    <s v="fa8eced9ca9993bda37ff154b012998c"/>
    <s v="2018-02-25"/>
    <x v="15"/>
    <x v="4"/>
    <x v="9"/>
    <n v="1"/>
    <n v="39"/>
    <n v="17.63"/>
    <s v="credit_card"/>
    <n v="15"/>
    <x v="1"/>
    <x v="3"/>
    <s v="Rio de Janeiro"/>
  </r>
  <r>
    <s v="0cadc06392b4f42042d688c35d6a1c16"/>
    <s v="2018-02-25"/>
    <x v="15"/>
    <x v="8"/>
    <x v="20"/>
    <n v="1"/>
    <n v="148"/>
    <n v="15.79"/>
    <s v="credit_card"/>
    <n v="26"/>
    <x v="2"/>
    <x v="5"/>
    <s v="Santa Catarina"/>
  </r>
  <r>
    <s v="9bbc9e86ec19f512983335c5af110810"/>
    <s v="2018-02-26"/>
    <x v="15"/>
    <x v="3"/>
    <x v="9"/>
    <n v="1"/>
    <n v="29.9"/>
    <n v="8.11"/>
    <s v="debit_card"/>
    <n v="2"/>
    <x v="1"/>
    <x v="2"/>
    <s v="Sao Paulo"/>
  </r>
  <r>
    <s v="7ac766e40565c0fcc2a226dfc3f6d89b"/>
    <s v="2018-02-26"/>
    <x v="15"/>
    <x v="1"/>
    <x v="23"/>
    <n v="1"/>
    <n v="49"/>
    <n v="15.1"/>
    <s v="credit_card"/>
    <n v="11"/>
    <x v="1"/>
    <x v="2"/>
    <s v="Rio Grande do Sul"/>
  </r>
  <r>
    <s v="f55968a2a9ef74f95cf02a0541aecf8c"/>
    <s v="2018-02-26"/>
    <x v="15"/>
    <x v="1"/>
    <x v="1"/>
    <n v="1"/>
    <n v="169"/>
    <n v="27.5"/>
    <s v="boleto"/>
    <n v="16"/>
    <x v="1"/>
    <x v="2"/>
    <s v="Rio Grande do Sul"/>
  </r>
  <r>
    <s v="c34f00bf4a9abf925efebbc3b2484c24"/>
    <s v="2018-02-26"/>
    <x v="15"/>
    <x v="7"/>
    <x v="4"/>
    <n v="3"/>
    <n v="56.7"/>
    <n v="45.3"/>
    <s v="credit_card"/>
    <n v="18"/>
    <x v="1"/>
    <x v="0"/>
    <s v="Minas Gerais"/>
  </r>
  <r>
    <s v="19c54d85fa291d4193fe838cbde71403"/>
    <s v="2018-02-26"/>
    <x v="15"/>
    <x v="7"/>
    <x v="14"/>
    <n v="1"/>
    <n v="199.9"/>
    <n v="21.89"/>
    <s v="credit_card"/>
    <n v="43"/>
    <x v="2"/>
    <x v="4"/>
    <s v="Minas Gerais"/>
  </r>
  <r>
    <s v="fc15e290afaa09174a26e6ee704a9219"/>
    <s v="2018-02-26"/>
    <x v="15"/>
    <x v="8"/>
    <x v="5"/>
    <n v="1"/>
    <n v="55.9"/>
    <n v="16.829999999999998"/>
    <s v="boleto"/>
    <n v="14"/>
    <x v="1"/>
    <x v="2"/>
    <s v="Santa Catarina"/>
  </r>
  <r>
    <s v="f3a9c397a2fa5a2366b4b96bc15737f6"/>
    <s v="2018-02-26"/>
    <x v="15"/>
    <x v="8"/>
    <x v="9"/>
    <n v="1"/>
    <n v="104"/>
    <n v="12.98"/>
    <s v="credit_card"/>
    <n v="11"/>
    <x v="1"/>
    <x v="2"/>
    <s v="Santa Catarina"/>
  </r>
  <r>
    <s v="d3bc8a8aaa147ade29961c9693ff1e94"/>
    <s v="2018-02-26"/>
    <x v="15"/>
    <x v="21"/>
    <x v="20"/>
    <n v="1"/>
    <n v="99.99"/>
    <n v="19.940000000000001"/>
    <s v="boleto"/>
    <n v="10"/>
    <x v="1"/>
    <x v="3"/>
    <s v="Bahia"/>
  </r>
  <r>
    <s v="6139a798f92b14ad667f3a8fb8f78c4c"/>
    <s v="2018-02-26"/>
    <x v="15"/>
    <x v="4"/>
    <x v="9"/>
    <n v="1"/>
    <n v="69.989999999999995"/>
    <n v="16.93"/>
    <s v="credit_card"/>
    <n v="53"/>
    <x v="2"/>
    <x v="1"/>
    <s v="Rio de Janeiro"/>
  </r>
  <r>
    <s v="dcef4484357754fc205095e165e01504"/>
    <s v="2018-02-26"/>
    <x v="15"/>
    <x v="3"/>
    <x v="28"/>
    <n v="1"/>
    <n v="116.94"/>
    <n v="20.79"/>
    <s v="credit_card"/>
    <n v="18"/>
    <x v="1"/>
    <x v="3"/>
    <s v="Sao Paulo"/>
  </r>
  <r>
    <s v="21b395301d11765dc88d8eca4c75d0ff"/>
    <s v="2018-02-26"/>
    <x v="15"/>
    <x v="3"/>
    <x v="9"/>
    <n v="1"/>
    <n v="394.65"/>
    <n v="17.510000000000002"/>
    <s v="credit_card"/>
    <n v="4"/>
    <x v="1"/>
    <x v="0"/>
    <s v="Sao Paulo"/>
  </r>
  <r>
    <s v="119e67c344bd250bb9d6a6f1028fd678"/>
    <s v="2018-02-26"/>
    <x v="15"/>
    <x v="8"/>
    <x v="1"/>
    <n v="1"/>
    <n v="85"/>
    <n v="15.34"/>
    <s v="boleto"/>
    <n v="14"/>
    <x v="1"/>
    <x v="1"/>
    <s v="Santa Catarina"/>
  </r>
  <r>
    <s v="101280a25cfcd2e133000129f24d17d7"/>
    <s v="2018-02-26"/>
    <x v="15"/>
    <x v="7"/>
    <x v="14"/>
    <n v="1"/>
    <n v="249.9"/>
    <n v="26.59"/>
    <s v="boleto"/>
    <n v="15"/>
    <x v="1"/>
    <x v="2"/>
    <s v="Minas Gerais"/>
  </r>
  <r>
    <s v="0db053a048333680c09114ac4f231a79"/>
    <s v="2018-02-26"/>
    <x v="15"/>
    <x v="4"/>
    <x v="32"/>
    <n v="1"/>
    <n v="99.9"/>
    <n v="17.14"/>
    <s v="credit_card"/>
    <n v="51"/>
    <x v="2"/>
    <x v="0"/>
    <s v="Rio de Janeiro"/>
  </r>
  <r>
    <s v="d1f4276166cee5a37d01beb15e2426fc"/>
    <s v="2018-02-26"/>
    <x v="15"/>
    <x v="3"/>
    <x v="17"/>
    <n v="1"/>
    <n v="15.9"/>
    <n v="8.7200000000000006"/>
    <s v="boleto"/>
    <m/>
    <x v="0"/>
    <x v="5"/>
    <s v="Sao Paulo"/>
  </r>
  <r>
    <s v="10c84b04dccc6d66380a1e734f6a654e"/>
    <s v="2018-02-26"/>
    <x v="15"/>
    <x v="22"/>
    <x v="4"/>
    <n v="1"/>
    <n v="24.99"/>
    <n v="15.1"/>
    <s v="credit_card"/>
    <n v="9"/>
    <x v="1"/>
    <x v="3"/>
    <s v="Espirito Santo"/>
  </r>
  <r>
    <s v="5f37c7c9cfd25572ee87b69b77f27b8c"/>
    <s v="2018-02-26"/>
    <x v="15"/>
    <x v="3"/>
    <x v="28"/>
    <n v="1"/>
    <n v="189.99"/>
    <n v="27.88"/>
    <s v="credit_card"/>
    <n v="21"/>
    <x v="1"/>
    <x v="2"/>
    <s v="Sao Paulo"/>
  </r>
  <r>
    <s v="9870255ce4fd27e8b651ee15e606d903"/>
    <s v="2018-02-26"/>
    <x v="15"/>
    <x v="8"/>
    <x v="57"/>
    <n v="1"/>
    <n v="19.899999999999999"/>
    <n v="15.1"/>
    <s v="credit_card"/>
    <n v="11"/>
    <x v="1"/>
    <x v="3"/>
    <s v="Santa Catarina"/>
  </r>
  <r>
    <s v="961f2f24951560987b91c89816b10cae"/>
    <s v="2018-02-26"/>
    <x v="15"/>
    <x v="24"/>
    <x v="4"/>
    <n v="2"/>
    <n v="63.8"/>
    <n v="68.3"/>
    <s v="boleto"/>
    <n v="36"/>
    <x v="1"/>
    <x v="0"/>
    <s v="Alagoas"/>
  </r>
  <r>
    <s v="d04f155dd04722bb1691263ccbe5eec0"/>
    <s v="2018-02-26"/>
    <x v="15"/>
    <x v="3"/>
    <x v="7"/>
    <n v="1"/>
    <n v="120"/>
    <n v="45.3"/>
    <s v="credit_card"/>
    <n v="23"/>
    <x v="2"/>
    <x v="0"/>
    <s v="Sao Paulo"/>
  </r>
  <r>
    <s v="1439b7c45e6b3497e1d86582382ec326"/>
    <s v="2018-02-27"/>
    <x v="15"/>
    <x v="3"/>
    <x v="4"/>
    <n v="1"/>
    <n v="149.9"/>
    <n v="15.8"/>
    <s v="boleto"/>
    <n v="35"/>
    <x v="2"/>
    <x v="0"/>
    <s v="Sao Paulo"/>
  </r>
  <r>
    <s v="cdd88fe2cf9ac965891c9fc6b17c9c9c"/>
    <s v="2018-02-27"/>
    <x v="15"/>
    <x v="4"/>
    <x v="7"/>
    <n v="1"/>
    <n v="179"/>
    <n v="45.71"/>
    <s v="credit_card"/>
    <n v="21"/>
    <x v="1"/>
    <x v="2"/>
    <s v="Rio de Janeiro"/>
  </r>
  <r>
    <s v="a17ad45b2b8e8e73cdcc323bd9b90b49"/>
    <s v="2018-02-27"/>
    <x v="15"/>
    <x v="3"/>
    <x v="17"/>
    <n v="1"/>
    <n v="11.55"/>
    <n v="7.78"/>
    <s v="credit_card"/>
    <n v="2"/>
    <x v="1"/>
    <x v="0"/>
    <s v="Sao Paulo"/>
  </r>
  <r>
    <s v="5c07b7c36b41a0b6a841fa9a8bd26ca7"/>
    <s v="2018-02-27"/>
    <x v="15"/>
    <x v="4"/>
    <x v="19"/>
    <n v="1"/>
    <n v="129"/>
    <n v="21.39"/>
    <s v="credit_card"/>
    <n v="9"/>
    <x v="1"/>
    <x v="2"/>
    <s v="Rio de Janeiro"/>
  </r>
  <r>
    <s v="c7ffb347c8b6adfd234f93bf03ee2e2f"/>
    <s v="2018-02-27"/>
    <x v="15"/>
    <x v="3"/>
    <x v="22"/>
    <n v="1"/>
    <n v="38"/>
    <n v="7.78"/>
    <s v="credit_card"/>
    <n v="1"/>
    <x v="1"/>
    <x v="2"/>
    <s v="Sao Paulo"/>
  </r>
  <r>
    <s v="435f2daeb635ed643b734989e51553c6"/>
    <s v="2018-02-27"/>
    <x v="15"/>
    <x v="3"/>
    <x v="25"/>
    <n v="1"/>
    <n v="37.99"/>
    <n v="11.85"/>
    <s v="credit_card"/>
    <n v="6"/>
    <x v="1"/>
    <x v="2"/>
    <s v="Sao Paulo"/>
  </r>
  <r>
    <s v="ab05474196376ffce748cccc5d257c1b"/>
    <s v="2018-02-27"/>
    <x v="15"/>
    <x v="22"/>
    <x v="1"/>
    <n v="1"/>
    <n v="152"/>
    <n v="18.309999999999999"/>
    <s v="debit_card"/>
    <n v="7"/>
    <x v="1"/>
    <x v="2"/>
    <s v="Espirito Santo"/>
  </r>
  <r>
    <s v="a3958d69eb857cd9af63d8f40948e64d"/>
    <s v="2018-02-27"/>
    <x v="15"/>
    <x v="7"/>
    <x v="22"/>
    <n v="1"/>
    <n v="108"/>
    <n v="16.52"/>
    <s v="boleto"/>
    <n v="22"/>
    <x v="2"/>
    <x v="2"/>
    <s v="Minas Gerais"/>
  </r>
  <r>
    <s v="b7a13b515d99de69fe4db49507b7c1ec"/>
    <s v="2018-02-27"/>
    <x v="15"/>
    <x v="3"/>
    <x v="14"/>
    <n v="1"/>
    <n v="92"/>
    <n v="13.66"/>
    <s v="credit_card"/>
    <n v="30"/>
    <x v="2"/>
    <x v="0"/>
    <s v="Sao Paulo"/>
  </r>
  <r>
    <s v="0a6c8aa5c12b86c6f96308839eb7417b"/>
    <s v="2018-02-27"/>
    <x v="15"/>
    <x v="3"/>
    <x v="29"/>
    <n v="2"/>
    <n v="95.4"/>
    <n v="30.2"/>
    <s v="credit_card"/>
    <n v="5"/>
    <x v="1"/>
    <x v="2"/>
    <s v="Sao Paulo"/>
  </r>
  <r>
    <s v="719b6b76d11e7e6f6e8113bbd4565b84"/>
    <s v="2018-02-27"/>
    <x v="15"/>
    <x v="3"/>
    <x v="1"/>
    <n v="1"/>
    <n v="139.9"/>
    <n v="15.73"/>
    <s v="boleto"/>
    <n v="10"/>
    <x v="1"/>
    <x v="2"/>
    <s v="Sao Paulo"/>
  </r>
  <r>
    <s v="4ec6e451a636b410f15897c0a67582b1"/>
    <s v="2018-02-27"/>
    <x v="15"/>
    <x v="22"/>
    <x v="1"/>
    <n v="1"/>
    <n v="169.99"/>
    <n v="18.440000000000001"/>
    <s v="credit_card"/>
    <n v="13"/>
    <x v="1"/>
    <x v="3"/>
    <s v="Espirito Santo"/>
  </r>
  <r>
    <s v="de5a2930a7d61f2dbf75078d7bfde0d4"/>
    <s v="2018-02-27"/>
    <x v="15"/>
    <x v="3"/>
    <x v="9"/>
    <n v="1"/>
    <n v="30"/>
    <n v="7.78"/>
    <s v="credit_card"/>
    <n v="1"/>
    <x v="1"/>
    <x v="2"/>
    <s v="Sao Paulo"/>
  </r>
  <r>
    <s v="3e084693979a8a6e556cf26d97e542fe"/>
    <s v="2018-02-28"/>
    <x v="15"/>
    <x v="4"/>
    <x v="45"/>
    <n v="1"/>
    <n v="99.9"/>
    <n v="14.45"/>
    <s v="credit_card"/>
    <n v="19"/>
    <x v="1"/>
    <x v="2"/>
    <s v="Rio de Janeiro"/>
  </r>
  <r>
    <s v="7f4419f7c94db80e542d82717e3c6528"/>
    <s v="2018-02-28"/>
    <x v="15"/>
    <x v="3"/>
    <x v="23"/>
    <n v="1"/>
    <n v="115"/>
    <n v="15.56"/>
    <s v="credit_card"/>
    <n v="27"/>
    <x v="2"/>
    <x v="0"/>
    <s v="Sao Paulo"/>
  </r>
  <r>
    <s v="0c3722131f9ebd9c4949a2dd31fb2402"/>
    <s v="2018-02-28"/>
    <x v="15"/>
    <x v="3"/>
    <x v="9"/>
    <n v="1"/>
    <n v="59.9"/>
    <n v="15.17"/>
    <s v="credit_card"/>
    <n v="16"/>
    <x v="1"/>
    <x v="2"/>
    <s v="Sao Paulo"/>
  </r>
  <r>
    <s v="04ffe5a8a70cc5dd6a00b68fd6c905e7"/>
    <s v="2018-02-28"/>
    <x v="15"/>
    <x v="3"/>
    <x v="18"/>
    <n v="1"/>
    <n v="20.3"/>
    <n v="8.11"/>
    <s v="credit_card"/>
    <n v="11"/>
    <x v="1"/>
    <x v="3"/>
    <s v="Sao Paulo"/>
  </r>
  <r>
    <s v="0930c651c82aaf68df7e69eed1816170"/>
    <s v="2018-02-28"/>
    <x v="15"/>
    <x v="3"/>
    <x v="2"/>
    <n v="1"/>
    <n v="30.5"/>
    <n v="7.78"/>
    <s v="credit_card"/>
    <n v="5"/>
    <x v="1"/>
    <x v="2"/>
    <s v="Sao Paulo"/>
  </r>
  <r>
    <s v="b210a0936a3dd8fe4428863f8e352693"/>
    <s v="2018-02-28"/>
    <x v="15"/>
    <x v="7"/>
    <x v="28"/>
    <n v="1"/>
    <n v="192.99"/>
    <n v="74.3"/>
    <s v="credit_card"/>
    <n v="21"/>
    <x v="1"/>
    <x v="0"/>
    <s v="Minas Gerais"/>
  </r>
  <r>
    <s v="45946efb64c679365ecd3938a0771220"/>
    <s v="2018-02-28"/>
    <x v="15"/>
    <x v="7"/>
    <x v="14"/>
    <n v="1"/>
    <n v="259.89999999999998"/>
    <n v="26.66"/>
    <s v="credit_card"/>
    <n v="28"/>
    <x v="2"/>
    <x v="0"/>
    <s v="Minas Gerais"/>
  </r>
  <r>
    <s v="f2fdb2c26514430fe5fc50af581e9d2c"/>
    <s v="2018-02-28"/>
    <x v="15"/>
    <x v="4"/>
    <x v="4"/>
    <n v="1"/>
    <n v="21.5"/>
    <n v="15.1"/>
    <s v="boleto"/>
    <n v="14"/>
    <x v="1"/>
    <x v="5"/>
    <s v="Rio de Janeiro"/>
  </r>
  <r>
    <s v="bc35b4f344e409ecc7c8d728f065d590"/>
    <s v="2018-02-28"/>
    <x v="15"/>
    <x v="3"/>
    <x v="14"/>
    <n v="1"/>
    <n v="24.9"/>
    <n v="9.09"/>
    <s v="credit_card"/>
    <n v="2"/>
    <x v="1"/>
    <x v="2"/>
    <s v="Sao Paulo"/>
  </r>
  <r>
    <s v="d2ce3fa6247aeec43a75906e36600045"/>
    <s v="2018-02-28"/>
    <x v="15"/>
    <x v="7"/>
    <x v="7"/>
    <n v="2"/>
    <n v="116.92"/>
    <n v="30.32"/>
    <s v="credit_card"/>
    <n v="9"/>
    <x v="1"/>
    <x v="5"/>
    <s v="Minas Gerais"/>
  </r>
  <r>
    <s v="6f33b28ba717ec41a3d1e1901d492e05"/>
    <s v="2018-02-28"/>
    <x v="15"/>
    <x v="4"/>
    <x v="6"/>
    <n v="1"/>
    <n v="314.89999999999998"/>
    <n v="16.95"/>
    <s v="credit_card"/>
    <m/>
    <x v="0"/>
    <x v="0"/>
    <s v="Rio de Janeiro"/>
  </r>
  <r>
    <s v="48392c118a56906cb754da6de7a6bf38"/>
    <s v="2018-02-28"/>
    <x v="15"/>
    <x v="14"/>
    <x v="1"/>
    <n v="1"/>
    <n v="125"/>
    <n v="18.12"/>
    <s v="credit_card"/>
    <n v="34"/>
    <x v="2"/>
    <x v="0"/>
    <s v="Mato Grosso do Sul"/>
  </r>
  <r>
    <s v="72096fec7f0a5c65db72ae549c086803"/>
    <s v="2018-02-28"/>
    <x v="15"/>
    <x v="4"/>
    <x v="4"/>
    <n v="1"/>
    <n v="499"/>
    <n v="19.25"/>
    <s v="credit_card"/>
    <n v="19"/>
    <x v="1"/>
    <x v="0"/>
    <s v="Rio de Janeiro"/>
  </r>
  <r>
    <s v="134adb681cd5dbe4cd4de155abf4b9e8"/>
    <s v="2018-02-28"/>
    <x v="15"/>
    <x v="21"/>
    <x v="17"/>
    <n v="1"/>
    <n v="15"/>
    <n v="16.79"/>
    <s v="boleto"/>
    <n v="27"/>
    <x v="2"/>
    <x v="2"/>
    <s v="Bahia"/>
  </r>
  <r>
    <s v="f31b8a3ba0d40cba425c9bd89c69a3e7"/>
    <s v="2018-02-28"/>
    <x v="15"/>
    <x v="3"/>
    <x v="19"/>
    <n v="1"/>
    <n v="35"/>
    <n v="7.78"/>
    <s v="credit_card"/>
    <n v="7"/>
    <x v="1"/>
    <x v="2"/>
    <s v="Sao Paulo"/>
  </r>
  <r>
    <s v="db21eaa63f7c06553ad9d2d4f25e41d4"/>
    <s v="2018-02-28"/>
    <x v="15"/>
    <x v="3"/>
    <x v="14"/>
    <n v="1"/>
    <n v="70"/>
    <n v="12.83"/>
    <s v="boleto"/>
    <n v="19"/>
    <x v="2"/>
    <x v="1"/>
    <s v="Sao Paulo"/>
  </r>
  <r>
    <s v="0cc53a27cb4eec43723454e212e469cc"/>
    <s v="2018-02-28"/>
    <x v="15"/>
    <x v="22"/>
    <x v="14"/>
    <n v="2"/>
    <n v="159.80000000000001"/>
    <n v="32.64"/>
    <s v="credit_card"/>
    <n v="25"/>
    <x v="2"/>
    <x v="0"/>
    <s v="Espirito Santo"/>
  </r>
  <r>
    <s v="ed10ac24a1a673552fcceb839887e8fd"/>
    <s v="2018-02-28"/>
    <x v="15"/>
    <x v="3"/>
    <x v="1"/>
    <n v="1"/>
    <n v="60"/>
    <n v="7.78"/>
    <s v="credit_card"/>
    <n v="1"/>
    <x v="1"/>
    <x v="2"/>
    <s v="Sao Paulo"/>
  </r>
  <r>
    <s v="0888cf8a7f975f34f13e851049b35dd6"/>
    <s v="2018-02-28"/>
    <x v="15"/>
    <x v="4"/>
    <x v="5"/>
    <n v="1"/>
    <n v="53.99"/>
    <n v="14.13"/>
    <s v="credit_card"/>
    <n v="14"/>
    <x v="1"/>
    <x v="2"/>
    <s v="Rio de Janeiro"/>
  </r>
  <r>
    <s v="2df86a1fe8ce1dbff076f3eef50a664e"/>
    <s v="2018-02-28"/>
    <x v="15"/>
    <x v="3"/>
    <x v="5"/>
    <n v="3"/>
    <n v="19.5"/>
    <n v="23.34"/>
    <s v="credit_card"/>
    <n v="5"/>
    <x v="1"/>
    <x v="3"/>
    <s v="Sao Paulo"/>
  </r>
  <r>
    <s v="d2029f1813972cb83dd49c3c27fcd304"/>
    <s v="2018-02-28"/>
    <x v="15"/>
    <x v="4"/>
    <x v="22"/>
    <n v="1"/>
    <n v="1200"/>
    <n v="22.15"/>
    <s v="credit_card"/>
    <n v="16"/>
    <x v="1"/>
    <x v="2"/>
    <s v="Rio de Janeiro"/>
  </r>
  <r>
    <s v="d8691426e29a4206ab5076fcdbc1736d"/>
    <s v="2018-03-01"/>
    <x v="16"/>
    <x v="3"/>
    <x v="13"/>
    <n v="1"/>
    <n v="27.9"/>
    <n v="8.27"/>
    <s v="credit_card"/>
    <n v="3"/>
    <x v="1"/>
    <x v="2"/>
    <s v="Sao Paulo"/>
  </r>
  <r>
    <s v="21bdc97768bc2e7a3e428d0ede7deb85"/>
    <s v="2018-03-01"/>
    <x v="16"/>
    <x v="21"/>
    <x v="4"/>
    <n v="1"/>
    <n v="27.9"/>
    <n v="16.79"/>
    <s v="boleto"/>
    <n v="36"/>
    <x v="2"/>
    <x v="2"/>
    <s v="Bahia"/>
  </r>
  <r>
    <s v="37caa1552193248f7147f1298b4cd3c1"/>
    <s v="2018-03-01"/>
    <x v="16"/>
    <x v="1"/>
    <x v="51"/>
    <n v="1"/>
    <n v="22.9"/>
    <n v="16.79"/>
    <s v="credit_card"/>
    <n v="13"/>
    <x v="1"/>
    <x v="1"/>
    <s v="Rio Grande do Sul"/>
  </r>
  <r>
    <s v="79f921d80b92e48b9ed5c549c94b745f"/>
    <s v="2018-03-01"/>
    <x v="16"/>
    <x v="8"/>
    <x v="13"/>
    <n v="1"/>
    <n v="429.9"/>
    <n v="20.260000000000002"/>
    <s v="credit_card"/>
    <n v="25"/>
    <x v="2"/>
    <x v="1"/>
    <s v="Santa Catarina"/>
  </r>
  <r>
    <s v="7d7db898e5eaa10aac6c7fb616d9d7dc"/>
    <s v="2018-03-01"/>
    <x v="16"/>
    <x v="5"/>
    <x v="4"/>
    <n v="1"/>
    <n v="30.21"/>
    <n v="15.1"/>
    <s v="credit_card"/>
    <n v="32"/>
    <x v="2"/>
    <x v="0"/>
    <s v="Parana"/>
  </r>
  <r>
    <s v="f162b72aa92d8ecf9cdb69e84fb2277c"/>
    <s v="2018-03-01"/>
    <x v="16"/>
    <x v="12"/>
    <x v="6"/>
    <n v="1"/>
    <n v="29.99"/>
    <n v="17.63"/>
    <s v="credit_card"/>
    <n v="46"/>
    <x v="2"/>
    <x v="0"/>
    <s v="Ceara"/>
  </r>
  <r>
    <s v="3ff5709e1eed2f4bf1cfdccaf65c6337"/>
    <s v="2018-03-01"/>
    <x v="16"/>
    <x v="3"/>
    <x v="4"/>
    <n v="1"/>
    <n v="166.02"/>
    <n v="36.479999999999997"/>
    <s v="boleto"/>
    <n v="15"/>
    <x v="1"/>
    <x v="2"/>
    <s v="Sao Paulo"/>
  </r>
  <r>
    <s v="c6ceea8c10c1521a2f993bc956800cf5"/>
    <s v="2018-03-01"/>
    <x v="16"/>
    <x v="9"/>
    <x v="6"/>
    <n v="1"/>
    <n v="29.98"/>
    <n v="21.15"/>
    <s v="credit_card"/>
    <n v="27"/>
    <x v="2"/>
    <x v="0"/>
    <s v="Sergipe"/>
  </r>
  <r>
    <s v="0b39d78b430d574a6eafefe82c11b4a3"/>
    <s v="2018-03-01"/>
    <x v="16"/>
    <x v="4"/>
    <x v="59"/>
    <n v="1"/>
    <n v="9.9"/>
    <n v="15.1"/>
    <s v="credit_card"/>
    <n v="32"/>
    <x v="2"/>
    <x v="5"/>
    <s v="Rio de Janeiro"/>
  </r>
  <r>
    <s v="410f656a6bd0dbfa2878c0c237eed2f3"/>
    <s v="2018-03-01"/>
    <x v="16"/>
    <x v="7"/>
    <x v="6"/>
    <n v="1"/>
    <n v="37.869999999999997"/>
    <n v="15.1"/>
    <s v="boleto"/>
    <n v="15"/>
    <x v="1"/>
    <x v="2"/>
    <s v="Minas Gerais"/>
  </r>
  <r>
    <s v="a5739097eb2ca76c5777ee5c16b5d3c0"/>
    <s v="2018-03-01"/>
    <x v="16"/>
    <x v="23"/>
    <x v="18"/>
    <n v="1"/>
    <n v="699"/>
    <n v="25.69"/>
    <s v="credit_card"/>
    <n v="18"/>
    <x v="1"/>
    <x v="1"/>
    <s v="Rio Grande do Norte"/>
  </r>
  <r>
    <s v="31ee3947c87114eb0673d72864775bf3"/>
    <s v="2018-03-01"/>
    <x v="16"/>
    <x v="7"/>
    <x v="29"/>
    <n v="1"/>
    <n v="39.99"/>
    <n v="15.1"/>
    <s v="boleto"/>
    <n v="21"/>
    <x v="2"/>
    <x v="3"/>
    <s v="Minas Gerais"/>
  </r>
  <r>
    <s v="cd472c4843f0157551fb2c99b21d3786"/>
    <s v="2018-03-01"/>
    <x v="16"/>
    <x v="4"/>
    <x v="14"/>
    <n v="1"/>
    <n v="115"/>
    <n v="15.57"/>
    <s v="boleto"/>
    <n v="52"/>
    <x v="2"/>
    <x v="0"/>
    <s v="Rio de Janeiro"/>
  </r>
  <r>
    <s v="4c3302743a4cdbc7c65bb027ea156c35"/>
    <s v="2018-03-01"/>
    <x v="16"/>
    <x v="22"/>
    <x v="0"/>
    <n v="3"/>
    <n v="135"/>
    <n v="52.8"/>
    <s v="credit_card"/>
    <n v="43"/>
    <x v="2"/>
    <x v="0"/>
    <s v="Espirito Santo"/>
  </r>
  <r>
    <s v="e0be013981866fa58c41c93cab57594a"/>
    <s v="2018-03-01"/>
    <x v="16"/>
    <x v="4"/>
    <x v="33"/>
    <n v="1"/>
    <n v="37"/>
    <n v="15.1"/>
    <s v="credit_card"/>
    <n v="40"/>
    <x v="2"/>
    <x v="1"/>
    <s v="Rio de Janeiro"/>
  </r>
  <r>
    <s v="c9c090d55d074c5b0d0effca2b928d4c"/>
    <s v="2018-03-02"/>
    <x v="16"/>
    <x v="8"/>
    <x v="13"/>
    <n v="1"/>
    <n v="45"/>
    <n v="15.1"/>
    <s v="credit_card"/>
    <n v="14"/>
    <x v="1"/>
    <x v="0"/>
    <s v="Santa Catarina"/>
  </r>
  <r>
    <s v="a88ebb416476bb5c50111622847afcf8"/>
    <s v="2018-03-02"/>
    <x v="16"/>
    <x v="2"/>
    <x v="22"/>
    <n v="2"/>
    <n v="445"/>
    <n v="32.61"/>
    <s v="credit_card"/>
    <n v="20"/>
    <x v="1"/>
    <x v="0"/>
    <s v="Goias"/>
  </r>
  <r>
    <s v="1bcee4703d916a7dead99492b946773e"/>
    <s v="2018-03-02"/>
    <x v="16"/>
    <x v="6"/>
    <x v="46"/>
    <n v="1"/>
    <n v="165"/>
    <n v="29.55"/>
    <s v="credit_card"/>
    <n v="20"/>
    <x v="1"/>
    <x v="2"/>
    <s v="Pernambuco"/>
  </r>
  <r>
    <s v="4325abb4e925f2765e6874e9788392f4"/>
    <s v="2018-03-02"/>
    <x v="16"/>
    <x v="8"/>
    <x v="13"/>
    <n v="1"/>
    <n v="55.65"/>
    <n v="16.829999999999998"/>
    <s v="boleto"/>
    <n v="40"/>
    <x v="2"/>
    <x v="1"/>
    <s v="Santa Catarina"/>
  </r>
  <r>
    <s v="89fa4e94189a9acfa88b8d22f4513035"/>
    <s v="2018-03-02"/>
    <x v="16"/>
    <x v="3"/>
    <x v="20"/>
    <n v="1"/>
    <n v="41.9"/>
    <n v="12.23"/>
    <s v="credit_card"/>
    <n v="3"/>
    <x v="1"/>
    <x v="2"/>
    <s v="Sao Paulo"/>
  </r>
  <r>
    <s v="f5218a2401f92542f87b1de5bc3f92ff"/>
    <s v="2018-03-02"/>
    <x v="16"/>
    <x v="3"/>
    <x v="1"/>
    <n v="2"/>
    <n v="38.979999999999997"/>
    <n v="16.54"/>
    <s v="credit_card"/>
    <n v="4"/>
    <x v="1"/>
    <x v="1"/>
    <s v="Sao Paulo"/>
  </r>
  <r>
    <s v="cd664e197521a82f89b34d1af4af7aa0"/>
    <s v="2018-03-02"/>
    <x v="16"/>
    <x v="3"/>
    <x v="9"/>
    <n v="1"/>
    <n v="49.9"/>
    <n v="7.78"/>
    <s v="credit_card"/>
    <n v="4"/>
    <x v="1"/>
    <x v="2"/>
    <s v="Sao Paulo"/>
  </r>
  <r>
    <s v="13e5cf1e067d58500141bfb2a638ba6b"/>
    <s v="2018-03-02"/>
    <x v="16"/>
    <x v="5"/>
    <x v="18"/>
    <n v="1"/>
    <n v="32"/>
    <n v="15.1"/>
    <s v="credit_card"/>
    <n v="21"/>
    <x v="2"/>
    <x v="2"/>
    <s v="Parana"/>
  </r>
  <r>
    <s v="17b33c457230992a193f0e7179fbf104"/>
    <s v="2018-03-03"/>
    <x v="16"/>
    <x v="8"/>
    <x v="22"/>
    <n v="1"/>
    <n v="134.9"/>
    <n v="18.190000000000001"/>
    <s v="credit_card"/>
    <n v="22"/>
    <x v="2"/>
    <x v="3"/>
    <s v="Santa Catarina"/>
  </r>
  <r>
    <s v="e2fbbc5e799749941a23275230ee1d8b"/>
    <s v="2018-03-03"/>
    <x v="16"/>
    <x v="3"/>
    <x v="17"/>
    <n v="1"/>
    <n v="139.9"/>
    <n v="22.61"/>
    <s v="credit_card"/>
    <n v="10"/>
    <x v="1"/>
    <x v="3"/>
    <s v="Sao Paulo"/>
  </r>
  <r>
    <s v="92332bfe0b5269414ff8497677a10d5f"/>
    <s v="2018-03-03"/>
    <x v="16"/>
    <x v="7"/>
    <x v="4"/>
    <n v="1"/>
    <n v="98"/>
    <n v="16.45"/>
    <s v="credit_card"/>
    <n v="29"/>
    <x v="2"/>
    <x v="0"/>
    <s v="Minas Gerais"/>
  </r>
  <r>
    <s v="7818864c8604b6c6114235d245908ad6"/>
    <s v="2018-03-03"/>
    <x v="16"/>
    <x v="26"/>
    <x v="25"/>
    <n v="1"/>
    <n v="45.9"/>
    <n v="34.15"/>
    <s v="credit_card"/>
    <n v="15"/>
    <x v="1"/>
    <x v="2"/>
    <s v="Paraiba"/>
  </r>
  <r>
    <s v="b7d04f39e98c5fc85abf2652d719385c"/>
    <s v="2018-03-03"/>
    <x v="16"/>
    <x v="21"/>
    <x v="9"/>
    <n v="1"/>
    <n v="33.799999999999997"/>
    <n v="19.59"/>
    <s v="credit_card"/>
    <n v="39"/>
    <x v="2"/>
    <x v="0"/>
    <s v="Bahia"/>
  </r>
  <r>
    <s v="6d56dcd34118baee5c013a25cd6caa97"/>
    <s v="2018-03-03"/>
    <x v="16"/>
    <x v="2"/>
    <x v="1"/>
    <n v="1"/>
    <n v="59.99"/>
    <n v="15.18"/>
    <s v="credit_card"/>
    <n v="35"/>
    <x v="2"/>
    <x v="1"/>
    <s v="Goias"/>
  </r>
  <r>
    <s v="edf98874f1448a7630f57febbfa39852"/>
    <s v="2018-03-03"/>
    <x v="16"/>
    <x v="3"/>
    <x v="22"/>
    <n v="1"/>
    <n v="599"/>
    <n v="13.01"/>
    <s v="credit_card"/>
    <n v="5"/>
    <x v="1"/>
    <x v="2"/>
    <s v="Sao Paulo"/>
  </r>
  <r>
    <s v="261f486a198b17b0fefad4813130cd99"/>
    <s v="2018-03-03"/>
    <x v="16"/>
    <x v="3"/>
    <x v="33"/>
    <n v="1"/>
    <n v="35.9"/>
    <n v="8.7200000000000006"/>
    <s v="boleto"/>
    <n v="4"/>
    <x v="1"/>
    <x v="2"/>
    <s v="Sao Paulo"/>
  </r>
  <r>
    <s v="ff358345576214cc9e08488188973c84"/>
    <s v="2018-03-03"/>
    <x v="16"/>
    <x v="4"/>
    <x v="17"/>
    <n v="1"/>
    <n v="19.899999999999999"/>
    <n v="16.79"/>
    <s v="credit_card"/>
    <m/>
    <x v="0"/>
    <x v="0"/>
    <s v="Rio de Janeiro"/>
  </r>
  <r>
    <s v="afa2c425be2efd14c19b4a0aa62f9b59"/>
    <s v="2018-03-04"/>
    <x v="16"/>
    <x v="3"/>
    <x v="9"/>
    <n v="1"/>
    <n v="229.9"/>
    <n v="18.86"/>
    <s v="credit_card"/>
    <n v="33"/>
    <x v="2"/>
    <x v="0"/>
    <s v="Sao Paulo"/>
  </r>
  <r>
    <s v="69eb4e39c354fbaad34489675c55608a"/>
    <s v="2018-03-04"/>
    <x v="16"/>
    <x v="3"/>
    <x v="7"/>
    <n v="1"/>
    <n v="39.9"/>
    <n v="11.85"/>
    <s v="credit_card"/>
    <n v="5"/>
    <x v="1"/>
    <x v="1"/>
    <s v="Sao Paulo"/>
  </r>
  <r>
    <s v="77e0e2f3250d4f0ce9ec0e9b5c151355"/>
    <s v="2018-03-04"/>
    <x v="16"/>
    <x v="1"/>
    <x v="1"/>
    <n v="1"/>
    <n v="99.9"/>
    <n v="17.95"/>
    <s v="credit_card"/>
    <n v="11"/>
    <x v="1"/>
    <x v="2"/>
    <s v="Rio Grande do Sul"/>
  </r>
  <r>
    <s v="8c23f60e51f9e3aec7d9e0c07fa3d8f1"/>
    <s v="2018-03-04"/>
    <x v="16"/>
    <x v="7"/>
    <x v="14"/>
    <n v="1"/>
    <n v="39.9"/>
    <n v="16.600000000000001"/>
    <s v="voucher"/>
    <n v="23"/>
    <x v="2"/>
    <x v="0"/>
    <s v="Minas Gerais"/>
  </r>
  <r>
    <s v="caa15e1aa25a513739966e10636def94"/>
    <s v="2018-03-04"/>
    <x v="16"/>
    <x v="22"/>
    <x v="6"/>
    <n v="1"/>
    <n v="27.99"/>
    <n v="15.1"/>
    <s v="credit_card"/>
    <n v="37"/>
    <x v="2"/>
    <x v="0"/>
    <s v="Espirito Santo"/>
  </r>
  <r>
    <s v="f3bf8da6fd4b735f85852c38ca15e90e"/>
    <s v="2018-03-04"/>
    <x v="16"/>
    <x v="3"/>
    <x v="0"/>
    <n v="1"/>
    <n v="239.9"/>
    <n v="18.39"/>
    <s v="credit_card"/>
    <n v="14"/>
    <x v="1"/>
    <x v="2"/>
    <s v="Sao Paulo"/>
  </r>
  <r>
    <s v="3018245b4917c2d6e6ad5deb7a5cc600"/>
    <s v="2018-03-04"/>
    <x v="16"/>
    <x v="21"/>
    <x v="17"/>
    <n v="1"/>
    <n v="12.95"/>
    <n v="16.79"/>
    <s v="credit_card"/>
    <n v="12"/>
    <x v="1"/>
    <x v="2"/>
    <s v="Bahia"/>
  </r>
  <r>
    <s v="bc0e143be142c22547b69235dd63a5ad"/>
    <s v="2018-03-04"/>
    <x v="16"/>
    <x v="3"/>
    <x v="1"/>
    <n v="1"/>
    <n v="54.9"/>
    <n v="7.78"/>
    <s v="credit_card"/>
    <n v="2"/>
    <x v="1"/>
    <x v="2"/>
    <s v="Sao Paulo"/>
  </r>
  <r>
    <s v="747af114bbea56ac1e6841d66553b0bc"/>
    <s v="2018-03-04"/>
    <x v="16"/>
    <x v="7"/>
    <x v="13"/>
    <n v="1"/>
    <n v="27.9"/>
    <n v="15.1"/>
    <s v="credit_card"/>
    <n v="5"/>
    <x v="1"/>
    <x v="1"/>
    <s v="Minas Gerais"/>
  </r>
  <r>
    <s v="cc8389c87998ef48d592285b08d5106d"/>
    <s v="2018-03-04"/>
    <x v="16"/>
    <x v="4"/>
    <x v="6"/>
    <n v="1"/>
    <n v="24.99"/>
    <n v="14.1"/>
    <s v="credit_card"/>
    <n v="28"/>
    <x v="2"/>
    <x v="0"/>
    <s v="Rio de Janeiro"/>
  </r>
  <r>
    <s v="e1c8b1502b402a1284350d261a89cb9a"/>
    <s v="2018-03-04"/>
    <x v="16"/>
    <x v="7"/>
    <x v="19"/>
    <n v="1"/>
    <n v="24"/>
    <n v="16.11"/>
    <s v="credit_card"/>
    <n v="29"/>
    <x v="2"/>
    <x v="5"/>
    <s v="Minas Gerais"/>
  </r>
  <r>
    <s v="47ee6fec7ba2a39c23a7c84127e1fac9"/>
    <s v="2018-03-04"/>
    <x v="16"/>
    <x v="3"/>
    <x v="1"/>
    <n v="1"/>
    <n v="49.9"/>
    <n v="14.1"/>
    <s v="debit_card"/>
    <n v="15"/>
    <x v="1"/>
    <x v="1"/>
    <s v="Sao Paulo"/>
  </r>
  <r>
    <s v="59bccab4e9193a9229f7d1b73fcb47c3"/>
    <s v="2018-03-04"/>
    <x v="16"/>
    <x v="3"/>
    <x v="28"/>
    <n v="2"/>
    <n v="196.93"/>
    <n v="39.24"/>
    <s v="credit_card"/>
    <n v="30"/>
    <x v="1"/>
    <x v="0"/>
    <s v="Sao Paulo"/>
  </r>
  <r>
    <s v="eb16480bd94a5fbe4e96614791306ec6"/>
    <s v="2018-03-04"/>
    <x v="16"/>
    <x v="3"/>
    <x v="9"/>
    <n v="1"/>
    <n v="29.9"/>
    <n v="8.11"/>
    <s v="credit_card"/>
    <n v="4"/>
    <x v="1"/>
    <x v="2"/>
    <s v="Sao Paulo"/>
  </r>
  <r>
    <s v="9c8168f2783f0165c272ee971a47e916"/>
    <s v="2018-03-04"/>
    <x v="16"/>
    <x v="4"/>
    <x v="5"/>
    <n v="1"/>
    <n v="174.56"/>
    <n v="18.47"/>
    <s v="boleto"/>
    <n v="25"/>
    <x v="1"/>
    <x v="2"/>
    <s v="Rio de Janeiro"/>
  </r>
  <r>
    <s v="6dedf40fe422e8f0ae38641d2ed11f22"/>
    <s v="2018-03-05"/>
    <x v="16"/>
    <x v="4"/>
    <x v="22"/>
    <n v="1"/>
    <n v="599"/>
    <n v="17.940000000000001"/>
    <s v="credit_card"/>
    <n v="45"/>
    <x v="2"/>
    <x v="0"/>
    <s v="Rio de Janeiro"/>
  </r>
  <r>
    <s v="4992400f9fded5aade587f7043a954a0"/>
    <s v="2018-03-05"/>
    <x v="16"/>
    <x v="3"/>
    <x v="26"/>
    <n v="1"/>
    <n v="56"/>
    <n v="11.89"/>
    <s v="boleto"/>
    <n v="11"/>
    <x v="1"/>
    <x v="2"/>
    <s v="Sao Paulo"/>
  </r>
  <r>
    <s v="3f72f100dae2b5099ad6e5a486e95ec0"/>
    <s v="2018-03-05"/>
    <x v="16"/>
    <x v="3"/>
    <x v="4"/>
    <n v="1"/>
    <n v="10"/>
    <n v="12.79"/>
    <s v="debit_card"/>
    <n v="30"/>
    <x v="2"/>
    <x v="1"/>
    <s v="Sao Paulo"/>
  </r>
  <r>
    <s v="c617d0b68da07a11637ca641f467fb9e"/>
    <s v="2018-03-05"/>
    <x v="16"/>
    <x v="7"/>
    <x v="7"/>
    <n v="1"/>
    <n v="169"/>
    <n v="26.8"/>
    <s v="credit_card"/>
    <n v="4"/>
    <x v="1"/>
    <x v="2"/>
    <s v="Minas Gerais"/>
  </r>
  <r>
    <s v="47d99e35914d6194a685f9903e8ae293"/>
    <s v="2018-03-05"/>
    <x v="16"/>
    <x v="7"/>
    <x v="29"/>
    <n v="1"/>
    <n v="65.900000000000006"/>
    <n v="18.03"/>
    <s v="voucher"/>
    <n v="15"/>
    <x v="1"/>
    <x v="3"/>
    <s v="Minas Gerais"/>
  </r>
  <r>
    <s v="1d26b193d715a5362a2ce64676a9e0a0"/>
    <s v="2018-03-05"/>
    <x v="16"/>
    <x v="3"/>
    <x v="9"/>
    <n v="2"/>
    <n v="80"/>
    <n v="68.3"/>
    <s v="credit_card"/>
    <n v="7"/>
    <x v="1"/>
    <x v="2"/>
    <s v="Sao Paulo"/>
  </r>
  <r>
    <s v="487102a0e698d9e4d4c20a484739489b"/>
    <s v="2018-03-05"/>
    <x v="16"/>
    <x v="3"/>
    <x v="18"/>
    <n v="1"/>
    <n v="154.9"/>
    <n v="18.329999999999998"/>
    <s v="boleto"/>
    <n v="28"/>
    <x v="1"/>
    <x v="2"/>
    <s v="Sao Paulo"/>
  </r>
  <r>
    <s v="d6352e09945d985e2d2ef82baed4cec0"/>
    <s v="2018-03-05"/>
    <x v="16"/>
    <x v="7"/>
    <x v="4"/>
    <n v="1"/>
    <n v="76.25"/>
    <n v="22.24"/>
    <s v="credit_card"/>
    <n v="29"/>
    <x v="2"/>
    <x v="0"/>
    <s v="Minas Gerais"/>
  </r>
  <r>
    <s v="c3a026aa647c5f58bfd25a10d326ec42"/>
    <s v="2018-03-05"/>
    <x v="16"/>
    <x v="3"/>
    <x v="4"/>
    <n v="1"/>
    <n v="76.25"/>
    <n v="12.66"/>
    <s v="credit_card"/>
    <n v="15"/>
    <x v="1"/>
    <x v="2"/>
    <s v="Sao Paulo"/>
  </r>
  <r>
    <s v="8020de83277d40d6ed1bc2f2e0ae8a1e"/>
    <s v="2018-03-05"/>
    <x v="16"/>
    <x v="5"/>
    <x v="7"/>
    <n v="1"/>
    <n v="53.9"/>
    <n v="17.63"/>
    <s v="boleto"/>
    <n v="18"/>
    <x v="1"/>
    <x v="2"/>
    <s v="Parana"/>
  </r>
  <r>
    <s v="32f7089f715424548bd5307fded896d3"/>
    <s v="2018-03-05"/>
    <x v="16"/>
    <x v="4"/>
    <x v="19"/>
    <n v="1"/>
    <n v="199.9"/>
    <n v="15.15"/>
    <s v="credit_card"/>
    <n v="36"/>
    <x v="2"/>
    <x v="0"/>
    <s v="Rio de Janeiro"/>
  </r>
  <r>
    <s v="85dbef7e8d4c780110b5900a73b43556"/>
    <s v="2018-03-05"/>
    <x v="16"/>
    <x v="3"/>
    <x v="9"/>
    <n v="1"/>
    <n v="78"/>
    <n v="12.05"/>
    <s v="credit_card"/>
    <n v="33"/>
    <x v="2"/>
    <x v="0"/>
    <s v="Sao Paulo"/>
  </r>
  <r>
    <s v="1dc0b2e5397cff8b103ba38a2a147869"/>
    <s v="2018-03-05"/>
    <x v="16"/>
    <x v="3"/>
    <x v="14"/>
    <n v="1"/>
    <n v="119.9"/>
    <n v="14.93"/>
    <s v="credit_card"/>
    <n v="14"/>
    <x v="1"/>
    <x v="2"/>
    <s v="Sao Paulo"/>
  </r>
  <r>
    <s v="0ef8970186aa8eab14d04be4eda9407a"/>
    <s v="2018-03-05"/>
    <x v="16"/>
    <x v="3"/>
    <x v="14"/>
    <n v="1"/>
    <n v="49.95"/>
    <n v="13.71"/>
    <s v="credit_card"/>
    <n v="13"/>
    <x v="1"/>
    <x v="2"/>
    <s v="Sao Paulo"/>
  </r>
  <r>
    <s v="1d01166814be7e95f72a3c85357fca45"/>
    <s v="2018-03-05"/>
    <x v="16"/>
    <x v="3"/>
    <x v="4"/>
    <n v="2"/>
    <n v="238"/>
    <n v="24.66"/>
    <s v="credit_card"/>
    <n v="2"/>
    <x v="1"/>
    <x v="2"/>
    <s v="Sao Paulo"/>
  </r>
  <r>
    <s v="7d021c7feafd7a1903f66a05481eafa8"/>
    <s v="2018-03-05"/>
    <x v="16"/>
    <x v="3"/>
    <x v="26"/>
    <n v="1"/>
    <n v="122.99"/>
    <n v="12.36"/>
    <s v="credit_card"/>
    <n v="9"/>
    <x v="1"/>
    <x v="1"/>
    <s v="Sao Paulo"/>
  </r>
  <r>
    <s v="251777a5426d33b7fd9f124cd2d18972"/>
    <s v="2018-03-06"/>
    <x v="16"/>
    <x v="3"/>
    <x v="9"/>
    <n v="1"/>
    <n v="123.88"/>
    <n v="13.01"/>
    <s v="credit_card"/>
    <n v="14"/>
    <x v="2"/>
    <x v="2"/>
    <s v="Sao Paulo"/>
  </r>
  <r>
    <s v="fb22db4615517f44f8312846412a25bf"/>
    <s v="2018-03-06"/>
    <x v="16"/>
    <x v="7"/>
    <x v="58"/>
    <n v="2"/>
    <n v="79.8"/>
    <n v="36.46"/>
    <s v="credit_card"/>
    <n v="28"/>
    <x v="2"/>
    <x v="0"/>
    <s v="Minas Gerais"/>
  </r>
  <r>
    <s v="78b0551ae57e69c46a4e611580a87758"/>
    <s v="2018-03-06"/>
    <x v="16"/>
    <x v="3"/>
    <x v="18"/>
    <n v="1"/>
    <n v="45"/>
    <n v="12.79"/>
    <s v="boleto"/>
    <n v="9"/>
    <x v="1"/>
    <x v="2"/>
    <s v="Sao Paulo"/>
  </r>
  <r>
    <s v="7d11acc91c9f1986270f23fbf9c93e4d"/>
    <s v="2018-03-06"/>
    <x v="16"/>
    <x v="21"/>
    <x v="36"/>
    <n v="1"/>
    <n v="66.7"/>
    <n v="22.18"/>
    <s v="credit_card"/>
    <n v="17"/>
    <x v="1"/>
    <x v="3"/>
    <s v="Bahia"/>
  </r>
  <r>
    <s v="e006d85a5a918d5695190c08c923eadb"/>
    <s v="2018-03-06"/>
    <x v="16"/>
    <x v="21"/>
    <x v="1"/>
    <n v="1"/>
    <n v="217.56"/>
    <n v="19.45"/>
    <s v="credit_card"/>
    <n v="23"/>
    <x v="2"/>
    <x v="2"/>
    <s v="Bahia"/>
  </r>
  <r>
    <s v="d6e2b70c5dd291b6a91fa86497fd9221"/>
    <s v="2018-03-06"/>
    <x v="16"/>
    <x v="4"/>
    <x v="2"/>
    <n v="1"/>
    <n v="49"/>
    <n v="19.32"/>
    <s v="credit_card"/>
    <n v="20"/>
    <x v="1"/>
    <x v="3"/>
    <s v="Rio de Janeiro"/>
  </r>
  <r>
    <s v="e11e49042dd9e24863991a081fd4bf19"/>
    <s v="2018-03-06"/>
    <x v="16"/>
    <x v="3"/>
    <x v="18"/>
    <n v="1"/>
    <n v="27.3"/>
    <n v="8.76"/>
    <s v="credit_card"/>
    <m/>
    <x v="0"/>
    <x v="0"/>
    <s v="Sao Paulo"/>
  </r>
  <r>
    <s v="c5fd1f4a2b25ac86cd7e1312875ff12a"/>
    <s v="2018-03-06"/>
    <x v="16"/>
    <x v="4"/>
    <x v="7"/>
    <n v="1"/>
    <n v="110"/>
    <n v="67.14"/>
    <s v="boleto"/>
    <n v="14"/>
    <x v="1"/>
    <x v="3"/>
    <s v="Rio de Janeiro"/>
  </r>
  <r>
    <s v="a6f21373862ef61c2aba41794c9caf3b"/>
    <s v="2018-03-06"/>
    <x v="16"/>
    <x v="3"/>
    <x v="22"/>
    <n v="1"/>
    <n v="59.99"/>
    <n v="8.4"/>
    <s v="voucher"/>
    <n v="3"/>
    <x v="1"/>
    <x v="2"/>
    <s v="Sao Paulo"/>
  </r>
  <r>
    <s v="a91cd0ab480b37e19e1f6910d623d54c"/>
    <s v="2018-03-06"/>
    <x v="16"/>
    <x v="21"/>
    <x v="21"/>
    <n v="1"/>
    <n v="52.9"/>
    <n v="23.3"/>
    <s v="boleto"/>
    <n v="17"/>
    <x v="1"/>
    <x v="2"/>
    <s v="Bahia"/>
  </r>
  <r>
    <s v="7f94f1618e029449c3041113289cc240"/>
    <s v="2018-03-06"/>
    <x v="16"/>
    <x v="3"/>
    <x v="41"/>
    <n v="1"/>
    <n v="86.9"/>
    <n v="14.7"/>
    <s v="boleto"/>
    <n v="18"/>
    <x v="2"/>
    <x v="3"/>
    <s v="Sao Paulo"/>
  </r>
  <r>
    <s v="febcb6742e4652312e996b6bc7fbcdd8"/>
    <s v="2018-03-06"/>
    <x v="16"/>
    <x v="1"/>
    <x v="15"/>
    <n v="1"/>
    <n v="29.9"/>
    <n v="15.23"/>
    <s v="boleto"/>
    <n v="38"/>
    <x v="2"/>
    <x v="0"/>
    <s v="Rio Grande do Sul"/>
  </r>
  <r>
    <s v="b622754849d8831e9fd50f34f6b9a88b"/>
    <s v="2018-03-06"/>
    <x v="16"/>
    <x v="8"/>
    <x v="2"/>
    <n v="1"/>
    <n v="196.9"/>
    <n v="19.260000000000002"/>
    <s v="boleto"/>
    <n v="17"/>
    <x v="1"/>
    <x v="2"/>
    <s v="Santa Catarina"/>
  </r>
  <r>
    <s v="554439efcd602dbfd71bbae1658f4ff0"/>
    <s v="2018-03-06"/>
    <x v="16"/>
    <x v="3"/>
    <x v="30"/>
    <n v="1"/>
    <n v="27.9"/>
    <n v="8.94"/>
    <s v="boleto"/>
    <n v="4"/>
    <x v="1"/>
    <x v="2"/>
    <s v="Sao Paulo"/>
  </r>
  <r>
    <s v="4b47ca7c3201379f99ee4c1f4d0c80b0"/>
    <s v="2018-03-06"/>
    <x v="16"/>
    <x v="1"/>
    <x v="0"/>
    <n v="1"/>
    <n v="69.900000000000006"/>
    <n v="26.57"/>
    <s v="credit_card"/>
    <n v="15"/>
    <x v="1"/>
    <x v="3"/>
    <s v="Rio Grande do Sul"/>
  </r>
  <r>
    <s v="3a7796fe71a79bf9d4b0f0da69362ce0"/>
    <s v="2018-03-06"/>
    <x v="16"/>
    <x v="21"/>
    <x v="1"/>
    <n v="1"/>
    <n v="85"/>
    <n v="22.3"/>
    <s v="credit_card"/>
    <n v="15"/>
    <x v="1"/>
    <x v="2"/>
    <s v="Bahia"/>
  </r>
  <r>
    <s v="30a022caf1ba5b86f28124ed216c859f"/>
    <s v="2018-03-06"/>
    <x v="16"/>
    <x v="22"/>
    <x v="4"/>
    <n v="6"/>
    <n v="240"/>
    <n v="21"/>
    <s v="credit_card"/>
    <n v="13"/>
    <x v="1"/>
    <x v="3"/>
    <s v="Espirito Santo"/>
  </r>
  <r>
    <s v="7bab5bb38c4ba852d6ec1fd273fc9446"/>
    <s v="2018-03-06"/>
    <x v="16"/>
    <x v="18"/>
    <x v="20"/>
    <n v="2"/>
    <n v="430"/>
    <n v="45.18"/>
    <s v="credit_card"/>
    <n v="11"/>
    <x v="1"/>
    <x v="1"/>
    <s v="Distrito Federal"/>
  </r>
  <r>
    <s v="44112fd5bb8ad2e4ce496e28c8c4258e"/>
    <s v="2018-03-06"/>
    <x v="16"/>
    <x v="3"/>
    <x v="4"/>
    <n v="1"/>
    <n v="149.9"/>
    <n v="25.18"/>
    <s v="credit_card"/>
    <n v="15"/>
    <x v="1"/>
    <x v="2"/>
    <s v="Sao Paulo"/>
  </r>
  <r>
    <s v="6785389081b96dc1acd26dc72ad54080"/>
    <s v="2018-03-07"/>
    <x v="16"/>
    <x v="5"/>
    <x v="1"/>
    <n v="1"/>
    <n v="104.9"/>
    <n v="15.58"/>
    <s v="credit_card"/>
    <n v="7"/>
    <x v="1"/>
    <x v="3"/>
    <s v="Parana"/>
  </r>
  <r>
    <s v="4de19bb1b286e84a06c1d2eb2954b222"/>
    <s v="2018-03-07"/>
    <x v="16"/>
    <x v="4"/>
    <x v="4"/>
    <n v="1"/>
    <n v="27.9"/>
    <n v="15.23"/>
    <s v="boleto"/>
    <n v="18"/>
    <x v="1"/>
    <x v="2"/>
    <s v="Rio de Janeiro"/>
  </r>
  <r>
    <s v="0656252be8b31ab4b264a730f9e600cb"/>
    <s v="2018-03-07"/>
    <x v="16"/>
    <x v="3"/>
    <x v="28"/>
    <n v="1"/>
    <n v="119.99"/>
    <n v="18.95"/>
    <s v="credit_card"/>
    <n v="15"/>
    <x v="1"/>
    <x v="2"/>
    <s v="Sao Paulo"/>
  </r>
  <r>
    <s v="cb83b3b35a2362f3a560b69d959b6732"/>
    <s v="2018-03-07"/>
    <x v="16"/>
    <x v="7"/>
    <x v="7"/>
    <n v="1"/>
    <n v="39.9"/>
    <n v="17.059999999999999"/>
    <s v="boleto"/>
    <n v="9"/>
    <x v="1"/>
    <x v="2"/>
    <s v="Minas Gerais"/>
  </r>
  <r>
    <s v="5046ecbc1ce636485cc146ddd706a55b"/>
    <s v="2018-03-07"/>
    <x v="16"/>
    <x v="3"/>
    <x v="14"/>
    <n v="1"/>
    <n v="56.99"/>
    <n v="14.49"/>
    <s v="credit_card"/>
    <n v="7"/>
    <x v="1"/>
    <x v="2"/>
    <s v="Sao Paulo"/>
  </r>
  <r>
    <s v="ddb9e8975cd9123fd5336811c747faa2"/>
    <s v="2018-03-07"/>
    <x v="16"/>
    <x v="3"/>
    <x v="19"/>
    <n v="1"/>
    <n v="36"/>
    <n v="9.82"/>
    <s v="credit_card"/>
    <n v="7"/>
    <x v="1"/>
    <x v="1"/>
    <s v="Sao Paulo"/>
  </r>
  <r>
    <s v="24dcf58639c7253fdb1a060a4f875558"/>
    <s v="2018-03-07"/>
    <x v="16"/>
    <x v="2"/>
    <x v="14"/>
    <n v="1"/>
    <n v="79.900000000000006"/>
    <n v="19.53"/>
    <s v="boleto"/>
    <n v="26"/>
    <x v="2"/>
    <x v="2"/>
    <s v="Goias"/>
  </r>
  <r>
    <s v="d7299ed1ce267fef299fca83511a0e17"/>
    <s v="2018-03-07"/>
    <x v="16"/>
    <x v="12"/>
    <x v="17"/>
    <n v="1"/>
    <n v="14.99"/>
    <n v="19.04"/>
    <s v="debit_card"/>
    <n v="24"/>
    <x v="2"/>
    <x v="3"/>
    <s v="Ceara"/>
  </r>
  <r>
    <s v="af1eb996572603fd366f5a1a862e0540"/>
    <s v="2018-03-07"/>
    <x v="16"/>
    <x v="3"/>
    <x v="40"/>
    <n v="1"/>
    <n v="79.900000000000006"/>
    <n v="17.47"/>
    <s v="boleto"/>
    <n v="13"/>
    <x v="1"/>
    <x v="2"/>
    <s v="Sao Paulo"/>
  </r>
  <r>
    <s v="de745e34eb24d2c0c2b46c6e86659127"/>
    <s v="2018-03-07"/>
    <x v="16"/>
    <x v="21"/>
    <x v="20"/>
    <n v="1"/>
    <n v="269"/>
    <n v="23.59"/>
    <s v="credit_card"/>
    <n v="33"/>
    <x v="1"/>
    <x v="2"/>
    <s v="Bahia"/>
  </r>
  <r>
    <s v="8c404744f757953fce7d97630970d045"/>
    <s v="2018-03-07"/>
    <x v="16"/>
    <x v="3"/>
    <x v="1"/>
    <n v="1"/>
    <n v="55"/>
    <n v="19.079999999999998"/>
    <s v="boleto"/>
    <n v="16"/>
    <x v="1"/>
    <x v="2"/>
    <s v="Sao Paulo"/>
  </r>
  <r>
    <s v="a70b9ff516da648dcee359a50611fe6d"/>
    <s v="2018-03-07"/>
    <x v="16"/>
    <x v="8"/>
    <x v="13"/>
    <n v="1"/>
    <n v="61.5"/>
    <n v="18.309999999999999"/>
    <s v="credit_card"/>
    <n v="21"/>
    <x v="1"/>
    <x v="0"/>
    <s v="Santa Catarina"/>
  </r>
  <r>
    <s v="c462577fbdd44f40d9ded05b2ebd6096"/>
    <s v="2018-03-07"/>
    <x v="16"/>
    <x v="3"/>
    <x v="9"/>
    <n v="1"/>
    <n v="47"/>
    <n v="8.4"/>
    <s v="credit_card"/>
    <n v="1"/>
    <x v="1"/>
    <x v="2"/>
    <s v="Sao Paulo"/>
  </r>
  <r>
    <s v="507884ae55f4e205891f59bf60e22b71"/>
    <s v="2018-03-07"/>
    <x v="16"/>
    <x v="3"/>
    <x v="19"/>
    <n v="1"/>
    <n v="120"/>
    <n v="15.58"/>
    <s v="credit_card"/>
    <n v="5"/>
    <x v="1"/>
    <x v="2"/>
    <s v="Sao Paulo"/>
  </r>
  <r>
    <s v="a46673a644bf3ee145a6afe288ed3e92"/>
    <s v="2018-03-07"/>
    <x v="16"/>
    <x v="4"/>
    <x v="4"/>
    <n v="1"/>
    <n v="149.9"/>
    <n v="21.1"/>
    <s v="credit_card"/>
    <n v="13"/>
    <x v="1"/>
    <x v="2"/>
    <s v="Rio de Janeiro"/>
  </r>
  <r>
    <s v="32fef9bb0f0402350b640eb6f13dbe09"/>
    <s v="2018-03-07"/>
    <x v="16"/>
    <x v="7"/>
    <x v="9"/>
    <n v="1"/>
    <n v="97.65"/>
    <n v="18.559999999999999"/>
    <s v="boleto"/>
    <n v="56"/>
    <x v="2"/>
    <x v="0"/>
    <s v="Minas Gerais"/>
  </r>
  <r>
    <s v="71189364ca3c13bb110177b4d8e949df"/>
    <s v="2018-03-07"/>
    <x v="16"/>
    <x v="3"/>
    <x v="3"/>
    <n v="1"/>
    <n v="32.5"/>
    <n v="12.79"/>
    <s v="credit_card"/>
    <n v="16"/>
    <x v="2"/>
    <x v="1"/>
    <s v="Sao Paulo"/>
  </r>
  <r>
    <s v="9099e5808d892fd34523293254ddb621"/>
    <s v="2018-03-08"/>
    <x v="16"/>
    <x v="4"/>
    <x v="17"/>
    <n v="1"/>
    <n v="28.5"/>
    <n v="18.23"/>
    <s v="credit_card"/>
    <n v="20"/>
    <x v="1"/>
    <x v="2"/>
    <s v="Rio de Janeiro"/>
  </r>
  <r>
    <s v="d828baeaa3a4bf3f9f4e239432e1987b"/>
    <s v="2018-03-08"/>
    <x v="16"/>
    <x v="21"/>
    <x v="1"/>
    <n v="1"/>
    <n v="249.99"/>
    <n v="52.25"/>
    <s v="credit_card"/>
    <n v="30"/>
    <x v="2"/>
    <x v="0"/>
    <s v="Bahia"/>
  </r>
  <r>
    <s v="a4d9bb727014ddee359b4bdd5c9791e7"/>
    <s v="2018-03-08"/>
    <x v="16"/>
    <x v="3"/>
    <x v="1"/>
    <n v="1"/>
    <n v="50"/>
    <n v="12.79"/>
    <s v="boleto"/>
    <n v="12"/>
    <x v="1"/>
    <x v="2"/>
    <s v="Sao Paulo"/>
  </r>
  <r>
    <s v="582037320d4b45790340d0ceedac58a3"/>
    <s v="2018-03-08"/>
    <x v="16"/>
    <x v="7"/>
    <x v="22"/>
    <n v="1"/>
    <n v="105"/>
    <n v="16.7"/>
    <s v="credit_card"/>
    <n v="12"/>
    <x v="1"/>
    <x v="2"/>
    <s v="Minas Gerais"/>
  </r>
  <r>
    <s v="66dea50a8b16d9b4dee7af250b4be1a5"/>
    <s v="2018-03-08"/>
    <x v="16"/>
    <x v="5"/>
    <x v="9"/>
    <n v="1"/>
    <n v="68.5"/>
    <n v="18.36"/>
    <s v="debit_card"/>
    <n v="7"/>
    <x v="1"/>
    <x v="2"/>
    <s v="Parana"/>
  </r>
  <r>
    <s v="43aeddd1834ad7f991a3653e797d7132"/>
    <s v="2018-03-08"/>
    <x v="16"/>
    <x v="4"/>
    <x v="6"/>
    <n v="1"/>
    <n v="24.99"/>
    <n v="15.23"/>
    <s v="boleto"/>
    <n v="41"/>
    <x v="2"/>
    <x v="1"/>
    <s v="Rio de Janeiro"/>
  </r>
  <r>
    <s v="be39a554924306abfee91a4f38ac55bb"/>
    <s v="2018-03-08"/>
    <x v="16"/>
    <x v="3"/>
    <x v="9"/>
    <n v="1"/>
    <n v="29.9"/>
    <n v="9.42"/>
    <s v="voucher"/>
    <n v="4"/>
    <x v="1"/>
    <x v="2"/>
    <s v="Sao Paulo"/>
  </r>
  <r>
    <s v="f5e9edb4041a4f6ddaac3851ae7992ee"/>
    <s v="2018-03-09"/>
    <x v="16"/>
    <x v="3"/>
    <x v="17"/>
    <n v="1"/>
    <n v="19.899999999999999"/>
    <n v="13.47"/>
    <s v="debit_card"/>
    <n v="20"/>
    <x v="1"/>
    <x v="3"/>
    <s v="Sao Paulo"/>
  </r>
  <r>
    <s v="a859c431ae458dee74fe2e549bd8e287"/>
    <s v="2018-03-09"/>
    <x v="16"/>
    <x v="3"/>
    <x v="55"/>
    <n v="1"/>
    <n v="410"/>
    <n v="16.96"/>
    <s v="boleto"/>
    <n v="6"/>
    <x v="1"/>
    <x v="2"/>
    <s v="Sao Paulo"/>
  </r>
  <r>
    <s v="3e87545e66b02b3858e6e252413b1b8f"/>
    <s v="2018-03-09"/>
    <x v="16"/>
    <x v="1"/>
    <x v="26"/>
    <n v="1"/>
    <n v="79"/>
    <n v="18.13"/>
    <s v="credit_card"/>
    <n v="19"/>
    <x v="1"/>
    <x v="3"/>
    <s v="Rio Grande do Sul"/>
  </r>
  <r>
    <s v="061e6ce7ec63fcace40d4ae11584763c"/>
    <s v="2018-03-09"/>
    <x v="16"/>
    <x v="3"/>
    <x v="20"/>
    <n v="1"/>
    <n v="210"/>
    <n v="18.38"/>
    <s v="credit_card"/>
    <n v="13"/>
    <x v="1"/>
    <x v="2"/>
    <s v="Sao Paulo"/>
  </r>
  <r>
    <s v="93a5d882408bb90dde6eaf5159ac5adb"/>
    <s v="2018-03-09"/>
    <x v="16"/>
    <x v="5"/>
    <x v="19"/>
    <n v="1"/>
    <n v="39"/>
    <n v="19.32"/>
    <s v="credit_card"/>
    <n v="14"/>
    <x v="1"/>
    <x v="3"/>
    <s v="Parana"/>
  </r>
  <r>
    <s v="ca7176941d0e15c620cebcdcf36af650"/>
    <s v="2018-03-09"/>
    <x v="16"/>
    <x v="3"/>
    <x v="13"/>
    <n v="1"/>
    <n v="27.9"/>
    <n v="7.87"/>
    <s v="boleto"/>
    <n v="13"/>
    <x v="2"/>
    <x v="2"/>
    <s v="Sao Paulo"/>
  </r>
  <r>
    <s v="0fcf164859b203af4b0811ccf70d1454"/>
    <s v="2018-03-09"/>
    <x v="16"/>
    <x v="22"/>
    <x v="22"/>
    <n v="1"/>
    <n v="274.89999999999998"/>
    <n v="19.8"/>
    <s v="boleto"/>
    <n v="33"/>
    <x v="2"/>
    <x v="0"/>
    <s v="Espirito Santo"/>
  </r>
  <r>
    <s v="0af905b4a536b95528b4eb5dd2c192da"/>
    <s v="2018-03-09"/>
    <x v="16"/>
    <x v="8"/>
    <x v="20"/>
    <n v="1"/>
    <n v="199"/>
    <n v="23.9"/>
    <s v="credit_card"/>
    <n v="11"/>
    <x v="1"/>
    <x v="2"/>
    <s v="Santa Catarina"/>
  </r>
  <r>
    <s v="dd70a35befb65bab7a91010576b94951"/>
    <s v="2018-03-09"/>
    <x v="16"/>
    <x v="5"/>
    <x v="17"/>
    <n v="1"/>
    <n v="109.9"/>
    <n v="18.649999999999999"/>
    <s v="credit_card"/>
    <n v="13"/>
    <x v="1"/>
    <x v="1"/>
    <s v="Parana"/>
  </r>
  <r>
    <s v="7a5d02d36c3933952297e3c01daa2e20"/>
    <s v="2018-03-09"/>
    <x v="16"/>
    <x v="5"/>
    <x v="36"/>
    <n v="1"/>
    <n v="141"/>
    <n v="34.53"/>
    <s v="credit_card"/>
    <n v="12"/>
    <x v="1"/>
    <x v="2"/>
    <s v="Parana"/>
  </r>
  <r>
    <s v="7533fbd27a9bfcacc9cb7d7e1b95c30b"/>
    <s v="2018-03-09"/>
    <x v="16"/>
    <x v="7"/>
    <x v="9"/>
    <n v="1"/>
    <n v="58.99"/>
    <n v="17.989999999999998"/>
    <s v="credit_card"/>
    <n v="12"/>
    <x v="1"/>
    <x v="2"/>
    <s v="Minas Gerais"/>
  </r>
  <r>
    <s v="bfd2ea548fb820f759a902c9b04415e3"/>
    <s v="2018-03-09"/>
    <x v="16"/>
    <x v="3"/>
    <x v="0"/>
    <n v="1"/>
    <n v="140"/>
    <n v="23.3"/>
    <s v="credit_card"/>
    <n v="4"/>
    <x v="1"/>
    <x v="2"/>
    <s v="Sao Paulo"/>
  </r>
  <r>
    <s v="19482dab7e55b687df4b2aec7bf23f55"/>
    <s v="2018-03-10"/>
    <x v="16"/>
    <x v="3"/>
    <x v="28"/>
    <n v="1"/>
    <n v="169.99"/>
    <n v="28.05"/>
    <s v="credit_card"/>
    <n v="16"/>
    <x v="1"/>
    <x v="0"/>
    <s v="Sao Paulo"/>
  </r>
  <r>
    <s v="f28cf65c040ec0031234f04085debe30"/>
    <s v="2018-03-10"/>
    <x v="16"/>
    <x v="15"/>
    <x v="9"/>
    <n v="1"/>
    <n v="190"/>
    <n v="28.06"/>
    <s v="credit_card"/>
    <n v="10"/>
    <x v="1"/>
    <x v="3"/>
    <s v="Mato Grosso"/>
  </r>
  <r>
    <s v="b3e86749e6dd7b4df4f345abbd329912"/>
    <s v="2018-03-10"/>
    <x v="16"/>
    <x v="11"/>
    <x v="13"/>
    <n v="2"/>
    <n v="70.8"/>
    <n v="93.65"/>
    <s v="credit_card"/>
    <n v="40"/>
    <x v="2"/>
    <x v="3"/>
    <s v="Para"/>
  </r>
  <r>
    <s v="3b3b650dac6b46fefb61189bb2e3c4e1"/>
    <s v="2018-03-10"/>
    <x v="16"/>
    <x v="7"/>
    <x v="14"/>
    <n v="1"/>
    <n v="135"/>
    <n v="27.03"/>
    <s v="boleto"/>
    <n v="18"/>
    <x v="1"/>
    <x v="2"/>
    <s v="Minas Gerais"/>
  </r>
  <r>
    <s v="c9e3ce22e44e7fcdb3bbd8acff17c3a6"/>
    <s v="2018-03-10"/>
    <x v="16"/>
    <x v="18"/>
    <x v="12"/>
    <n v="1"/>
    <n v="39.9"/>
    <n v="15.23"/>
    <s v="boleto"/>
    <n v="17"/>
    <x v="1"/>
    <x v="0"/>
    <s v="Distrito Federal"/>
  </r>
  <r>
    <s v="81b6015857004cedcfbc04ae95d7bfe5"/>
    <s v="2018-03-10"/>
    <x v="16"/>
    <x v="3"/>
    <x v="14"/>
    <n v="2"/>
    <n v="90.98"/>
    <n v="26.5"/>
    <s v="credit_card"/>
    <m/>
    <x v="0"/>
    <x v="0"/>
    <s v="Sao Paulo"/>
  </r>
  <r>
    <s v="324bba1a05579faca9bea05049eda757"/>
    <s v="2018-03-10"/>
    <x v="16"/>
    <x v="2"/>
    <x v="22"/>
    <n v="1"/>
    <n v="151.9"/>
    <n v="27.14"/>
    <s v="credit_card"/>
    <n v="29"/>
    <x v="2"/>
    <x v="1"/>
    <s v="Goias"/>
  </r>
  <r>
    <s v="de1f63780a06d4800d094e9875c89ac5"/>
    <s v="2018-03-10"/>
    <x v="16"/>
    <x v="4"/>
    <x v="13"/>
    <n v="2"/>
    <n v="98"/>
    <n v="36.46"/>
    <s v="credit_card"/>
    <n v="11"/>
    <x v="1"/>
    <x v="0"/>
    <s v="Rio de Janeiro"/>
  </r>
  <r>
    <s v="c5b29432f1377aa97a3b0cbf9f62f960"/>
    <s v="2018-03-10"/>
    <x v="16"/>
    <x v="3"/>
    <x v="20"/>
    <n v="1"/>
    <n v="176.99"/>
    <n v="13.14"/>
    <s v="credit_card"/>
    <n v="5"/>
    <x v="1"/>
    <x v="2"/>
    <s v="Sao Paulo"/>
  </r>
  <r>
    <s v="f1462e755e6dad34d26392c0715bfdab"/>
    <s v="2018-03-10"/>
    <x v="16"/>
    <x v="5"/>
    <x v="23"/>
    <n v="1"/>
    <n v="39.9"/>
    <n v="18.23"/>
    <s v="credit_card"/>
    <n v="6"/>
    <x v="1"/>
    <x v="2"/>
    <s v="Parana"/>
  </r>
  <r>
    <s v="888dc2fb617ecbaa3f82d5ba4294a0d6"/>
    <s v="2018-03-11"/>
    <x v="16"/>
    <x v="24"/>
    <x v="6"/>
    <n v="1"/>
    <n v="49.99"/>
    <n v="22.85"/>
    <s v="credit_card"/>
    <n v="37"/>
    <x v="2"/>
    <x v="1"/>
    <s v="Alagoas"/>
  </r>
  <r>
    <s v="33caef2ad890ad9d024fb272d1b14bc5"/>
    <s v="2018-03-11"/>
    <x v="16"/>
    <x v="3"/>
    <x v="7"/>
    <n v="3"/>
    <n v="161.69999999999999"/>
    <n v="43.41"/>
    <s v="credit_card"/>
    <n v="8"/>
    <x v="1"/>
    <x v="2"/>
    <s v="Sao Paulo"/>
  </r>
  <r>
    <s v="9c89421a3099d6b66cb2df1d2f1d3dab"/>
    <s v="2018-03-11"/>
    <x v="16"/>
    <x v="3"/>
    <x v="13"/>
    <n v="1"/>
    <n v="14.9"/>
    <n v="7.39"/>
    <s v="credit_card"/>
    <n v="3"/>
    <x v="1"/>
    <x v="3"/>
    <s v="Sao Paulo"/>
  </r>
  <r>
    <s v="e6f96e33b5d31862c79ab7b0eea58d25"/>
    <s v="2018-03-11"/>
    <x v="16"/>
    <x v="7"/>
    <x v="1"/>
    <n v="1"/>
    <n v="109.95"/>
    <n v="14.85"/>
    <s v="credit_card"/>
    <n v="8"/>
    <x v="1"/>
    <x v="2"/>
    <s v="Minas Gerais"/>
  </r>
  <r>
    <s v="0f9cc7808799d149c260814488be8e26"/>
    <s v="2018-03-11"/>
    <x v="16"/>
    <x v="5"/>
    <x v="1"/>
    <n v="1"/>
    <n v="49.9"/>
    <n v="18.23"/>
    <s v="credit_card"/>
    <n v="9"/>
    <x v="1"/>
    <x v="5"/>
    <s v="Parana"/>
  </r>
  <r>
    <s v="8acf6bb5ec0d534f95eb4048e9270f6e"/>
    <s v="2018-03-11"/>
    <x v="16"/>
    <x v="3"/>
    <x v="0"/>
    <n v="1"/>
    <n v="197.5"/>
    <n v="20.350000000000001"/>
    <s v="credit_card"/>
    <n v="4"/>
    <x v="1"/>
    <x v="2"/>
    <s v="Sao Paulo"/>
  </r>
  <r>
    <s v="26844c5a3b10d4ae5366ac6bfc55680a"/>
    <s v="2018-03-11"/>
    <x v="16"/>
    <x v="3"/>
    <x v="1"/>
    <n v="1"/>
    <n v="28"/>
    <n v="12.79"/>
    <s v="credit_card"/>
    <n v="26"/>
    <x v="2"/>
    <x v="1"/>
    <s v="Sao Paulo"/>
  </r>
  <r>
    <s v="21f596bcb5e3700e518ed8ac55bb2766"/>
    <s v="2018-03-11"/>
    <x v="16"/>
    <x v="5"/>
    <x v="1"/>
    <n v="1"/>
    <n v="45"/>
    <n v="13.61"/>
    <s v="credit_card"/>
    <n v="9"/>
    <x v="1"/>
    <x v="3"/>
    <s v="Parana"/>
  </r>
  <r>
    <s v="973ca2839f11804b5118ce7368f188a3"/>
    <s v="2018-03-11"/>
    <x v="16"/>
    <x v="1"/>
    <x v="1"/>
    <n v="1"/>
    <n v="389"/>
    <n v="55.25"/>
    <s v="credit_card"/>
    <n v="30"/>
    <x v="2"/>
    <x v="1"/>
    <s v="Rio Grande do Sul"/>
  </r>
  <r>
    <s v="8ef3801f58da6b652a3082e1fa5b6589"/>
    <s v="2018-03-11"/>
    <x v="16"/>
    <x v="3"/>
    <x v="25"/>
    <n v="1"/>
    <n v="115.9"/>
    <n v="13.25"/>
    <s v="credit_card"/>
    <n v="8"/>
    <x v="1"/>
    <x v="3"/>
    <s v="Sao Paulo"/>
  </r>
  <r>
    <s v="b456629690b371c6797ae5ff45d343b6"/>
    <s v="2018-03-12"/>
    <x v="16"/>
    <x v="3"/>
    <x v="6"/>
    <n v="1"/>
    <n v="29.99"/>
    <n v="7.39"/>
    <s v="credit_card"/>
    <n v="4"/>
    <x v="1"/>
    <x v="3"/>
    <s v="Sao Paulo"/>
  </r>
  <r>
    <s v="b001d1893d61b0d3b035e0a05253eb43"/>
    <s v="2018-03-12"/>
    <x v="16"/>
    <x v="7"/>
    <x v="0"/>
    <n v="1"/>
    <n v="119.9"/>
    <n v="20.99"/>
    <s v="credit_card"/>
    <n v="30"/>
    <x v="1"/>
    <x v="3"/>
    <s v="Minas Gerais"/>
  </r>
  <r>
    <s v="45e5d1e609ed1cbc67ab89e5f817849c"/>
    <s v="2018-03-12"/>
    <x v="16"/>
    <x v="3"/>
    <x v="9"/>
    <n v="1"/>
    <n v="503.34"/>
    <n v="24.88"/>
    <s v="credit_card"/>
    <n v="5"/>
    <x v="1"/>
    <x v="2"/>
    <s v="Sao Paulo"/>
  </r>
  <r>
    <s v="a92c33e0fb8e030045104ef9853b1d7c"/>
    <s v="2018-03-12"/>
    <x v="16"/>
    <x v="3"/>
    <x v="1"/>
    <n v="1"/>
    <n v="119.9"/>
    <n v="20.18"/>
    <s v="boleto"/>
    <n v="7"/>
    <x v="1"/>
    <x v="2"/>
    <s v="Sao Paulo"/>
  </r>
  <r>
    <s v="b97ba48cd74f9ae244f54338636046b3"/>
    <s v="2018-03-12"/>
    <x v="16"/>
    <x v="4"/>
    <x v="2"/>
    <n v="1"/>
    <n v="59.9"/>
    <n v="18.3"/>
    <s v="credit_card"/>
    <n v="43"/>
    <x v="2"/>
    <x v="4"/>
    <s v="Rio de Janeiro"/>
  </r>
  <r>
    <s v="329e18d5b045ab9481f0cfda10bece3a"/>
    <s v="2018-03-12"/>
    <x v="16"/>
    <x v="4"/>
    <x v="24"/>
    <n v="1"/>
    <n v="179.9"/>
    <n v="36.39"/>
    <s v="credit_card"/>
    <n v="8"/>
    <x v="1"/>
    <x v="2"/>
    <s v="Rio de Janeiro"/>
  </r>
  <r>
    <s v="773f515d33d86f596ef646f6864670c0"/>
    <s v="2018-03-12"/>
    <x v="16"/>
    <x v="14"/>
    <x v="22"/>
    <n v="1"/>
    <n v="194.9"/>
    <n v="19.239999999999998"/>
    <s v="credit_card"/>
    <n v="29"/>
    <x v="2"/>
    <x v="0"/>
    <s v="Mato Grosso do Sul"/>
  </r>
  <r>
    <s v="b85cdbd154ac1e60a0e2228705294c54"/>
    <s v="2018-03-12"/>
    <x v="16"/>
    <x v="3"/>
    <x v="17"/>
    <n v="1"/>
    <n v="12.25"/>
    <n v="7.39"/>
    <s v="credit_card"/>
    <n v="2"/>
    <x v="1"/>
    <x v="2"/>
    <s v="Sao Paulo"/>
  </r>
  <r>
    <s v="e0a50ed7a5ce30e34da29ca222748a5c"/>
    <s v="2018-03-12"/>
    <x v="16"/>
    <x v="3"/>
    <x v="25"/>
    <n v="1"/>
    <n v="32.9"/>
    <n v="14.44"/>
    <s v="credit_card"/>
    <n v="22"/>
    <x v="2"/>
    <x v="0"/>
    <s v="Sao Paulo"/>
  </r>
  <r>
    <s v="32c49c2531dd2c94af0c74906c13abcd"/>
    <s v="2018-03-12"/>
    <x v="16"/>
    <x v="7"/>
    <x v="4"/>
    <n v="1"/>
    <n v="95"/>
    <n v="22.38"/>
    <s v="credit_card"/>
    <n v="27"/>
    <x v="1"/>
    <x v="5"/>
    <s v="Minas Gerais"/>
  </r>
  <r>
    <s v="660cb47a0b4b671c86901a47f7dbc91c"/>
    <s v="2018-03-12"/>
    <x v="16"/>
    <x v="7"/>
    <x v="22"/>
    <n v="1"/>
    <n v="179"/>
    <n v="19.13"/>
    <s v="credit_card"/>
    <n v="16"/>
    <x v="1"/>
    <x v="2"/>
    <s v="Minas Gerais"/>
  </r>
  <r>
    <s v="3cb3f6f3260322db164ba9b44b6a07af"/>
    <s v="2018-03-12"/>
    <x v="16"/>
    <x v="21"/>
    <x v="14"/>
    <n v="1"/>
    <n v="122.9"/>
    <n v="23.79"/>
    <s v="credit_card"/>
    <n v="37"/>
    <x v="2"/>
    <x v="0"/>
    <s v="Bahia"/>
  </r>
  <r>
    <s v="3e1a73eb054c586cb259149ffdfd13ba"/>
    <s v="2018-03-12"/>
    <x v="16"/>
    <x v="3"/>
    <x v="18"/>
    <n v="2"/>
    <n v="75.8"/>
    <n v="17.760000000000002"/>
    <s v="credit_card"/>
    <n v="2"/>
    <x v="1"/>
    <x v="2"/>
    <s v="Sao Paulo"/>
  </r>
  <r>
    <s v="f0fd20d755f9483ae15892625f3e603d"/>
    <s v="2018-03-12"/>
    <x v="16"/>
    <x v="3"/>
    <x v="19"/>
    <n v="1"/>
    <n v="89.9"/>
    <n v="7.49"/>
    <s v="credit_card"/>
    <n v="6"/>
    <x v="1"/>
    <x v="2"/>
    <s v="Sao Paulo"/>
  </r>
  <r>
    <s v="bdeeea2fc303da3546a2ed06740d57f9"/>
    <s v="2018-03-13"/>
    <x v="16"/>
    <x v="4"/>
    <x v="14"/>
    <n v="2"/>
    <n v="200"/>
    <n v="33.93"/>
    <s v="credit_card"/>
    <n v="21"/>
    <x v="1"/>
    <x v="2"/>
    <s v="Rio de Janeiro"/>
  </r>
  <r>
    <s v="630d50b3a0f69b6ee270ae91d0594969"/>
    <s v="2018-03-13"/>
    <x v="16"/>
    <x v="2"/>
    <x v="22"/>
    <n v="1"/>
    <n v="110.4"/>
    <n v="15.65"/>
    <s v="credit_card"/>
    <n v="14"/>
    <x v="1"/>
    <x v="3"/>
    <s v="Goias"/>
  </r>
  <r>
    <s v="515c252d5e8d998ccbabee187e40d8ce"/>
    <s v="2018-03-13"/>
    <x v="16"/>
    <x v="1"/>
    <x v="0"/>
    <n v="3"/>
    <n v="225"/>
    <n v="55.23"/>
    <s v="credit_card"/>
    <n v="21"/>
    <x v="1"/>
    <x v="1"/>
    <s v="Rio Grande do Sul"/>
  </r>
  <r>
    <s v="0fa1fab1d7c1211c824596ed5e111e3c"/>
    <s v="2018-03-13"/>
    <x v="16"/>
    <x v="3"/>
    <x v="9"/>
    <n v="1"/>
    <n v="249.9"/>
    <n v="19.63"/>
    <s v="credit_card"/>
    <n v="22"/>
    <x v="2"/>
    <x v="0"/>
    <s v="Sao Paulo"/>
  </r>
  <r>
    <s v="3786374eb6f56d00e96bf7511002cd00"/>
    <s v="2018-03-13"/>
    <x v="16"/>
    <x v="4"/>
    <x v="13"/>
    <n v="1"/>
    <n v="589"/>
    <n v="54.19"/>
    <s v="credit_card"/>
    <n v="64"/>
    <x v="2"/>
    <x v="4"/>
    <s v="Rio de Janeiro"/>
  </r>
  <r>
    <s v="84b9c4e0d6fa518c27bacb0b602b028c"/>
    <s v="2018-03-13"/>
    <x v="16"/>
    <x v="21"/>
    <x v="20"/>
    <n v="1"/>
    <n v="99.99"/>
    <n v="27.43"/>
    <s v="boleto"/>
    <n v="31"/>
    <x v="2"/>
    <x v="1"/>
    <s v="Bahia"/>
  </r>
  <r>
    <s v="e3306fba117e962347dff8dfd6887ca3"/>
    <s v="2018-03-13"/>
    <x v="16"/>
    <x v="4"/>
    <x v="19"/>
    <n v="1"/>
    <n v="180"/>
    <n v="57.52"/>
    <s v="credit_card"/>
    <n v="9"/>
    <x v="1"/>
    <x v="3"/>
    <s v="Rio de Janeiro"/>
  </r>
  <r>
    <s v="4d7d8049db0c317e48f8e971de737dac"/>
    <s v="2018-03-13"/>
    <x v="16"/>
    <x v="3"/>
    <x v="5"/>
    <n v="1"/>
    <n v="199"/>
    <n v="14.75"/>
    <s v="credit_card"/>
    <n v="6"/>
    <x v="1"/>
    <x v="3"/>
    <s v="Sao Paulo"/>
  </r>
  <r>
    <s v="8796f3e2ab6a3baee74225a78c550c0a"/>
    <s v="2018-03-13"/>
    <x v="16"/>
    <x v="3"/>
    <x v="19"/>
    <n v="2"/>
    <n v="176"/>
    <n v="36.4"/>
    <s v="boleto"/>
    <n v="24"/>
    <x v="1"/>
    <x v="5"/>
    <s v="Sao Paulo"/>
  </r>
  <r>
    <s v="0fb3b7bbfc3693b115aa62a83fad2714"/>
    <s v="2018-03-13"/>
    <x v="16"/>
    <x v="3"/>
    <x v="32"/>
    <n v="2"/>
    <n v="599.79999999999995"/>
    <n v="56.36"/>
    <s v="credit_card"/>
    <m/>
    <x v="0"/>
    <x v="0"/>
    <s v="Sao Paulo"/>
  </r>
  <r>
    <s v="0ec73995908cf00519d1da725119d114"/>
    <s v="2018-03-13"/>
    <x v="16"/>
    <x v="1"/>
    <x v="0"/>
    <n v="1"/>
    <n v="790"/>
    <n v="52.8"/>
    <s v="credit_card"/>
    <n v="12"/>
    <x v="1"/>
    <x v="2"/>
    <s v="Rio Grande do Sul"/>
  </r>
  <r>
    <s v="183e1cca7e6e1aa97b65598a1b2fe6ea"/>
    <s v="2018-03-14"/>
    <x v="16"/>
    <x v="7"/>
    <x v="12"/>
    <n v="1"/>
    <n v="39.99"/>
    <n v="17.059999999999999"/>
    <s v="boleto"/>
    <n v="12"/>
    <x v="1"/>
    <x v="0"/>
    <s v="Minas Gerais"/>
  </r>
  <r>
    <s v="3181b28c176033ffaf02f2dc62b1db89"/>
    <s v="2018-03-14"/>
    <x v="16"/>
    <x v="3"/>
    <x v="4"/>
    <n v="1"/>
    <n v="29.99"/>
    <n v="7.71"/>
    <s v="boleto"/>
    <n v="2"/>
    <x v="1"/>
    <x v="2"/>
    <s v="Sao Paulo"/>
  </r>
  <r>
    <s v="e0b5327e615585edf5ac1051a466172d"/>
    <s v="2018-03-14"/>
    <x v="16"/>
    <x v="13"/>
    <x v="4"/>
    <n v="1"/>
    <n v="99"/>
    <n v="23.19"/>
    <s v="voucher"/>
    <m/>
    <x v="0"/>
    <x v="1"/>
    <s v="Maranhao"/>
  </r>
  <r>
    <s v="a60d97427c94f3cf9e9c338ac3e9aa14"/>
    <s v="2018-03-14"/>
    <x v="16"/>
    <x v="3"/>
    <x v="14"/>
    <n v="1"/>
    <n v="139.88999999999999"/>
    <n v="34.520000000000003"/>
    <s v="boleto"/>
    <n v="21"/>
    <x v="1"/>
    <x v="1"/>
    <s v="Sao Paulo"/>
  </r>
  <r>
    <s v="ced0e946ad5799158b4bebd93c91a100"/>
    <s v="2018-03-14"/>
    <x v="16"/>
    <x v="3"/>
    <x v="28"/>
    <n v="1"/>
    <n v="149.99"/>
    <n v="16.920000000000002"/>
    <s v="credit_card"/>
    <n v="19"/>
    <x v="1"/>
    <x v="1"/>
    <s v="Sao Paulo"/>
  </r>
  <r>
    <s v="bdd49e833a618b2e10096e4bd5725977"/>
    <s v="2018-03-14"/>
    <x v="16"/>
    <x v="7"/>
    <x v="1"/>
    <n v="1"/>
    <n v="39.9"/>
    <n v="15.23"/>
    <s v="boleto"/>
    <n v="22"/>
    <x v="2"/>
    <x v="2"/>
    <s v="Minas Gerais"/>
  </r>
  <r>
    <s v="0fee1078d20817986a6a94360d415a37"/>
    <s v="2018-03-14"/>
    <x v="16"/>
    <x v="7"/>
    <x v="19"/>
    <n v="1"/>
    <n v="21"/>
    <n v="19.32"/>
    <s v="credit_card"/>
    <n v="28"/>
    <x v="1"/>
    <x v="2"/>
    <s v="Minas Gerais"/>
  </r>
  <r>
    <s v="9abd4434524a2140bc9418988f93b4c8"/>
    <s v="2018-03-14"/>
    <x v="16"/>
    <x v="3"/>
    <x v="14"/>
    <n v="1"/>
    <n v="79.900000000000006"/>
    <n v="13.92"/>
    <s v="boleto"/>
    <n v="7"/>
    <x v="1"/>
    <x v="2"/>
    <s v="Sao Paulo"/>
  </r>
  <r>
    <s v="8aad27637248090b933a0697be57c443"/>
    <s v="2018-03-15"/>
    <x v="16"/>
    <x v="21"/>
    <x v="1"/>
    <n v="2"/>
    <n v="215.8"/>
    <n v="34.94"/>
    <s v="credit_card"/>
    <n v="13"/>
    <x v="1"/>
    <x v="3"/>
    <s v="Bahia"/>
  </r>
  <r>
    <s v="6d20c5b5d74d900b45b27fd6e6e01089"/>
    <s v="2018-03-15"/>
    <x v="16"/>
    <x v="3"/>
    <x v="36"/>
    <n v="1"/>
    <n v="69.900000000000006"/>
    <n v="14.58"/>
    <s v="credit_card"/>
    <n v="6"/>
    <x v="1"/>
    <x v="5"/>
    <s v="Sao Paulo"/>
  </r>
  <r>
    <s v="00d1289d5125017a90e528b5a7cee91f"/>
    <s v="2018-03-15"/>
    <x v="16"/>
    <x v="4"/>
    <x v="9"/>
    <n v="1"/>
    <n v="160"/>
    <n v="19"/>
    <s v="credit_card"/>
    <n v="96"/>
    <x v="2"/>
    <x v="0"/>
    <s v="Rio de Janeiro"/>
  </r>
  <r>
    <s v="5b57f1611ce8186213ff0f850df43fc3"/>
    <s v="2018-03-15"/>
    <x v="16"/>
    <x v="7"/>
    <x v="1"/>
    <n v="1"/>
    <n v="28"/>
    <n v="18.23"/>
    <s v="credit_card"/>
    <n v="12"/>
    <x v="1"/>
    <x v="2"/>
    <s v="Minas Gerais"/>
  </r>
  <r>
    <s v="19d3baace748a12b60b7c0901b11a285"/>
    <s v="2018-03-15"/>
    <x v="16"/>
    <x v="4"/>
    <x v="57"/>
    <n v="1"/>
    <n v="78"/>
    <n v="18.43"/>
    <s v="boleto"/>
    <n v="25"/>
    <x v="2"/>
    <x v="2"/>
    <s v="Rio de Janeiro"/>
  </r>
  <r>
    <s v="5140caed9ffab688aa2e67074d65befd"/>
    <s v="2018-03-15"/>
    <x v="16"/>
    <x v="4"/>
    <x v="9"/>
    <n v="1"/>
    <n v="529.9"/>
    <n v="25.42"/>
    <s v="credit_card"/>
    <n v="19"/>
    <x v="1"/>
    <x v="5"/>
    <s v="Rio de Janeiro"/>
  </r>
  <r>
    <s v="c96bb2323dfac3672b0a52e5add6b1f8"/>
    <s v="2018-03-15"/>
    <x v="16"/>
    <x v="7"/>
    <x v="17"/>
    <n v="1"/>
    <n v="15"/>
    <n v="18.23"/>
    <s v="credit_card"/>
    <n v="10"/>
    <x v="1"/>
    <x v="2"/>
    <s v="Minas Gerais"/>
  </r>
  <r>
    <s v="5fd0d1844c46d95e756c563bf148d01d"/>
    <s v="2018-03-15"/>
    <x v="16"/>
    <x v="3"/>
    <x v="1"/>
    <n v="1"/>
    <n v="92"/>
    <n v="13.08"/>
    <s v="boleto"/>
    <n v="6"/>
    <x v="1"/>
    <x v="2"/>
    <s v="Sao Paulo"/>
  </r>
  <r>
    <s v="b290e4dd94ec1715d29cc7d82dcf4d2f"/>
    <s v="2018-03-15"/>
    <x v="16"/>
    <x v="6"/>
    <x v="14"/>
    <n v="1"/>
    <n v="59"/>
    <n v="19.100000000000001"/>
    <s v="boleto"/>
    <n v="7"/>
    <x v="1"/>
    <x v="2"/>
    <s v="Pernambuco"/>
  </r>
  <r>
    <s v="247e66ec0e4b810c6acabe6f698cc62a"/>
    <s v="2018-03-15"/>
    <x v="16"/>
    <x v="1"/>
    <x v="0"/>
    <n v="1"/>
    <n v="37"/>
    <n v="16.32"/>
    <s v="credit_card"/>
    <m/>
    <x v="0"/>
    <x v="1"/>
    <s v="Rio Grande do Sul"/>
  </r>
  <r>
    <s v="c1dfbe8a3ce81f3fd38d2d5f50e84be6"/>
    <s v="2018-03-15"/>
    <x v="16"/>
    <x v="12"/>
    <x v="2"/>
    <n v="1"/>
    <n v="45.99"/>
    <n v="19.04"/>
    <s v="boleto"/>
    <m/>
    <x v="0"/>
    <x v="0"/>
    <s v="Ceara"/>
  </r>
  <r>
    <s v="06ec25371486403c9aa7249f067fc5aa"/>
    <s v="2018-03-16"/>
    <x v="16"/>
    <x v="4"/>
    <x v="2"/>
    <n v="1"/>
    <n v="119.99"/>
    <n v="26.92"/>
    <s v="credit_card"/>
    <n v="5"/>
    <x v="1"/>
    <x v="2"/>
    <s v="Rio de Janeiro"/>
  </r>
  <r>
    <s v="1594af7e73f90ad0bc2e6d7549ac2da5"/>
    <s v="2018-03-16"/>
    <x v="16"/>
    <x v="4"/>
    <x v="33"/>
    <n v="1"/>
    <n v="88.9"/>
    <n v="18.2"/>
    <s v="credit_card"/>
    <n v="25"/>
    <x v="1"/>
    <x v="3"/>
    <s v="Rio de Janeiro"/>
  </r>
  <r>
    <s v="4bbf3cd0e516cad47209a71b4ed02f94"/>
    <s v="2018-03-16"/>
    <x v="16"/>
    <x v="21"/>
    <x v="33"/>
    <n v="1"/>
    <n v="285"/>
    <n v="28.72"/>
    <s v="credit_card"/>
    <n v="10"/>
    <x v="1"/>
    <x v="3"/>
    <s v="Bahia"/>
  </r>
  <r>
    <s v="d764dbf4808e4b71b8602d2c1655767e"/>
    <s v="2018-03-16"/>
    <x v="16"/>
    <x v="3"/>
    <x v="17"/>
    <n v="1"/>
    <n v="12.9"/>
    <n v="7.39"/>
    <s v="credit_card"/>
    <n v="3"/>
    <x v="1"/>
    <x v="3"/>
    <s v="Sao Paulo"/>
  </r>
  <r>
    <s v="53b3fc5e3b224d01407dd5acefd75a53"/>
    <s v="2018-03-16"/>
    <x v="16"/>
    <x v="5"/>
    <x v="14"/>
    <n v="1"/>
    <n v="148.9"/>
    <n v="23.58"/>
    <s v="credit_card"/>
    <n v="7"/>
    <x v="1"/>
    <x v="3"/>
    <s v="Parana"/>
  </r>
  <r>
    <s v="6f88df04acbbbb0f5c98ef28271d27ea"/>
    <s v="2018-03-16"/>
    <x v="16"/>
    <x v="5"/>
    <x v="2"/>
    <n v="1"/>
    <n v="45.99"/>
    <n v="18.23"/>
    <s v="credit_card"/>
    <n v="16"/>
    <x v="1"/>
    <x v="0"/>
    <s v="Parana"/>
  </r>
  <r>
    <s v="ca5b72f1f41040f1639938311a47dafe"/>
    <s v="2018-03-16"/>
    <x v="16"/>
    <x v="3"/>
    <x v="12"/>
    <n v="1"/>
    <n v="52"/>
    <n v="11.15"/>
    <s v="credit_card"/>
    <n v="4"/>
    <x v="1"/>
    <x v="2"/>
    <s v="Sao Paulo"/>
  </r>
  <r>
    <s v="98c960af25c3341860e320f6780f28ce"/>
    <s v="2018-03-16"/>
    <x v="16"/>
    <x v="18"/>
    <x v="9"/>
    <n v="1"/>
    <n v="88.89"/>
    <n v="37.31"/>
    <s v="boleto"/>
    <n v="13"/>
    <x v="1"/>
    <x v="2"/>
    <s v="Distrito Federal"/>
  </r>
  <r>
    <s v="46b06fc4d4a2d4e9645f19e1a689e543"/>
    <s v="2018-03-16"/>
    <x v="16"/>
    <x v="7"/>
    <x v="9"/>
    <n v="1"/>
    <n v="79.989999999999995"/>
    <n v="16.53"/>
    <s v="boleto"/>
    <n v="13"/>
    <x v="1"/>
    <x v="1"/>
    <s v="Minas Gerais"/>
  </r>
  <r>
    <s v="bcc93ae5358fc8dbcbcb60fbcfff8f41"/>
    <s v="2018-03-16"/>
    <x v="16"/>
    <x v="1"/>
    <x v="14"/>
    <n v="1"/>
    <n v="24.9"/>
    <n v="18.23"/>
    <s v="credit_card"/>
    <n v="26"/>
    <x v="1"/>
    <x v="0"/>
    <s v="Rio Grande do Sul"/>
  </r>
  <r>
    <s v="094067c0f56b5d0a4dbad0aa60bd26a6"/>
    <s v="2018-03-16"/>
    <x v="16"/>
    <x v="3"/>
    <x v="1"/>
    <n v="2"/>
    <n v="107.36"/>
    <n v="14.78"/>
    <s v="credit_card"/>
    <n v="1"/>
    <x v="1"/>
    <x v="2"/>
    <s v="Sao Paulo"/>
  </r>
  <r>
    <s v="e0a98f9b707c33a4c46e02a530c3419b"/>
    <s v="2018-03-17"/>
    <x v="16"/>
    <x v="1"/>
    <x v="17"/>
    <n v="1"/>
    <n v="19.899999999999999"/>
    <n v="16.95"/>
    <s v="credit_card"/>
    <n v="11"/>
    <x v="1"/>
    <x v="2"/>
    <s v="Rio Grande do Sul"/>
  </r>
  <r>
    <s v="2bc23fea2d23b5e157fea231d05ccc28"/>
    <s v="2018-03-17"/>
    <x v="16"/>
    <x v="7"/>
    <x v="33"/>
    <n v="1"/>
    <n v="83.9"/>
    <n v="23.17"/>
    <s v="credit_card"/>
    <n v="17"/>
    <x v="1"/>
    <x v="2"/>
    <s v="Minas Gerais"/>
  </r>
  <r>
    <s v="8339f788dad4ceb81447efc8dc3ee269"/>
    <s v="2018-03-17"/>
    <x v="16"/>
    <x v="3"/>
    <x v="6"/>
    <n v="1"/>
    <n v="28.99"/>
    <n v="12.79"/>
    <s v="credit_card"/>
    <n v="18"/>
    <x v="1"/>
    <x v="1"/>
    <s v="Sao Paulo"/>
  </r>
  <r>
    <s v="1c36473b9a0db63449081c0408a96dc8"/>
    <s v="2018-03-17"/>
    <x v="16"/>
    <x v="8"/>
    <x v="17"/>
    <n v="1"/>
    <n v="15.12"/>
    <n v="16.95"/>
    <s v="credit_card"/>
    <n v="11"/>
    <x v="1"/>
    <x v="2"/>
    <s v="Santa Catarina"/>
  </r>
  <r>
    <s v="b26eb89dfb4e2d970274ef0c668fd43a"/>
    <s v="2018-03-17"/>
    <x v="16"/>
    <x v="3"/>
    <x v="1"/>
    <n v="1"/>
    <n v="55.9"/>
    <n v="13.51"/>
    <s v="credit_card"/>
    <n v="5"/>
    <x v="1"/>
    <x v="2"/>
    <s v="Sao Paulo"/>
  </r>
  <r>
    <s v="81643a310d1fa764a5097fa3545d4a90"/>
    <s v="2018-03-17"/>
    <x v="16"/>
    <x v="21"/>
    <x v="13"/>
    <n v="1"/>
    <n v="234.9"/>
    <n v="23.35"/>
    <s v="credit_card"/>
    <m/>
    <x v="0"/>
    <x v="0"/>
    <s v="Bahia"/>
  </r>
  <r>
    <s v="9de639fbe29fc86910cece0466b7b2d0"/>
    <s v="2018-03-17"/>
    <x v="16"/>
    <x v="8"/>
    <x v="22"/>
    <n v="1"/>
    <n v="97.9"/>
    <n v="22.4"/>
    <s v="boleto"/>
    <n v="10"/>
    <x v="1"/>
    <x v="3"/>
    <s v="Santa Catarina"/>
  </r>
  <r>
    <s v="aafaeffc1b29306122a30a238e6446d8"/>
    <s v="2018-03-17"/>
    <x v="16"/>
    <x v="1"/>
    <x v="6"/>
    <n v="1"/>
    <n v="24.07"/>
    <n v="15.23"/>
    <s v="credit_card"/>
    <n v="16"/>
    <x v="1"/>
    <x v="2"/>
    <s v="Rio Grande do Sul"/>
  </r>
  <r>
    <s v="02e7b3980e9984556bb3a764306f3e31"/>
    <s v="2018-03-18"/>
    <x v="16"/>
    <x v="8"/>
    <x v="19"/>
    <n v="1"/>
    <n v="89.9"/>
    <n v="23.56"/>
    <s v="credit_card"/>
    <n v="16"/>
    <x v="1"/>
    <x v="3"/>
    <s v="Santa Catarina"/>
  </r>
  <r>
    <s v="fa0d6d911b362948d8f86f9a703c268b"/>
    <s v="2018-03-18"/>
    <x v="16"/>
    <x v="3"/>
    <x v="13"/>
    <n v="1"/>
    <n v="69.900000000000006"/>
    <n v="14.58"/>
    <s v="boleto"/>
    <n v="19"/>
    <x v="2"/>
    <x v="3"/>
    <s v="Sao Paulo"/>
  </r>
  <r>
    <s v="ffe5736050c2890fa51a28942820258a"/>
    <s v="2018-03-18"/>
    <x v="16"/>
    <x v="3"/>
    <x v="28"/>
    <n v="1"/>
    <n v="79.989999999999995"/>
    <n v="14.55"/>
    <s v="credit_card"/>
    <n v="12"/>
    <x v="1"/>
    <x v="0"/>
    <s v="Sao Paulo"/>
  </r>
  <r>
    <s v="aca1243538a8bc195f2f017f8ea2456f"/>
    <s v="2018-03-18"/>
    <x v="16"/>
    <x v="3"/>
    <x v="14"/>
    <n v="2"/>
    <n v="65.8"/>
    <n v="14.78"/>
    <s v="voucher"/>
    <n v="8"/>
    <x v="1"/>
    <x v="3"/>
    <s v="Sao Paulo"/>
  </r>
  <r>
    <s v="5fd71cc4eb69ae6f65ac3acfcbc17ab5"/>
    <s v="2018-03-18"/>
    <x v="16"/>
    <x v="4"/>
    <x v="65"/>
    <n v="1"/>
    <n v="79.900000000000006"/>
    <n v="18.440000000000001"/>
    <s v="credit_card"/>
    <n v="10"/>
    <x v="1"/>
    <x v="2"/>
    <s v="Rio de Janeiro"/>
  </r>
  <r>
    <s v="21cd0176d6da15971444fa43f4e02137"/>
    <s v="2018-03-18"/>
    <x v="16"/>
    <x v="3"/>
    <x v="19"/>
    <n v="1"/>
    <n v="62.9"/>
    <n v="8.8800000000000008"/>
    <s v="credit_card"/>
    <n v="4"/>
    <x v="1"/>
    <x v="2"/>
    <s v="Sao Paulo"/>
  </r>
  <r>
    <s v="fad4c51261e06a0f8a2309ee81747628"/>
    <s v="2018-03-19"/>
    <x v="16"/>
    <x v="3"/>
    <x v="9"/>
    <n v="1"/>
    <n v="9.8000000000000007"/>
    <n v="15.23"/>
    <s v="credit_card"/>
    <n v="21"/>
    <x v="2"/>
    <x v="0"/>
    <s v="Sao Paulo"/>
  </r>
  <r>
    <s v="e9a673444938dfb3ee73bc31383f2921"/>
    <s v="2018-03-19"/>
    <x v="16"/>
    <x v="7"/>
    <x v="9"/>
    <n v="1"/>
    <n v="108.99"/>
    <n v="24.89"/>
    <s v="credit_card"/>
    <n v="20"/>
    <x v="1"/>
    <x v="2"/>
    <s v="Minas Gerais"/>
  </r>
  <r>
    <s v="7049ca1ff975d9decf0802e3cb983e40"/>
    <s v="2018-03-19"/>
    <x v="16"/>
    <x v="3"/>
    <x v="30"/>
    <n v="1"/>
    <n v="70.47"/>
    <n v="13.85"/>
    <s v="credit_card"/>
    <n v="9"/>
    <x v="1"/>
    <x v="3"/>
    <s v="Sao Paulo"/>
  </r>
  <r>
    <s v="7770f0fa803309f7765d9c449f1a7db4"/>
    <s v="2018-03-19"/>
    <x v="16"/>
    <x v="3"/>
    <x v="24"/>
    <n v="1"/>
    <n v="139.9"/>
    <n v="25.63"/>
    <s v="boleto"/>
    <n v="10"/>
    <x v="1"/>
    <x v="2"/>
    <s v="Sao Paulo"/>
  </r>
  <r>
    <s v="bcbc99c5380b420c2e5924342197a166"/>
    <s v="2018-03-19"/>
    <x v="16"/>
    <x v="4"/>
    <x v="4"/>
    <n v="1"/>
    <n v="129"/>
    <n v="54.65"/>
    <s v="credit_card"/>
    <n v="8"/>
    <x v="1"/>
    <x v="2"/>
    <s v="Rio de Janeiro"/>
  </r>
  <r>
    <s v="75ce76d60bf52b60e058e5d03571b145"/>
    <s v="2018-03-19"/>
    <x v="16"/>
    <x v="7"/>
    <x v="0"/>
    <n v="2"/>
    <n v="33.799999999999997"/>
    <n v="44.12"/>
    <s v="credit_card"/>
    <n v="14"/>
    <x v="1"/>
    <x v="3"/>
    <s v="Minas Gerais"/>
  </r>
  <r>
    <s v="26330ea8daec86890eecd63e62f17c01"/>
    <s v="2018-03-19"/>
    <x v="16"/>
    <x v="5"/>
    <x v="14"/>
    <n v="1"/>
    <n v="52.9"/>
    <n v="22.95"/>
    <s v="boleto"/>
    <n v="26"/>
    <x v="2"/>
    <x v="5"/>
    <s v="Parana"/>
  </r>
  <r>
    <s v="a54407e6b6cce226cc1386982ca8a2b5"/>
    <s v="2018-03-19"/>
    <x v="16"/>
    <x v="7"/>
    <x v="4"/>
    <n v="1"/>
    <n v="51.99"/>
    <n v="13.48"/>
    <s v="credit_card"/>
    <n v="4"/>
    <x v="1"/>
    <x v="1"/>
    <s v="Minas Gerais"/>
  </r>
  <r>
    <s v="ad01d61ec53a43d200f359c11347316f"/>
    <s v="2018-03-19"/>
    <x v="16"/>
    <x v="4"/>
    <x v="6"/>
    <n v="1"/>
    <n v="24.98"/>
    <n v="15.23"/>
    <s v="boleto"/>
    <n v="8"/>
    <x v="1"/>
    <x v="2"/>
    <s v="Rio de Janeiro"/>
  </r>
  <r>
    <s v="01721e0729fcb75ab238248fdbb48eeb"/>
    <s v="2018-03-19"/>
    <x v="16"/>
    <x v="8"/>
    <x v="22"/>
    <n v="1"/>
    <n v="219"/>
    <n v="24.11"/>
    <s v="credit_card"/>
    <n v="21"/>
    <x v="1"/>
    <x v="1"/>
    <s v="Santa Catarina"/>
  </r>
  <r>
    <s v="8ff625fadffb2448ac1d434dffb4d52c"/>
    <s v="2018-03-19"/>
    <x v="16"/>
    <x v="3"/>
    <x v="19"/>
    <n v="1"/>
    <n v="47.19"/>
    <n v="11.15"/>
    <s v="credit_card"/>
    <n v="6"/>
    <x v="1"/>
    <x v="2"/>
    <s v="Sao Paulo"/>
  </r>
  <r>
    <s v="35f069c19a16b1ef6a4c4fda664db415"/>
    <s v="2018-03-19"/>
    <x v="16"/>
    <x v="6"/>
    <x v="1"/>
    <n v="1"/>
    <n v="255"/>
    <n v="40.01"/>
    <s v="credit_card"/>
    <n v="15"/>
    <x v="1"/>
    <x v="2"/>
    <s v="Pernambuco"/>
  </r>
  <r>
    <s v="42ac49d6394099d7c2a5d2d7fd813bd8"/>
    <s v="2018-03-19"/>
    <x v="16"/>
    <x v="3"/>
    <x v="1"/>
    <n v="1"/>
    <n v="59.9"/>
    <n v="13.78"/>
    <s v="credit_card"/>
    <n v="17"/>
    <x v="1"/>
    <x v="3"/>
    <s v="Sao Paulo"/>
  </r>
  <r>
    <s v="be97eee4de1bfb3280324360aafea3cb"/>
    <s v="2018-03-19"/>
    <x v="16"/>
    <x v="22"/>
    <x v="22"/>
    <n v="1"/>
    <n v="115"/>
    <n v="18.690000000000001"/>
    <s v="voucher"/>
    <n v="19"/>
    <x v="1"/>
    <x v="2"/>
    <s v="Espirito Santo"/>
  </r>
  <r>
    <s v="6289102facc42d587c415f1ac8df5b2d"/>
    <s v="2018-03-19"/>
    <x v="16"/>
    <x v="3"/>
    <x v="22"/>
    <n v="2"/>
    <n v="78.900000000000006"/>
    <n v="24.64"/>
    <s v="boleto"/>
    <n v="3"/>
    <x v="1"/>
    <x v="0"/>
    <s v="Sao Paulo"/>
  </r>
  <r>
    <s v="f67f9e00c6535a03d484ba5bcd5227c9"/>
    <s v="2018-03-19"/>
    <x v="16"/>
    <x v="1"/>
    <x v="4"/>
    <n v="1"/>
    <n v="84.89"/>
    <n v="18.47"/>
    <s v="boleto"/>
    <n v="18"/>
    <x v="1"/>
    <x v="2"/>
    <s v="Rio Grande do Sul"/>
  </r>
  <r>
    <s v="6e0b28c14e19f98166a6c136548dab7b"/>
    <s v="2018-03-19"/>
    <x v="16"/>
    <x v="3"/>
    <x v="19"/>
    <n v="4"/>
    <n v="139.6"/>
    <n v="51.84"/>
    <s v="boleto"/>
    <n v="3"/>
    <x v="1"/>
    <x v="2"/>
    <s v="Sao Paulo"/>
  </r>
  <r>
    <s v="ddb34cd42a4f007c29595d7d57caac94"/>
    <s v="2018-03-19"/>
    <x v="16"/>
    <x v="3"/>
    <x v="25"/>
    <n v="1"/>
    <n v="46.9"/>
    <n v="12.79"/>
    <s v="credit_card"/>
    <n v="8"/>
    <x v="1"/>
    <x v="2"/>
    <s v="Sao Paulo"/>
  </r>
  <r>
    <s v="933b44007775d08defe992a330429cbb"/>
    <s v="2018-03-19"/>
    <x v="16"/>
    <x v="4"/>
    <x v="5"/>
    <n v="1"/>
    <n v="8.9"/>
    <n v="18.23"/>
    <s v="credit_card"/>
    <n v="17"/>
    <x v="1"/>
    <x v="2"/>
    <s v="Rio de Janeiro"/>
  </r>
  <r>
    <s v="5ea857730c2e2b2c0eb0cf640d586126"/>
    <s v="2018-03-20"/>
    <x v="16"/>
    <x v="3"/>
    <x v="36"/>
    <n v="1"/>
    <n v="157.5"/>
    <n v="9.4"/>
    <s v="credit_card"/>
    <n v="3"/>
    <x v="1"/>
    <x v="2"/>
    <s v="Sao Paulo"/>
  </r>
  <r>
    <s v="8c026d542e6e6803115061acaed02330"/>
    <s v="2018-03-20"/>
    <x v="16"/>
    <x v="7"/>
    <x v="1"/>
    <n v="1"/>
    <n v="59.99"/>
    <n v="16.39"/>
    <s v="boleto"/>
    <n v="23"/>
    <x v="2"/>
    <x v="3"/>
    <s v="Minas Gerais"/>
  </r>
  <r>
    <s v="ca23ddf87cf569c651185e5ad2628e2d"/>
    <s v="2018-03-20"/>
    <x v="16"/>
    <x v="1"/>
    <x v="0"/>
    <n v="1"/>
    <n v="70"/>
    <n v="23.07"/>
    <s v="boleto"/>
    <n v="13"/>
    <x v="1"/>
    <x v="2"/>
    <s v="Rio Grande do Sul"/>
  </r>
  <r>
    <s v="537f17846f5373310e18e7bcc734c39d"/>
    <s v="2018-03-20"/>
    <x v="16"/>
    <x v="3"/>
    <x v="4"/>
    <n v="1"/>
    <n v="299.99"/>
    <n v="28.96"/>
    <s v="boleto"/>
    <n v="8"/>
    <x v="1"/>
    <x v="3"/>
    <s v="Sao Paulo"/>
  </r>
  <r>
    <s v="82a6ea37c0c3ed2f6fe3a6029adbc589"/>
    <s v="2018-03-20"/>
    <x v="16"/>
    <x v="4"/>
    <x v="9"/>
    <n v="1"/>
    <n v="19.899999999999999"/>
    <n v="17.059999999999999"/>
    <s v="credit_card"/>
    <n v="9"/>
    <x v="1"/>
    <x v="2"/>
    <s v="Rio de Janeiro"/>
  </r>
  <r>
    <s v="2fa04cf2e7effc77c6c4355cd4401bcc"/>
    <s v="2018-03-20"/>
    <x v="16"/>
    <x v="7"/>
    <x v="0"/>
    <n v="1"/>
    <n v="79.989999999999995"/>
    <n v="23.14"/>
    <s v="credit_card"/>
    <n v="16"/>
    <x v="1"/>
    <x v="2"/>
    <s v="Minas Gerais"/>
  </r>
  <r>
    <s v="96ba203b82627b53d6797d030b330274"/>
    <s v="2018-03-20"/>
    <x v="16"/>
    <x v="3"/>
    <x v="5"/>
    <n v="2"/>
    <n v="67.599999999999994"/>
    <n v="25.57"/>
    <s v="credit_card"/>
    <n v="6"/>
    <x v="1"/>
    <x v="2"/>
    <s v="Sao Paulo"/>
  </r>
  <r>
    <s v="679b2d97d9e7a6d014bb71bc4d7beeae"/>
    <s v="2018-03-20"/>
    <x v="16"/>
    <x v="3"/>
    <x v="13"/>
    <n v="1"/>
    <n v="17"/>
    <n v="8.8800000000000008"/>
    <s v="boleto"/>
    <n v="3"/>
    <x v="1"/>
    <x v="2"/>
    <s v="Sao Paulo"/>
  </r>
  <r>
    <s v="38559c61343c85697de47177896737e6"/>
    <s v="2018-03-20"/>
    <x v="16"/>
    <x v="8"/>
    <x v="4"/>
    <n v="1"/>
    <n v="50.99"/>
    <n v="22.07"/>
    <s v="credit_card"/>
    <n v="7"/>
    <x v="1"/>
    <x v="2"/>
    <s v="Santa Catarina"/>
  </r>
  <r>
    <s v="b408f4a2019ebaf05a37c861b4c611bc"/>
    <s v="2018-03-21"/>
    <x v="16"/>
    <x v="4"/>
    <x v="33"/>
    <n v="1"/>
    <n v="59"/>
    <n v="15.29"/>
    <s v="credit_card"/>
    <n v="35"/>
    <x v="1"/>
    <x v="3"/>
    <s v="Rio de Janeiro"/>
  </r>
  <r>
    <s v="fa794cef99ed64f42ebb766a8af51c64"/>
    <s v="2018-03-21"/>
    <x v="16"/>
    <x v="3"/>
    <x v="6"/>
    <n v="1"/>
    <n v="989"/>
    <n v="13.79"/>
    <s v="credit_card"/>
    <n v="33"/>
    <x v="2"/>
    <x v="0"/>
    <s v="Sao Paulo"/>
  </r>
  <r>
    <s v="49a8037eb392560be2070774d0eb046b"/>
    <s v="2018-03-21"/>
    <x v="16"/>
    <x v="3"/>
    <x v="0"/>
    <n v="1"/>
    <n v="17.899999999999999"/>
    <n v="15.23"/>
    <s v="voucher"/>
    <n v="7"/>
    <x v="1"/>
    <x v="3"/>
    <s v="Sao Paulo"/>
  </r>
  <r>
    <s v="6b6291ce14ed6c6cd2df883635e6c704"/>
    <s v="2018-03-21"/>
    <x v="16"/>
    <x v="4"/>
    <x v="34"/>
    <n v="1"/>
    <n v="119"/>
    <n v="40.9"/>
    <s v="credit_card"/>
    <n v="46"/>
    <x v="2"/>
    <x v="0"/>
    <s v="Rio de Janeiro"/>
  </r>
  <r>
    <s v="339889810ba75dd015439b4ec6c33a5b"/>
    <s v="2018-03-21"/>
    <x v="16"/>
    <x v="3"/>
    <x v="28"/>
    <n v="1"/>
    <n v="179.9"/>
    <n v="30.38"/>
    <s v="credit_card"/>
    <n v="23"/>
    <x v="1"/>
    <x v="3"/>
    <s v="Sao Paulo"/>
  </r>
  <r>
    <s v="5e1452bdf1c8fcf2b69f810cf9374a8e"/>
    <s v="2018-03-21"/>
    <x v="16"/>
    <x v="7"/>
    <x v="7"/>
    <n v="1"/>
    <n v="55"/>
    <n v="19.36"/>
    <s v="boleto"/>
    <n v="14"/>
    <x v="1"/>
    <x v="2"/>
    <s v="Minas Gerais"/>
  </r>
  <r>
    <s v="c9ebb7aedaf396f225f85df6735dd67e"/>
    <s v="2018-03-21"/>
    <x v="16"/>
    <x v="1"/>
    <x v="1"/>
    <n v="1"/>
    <n v="149.9"/>
    <n v="23.63"/>
    <s v="boleto"/>
    <n v="24"/>
    <x v="1"/>
    <x v="1"/>
    <s v="Rio Grande do Sul"/>
  </r>
  <r>
    <s v="e619222dc1c471bc9cc8375cd448af63"/>
    <s v="2018-03-21"/>
    <x v="16"/>
    <x v="3"/>
    <x v="31"/>
    <n v="1"/>
    <n v="24.9"/>
    <n v="12.79"/>
    <s v="credit_card"/>
    <n v="16"/>
    <x v="1"/>
    <x v="2"/>
    <s v="Sao Paulo"/>
  </r>
  <r>
    <s v="9d1a6308e1de0ec94620e9663d33dd7a"/>
    <s v="2018-03-21"/>
    <x v="16"/>
    <x v="8"/>
    <x v="18"/>
    <n v="1"/>
    <n v="29.99"/>
    <n v="15.23"/>
    <s v="credit_card"/>
    <n v="5"/>
    <x v="1"/>
    <x v="3"/>
    <s v="Santa Catarina"/>
  </r>
  <r>
    <s v="24d1b74a97e959cf2ed7190dcc02e726"/>
    <s v="2018-03-21"/>
    <x v="16"/>
    <x v="1"/>
    <x v="6"/>
    <n v="1"/>
    <n v="23.99"/>
    <n v="18.23"/>
    <s v="credit_card"/>
    <n v="8"/>
    <x v="1"/>
    <x v="2"/>
    <s v="Rio Grande do Sul"/>
  </r>
  <r>
    <s v="f69de9f3c79fe9e8689a3718ea110a12"/>
    <s v="2018-03-21"/>
    <x v="16"/>
    <x v="3"/>
    <x v="31"/>
    <n v="1"/>
    <n v="233.99"/>
    <n v="49.5"/>
    <s v="credit_card"/>
    <n v="6"/>
    <x v="1"/>
    <x v="1"/>
    <s v="Sao Paulo"/>
  </r>
  <r>
    <s v="badd0610d349f865d84d27e36b2abde4"/>
    <s v="2018-03-21"/>
    <x v="16"/>
    <x v="4"/>
    <x v="19"/>
    <n v="2"/>
    <n v="237"/>
    <n v="61.28"/>
    <s v="credit_card"/>
    <n v="7"/>
    <x v="1"/>
    <x v="0"/>
    <s v="Rio de Janeiro"/>
  </r>
  <r>
    <s v="a38dda1569202dafdff4060bf32c811e"/>
    <s v="2018-03-21"/>
    <x v="16"/>
    <x v="21"/>
    <x v="5"/>
    <n v="1"/>
    <n v="44.9"/>
    <n v="17.059999999999999"/>
    <s v="voucher"/>
    <n v="10"/>
    <x v="1"/>
    <x v="2"/>
    <s v="Bahia"/>
  </r>
  <r>
    <s v="18c3c1366ee83a4162a2eefe7bb66f23"/>
    <s v="2018-03-21"/>
    <x v="16"/>
    <x v="2"/>
    <x v="0"/>
    <n v="1"/>
    <n v="69.900000000000006"/>
    <n v="20.059999999999999"/>
    <s v="boleto"/>
    <n v="12"/>
    <x v="1"/>
    <x v="0"/>
    <s v="Goias"/>
  </r>
  <r>
    <s v="742aea07dd8f1cc25098f44089301a0c"/>
    <s v="2018-03-21"/>
    <x v="16"/>
    <x v="3"/>
    <x v="4"/>
    <n v="1"/>
    <n v="39.99"/>
    <n v="8.2899999999999991"/>
    <s v="credit_card"/>
    <n v="6"/>
    <x v="1"/>
    <x v="3"/>
    <s v="Sao Paulo"/>
  </r>
  <r>
    <s v="e055ea75678450065cbfb7af8fc4d16e"/>
    <s v="2018-03-22"/>
    <x v="16"/>
    <x v="3"/>
    <x v="33"/>
    <n v="1"/>
    <n v="94.9"/>
    <n v="15.54"/>
    <s v="credit_card"/>
    <n v="12"/>
    <x v="1"/>
    <x v="2"/>
    <s v="Sao Paulo"/>
  </r>
  <r>
    <s v="3a17199c5f4688279c69a931b1950c86"/>
    <s v="2018-03-22"/>
    <x v="16"/>
    <x v="3"/>
    <x v="13"/>
    <n v="1"/>
    <n v="59.58"/>
    <n v="14.51"/>
    <s v="credit_card"/>
    <n v="13"/>
    <x v="1"/>
    <x v="2"/>
    <s v="Sao Paulo"/>
  </r>
  <r>
    <s v="eb5259e33530b732f251ee44091c75d6"/>
    <s v="2018-03-22"/>
    <x v="16"/>
    <x v="3"/>
    <x v="54"/>
    <n v="1"/>
    <n v="261"/>
    <n v="8.69"/>
    <s v="credit_card"/>
    <n v="6"/>
    <x v="1"/>
    <x v="2"/>
    <s v="Sao Paulo"/>
  </r>
  <r>
    <s v="8a9ec714d97db36f469d62e3fa8d638f"/>
    <s v="2018-03-22"/>
    <x v="16"/>
    <x v="3"/>
    <x v="2"/>
    <n v="1"/>
    <n v="49.99"/>
    <n v="7.39"/>
    <s v="credit_card"/>
    <n v="7"/>
    <x v="1"/>
    <x v="2"/>
    <s v="Sao Paulo"/>
  </r>
  <r>
    <s v="c0b2c20ed167622980ba4586d4f60168"/>
    <s v="2018-03-22"/>
    <x v="16"/>
    <x v="11"/>
    <x v="6"/>
    <n v="1"/>
    <n v="21.99"/>
    <n v="37.04"/>
    <s v="credit_card"/>
    <n v="45"/>
    <x v="2"/>
    <x v="0"/>
    <s v="Para"/>
  </r>
  <r>
    <s v="9371a323185fe5bc627ed3065bf2fcd8"/>
    <s v="2018-03-22"/>
    <x v="16"/>
    <x v="3"/>
    <x v="17"/>
    <n v="1"/>
    <n v="148"/>
    <n v="8.3800000000000008"/>
    <s v="boleto"/>
    <n v="13"/>
    <x v="1"/>
    <x v="3"/>
    <s v="Sao Paulo"/>
  </r>
  <r>
    <s v="90a9fea4de623b810e0b0c5226e21884"/>
    <s v="2018-03-22"/>
    <x v="16"/>
    <x v="1"/>
    <x v="27"/>
    <n v="1"/>
    <n v="940.5"/>
    <n v="21.46"/>
    <s v="credit_card"/>
    <n v="6"/>
    <x v="1"/>
    <x v="2"/>
    <s v="Rio Grande do Sul"/>
  </r>
  <r>
    <s v="35d71bd32993bd9959f7eefe1a5a0f4a"/>
    <s v="2018-03-23"/>
    <x v="16"/>
    <x v="4"/>
    <x v="13"/>
    <n v="2"/>
    <n v="51.12"/>
    <n v="36.46"/>
    <s v="credit_card"/>
    <n v="21"/>
    <x v="2"/>
    <x v="2"/>
    <s v="Rio de Janeiro"/>
  </r>
  <r>
    <s v="420c0f82633702db7d2cbae2ee56f66a"/>
    <s v="2018-03-23"/>
    <x v="16"/>
    <x v="4"/>
    <x v="44"/>
    <n v="1"/>
    <n v="170"/>
    <n v="27.27"/>
    <s v="credit_card"/>
    <n v="16"/>
    <x v="1"/>
    <x v="3"/>
    <s v="Rio de Janeiro"/>
  </r>
  <r>
    <s v="0abf7f13c92f93e708a28f32316b13d3"/>
    <s v="2018-03-23"/>
    <x v="16"/>
    <x v="1"/>
    <x v="7"/>
    <n v="1"/>
    <n v="99.9"/>
    <n v="21.65"/>
    <s v="credit_card"/>
    <n v="9"/>
    <x v="1"/>
    <x v="2"/>
    <s v="Rio Grande do Sul"/>
  </r>
  <r>
    <s v="ecacbdf9dd9ba3bb85ace7edb81d157c"/>
    <s v="2018-03-23"/>
    <x v="16"/>
    <x v="3"/>
    <x v="8"/>
    <n v="2"/>
    <n v="214"/>
    <n v="26.1"/>
    <s v="credit_card"/>
    <n v="9"/>
    <x v="1"/>
    <x v="2"/>
    <s v="Sao Paulo"/>
  </r>
  <r>
    <s v="4e01efb248c52ca8e83181032cf0bdab"/>
    <s v="2018-03-23"/>
    <x v="16"/>
    <x v="3"/>
    <x v="4"/>
    <n v="2"/>
    <n v="146.9"/>
    <n v="27.26"/>
    <s v="credit_card"/>
    <n v="10"/>
    <x v="1"/>
    <x v="2"/>
    <s v="Sao Paulo"/>
  </r>
  <r>
    <s v="2b52dbab41840708a214e393b22184be"/>
    <s v="2018-03-23"/>
    <x v="16"/>
    <x v="22"/>
    <x v="18"/>
    <n v="1"/>
    <n v="44"/>
    <n v="18.23"/>
    <s v="credit_card"/>
    <n v="12"/>
    <x v="1"/>
    <x v="2"/>
    <s v="Espirito Santo"/>
  </r>
  <r>
    <s v="4fb940c1dd0d52bdd810288027151f9d"/>
    <s v="2018-03-23"/>
    <x v="16"/>
    <x v="3"/>
    <x v="7"/>
    <n v="1"/>
    <n v="99"/>
    <n v="12.6"/>
    <s v="credit_card"/>
    <n v="3"/>
    <x v="1"/>
    <x v="2"/>
    <s v="Sao Paulo"/>
  </r>
  <r>
    <s v="568337b4978bd295de7988937a5e2e83"/>
    <s v="2018-03-23"/>
    <x v="16"/>
    <x v="3"/>
    <x v="7"/>
    <n v="1"/>
    <n v="466"/>
    <n v="64.17"/>
    <s v="credit_card"/>
    <n v="5"/>
    <x v="1"/>
    <x v="2"/>
    <s v="Sao Paulo"/>
  </r>
  <r>
    <s v="d698f250537eaef39df378be5aae95f0"/>
    <s v="2018-03-24"/>
    <x v="16"/>
    <x v="3"/>
    <x v="29"/>
    <n v="1"/>
    <n v="99"/>
    <n v="14.78"/>
    <s v="credit_card"/>
    <n v="21"/>
    <x v="2"/>
    <x v="2"/>
    <s v="Sao Paulo"/>
  </r>
  <r>
    <s v="3165f39a78f513c0877dc0d1ad69683a"/>
    <s v="2018-03-24"/>
    <x v="16"/>
    <x v="8"/>
    <x v="22"/>
    <n v="1"/>
    <n v="1299"/>
    <n v="23.97"/>
    <s v="credit_card"/>
    <n v="20"/>
    <x v="1"/>
    <x v="1"/>
    <s v="Santa Catarina"/>
  </r>
  <r>
    <s v="e57742f8afd4fa79d5d6b11a85f9c64f"/>
    <s v="2018-03-24"/>
    <x v="16"/>
    <x v="7"/>
    <x v="13"/>
    <n v="1"/>
    <n v="57.6"/>
    <n v="19.37"/>
    <s v="credit_card"/>
    <n v="10"/>
    <x v="1"/>
    <x v="2"/>
    <s v="Minas Gerais"/>
  </r>
  <r>
    <s v="596761153565279406f3f9ee6ee947e2"/>
    <s v="2018-03-24"/>
    <x v="16"/>
    <x v="7"/>
    <x v="7"/>
    <n v="1"/>
    <n v="179"/>
    <n v="27.49"/>
    <s v="credit_card"/>
    <n v="9"/>
    <x v="1"/>
    <x v="3"/>
    <s v="Minas Gerais"/>
  </r>
  <r>
    <s v="6f28feea2823c775f5b8110ccf4fe754"/>
    <s v="2018-03-24"/>
    <x v="16"/>
    <x v="21"/>
    <x v="6"/>
    <n v="1"/>
    <n v="22.99"/>
    <n v="22.06"/>
    <s v="credit_card"/>
    <n v="25"/>
    <x v="1"/>
    <x v="0"/>
    <s v="Bahia"/>
  </r>
  <r>
    <s v="28af73d7412f63a3e911be60bf966d70"/>
    <s v="2018-03-24"/>
    <x v="16"/>
    <x v="13"/>
    <x v="22"/>
    <n v="1"/>
    <n v="123"/>
    <n v="51.36"/>
    <s v="credit_card"/>
    <m/>
    <x v="0"/>
    <x v="0"/>
    <s v="Maranhao"/>
  </r>
  <r>
    <s v="b92777d39afa7f58503ecfdfaf255972"/>
    <s v="2018-03-25"/>
    <x v="16"/>
    <x v="3"/>
    <x v="6"/>
    <n v="1"/>
    <n v="22.99"/>
    <n v="7.39"/>
    <s v="credit_card"/>
    <n v="3"/>
    <x v="1"/>
    <x v="3"/>
    <s v="Sao Paulo"/>
  </r>
  <r>
    <s v="53e503de6a65006651097e013bda72e4"/>
    <s v="2018-03-25"/>
    <x v="16"/>
    <x v="1"/>
    <x v="1"/>
    <n v="1"/>
    <n v="46"/>
    <n v="18.23"/>
    <s v="credit_card"/>
    <n v="8"/>
    <x v="1"/>
    <x v="2"/>
    <s v="Rio Grande do Sul"/>
  </r>
  <r>
    <s v="f26e384b92781c0afd3009e3da835c21"/>
    <s v="2018-03-25"/>
    <x v="16"/>
    <x v="3"/>
    <x v="8"/>
    <n v="1"/>
    <n v="104"/>
    <n v="14.72"/>
    <s v="credit_card"/>
    <n v="4"/>
    <x v="1"/>
    <x v="2"/>
    <s v="Sao Paulo"/>
  </r>
  <r>
    <s v="088f6cd16a7a4bb22e9ab6dc417739c3"/>
    <s v="2018-03-25"/>
    <x v="16"/>
    <x v="3"/>
    <x v="22"/>
    <n v="1"/>
    <n v="519"/>
    <n v="16.989999999999998"/>
    <s v="credit_card"/>
    <n v="8"/>
    <x v="1"/>
    <x v="2"/>
    <s v="Sao Paulo"/>
  </r>
  <r>
    <s v="4abe4e3e946e22c0f181765f83b2579b"/>
    <s v="2018-03-25"/>
    <x v="16"/>
    <x v="12"/>
    <x v="6"/>
    <n v="1"/>
    <n v="39.99"/>
    <n v="37.04"/>
    <s v="credit_card"/>
    <n v="18"/>
    <x v="1"/>
    <x v="2"/>
    <s v="Ceara"/>
  </r>
  <r>
    <s v="949935ca08c693338e2b2624e360ace7"/>
    <s v="2018-03-25"/>
    <x v="16"/>
    <x v="3"/>
    <x v="32"/>
    <n v="1"/>
    <n v="69"/>
    <n v="18.36"/>
    <s v="credit_card"/>
    <n v="10"/>
    <x v="1"/>
    <x v="3"/>
    <s v="Sao Paulo"/>
  </r>
  <r>
    <s v="c74540b0f084f6eef5649cac6541c6cb"/>
    <s v="2018-03-25"/>
    <x v="16"/>
    <x v="3"/>
    <x v="19"/>
    <n v="2"/>
    <n v="85.8"/>
    <n v="32.64"/>
    <s v="credit_card"/>
    <n v="8"/>
    <x v="1"/>
    <x v="2"/>
    <s v="Sao Paulo"/>
  </r>
  <r>
    <s v="cc24df8244d2fa6c7cdf82f11f85b001"/>
    <s v="2018-03-25"/>
    <x v="16"/>
    <x v="3"/>
    <x v="2"/>
    <n v="1"/>
    <n v="139.9"/>
    <n v="7.84"/>
    <s v="credit_card"/>
    <n v="3"/>
    <x v="1"/>
    <x v="0"/>
    <s v="Sao Paulo"/>
  </r>
  <r>
    <s v="a599309f5f79fbd2d37ff1451b16d526"/>
    <s v="2018-03-25"/>
    <x v="16"/>
    <x v="4"/>
    <x v="20"/>
    <n v="1"/>
    <n v="499.99"/>
    <n v="165.55"/>
    <s v="credit_card"/>
    <n v="31"/>
    <x v="2"/>
    <x v="0"/>
    <s v="Rio de Janeiro"/>
  </r>
  <r>
    <s v="2d7eb01778411aad90ac1f9b50187b07"/>
    <s v="2018-03-25"/>
    <x v="16"/>
    <x v="1"/>
    <x v="26"/>
    <n v="1"/>
    <n v="159.77000000000001"/>
    <n v="17.670000000000002"/>
    <s v="credit_card"/>
    <n v="23"/>
    <x v="1"/>
    <x v="3"/>
    <s v="Rio Grande do Sul"/>
  </r>
  <r>
    <s v="be74baa40203cbc62e442c4887378cd8"/>
    <s v="2018-03-25"/>
    <x v="16"/>
    <x v="3"/>
    <x v="1"/>
    <n v="1"/>
    <n v="74.989999999999995"/>
    <n v="13.59"/>
    <s v="credit_card"/>
    <n v="4"/>
    <x v="1"/>
    <x v="2"/>
    <s v="Sao Paulo"/>
  </r>
  <r>
    <s v="d839387d867d8d152843b37c4b8b09e8"/>
    <s v="2018-03-25"/>
    <x v="16"/>
    <x v="3"/>
    <x v="14"/>
    <n v="3"/>
    <n v="209.97"/>
    <n v="39.71"/>
    <s v="credit_card"/>
    <n v="7"/>
    <x v="1"/>
    <x v="2"/>
    <s v="Sao Paulo"/>
  </r>
  <r>
    <s v="cc7dfc8992e6aaa96f3248ff602ee264"/>
    <s v="2018-03-25"/>
    <x v="16"/>
    <x v="3"/>
    <x v="1"/>
    <n v="1"/>
    <n v="115"/>
    <n v="17.72"/>
    <s v="credit_card"/>
    <n v="15"/>
    <x v="1"/>
    <x v="3"/>
    <s v="Sao Paulo"/>
  </r>
  <r>
    <s v="7292d6e02e9cf2ad86b9688e67487750"/>
    <s v="2018-03-25"/>
    <x v="16"/>
    <x v="4"/>
    <x v="20"/>
    <n v="1"/>
    <n v="120"/>
    <n v="18.72"/>
    <s v="credit_card"/>
    <n v="24"/>
    <x v="1"/>
    <x v="0"/>
    <s v="Rio de Janeiro"/>
  </r>
  <r>
    <s v="475681bb16b5cd2f9120136f3ea950e3"/>
    <s v="2018-03-25"/>
    <x v="16"/>
    <x v="18"/>
    <x v="14"/>
    <n v="1"/>
    <n v="110"/>
    <n v="18.350000000000001"/>
    <s v="credit_card"/>
    <n v="17"/>
    <x v="1"/>
    <x v="2"/>
    <s v="Distrito Federal"/>
  </r>
  <r>
    <s v="282c9fe1ed7aba574f1c0e75ca7fff30"/>
    <s v="2018-03-25"/>
    <x v="16"/>
    <x v="7"/>
    <x v="20"/>
    <n v="1"/>
    <n v="159.94999999999999"/>
    <n v="16"/>
    <s v="credit_card"/>
    <n v="9"/>
    <x v="1"/>
    <x v="3"/>
    <s v="Minas Gerais"/>
  </r>
  <r>
    <s v="1c39bf040d6c444d6b306bae83f9f49e"/>
    <s v="2018-03-25"/>
    <x v="16"/>
    <x v="24"/>
    <x v="0"/>
    <n v="1"/>
    <n v="89.18"/>
    <n v="24.75"/>
    <s v="boleto"/>
    <n v="31"/>
    <x v="2"/>
    <x v="0"/>
    <s v="Alagoas"/>
  </r>
  <r>
    <s v="6e49a3d8325755bd3e9d84d84bd8dbf2"/>
    <s v="2018-03-25"/>
    <x v="16"/>
    <x v="4"/>
    <x v="14"/>
    <n v="2"/>
    <n v="105.98"/>
    <n v="38.68"/>
    <s v="credit_card"/>
    <n v="38"/>
    <x v="2"/>
    <x v="0"/>
    <s v="Rio de Janeiro"/>
  </r>
  <r>
    <s v="06c5e0b010707e400bcc627771a27226"/>
    <s v="2018-03-26"/>
    <x v="16"/>
    <x v="4"/>
    <x v="5"/>
    <n v="1"/>
    <n v="119.7"/>
    <n v="14.78"/>
    <s v="credit_card"/>
    <n v="17"/>
    <x v="2"/>
    <x v="2"/>
    <s v="Rio de Janeiro"/>
  </r>
  <r>
    <s v="460af70fcd26ef464f2c55c1016e087d"/>
    <s v="2018-03-26"/>
    <x v="16"/>
    <x v="3"/>
    <x v="4"/>
    <n v="1"/>
    <n v="47.75"/>
    <n v="8.2899999999999991"/>
    <s v="credit_card"/>
    <n v="3"/>
    <x v="1"/>
    <x v="2"/>
    <s v="Sao Paulo"/>
  </r>
  <r>
    <s v="53fafd0933d69603122f8f804fb76968"/>
    <s v="2018-03-26"/>
    <x v="16"/>
    <x v="3"/>
    <x v="9"/>
    <n v="2"/>
    <n v="147.6"/>
    <n v="25.92"/>
    <s v="credit_card"/>
    <n v="7"/>
    <x v="1"/>
    <x v="2"/>
    <s v="Sao Paulo"/>
  </r>
  <r>
    <s v="18914d929964317dc0a002fcbbd70d06"/>
    <s v="2018-03-26"/>
    <x v="16"/>
    <x v="1"/>
    <x v="6"/>
    <n v="1"/>
    <n v="22.99"/>
    <n v="18.23"/>
    <s v="credit_card"/>
    <n v="19"/>
    <x v="1"/>
    <x v="3"/>
    <s v="Rio Grande do Sul"/>
  </r>
  <r>
    <s v="0e8b07d6fde25fe5cd3d67ad93943b4e"/>
    <s v="2018-03-26"/>
    <x v="16"/>
    <x v="17"/>
    <x v="1"/>
    <n v="1"/>
    <n v="349"/>
    <n v="29.5"/>
    <s v="credit_card"/>
    <n v="11"/>
    <x v="1"/>
    <x v="3"/>
    <s v="Rondonia"/>
  </r>
  <r>
    <s v="9a623ce03254eb3cf475d659d0719319"/>
    <s v="2018-03-26"/>
    <x v="16"/>
    <x v="7"/>
    <x v="4"/>
    <n v="1"/>
    <n v="69.900000000000006"/>
    <n v="83.34"/>
    <s v="boleto"/>
    <n v="11"/>
    <x v="1"/>
    <x v="2"/>
    <s v="Minas Gerais"/>
  </r>
  <r>
    <s v="17b6e0171d3c86549c28e1630bff91c8"/>
    <s v="2018-03-26"/>
    <x v="16"/>
    <x v="3"/>
    <x v="1"/>
    <n v="1"/>
    <n v="89.5"/>
    <n v="13.75"/>
    <s v="credit_card"/>
    <n v="7"/>
    <x v="1"/>
    <x v="2"/>
    <s v="Sao Paulo"/>
  </r>
  <r>
    <s v="f223b1d420663a0ee1fe062836f32289"/>
    <s v="2018-03-26"/>
    <x v="16"/>
    <x v="3"/>
    <x v="1"/>
    <n v="1"/>
    <n v="106"/>
    <n v="13.18"/>
    <s v="boleto"/>
    <n v="9"/>
    <x v="1"/>
    <x v="3"/>
    <s v="Sao Paulo"/>
  </r>
  <r>
    <s v="f1ff54491e3729e182eb5a21cb6792a7"/>
    <s v="2018-03-26"/>
    <x v="16"/>
    <x v="3"/>
    <x v="9"/>
    <n v="1"/>
    <n v="29.9"/>
    <n v="7.71"/>
    <s v="boleto"/>
    <n v="7"/>
    <x v="1"/>
    <x v="2"/>
    <s v="Sao Paulo"/>
  </r>
  <r>
    <s v="0681ba84087325819dc1f41d4f79701d"/>
    <s v="2018-03-26"/>
    <x v="16"/>
    <x v="8"/>
    <x v="17"/>
    <n v="1"/>
    <n v="13.65"/>
    <n v="18.23"/>
    <s v="credit_card"/>
    <n v="15"/>
    <x v="1"/>
    <x v="3"/>
    <s v="Santa Catarina"/>
  </r>
  <r>
    <s v="64d68170391ac401d5ff137d9d7775d0"/>
    <s v="2018-03-26"/>
    <x v="16"/>
    <x v="8"/>
    <x v="13"/>
    <n v="1"/>
    <n v="59.9"/>
    <n v="23"/>
    <s v="boleto"/>
    <n v="14"/>
    <x v="1"/>
    <x v="2"/>
    <s v="Santa Catarina"/>
  </r>
  <r>
    <s v="c2732918af31f35e7fcf5d1bfb9b92fa"/>
    <s v="2018-03-26"/>
    <x v="16"/>
    <x v="18"/>
    <x v="3"/>
    <n v="1"/>
    <n v="34.200000000000003"/>
    <n v="16.95"/>
    <s v="boleto"/>
    <n v="7"/>
    <x v="1"/>
    <x v="2"/>
    <s v="Distrito Federal"/>
  </r>
  <r>
    <s v="1c300b10263fefc0edc45c99921586a7"/>
    <s v="2018-03-26"/>
    <x v="16"/>
    <x v="3"/>
    <x v="0"/>
    <n v="1"/>
    <n v="35"/>
    <n v="8.2899999999999991"/>
    <s v="credit_card"/>
    <n v="8"/>
    <x v="1"/>
    <x v="2"/>
    <s v="Sao Paulo"/>
  </r>
  <r>
    <s v="a8aa4724dee04db3a0440eed8cb33911"/>
    <s v="2018-03-27"/>
    <x v="16"/>
    <x v="4"/>
    <x v="17"/>
    <n v="1"/>
    <n v="18.899999999999999"/>
    <n v="22.06"/>
    <s v="credit_card"/>
    <n v="36"/>
    <x v="2"/>
    <x v="0"/>
    <s v="Rio de Janeiro"/>
  </r>
  <r>
    <s v="06d5cbe68295558fd6c48998db3ea397"/>
    <s v="2018-03-27"/>
    <x v="16"/>
    <x v="3"/>
    <x v="46"/>
    <n v="3"/>
    <n v="123"/>
    <n v="29.62"/>
    <s v="credit_card"/>
    <n v="2"/>
    <x v="1"/>
    <x v="2"/>
    <s v="Sao Paulo"/>
  </r>
  <r>
    <s v="8dc15e4b00578c78f90a16dd481552f7"/>
    <s v="2018-03-27"/>
    <x v="16"/>
    <x v="5"/>
    <x v="32"/>
    <n v="1"/>
    <n v="129.9"/>
    <n v="16.88"/>
    <s v="credit_card"/>
    <n v="14"/>
    <x v="1"/>
    <x v="2"/>
    <s v="Parana"/>
  </r>
  <r>
    <s v="60f9a8bb9a63c3a3a0a57eedd90f1536"/>
    <s v="2018-03-27"/>
    <x v="16"/>
    <x v="4"/>
    <x v="13"/>
    <n v="2"/>
    <n v="40.799999999999997"/>
    <n v="30.46"/>
    <s v="boleto"/>
    <n v="13"/>
    <x v="1"/>
    <x v="1"/>
    <s v="Rio de Janeiro"/>
  </r>
  <r>
    <s v="d0aeffcae647a9361f9d3fc33a2479f8"/>
    <s v="2018-03-27"/>
    <x v="16"/>
    <x v="15"/>
    <x v="20"/>
    <n v="1"/>
    <n v="169.99"/>
    <n v="29.61"/>
    <s v="credit_card"/>
    <n v="9"/>
    <x v="1"/>
    <x v="3"/>
    <s v="Mato Grosso"/>
  </r>
  <r>
    <s v="a10b5cf95e016d8abd403c05970234a0"/>
    <s v="2018-03-27"/>
    <x v="16"/>
    <x v="8"/>
    <x v="28"/>
    <n v="4"/>
    <n v="479.96"/>
    <n v="110.4"/>
    <s v="boleto"/>
    <n v="28"/>
    <x v="1"/>
    <x v="0"/>
    <s v="Santa Catarina"/>
  </r>
  <r>
    <s v="4445dce651ca1507b70574af329d7405"/>
    <s v="2018-03-27"/>
    <x v="16"/>
    <x v="4"/>
    <x v="0"/>
    <n v="1"/>
    <n v="50"/>
    <n v="22.93"/>
    <s v="credit_card"/>
    <n v="21"/>
    <x v="2"/>
    <x v="2"/>
    <s v="Rio de Janeiro"/>
  </r>
  <r>
    <s v="9a40a61b2f04271f655c7423a3fb82a7"/>
    <s v="2018-03-27"/>
    <x v="16"/>
    <x v="4"/>
    <x v="12"/>
    <n v="1"/>
    <n v="115"/>
    <n v="15.69"/>
    <s v="credit_card"/>
    <n v="13"/>
    <x v="1"/>
    <x v="3"/>
    <s v="Rio de Janeiro"/>
  </r>
  <r>
    <s v="1fac502a34e64b8fe035b46bf6162f83"/>
    <s v="2018-03-27"/>
    <x v="16"/>
    <x v="4"/>
    <x v="25"/>
    <n v="1"/>
    <n v="94.9"/>
    <n v="19.63"/>
    <s v="credit_card"/>
    <n v="16"/>
    <x v="1"/>
    <x v="3"/>
    <s v="Rio de Janeiro"/>
  </r>
  <r>
    <s v="0a1adbda846638d279cb086cd1d0cad0"/>
    <s v="2018-03-27"/>
    <x v="16"/>
    <x v="7"/>
    <x v="7"/>
    <n v="1"/>
    <n v="179"/>
    <n v="27.49"/>
    <s v="credit_card"/>
    <n v="13"/>
    <x v="1"/>
    <x v="3"/>
    <s v="Minas Gerais"/>
  </r>
  <r>
    <s v="1cf390da5ceb2c46855914e5d2520ebc"/>
    <s v="2018-03-28"/>
    <x v="16"/>
    <x v="3"/>
    <x v="13"/>
    <n v="1"/>
    <n v="119.9"/>
    <n v="13.74"/>
    <s v="boleto"/>
    <n v="6"/>
    <x v="1"/>
    <x v="2"/>
    <s v="Sao Paulo"/>
  </r>
  <r>
    <s v="e3198f3829645095f91d9dfc8c70135f"/>
    <s v="2018-03-28"/>
    <x v="16"/>
    <x v="2"/>
    <x v="28"/>
    <n v="1"/>
    <n v="169.99"/>
    <n v="37.74"/>
    <s v="credit_card"/>
    <n v="31"/>
    <x v="1"/>
    <x v="3"/>
    <s v="Goias"/>
  </r>
  <r>
    <s v="e91130c6fc7b9ad7646ba8260477bd66"/>
    <s v="2018-03-28"/>
    <x v="16"/>
    <x v="3"/>
    <x v="13"/>
    <n v="1"/>
    <n v="89.9"/>
    <n v="17.54"/>
    <s v="credit_card"/>
    <n v="21"/>
    <x v="1"/>
    <x v="1"/>
    <s v="Sao Paulo"/>
  </r>
  <r>
    <s v="a22760d8e93ddd9acb9c47bc99118853"/>
    <s v="2018-03-28"/>
    <x v="16"/>
    <x v="3"/>
    <x v="22"/>
    <n v="1"/>
    <n v="115"/>
    <n v="13.25"/>
    <s v="credit_card"/>
    <n v="7"/>
    <x v="1"/>
    <x v="0"/>
    <s v="Sao Paulo"/>
  </r>
  <r>
    <s v="b193426dd45799c2a1cc23c38ed11c5c"/>
    <s v="2018-03-28"/>
    <x v="16"/>
    <x v="3"/>
    <x v="0"/>
    <n v="1"/>
    <n v="89.18"/>
    <n v="8.98"/>
    <s v="credit_card"/>
    <n v="6"/>
    <x v="1"/>
    <x v="0"/>
    <s v="Sao Paulo"/>
  </r>
  <r>
    <s v="dafafa54ad54ef9c116bd8c6cca4b7ed"/>
    <s v="2018-03-28"/>
    <x v="16"/>
    <x v="8"/>
    <x v="4"/>
    <n v="1"/>
    <n v="180"/>
    <n v="17.8"/>
    <s v="boleto"/>
    <n v="15"/>
    <x v="1"/>
    <x v="2"/>
    <s v="Santa Catarina"/>
  </r>
  <r>
    <s v="8279b5df6e66fb0dfddfc8a4cd10471b"/>
    <s v="2018-03-28"/>
    <x v="16"/>
    <x v="3"/>
    <x v="22"/>
    <n v="1"/>
    <n v="899"/>
    <n v="18.73"/>
    <s v="boleto"/>
    <n v="20"/>
    <x v="2"/>
    <x v="1"/>
    <s v="Sao Paulo"/>
  </r>
  <r>
    <s v="0a8d9ed968d08daf5ef8a5cbf0bbe833"/>
    <s v="2018-03-28"/>
    <x v="16"/>
    <x v="8"/>
    <x v="29"/>
    <n v="1"/>
    <n v="19.989999999999998"/>
    <n v="15.23"/>
    <s v="boleto"/>
    <n v="14"/>
    <x v="1"/>
    <x v="2"/>
    <s v="Santa Catarina"/>
  </r>
  <r>
    <s v="1904f9d81f67036679dca4b431f11a46"/>
    <s v="2018-03-28"/>
    <x v="16"/>
    <x v="5"/>
    <x v="4"/>
    <n v="1"/>
    <n v="29.35"/>
    <n v="18.23"/>
    <s v="credit_card"/>
    <n v="14"/>
    <x v="1"/>
    <x v="5"/>
    <s v="Parana"/>
  </r>
  <r>
    <s v="5b2bc181b79df76b831c2c73bfa96c08"/>
    <s v="2018-03-28"/>
    <x v="16"/>
    <x v="7"/>
    <x v="13"/>
    <n v="1"/>
    <n v="117.3"/>
    <n v="21.73"/>
    <s v="credit_card"/>
    <m/>
    <x v="0"/>
    <x v="0"/>
    <s v="Minas Gerais"/>
  </r>
  <r>
    <s v="2942d9a01a44f073aeff5f1a68e8761e"/>
    <s v="2018-03-29"/>
    <x v="16"/>
    <x v="26"/>
    <x v="9"/>
    <n v="1"/>
    <n v="110.99"/>
    <n v="20.83"/>
    <s v="credit_card"/>
    <n v="54"/>
    <x v="2"/>
    <x v="0"/>
    <s v="Paraiba"/>
  </r>
  <r>
    <s v="5487a8ac1699754d975f853ce8bb9321"/>
    <s v="2018-03-29"/>
    <x v="16"/>
    <x v="3"/>
    <x v="41"/>
    <n v="1"/>
    <n v="159.99"/>
    <n v="27.2"/>
    <s v="boleto"/>
    <n v="10"/>
    <x v="1"/>
    <x v="1"/>
    <s v="Sao Paulo"/>
  </r>
  <r>
    <s v="61ec5109f4c9a59f41c57bbd183e9877"/>
    <s v="2018-03-29"/>
    <x v="16"/>
    <x v="4"/>
    <x v="22"/>
    <n v="1"/>
    <n v="54.99"/>
    <n v="7.55"/>
    <s v="credit_card"/>
    <n v="8"/>
    <x v="1"/>
    <x v="2"/>
    <s v="Rio de Janeiro"/>
  </r>
  <r>
    <s v="08e4ca5f437f69407fb01cabd2d7a0b8"/>
    <s v="2018-03-29"/>
    <x v="16"/>
    <x v="3"/>
    <x v="1"/>
    <n v="1"/>
    <n v="86.99"/>
    <n v="11.23"/>
    <s v="credit_card"/>
    <n v="11"/>
    <x v="1"/>
    <x v="3"/>
    <s v="Sao Paulo"/>
  </r>
  <r>
    <s v="53286d8c8661db85d83d2ceac0f41c53"/>
    <s v="2018-03-29"/>
    <x v="16"/>
    <x v="7"/>
    <x v="19"/>
    <n v="1"/>
    <n v="85"/>
    <n v="23.17"/>
    <s v="credit_card"/>
    <n v="13"/>
    <x v="1"/>
    <x v="2"/>
    <s v="Minas Gerais"/>
  </r>
  <r>
    <s v="f18f555bdd4c33bcebaa68a9d6c91980"/>
    <s v="2018-03-29"/>
    <x v="16"/>
    <x v="22"/>
    <x v="42"/>
    <n v="1"/>
    <n v="173"/>
    <n v="19.09"/>
    <s v="voucher"/>
    <n v="36"/>
    <x v="2"/>
    <x v="5"/>
    <s v="Espirito Santo"/>
  </r>
  <r>
    <s v="f967a36beb9cc4a1c8899db2d4adfacb"/>
    <s v="2018-03-29"/>
    <x v="16"/>
    <x v="10"/>
    <x v="17"/>
    <n v="1"/>
    <n v="17.89"/>
    <n v="19.04"/>
    <s v="voucher"/>
    <n v="25"/>
    <x v="2"/>
    <x v="0"/>
    <s v="Piaui"/>
  </r>
  <r>
    <s v="ba3cb1f2bc2a8f69d175320c1ce21274"/>
    <s v="2018-03-29"/>
    <x v="16"/>
    <x v="3"/>
    <x v="0"/>
    <n v="2"/>
    <n v="199"/>
    <n v="46.54"/>
    <s v="boleto"/>
    <n v="11"/>
    <x v="1"/>
    <x v="2"/>
    <s v="Sao Paulo"/>
  </r>
  <r>
    <s v="34d92634e60b8234ac42750fd4b76fec"/>
    <s v="2018-03-29"/>
    <x v="16"/>
    <x v="3"/>
    <x v="4"/>
    <n v="1"/>
    <n v="61.9"/>
    <n v="13.55"/>
    <s v="credit_card"/>
    <n v="11"/>
    <x v="1"/>
    <x v="3"/>
    <s v="Sao Paulo"/>
  </r>
  <r>
    <s v="e880a2a0f19dcb0f2ef51fed71ef34c9"/>
    <s v="2018-03-29"/>
    <x v="16"/>
    <x v="4"/>
    <x v="14"/>
    <n v="2"/>
    <n v="35.979999999999997"/>
    <n v="38.64"/>
    <s v="credit_card"/>
    <n v="26"/>
    <x v="1"/>
    <x v="2"/>
    <s v="Rio de Janeiro"/>
  </r>
  <r>
    <s v="bfdda01969e3428f5b74096b3d6081d9"/>
    <s v="2018-03-29"/>
    <x v="16"/>
    <x v="3"/>
    <x v="9"/>
    <n v="1"/>
    <n v="49.9"/>
    <n v="18.23"/>
    <s v="credit_card"/>
    <n v="42"/>
    <x v="2"/>
    <x v="0"/>
    <s v="Sao Paulo"/>
  </r>
  <r>
    <s v="1567393726edacf3d6b548daa7a34475"/>
    <s v="2018-03-29"/>
    <x v="16"/>
    <x v="4"/>
    <x v="2"/>
    <n v="1"/>
    <n v="45.99"/>
    <n v="15.23"/>
    <s v="credit_card"/>
    <n v="13"/>
    <x v="1"/>
    <x v="1"/>
    <s v="Rio de Janeiro"/>
  </r>
  <r>
    <s v="830fbd008900114289bd7e278ecc3a61"/>
    <s v="2018-03-29"/>
    <x v="16"/>
    <x v="3"/>
    <x v="9"/>
    <n v="1"/>
    <n v="152"/>
    <n v="12.55"/>
    <s v="boleto"/>
    <n v="14"/>
    <x v="1"/>
    <x v="3"/>
    <s v="Sao Paulo"/>
  </r>
  <r>
    <s v="a695521c4f87eeb369e371486b6f7f9e"/>
    <s v="2018-03-29"/>
    <x v="16"/>
    <x v="3"/>
    <x v="4"/>
    <n v="1"/>
    <n v="149.9"/>
    <n v="14.17"/>
    <s v="credit_card"/>
    <n v="11"/>
    <x v="1"/>
    <x v="2"/>
    <s v="Sao Paulo"/>
  </r>
  <r>
    <s v="a7440cf5201c30463ff889fd4a6088ff"/>
    <s v="2018-03-29"/>
    <x v="16"/>
    <x v="5"/>
    <x v="4"/>
    <n v="1"/>
    <n v="135"/>
    <n v="17.510000000000002"/>
    <s v="credit_card"/>
    <n v="7"/>
    <x v="1"/>
    <x v="2"/>
    <s v="Parana"/>
  </r>
  <r>
    <s v="35a43762d907c68ab2a6a697fe52a336"/>
    <s v="2018-03-29"/>
    <x v="16"/>
    <x v="5"/>
    <x v="41"/>
    <n v="1"/>
    <n v="86.9"/>
    <n v="21.56"/>
    <s v="debit_card"/>
    <n v="19"/>
    <x v="1"/>
    <x v="2"/>
    <s v="Parana"/>
  </r>
  <r>
    <s v="0ea1fd1eeeb46df9770ac9d07e1e71e6"/>
    <s v="2018-03-30"/>
    <x v="16"/>
    <x v="3"/>
    <x v="0"/>
    <n v="1"/>
    <n v="69.900000000000006"/>
    <n v="12.43"/>
    <s v="boleto"/>
    <n v="9"/>
    <x v="1"/>
    <x v="2"/>
    <s v="Sao Paulo"/>
  </r>
  <r>
    <s v="b51274af163979e4ac06da7fe2826e33"/>
    <s v="2018-03-30"/>
    <x v="16"/>
    <x v="3"/>
    <x v="1"/>
    <n v="1"/>
    <n v="10.49"/>
    <n v="7.87"/>
    <s v="credit_card"/>
    <n v="3"/>
    <x v="1"/>
    <x v="3"/>
    <s v="Sao Paulo"/>
  </r>
  <r>
    <s v="7edc2a6bd5f0956a989660138adfba50"/>
    <s v="2018-03-30"/>
    <x v="16"/>
    <x v="7"/>
    <x v="1"/>
    <n v="1"/>
    <n v="69.900000000000006"/>
    <n v="26.57"/>
    <s v="credit_card"/>
    <n v="11"/>
    <x v="1"/>
    <x v="2"/>
    <s v="Minas Gerais"/>
  </r>
  <r>
    <s v="0c8813b39ba09cc6fadb5ce2c80671fb"/>
    <s v="2018-03-30"/>
    <x v="16"/>
    <x v="3"/>
    <x v="29"/>
    <n v="1"/>
    <n v="159"/>
    <n v="15.2"/>
    <s v="credit_card"/>
    <n v="18"/>
    <x v="1"/>
    <x v="3"/>
    <s v="Sao Paulo"/>
  </r>
  <r>
    <s v="1c1e0f9cc23b897d0dafed078015e273"/>
    <s v="2018-03-30"/>
    <x v="16"/>
    <x v="4"/>
    <x v="65"/>
    <n v="1"/>
    <n v="68.900000000000006"/>
    <n v="16.45"/>
    <s v="credit_card"/>
    <n v="28"/>
    <x v="1"/>
    <x v="3"/>
    <s v="Rio de Janeiro"/>
  </r>
  <r>
    <s v="6f82d9eeede34f94543730ab2db13732"/>
    <s v="2018-03-30"/>
    <x v="16"/>
    <x v="5"/>
    <x v="12"/>
    <n v="1"/>
    <n v="428"/>
    <n v="22.39"/>
    <s v="credit_card"/>
    <n v="25"/>
    <x v="1"/>
    <x v="2"/>
    <s v="Parana"/>
  </r>
  <r>
    <s v="a28900d6db45f7fe7433f5fba72c30b8"/>
    <s v="2018-03-30"/>
    <x v="16"/>
    <x v="5"/>
    <x v="14"/>
    <n v="1"/>
    <n v="21.99"/>
    <n v="18.23"/>
    <s v="credit_card"/>
    <n v="14"/>
    <x v="1"/>
    <x v="2"/>
    <s v="Parana"/>
  </r>
  <r>
    <s v="5981f36992c8a99eff941a3d3375b318"/>
    <s v="2018-03-30"/>
    <x v="16"/>
    <x v="22"/>
    <x v="9"/>
    <n v="1"/>
    <n v="61.99"/>
    <n v="22.93"/>
    <s v="boleto"/>
    <n v="45"/>
    <x v="2"/>
    <x v="0"/>
    <s v="Espirito Santo"/>
  </r>
  <r>
    <s v="7fa1bc2ecbe5c7adc22222afa8e30520"/>
    <s v="2018-03-30"/>
    <x v="16"/>
    <x v="15"/>
    <x v="0"/>
    <n v="3"/>
    <n v="149.69999999999999"/>
    <n v="69.84"/>
    <s v="credit_card"/>
    <n v="18"/>
    <x v="1"/>
    <x v="2"/>
    <s v="Mato Grosso"/>
  </r>
  <r>
    <s v="cac00f6d5c47ea72c4a8f62a307edcda"/>
    <s v="2018-03-30"/>
    <x v="16"/>
    <x v="4"/>
    <x v="0"/>
    <n v="1"/>
    <n v="189.9"/>
    <n v="19.260000000000002"/>
    <s v="credit_card"/>
    <n v="6"/>
    <x v="1"/>
    <x v="2"/>
    <s v="Rio de Janeiro"/>
  </r>
  <r>
    <s v="89a4c233afc16481649ea535f2c9eeba"/>
    <s v="2018-03-30"/>
    <x v="16"/>
    <x v="4"/>
    <x v="2"/>
    <n v="1"/>
    <n v="229.99"/>
    <n v="15.55"/>
    <s v="voucher"/>
    <n v="4"/>
    <x v="1"/>
    <x v="2"/>
    <s v="Rio de Janeiro"/>
  </r>
  <r>
    <s v="9fa2b518229715cade50be6375126ebf"/>
    <s v="2018-03-30"/>
    <x v="16"/>
    <x v="7"/>
    <x v="14"/>
    <n v="1"/>
    <n v="109"/>
    <n v="23.3"/>
    <s v="credit_card"/>
    <n v="8"/>
    <x v="1"/>
    <x v="4"/>
    <s v="Minas Gerais"/>
  </r>
  <r>
    <s v="b5b51b2363f2372af3e36828b9e25b97"/>
    <s v="2018-03-30"/>
    <x v="16"/>
    <x v="26"/>
    <x v="4"/>
    <n v="1"/>
    <n v="149.9"/>
    <n v="20.02"/>
    <s v="credit_card"/>
    <n v="6"/>
    <x v="1"/>
    <x v="3"/>
    <s v="Paraiba"/>
  </r>
  <r>
    <s v="0f559863677fb17eed36c4374e198a93"/>
    <s v="2018-03-31"/>
    <x v="16"/>
    <x v="3"/>
    <x v="59"/>
    <n v="1"/>
    <n v="44.95"/>
    <n v="7.39"/>
    <s v="credit_card"/>
    <n v="23"/>
    <x v="2"/>
    <x v="0"/>
    <s v="Sao Paulo"/>
  </r>
  <r>
    <s v="38774303eed7ea4f45f31ba37969381d"/>
    <s v="2018-03-31"/>
    <x v="16"/>
    <x v="3"/>
    <x v="14"/>
    <n v="1"/>
    <n v="286"/>
    <n v="14.44"/>
    <s v="credit_card"/>
    <n v="25"/>
    <x v="2"/>
    <x v="0"/>
    <s v="Sao Paulo"/>
  </r>
  <r>
    <s v="81360270b5d4478eb5fcc0e12f31cee3"/>
    <s v="2018-03-31"/>
    <x v="16"/>
    <x v="3"/>
    <x v="25"/>
    <n v="1"/>
    <n v="56"/>
    <n v="17.97"/>
    <s v="credit_card"/>
    <n v="9"/>
    <x v="1"/>
    <x v="2"/>
    <s v="Sao Paulo"/>
  </r>
  <r>
    <s v="aa77456ca20becffcb4fa5a88e21129f"/>
    <s v="2018-03-31"/>
    <x v="16"/>
    <x v="3"/>
    <x v="7"/>
    <n v="1"/>
    <n v="55"/>
    <n v="8.8800000000000008"/>
    <s v="credit_card"/>
    <n v="8"/>
    <x v="1"/>
    <x v="1"/>
    <s v="Sao Paulo"/>
  </r>
  <r>
    <s v="976dcbc03eb11fbed9a4a2fd6d2bdb22"/>
    <s v="2018-03-31"/>
    <x v="16"/>
    <x v="3"/>
    <x v="33"/>
    <n v="1"/>
    <n v="54.87"/>
    <n v="19.350000000000001"/>
    <s v="boleto"/>
    <n v="9"/>
    <x v="1"/>
    <x v="2"/>
    <s v="Sao Paulo"/>
  </r>
  <r>
    <s v="2bc2d6094a9d3a086277687c589123af"/>
    <s v="2018-03-31"/>
    <x v="16"/>
    <x v="1"/>
    <x v="29"/>
    <n v="1"/>
    <n v="159.9"/>
    <n v="17.09"/>
    <s v="credit_card"/>
    <n v="13"/>
    <x v="1"/>
    <x v="2"/>
    <s v="Rio Grande do Sul"/>
  </r>
  <r>
    <s v="7bd0fa6cc96710fda7c735ed00b3c018"/>
    <s v="2018-04-01"/>
    <x v="17"/>
    <x v="3"/>
    <x v="1"/>
    <n v="1"/>
    <n v="45"/>
    <n v="18.23"/>
    <s v="credit_card"/>
    <n v="8"/>
    <x v="1"/>
    <x v="2"/>
    <s v="Sao Paulo"/>
  </r>
  <r>
    <s v="32c028ae9ea23ed2b32e239ed6b672ee"/>
    <s v="2018-04-01"/>
    <x v="17"/>
    <x v="3"/>
    <x v="19"/>
    <n v="1"/>
    <n v="49.9"/>
    <n v="7.39"/>
    <s v="credit_card"/>
    <n v="3"/>
    <x v="1"/>
    <x v="3"/>
    <s v="Sao Paulo"/>
  </r>
  <r>
    <s v="3b81c43a73c516855c1f690e280e3466"/>
    <s v="2018-04-01"/>
    <x v="17"/>
    <x v="3"/>
    <x v="19"/>
    <n v="1"/>
    <n v="75"/>
    <n v="8.8800000000000008"/>
    <s v="credit_card"/>
    <n v="3"/>
    <x v="1"/>
    <x v="2"/>
    <s v="Sao Paulo"/>
  </r>
  <r>
    <s v="1fbebbbba3149f89e410951ca531cae2"/>
    <s v="2018-04-01"/>
    <x v="17"/>
    <x v="5"/>
    <x v="18"/>
    <n v="1"/>
    <n v="199.9"/>
    <n v="38.090000000000003"/>
    <s v="boleto"/>
    <n v="12"/>
    <x v="1"/>
    <x v="3"/>
    <s v="Parana"/>
  </r>
  <r>
    <s v="705402bc1d956067338873d414158d09"/>
    <s v="2018-04-01"/>
    <x v="17"/>
    <x v="4"/>
    <x v="14"/>
    <n v="1"/>
    <n v="149.9"/>
    <n v="18.93"/>
    <s v="debit_card"/>
    <n v="29"/>
    <x v="2"/>
    <x v="0"/>
    <s v="Rio de Janeiro"/>
  </r>
  <r>
    <s v="ed7646bd67d7f803bfe1d24cc78cd827"/>
    <s v="2018-04-01"/>
    <x v="17"/>
    <x v="3"/>
    <x v="0"/>
    <n v="1"/>
    <n v="69.900000000000006"/>
    <n v="16.18"/>
    <s v="credit_card"/>
    <n v="14"/>
    <x v="1"/>
    <x v="2"/>
    <s v="Sao Paulo"/>
  </r>
  <r>
    <s v="54f621bc447961fb6ab19031f7f3051b"/>
    <s v="2018-04-01"/>
    <x v="17"/>
    <x v="3"/>
    <x v="7"/>
    <n v="1"/>
    <n v="29.9"/>
    <n v="8.2899999999999991"/>
    <s v="credit_card"/>
    <n v="5"/>
    <x v="1"/>
    <x v="3"/>
    <s v="Sao Paulo"/>
  </r>
  <r>
    <s v="304979f072f7041aca154907e01172c4"/>
    <s v="2018-04-01"/>
    <x v="17"/>
    <x v="3"/>
    <x v="13"/>
    <n v="1"/>
    <n v="109.9"/>
    <n v="18.850000000000001"/>
    <s v="voucher"/>
    <n v="9"/>
    <x v="1"/>
    <x v="2"/>
    <s v="Sao Paulo"/>
  </r>
  <r>
    <s v="a60b6d835751f3580629da8d3b00b761"/>
    <s v="2018-04-02"/>
    <x v="17"/>
    <x v="7"/>
    <x v="19"/>
    <n v="1"/>
    <n v="26"/>
    <n v="19.32"/>
    <s v="credit_card"/>
    <n v="14"/>
    <x v="1"/>
    <x v="2"/>
    <s v="Minas Gerais"/>
  </r>
  <r>
    <s v="3c0be21119f52aa359b9adc51824ac6d"/>
    <s v="2018-04-02"/>
    <x v="17"/>
    <x v="21"/>
    <x v="13"/>
    <n v="1"/>
    <n v="124.7"/>
    <n v="23.8"/>
    <s v="credit_card"/>
    <n v="18"/>
    <x v="1"/>
    <x v="3"/>
    <s v="Bahia"/>
  </r>
  <r>
    <s v="35f1c7a905180687002390a212d166be"/>
    <s v="2018-04-02"/>
    <x v="17"/>
    <x v="3"/>
    <x v="14"/>
    <n v="1"/>
    <n v="65.900000000000006"/>
    <n v="13.82"/>
    <s v="boleto"/>
    <n v="13"/>
    <x v="1"/>
    <x v="3"/>
    <s v="Sao Paulo"/>
  </r>
  <r>
    <s v="5b5153bb02f4f2e953e5a87aa1cc8389"/>
    <s v="2018-04-02"/>
    <x v="17"/>
    <x v="1"/>
    <x v="52"/>
    <n v="1"/>
    <n v="53.99"/>
    <n v="16.350000000000001"/>
    <s v="credit_card"/>
    <n v="21"/>
    <x v="1"/>
    <x v="2"/>
    <s v="Rio Grande do Sul"/>
  </r>
  <r>
    <s v="31f2b7c70b716879e5c4080ef87f20bc"/>
    <s v="2018-04-02"/>
    <x v="17"/>
    <x v="3"/>
    <x v="7"/>
    <n v="1"/>
    <n v="53.9"/>
    <n v="13.46"/>
    <s v="credit_card"/>
    <n v="7"/>
    <x v="1"/>
    <x v="2"/>
    <s v="Sao Paulo"/>
  </r>
  <r>
    <s v="1e3afc9cb36a927cb383e0d51cf19342"/>
    <s v="2018-04-02"/>
    <x v="17"/>
    <x v="18"/>
    <x v="4"/>
    <n v="1"/>
    <n v="39.9"/>
    <n v="16.32"/>
    <s v="boleto"/>
    <n v="15"/>
    <x v="1"/>
    <x v="2"/>
    <s v="Distrito Federal"/>
  </r>
  <r>
    <s v="8e3c10b463cb2ffb94546b5e9f05cd05"/>
    <s v="2018-04-02"/>
    <x v="17"/>
    <x v="20"/>
    <x v="28"/>
    <n v="2"/>
    <n v="559.79999999999995"/>
    <n v="301.12"/>
    <s v="credit_card"/>
    <n v="24"/>
    <x v="2"/>
    <x v="2"/>
    <s v="Tocantins"/>
  </r>
  <r>
    <s v="3f1ce5993887adf8fa64399d04ddd7eb"/>
    <s v="2018-04-02"/>
    <x v="17"/>
    <x v="3"/>
    <x v="0"/>
    <n v="1"/>
    <n v="150"/>
    <n v="13.95"/>
    <s v="credit_card"/>
    <n v="3"/>
    <x v="1"/>
    <x v="2"/>
    <s v="Sao Paulo"/>
  </r>
  <r>
    <s v="1d0288c49db00e00965c4d82d464f61e"/>
    <s v="2018-04-02"/>
    <x v="17"/>
    <x v="3"/>
    <x v="17"/>
    <n v="1"/>
    <n v="18.899999999999999"/>
    <n v="13.47"/>
    <s v="credit_card"/>
    <n v="9"/>
    <x v="1"/>
    <x v="2"/>
    <s v="Sao Paulo"/>
  </r>
  <r>
    <s v="3ac72d6b4d6ecee25955544a54657e3b"/>
    <s v="2018-04-02"/>
    <x v="17"/>
    <x v="8"/>
    <x v="1"/>
    <n v="3"/>
    <n v="323.10000000000002"/>
    <n v="55.89"/>
    <s v="credit_card"/>
    <n v="14"/>
    <x v="1"/>
    <x v="2"/>
    <s v="Santa Catarina"/>
  </r>
  <r>
    <s v="d114db1284e403886d42917794dab1aa"/>
    <s v="2018-04-02"/>
    <x v="17"/>
    <x v="3"/>
    <x v="1"/>
    <n v="1"/>
    <n v="29"/>
    <n v="8.82"/>
    <s v="credit_card"/>
    <n v="2"/>
    <x v="1"/>
    <x v="2"/>
    <s v="Sao Paulo"/>
  </r>
  <r>
    <s v="a8ad6062c04fe8e59731cf03daf951b0"/>
    <s v="2018-04-02"/>
    <x v="17"/>
    <x v="7"/>
    <x v="14"/>
    <n v="1"/>
    <n v="78.989999999999995"/>
    <n v="19.52"/>
    <s v="credit_card"/>
    <n v="9"/>
    <x v="1"/>
    <x v="2"/>
    <s v="Minas Gerais"/>
  </r>
  <r>
    <s v="4437322bbcfa3948b387f1e5e3801a24"/>
    <s v="2018-04-02"/>
    <x v="17"/>
    <x v="3"/>
    <x v="36"/>
    <n v="1"/>
    <n v="141.75"/>
    <n v="13.7"/>
    <s v="credit_card"/>
    <n v="2"/>
    <x v="1"/>
    <x v="2"/>
    <s v="Sao Paulo"/>
  </r>
  <r>
    <s v="7f61f0eeb7f603d49e02f6b2a7b709eb"/>
    <s v="2018-04-03"/>
    <x v="17"/>
    <x v="3"/>
    <x v="14"/>
    <n v="1"/>
    <n v="35"/>
    <n v="12.79"/>
    <s v="credit_card"/>
    <n v="10"/>
    <x v="1"/>
    <x v="2"/>
    <s v="Sao Paulo"/>
  </r>
  <r>
    <s v="92719f3b4fbd484515110bfc47e8a808"/>
    <s v="2018-04-03"/>
    <x v="17"/>
    <x v="24"/>
    <x v="6"/>
    <n v="1"/>
    <n v="12.99"/>
    <n v="22.85"/>
    <s v="voucher"/>
    <n v="44"/>
    <x v="2"/>
    <x v="3"/>
    <s v="Alagoas"/>
  </r>
  <r>
    <s v="794d80f9e8620ca36ebf6adef63cb6ee"/>
    <s v="2018-04-03"/>
    <x v="17"/>
    <x v="3"/>
    <x v="11"/>
    <n v="1"/>
    <n v="74.06"/>
    <n v="23.1"/>
    <s v="credit_card"/>
    <n v="7"/>
    <x v="1"/>
    <x v="3"/>
    <s v="Sao Paulo"/>
  </r>
  <r>
    <s v="14d669598f68c894de7412ad5b49d724"/>
    <s v="2018-04-03"/>
    <x v="17"/>
    <x v="7"/>
    <x v="1"/>
    <n v="1"/>
    <n v="32.49"/>
    <n v="18.23"/>
    <s v="credit_card"/>
    <n v="13"/>
    <x v="1"/>
    <x v="2"/>
    <s v="Minas Gerais"/>
  </r>
  <r>
    <s v="e4b53293134babaa7d3b418659ead610"/>
    <s v="2018-04-03"/>
    <x v="17"/>
    <x v="2"/>
    <x v="22"/>
    <n v="1"/>
    <n v="359"/>
    <n v="17.39"/>
    <s v="credit_card"/>
    <n v="10"/>
    <x v="1"/>
    <x v="2"/>
    <s v="Goias"/>
  </r>
  <r>
    <s v="8bb46e03bff515e6fceb90c2185880a9"/>
    <s v="2018-04-03"/>
    <x v="17"/>
    <x v="3"/>
    <x v="14"/>
    <n v="1"/>
    <n v="25.5"/>
    <n v="7.87"/>
    <s v="credit_card"/>
    <n v="2"/>
    <x v="1"/>
    <x v="2"/>
    <s v="Sao Paulo"/>
  </r>
  <r>
    <s v="aa225b52da83ae9c797a46da556fa068"/>
    <s v="2018-04-03"/>
    <x v="17"/>
    <x v="3"/>
    <x v="1"/>
    <n v="1"/>
    <n v="19.489999999999998"/>
    <n v="7.87"/>
    <s v="debit_card"/>
    <n v="3"/>
    <x v="1"/>
    <x v="2"/>
    <s v="Sao Paulo"/>
  </r>
  <r>
    <s v="8431c1024f6407ab4f4b5f45a60fbb4f"/>
    <s v="2018-04-03"/>
    <x v="17"/>
    <x v="3"/>
    <x v="4"/>
    <n v="1"/>
    <n v="84.89"/>
    <n v="7.94"/>
    <s v="credit_card"/>
    <n v="7"/>
    <x v="1"/>
    <x v="2"/>
    <s v="Sao Paulo"/>
  </r>
  <r>
    <s v="146a8097be73570f2318c78e5b16b91b"/>
    <s v="2018-04-03"/>
    <x v="17"/>
    <x v="8"/>
    <x v="13"/>
    <n v="1"/>
    <n v="29.88"/>
    <n v="19.32"/>
    <s v="credit_card"/>
    <n v="8"/>
    <x v="1"/>
    <x v="2"/>
    <s v="Santa Catarina"/>
  </r>
  <r>
    <s v="feac81be070a43ec0bd168b52fb03485"/>
    <s v="2018-04-03"/>
    <x v="17"/>
    <x v="3"/>
    <x v="41"/>
    <n v="1"/>
    <n v="136"/>
    <n v="13.39"/>
    <s v="credit_card"/>
    <n v="9"/>
    <x v="1"/>
    <x v="2"/>
    <s v="Sao Paulo"/>
  </r>
  <r>
    <s v="6c110f11373e534d875da9554b318f26"/>
    <s v="2018-04-04"/>
    <x v="17"/>
    <x v="3"/>
    <x v="45"/>
    <n v="1"/>
    <n v="18.989999999999998"/>
    <n v="7.39"/>
    <s v="credit_card"/>
    <n v="2"/>
    <x v="1"/>
    <x v="3"/>
    <s v="Sao Paulo"/>
  </r>
  <r>
    <s v="d01dff4d42c2ef5bdcb2085ccf391ed4"/>
    <s v="2018-04-04"/>
    <x v="17"/>
    <x v="4"/>
    <x v="0"/>
    <n v="1"/>
    <n v="35"/>
    <n v="11.39"/>
    <s v="credit_card"/>
    <n v="6"/>
    <x v="1"/>
    <x v="2"/>
    <s v="Rio de Janeiro"/>
  </r>
  <r>
    <s v="d2f87ac39d8b31e615528ca52e5c8434"/>
    <s v="2018-04-04"/>
    <x v="17"/>
    <x v="3"/>
    <x v="2"/>
    <n v="1"/>
    <n v="29.68"/>
    <n v="12.79"/>
    <s v="credit_card"/>
    <n v="6"/>
    <x v="1"/>
    <x v="2"/>
    <s v="Sao Paulo"/>
  </r>
  <r>
    <s v="385183082e6bcd8f81769fe274d3654a"/>
    <s v="2018-04-04"/>
    <x v="17"/>
    <x v="3"/>
    <x v="17"/>
    <n v="1"/>
    <n v="13.65"/>
    <n v="7.39"/>
    <s v="credit_card"/>
    <n v="1"/>
    <x v="1"/>
    <x v="2"/>
    <s v="Sao Paulo"/>
  </r>
  <r>
    <s v="a39f565fb24832fec6f96a476444b02b"/>
    <s v="2018-04-04"/>
    <x v="17"/>
    <x v="3"/>
    <x v="5"/>
    <n v="2"/>
    <n v="200"/>
    <n v="27.05"/>
    <s v="credit_card"/>
    <n v="5"/>
    <x v="1"/>
    <x v="2"/>
    <s v="Sao Paulo"/>
  </r>
  <r>
    <s v="8d7de30c33f737a080cdd433ec8670e4"/>
    <s v="2018-04-04"/>
    <x v="17"/>
    <x v="3"/>
    <x v="4"/>
    <n v="1"/>
    <n v="89.9"/>
    <n v="17.34"/>
    <s v="credit_card"/>
    <n v="10"/>
    <x v="1"/>
    <x v="3"/>
    <s v="Sao Paulo"/>
  </r>
  <r>
    <s v="c1dc9326b9f99f2db29af061a59cbe8d"/>
    <s v="2018-04-04"/>
    <x v="17"/>
    <x v="1"/>
    <x v="20"/>
    <n v="1"/>
    <n v="89.8"/>
    <n v="18.21"/>
    <s v="boleto"/>
    <n v="31"/>
    <x v="2"/>
    <x v="3"/>
    <s v="Rio Grande do Sul"/>
  </r>
  <r>
    <s v="0735a85a187bf67cfe490862c0e72bb0"/>
    <s v="2018-04-04"/>
    <x v="17"/>
    <x v="3"/>
    <x v="4"/>
    <n v="1"/>
    <n v="99.99"/>
    <n v="7.56"/>
    <s v="credit_card"/>
    <n v="2"/>
    <x v="1"/>
    <x v="2"/>
    <s v="Sao Paulo"/>
  </r>
  <r>
    <s v="5e1634961496211a38819595cbde5862"/>
    <s v="2018-04-04"/>
    <x v="17"/>
    <x v="3"/>
    <x v="29"/>
    <n v="1"/>
    <n v="59"/>
    <n v="13.77"/>
    <s v="credit_card"/>
    <n v="8"/>
    <x v="1"/>
    <x v="2"/>
    <s v="Sao Paulo"/>
  </r>
  <r>
    <s v="75f19ffdc366b3e66a822a7fafa0db05"/>
    <s v="2018-04-04"/>
    <x v="17"/>
    <x v="4"/>
    <x v="5"/>
    <n v="1"/>
    <n v="141.9"/>
    <n v="22.7"/>
    <s v="credit_card"/>
    <n v="10"/>
    <x v="1"/>
    <x v="2"/>
    <s v="Rio de Janeiro"/>
  </r>
  <r>
    <s v="36a9a3f459c7b3416f1caddf4d238f03"/>
    <s v="2018-04-05"/>
    <x v="17"/>
    <x v="20"/>
    <x v="13"/>
    <n v="1"/>
    <n v="52"/>
    <n v="37.049999999999997"/>
    <s v="credit_card"/>
    <n v="18"/>
    <x v="1"/>
    <x v="2"/>
    <s v="Tocantins"/>
  </r>
  <r>
    <s v="b100b7e34a9b4da2a73dcb55310d2199"/>
    <s v="2018-04-05"/>
    <x v="17"/>
    <x v="3"/>
    <x v="9"/>
    <n v="1"/>
    <n v="252.5"/>
    <n v="14.67"/>
    <s v="credit_card"/>
    <n v="3"/>
    <x v="1"/>
    <x v="2"/>
    <s v="Sao Paulo"/>
  </r>
  <r>
    <s v="1cd29ff24c716ad3002179320343005a"/>
    <s v="2018-04-05"/>
    <x v="17"/>
    <x v="5"/>
    <x v="13"/>
    <n v="1"/>
    <n v="109.9"/>
    <n v="34.31"/>
    <s v="boleto"/>
    <n v="13"/>
    <x v="1"/>
    <x v="2"/>
    <s v="Parana"/>
  </r>
  <r>
    <s v="bd81ae8a9c5a8e0ec03a3415f1540921"/>
    <s v="2018-04-05"/>
    <x v="17"/>
    <x v="3"/>
    <x v="13"/>
    <n v="1"/>
    <n v="109.9"/>
    <n v="12.67"/>
    <s v="credit_card"/>
    <n v="2"/>
    <x v="1"/>
    <x v="3"/>
    <s v="Sao Paulo"/>
  </r>
  <r>
    <s v="3372398865ef7f00841c6ddeed00230d"/>
    <s v="2018-04-05"/>
    <x v="17"/>
    <x v="3"/>
    <x v="18"/>
    <n v="1"/>
    <n v="255"/>
    <n v="14.23"/>
    <s v="credit_card"/>
    <n v="6"/>
    <x v="1"/>
    <x v="2"/>
    <s v="Sao Paulo"/>
  </r>
  <r>
    <s v="09143df8420b4ae4770ea14dc443b487"/>
    <s v="2018-04-05"/>
    <x v="17"/>
    <x v="3"/>
    <x v="8"/>
    <n v="1"/>
    <n v="78"/>
    <n v="13.45"/>
    <s v="boleto"/>
    <n v="6"/>
    <x v="1"/>
    <x v="2"/>
    <s v="Sao Paulo"/>
  </r>
  <r>
    <s v="c5af6636b619b643a3d6e954e3a5b5de"/>
    <s v="2018-04-05"/>
    <x v="17"/>
    <x v="7"/>
    <x v="19"/>
    <n v="1"/>
    <n v="68"/>
    <n v="21.56"/>
    <s v="credit_card"/>
    <n v="11"/>
    <x v="1"/>
    <x v="2"/>
    <s v="Minas Gerais"/>
  </r>
  <r>
    <s v="4aaae2aa1aaf68062749b93fbe24d6cc"/>
    <s v="2018-04-05"/>
    <x v="17"/>
    <x v="13"/>
    <x v="14"/>
    <n v="1"/>
    <n v="68.900000000000006"/>
    <n v="52.61"/>
    <s v="voucher"/>
    <n v="24"/>
    <x v="1"/>
    <x v="2"/>
    <s v="Maranhao"/>
  </r>
  <r>
    <s v="9988bc711d2d6fead4af40481ff5de63"/>
    <s v="2018-04-05"/>
    <x v="17"/>
    <x v="3"/>
    <x v="5"/>
    <n v="2"/>
    <n v="116.3"/>
    <n v="25.7"/>
    <s v="credit_card"/>
    <n v="7"/>
    <x v="1"/>
    <x v="0"/>
    <s v="Sao Paulo"/>
  </r>
  <r>
    <s v="6bea4b3d238b2f7104807ff9f128f7e6"/>
    <s v="2018-04-05"/>
    <x v="17"/>
    <x v="6"/>
    <x v="22"/>
    <n v="1"/>
    <n v="54.99"/>
    <n v="21.28"/>
    <s v="credit_card"/>
    <n v="13"/>
    <x v="1"/>
    <x v="2"/>
    <s v="Pernambuco"/>
  </r>
  <r>
    <s v="70373e9075b8d9c1c57bebf62ba3b59d"/>
    <s v="2018-04-06"/>
    <x v="17"/>
    <x v="4"/>
    <x v="5"/>
    <n v="1"/>
    <n v="58.9"/>
    <n v="18.29"/>
    <s v="credit_card"/>
    <n v="13"/>
    <x v="1"/>
    <x v="2"/>
    <s v="Rio de Janeiro"/>
  </r>
  <r>
    <s v="7d9a11d31b7df7db17e3378158f465d2"/>
    <s v="2018-04-06"/>
    <x v="17"/>
    <x v="3"/>
    <x v="58"/>
    <n v="1"/>
    <n v="80"/>
    <n v="8.86"/>
    <s v="credit_card"/>
    <n v="4"/>
    <x v="1"/>
    <x v="3"/>
    <s v="Sao Paulo"/>
  </r>
  <r>
    <s v="fd4c1cc6d742f00dee7633f6a72cbe60"/>
    <s v="2018-04-06"/>
    <x v="17"/>
    <x v="3"/>
    <x v="9"/>
    <n v="2"/>
    <n v="272.8"/>
    <n v="82.26"/>
    <s v="credit_card"/>
    <n v="14"/>
    <x v="1"/>
    <x v="1"/>
    <s v="Sao Paulo"/>
  </r>
  <r>
    <s v="47f545499e9ca5a70d3ec65e4e70adfd"/>
    <s v="2018-04-07"/>
    <x v="17"/>
    <x v="3"/>
    <x v="14"/>
    <n v="1"/>
    <n v="79.900000000000006"/>
    <n v="13.92"/>
    <s v="boleto"/>
    <n v="13"/>
    <x v="1"/>
    <x v="3"/>
    <s v="Sao Paulo"/>
  </r>
  <r>
    <s v="f014aa85d8f495d824d120e9035faacb"/>
    <s v="2018-04-07"/>
    <x v="17"/>
    <x v="3"/>
    <x v="36"/>
    <n v="1"/>
    <n v="40"/>
    <n v="9.44"/>
    <s v="credit_card"/>
    <n v="4"/>
    <x v="1"/>
    <x v="7"/>
    <s v="Sao Paulo"/>
  </r>
  <r>
    <s v="80a516f4d571d5fce4d688cc931b106f"/>
    <s v="2018-04-07"/>
    <x v="17"/>
    <x v="3"/>
    <x v="14"/>
    <n v="2"/>
    <n v="140"/>
    <n v="25.76"/>
    <s v="credit_card"/>
    <n v="12"/>
    <x v="1"/>
    <x v="2"/>
    <s v="Sao Paulo"/>
  </r>
  <r>
    <s v="4444ee622d44353604947c0232f3f62d"/>
    <s v="2018-04-07"/>
    <x v="17"/>
    <x v="6"/>
    <x v="15"/>
    <n v="1"/>
    <n v="157.9"/>
    <n v="43.17"/>
    <s v="credit_card"/>
    <n v="20"/>
    <x v="1"/>
    <x v="3"/>
    <s v="Pernambuco"/>
  </r>
  <r>
    <s v="90729c9368dfbc80cac0f98648c70379"/>
    <s v="2018-04-07"/>
    <x v="17"/>
    <x v="3"/>
    <x v="1"/>
    <n v="1"/>
    <n v="23.99"/>
    <n v="7.39"/>
    <s v="credit_card"/>
    <n v="6"/>
    <x v="1"/>
    <x v="2"/>
    <s v="Sao Paulo"/>
  </r>
  <r>
    <s v="d889189b765c3c0257ebfbb1ddc34770"/>
    <s v="2018-04-07"/>
    <x v="17"/>
    <x v="3"/>
    <x v="14"/>
    <n v="2"/>
    <n v="411.9"/>
    <n v="45.18"/>
    <s v="credit_card"/>
    <n v="6"/>
    <x v="1"/>
    <x v="1"/>
    <s v="Sao Paulo"/>
  </r>
  <r>
    <s v="cb2ed75db8803d99a171c1056638ae9b"/>
    <s v="2018-04-07"/>
    <x v="17"/>
    <x v="1"/>
    <x v="19"/>
    <n v="1"/>
    <n v="36.9"/>
    <n v="19.32"/>
    <s v="boleto"/>
    <n v="16"/>
    <x v="1"/>
    <x v="2"/>
    <s v="Rio Grande do Sul"/>
  </r>
  <r>
    <s v="4ece3211dc7b96c8b646fa8a727039e2"/>
    <s v="2018-04-07"/>
    <x v="17"/>
    <x v="3"/>
    <x v="19"/>
    <n v="1"/>
    <n v="16"/>
    <n v="7.39"/>
    <s v="boleto"/>
    <n v="6"/>
    <x v="1"/>
    <x v="2"/>
    <s v="Sao Paulo"/>
  </r>
  <r>
    <s v="ace9787c2536f487f1491bac9707fd67"/>
    <s v="2018-04-07"/>
    <x v="17"/>
    <x v="3"/>
    <x v="19"/>
    <n v="1"/>
    <n v="199.9"/>
    <n v="14.3"/>
    <s v="boleto"/>
    <n v="9"/>
    <x v="1"/>
    <x v="2"/>
    <s v="Sao Paulo"/>
  </r>
  <r>
    <s v="57b490831ac4a17a68d544c740bafe52"/>
    <s v="2018-04-07"/>
    <x v="17"/>
    <x v="5"/>
    <x v="6"/>
    <n v="1"/>
    <n v="39.9"/>
    <n v="22.06"/>
    <s v="credit_card"/>
    <n v="20"/>
    <x v="1"/>
    <x v="2"/>
    <s v="Parana"/>
  </r>
  <r>
    <s v="642999e824c9af8073453b0abf40a075"/>
    <s v="2018-04-07"/>
    <x v="17"/>
    <x v="3"/>
    <x v="19"/>
    <n v="1"/>
    <n v="19.989999999999998"/>
    <n v="7.39"/>
    <s v="boleto"/>
    <n v="5"/>
    <x v="1"/>
    <x v="3"/>
    <s v="Sao Paulo"/>
  </r>
  <r>
    <s v="891f571079436f35901706c6abe82ab0"/>
    <s v="2018-04-07"/>
    <x v="17"/>
    <x v="13"/>
    <x v="14"/>
    <n v="1"/>
    <n v="21.99"/>
    <n v="50.85"/>
    <s v="credit_card"/>
    <n v="28"/>
    <x v="2"/>
    <x v="0"/>
    <s v="Maranhao"/>
  </r>
  <r>
    <s v="68e3cd57e173ebad230c2879e6c78401"/>
    <s v="2018-04-07"/>
    <x v="17"/>
    <x v="3"/>
    <x v="17"/>
    <n v="1"/>
    <n v="13.65"/>
    <n v="7.39"/>
    <s v="boleto"/>
    <n v="3"/>
    <x v="1"/>
    <x v="2"/>
    <s v="Sao Paulo"/>
  </r>
  <r>
    <s v="9c8b7e134959999ac945ed2b29537c8b"/>
    <s v="2018-04-07"/>
    <x v="17"/>
    <x v="12"/>
    <x v="9"/>
    <n v="1"/>
    <n v="67.599999999999994"/>
    <n v="19.16"/>
    <s v="credit_card"/>
    <n v="60"/>
    <x v="2"/>
    <x v="3"/>
    <s v="Ceara"/>
  </r>
  <r>
    <s v="1874385b2e1267b83f06520d354ae9fd"/>
    <s v="2018-04-07"/>
    <x v="17"/>
    <x v="18"/>
    <x v="17"/>
    <n v="1"/>
    <n v="19.89"/>
    <n v="7.71"/>
    <s v="credit_card"/>
    <n v="3"/>
    <x v="1"/>
    <x v="5"/>
    <s v="Distrito Federal"/>
  </r>
  <r>
    <s v="eb1340135e81ffed22e5703c6fbbe879"/>
    <s v="2018-04-07"/>
    <x v="17"/>
    <x v="3"/>
    <x v="14"/>
    <n v="1"/>
    <n v="52.9"/>
    <n v="14.46"/>
    <s v="credit_card"/>
    <n v="9"/>
    <x v="1"/>
    <x v="2"/>
    <s v="Sao Paulo"/>
  </r>
  <r>
    <s v="89632ab0ec088829b4e3338a772f80b4"/>
    <s v="2018-04-08"/>
    <x v="17"/>
    <x v="3"/>
    <x v="14"/>
    <n v="1"/>
    <n v="60.5"/>
    <n v="14.51"/>
    <s v="boleto"/>
    <n v="12"/>
    <x v="1"/>
    <x v="2"/>
    <s v="Sao Paulo"/>
  </r>
  <r>
    <s v="3f50858a49c788f7633204f2fd7bf63f"/>
    <s v="2018-04-08"/>
    <x v="17"/>
    <x v="7"/>
    <x v="0"/>
    <n v="1"/>
    <n v="334.8"/>
    <n v="17.22"/>
    <s v="credit_card"/>
    <n v="17"/>
    <x v="1"/>
    <x v="3"/>
    <s v="Minas Gerais"/>
  </r>
  <r>
    <s v="1e54c4fe23092d2cd26e7b40e2f7ac9b"/>
    <s v="2018-04-08"/>
    <x v="17"/>
    <x v="7"/>
    <x v="9"/>
    <n v="1"/>
    <n v="16.489999999999998"/>
    <n v="18.23"/>
    <s v="credit_card"/>
    <n v="10"/>
    <x v="1"/>
    <x v="2"/>
    <s v="Minas Gerais"/>
  </r>
  <r>
    <s v="b4d6bee8b34f0daf1309fc764051cce5"/>
    <s v="2018-04-08"/>
    <x v="17"/>
    <x v="2"/>
    <x v="14"/>
    <n v="2"/>
    <n v="119.8"/>
    <n v="105.1"/>
    <s v="credit_card"/>
    <n v="11"/>
    <x v="1"/>
    <x v="3"/>
    <s v="Goias"/>
  </r>
  <r>
    <s v="b3242decb71b67b79f3b2069effcbaa2"/>
    <s v="2018-04-08"/>
    <x v="17"/>
    <x v="8"/>
    <x v="0"/>
    <n v="1"/>
    <n v="159"/>
    <n v="41.87"/>
    <s v="boleto"/>
    <n v="10"/>
    <x v="1"/>
    <x v="2"/>
    <s v="Santa Catarina"/>
  </r>
  <r>
    <s v="7e1fd738713d62b9990ced922d2dff77"/>
    <s v="2018-04-08"/>
    <x v="17"/>
    <x v="18"/>
    <x v="19"/>
    <n v="1"/>
    <n v="69.900000000000006"/>
    <n v="18.07"/>
    <s v="credit_card"/>
    <n v="10"/>
    <x v="1"/>
    <x v="3"/>
    <s v="Distrito Federal"/>
  </r>
  <r>
    <s v="a3e9c86c68a63188c0f9e47c68d6ceac"/>
    <s v="2018-04-08"/>
    <x v="17"/>
    <x v="24"/>
    <x v="18"/>
    <n v="1"/>
    <n v="35"/>
    <n v="22.85"/>
    <s v="voucher"/>
    <n v="8"/>
    <x v="1"/>
    <x v="3"/>
    <s v="Alagoas"/>
  </r>
  <r>
    <s v="03d3db2eb72705d4b4dd30987cf610f8"/>
    <s v="2018-04-09"/>
    <x v="17"/>
    <x v="7"/>
    <x v="9"/>
    <n v="1"/>
    <n v="135.9"/>
    <n v="21.88"/>
    <s v="credit_card"/>
    <n v="14"/>
    <x v="1"/>
    <x v="2"/>
    <s v="Minas Gerais"/>
  </r>
  <r>
    <s v="4543bf01c903f993fb532fcd4e147267"/>
    <s v="2018-04-09"/>
    <x v="17"/>
    <x v="1"/>
    <x v="9"/>
    <n v="1"/>
    <n v="255.65"/>
    <n v="23.5"/>
    <s v="credit_card"/>
    <n v="14"/>
    <x v="1"/>
    <x v="0"/>
    <s v="Rio Grande do Sul"/>
  </r>
  <r>
    <s v="6c028cbba2a22fd7c9430fe9ab249faa"/>
    <s v="2018-04-09"/>
    <x v="17"/>
    <x v="7"/>
    <x v="22"/>
    <n v="1"/>
    <n v="189.99"/>
    <n v="19.21"/>
    <s v="credit_card"/>
    <n v="15"/>
    <x v="1"/>
    <x v="2"/>
    <s v="Minas Gerais"/>
  </r>
  <r>
    <s v="9facbaa96abaefc54aba2b8f3722b1a7"/>
    <s v="2018-04-09"/>
    <x v="17"/>
    <x v="7"/>
    <x v="32"/>
    <n v="1"/>
    <n v="99.97"/>
    <n v="18.579999999999998"/>
    <s v="credit_card"/>
    <n v="14"/>
    <x v="1"/>
    <x v="2"/>
    <s v="Minas Gerais"/>
  </r>
  <r>
    <s v="c9fc76586dbd1939395d3ddd999833bf"/>
    <s v="2018-04-09"/>
    <x v="17"/>
    <x v="7"/>
    <x v="5"/>
    <n v="1"/>
    <n v="79.989999999999995"/>
    <n v="15.38"/>
    <s v="credit_card"/>
    <n v="7"/>
    <x v="1"/>
    <x v="2"/>
    <s v="Minas Gerais"/>
  </r>
  <r>
    <s v="62a303159c09b65c288433ea06a99600"/>
    <s v="2018-04-09"/>
    <x v="17"/>
    <x v="4"/>
    <x v="1"/>
    <n v="1"/>
    <n v="227"/>
    <n v="24.17"/>
    <s v="credit_card"/>
    <n v="35"/>
    <x v="2"/>
    <x v="2"/>
    <s v="Rio de Janeiro"/>
  </r>
  <r>
    <s v="7efad59e360743b4d3d246741db76a37"/>
    <s v="2018-04-09"/>
    <x v="17"/>
    <x v="3"/>
    <x v="14"/>
    <n v="1"/>
    <n v="79.900000000000006"/>
    <n v="13.92"/>
    <s v="credit_card"/>
    <n v="4"/>
    <x v="1"/>
    <x v="3"/>
    <s v="Sao Paulo"/>
  </r>
  <r>
    <s v="4245e49d026ef1f440041837b6eac52a"/>
    <s v="2018-04-09"/>
    <x v="17"/>
    <x v="3"/>
    <x v="7"/>
    <n v="1"/>
    <n v="53.9"/>
    <n v="13.46"/>
    <s v="credit_card"/>
    <n v="7"/>
    <x v="1"/>
    <x v="2"/>
    <s v="Sao Paulo"/>
  </r>
  <r>
    <s v="8e89832cd01aae257e9608ce09e0caad"/>
    <s v="2018-04-09"/>
    <x v="17"/>
    <x v="16"/>
    <x v="25"/>
    <n v="1"/>
    <n v="149.99"/>
    <n v="88.96"/>
    <s v="credit_card"/>
    <n v="12"/>
    <x v="1"/>
    <x v="2"/>
    <s v="Amazonas"/>
  </r>
  <r>
    <s v="d08a79ed250412c79cc17a81c4abcf86"/>
    <s v="2018-04-09"/>
    <x v="17"/>
    <x v="3"/>
    <x v="17"/>
    <n v="1"/>
    <n v="13.65"/>
    <n v="7.39"/>
    <s v="boleto"/>
    <n v="3"/>
    <x v="1"/>
    <x v="2"/>
    <s v="Sao Paulo"/>
  </r>
  <r>
    <s v="3ff3ef2712ca7c33e82afe0697183621"/>
    <s v="2018-04-09"/>
    <x v="17"/>
    <x v="7"/>
    <x v="6"/>
    <n v="1"/>
    <n v="199.9"/>
    <n v="19.28"/>
    <s v="boleto"/>
    <n v="10"/>
    <x v="1"/>
    <x v="2"/>
    <s v="Minas Gerais"/>
  </r>
  <r>
    <s v="ff23c2ed75e1dd692c237538513b27a6"/>
    <s v="2018-04-09"/>
    <x v="17"/>
    <x v="3"/>
    <x v="4"/>
    <n v="1"/>
    <n v="93"/>
    <n v="18.53"/>
    <s v="credit_card"/>
    <n v="13"/>
    <x v="1"/>
    <x v="2"/>
    <s v="Sao Paulo"/>
  </r>
  <r>
    <s v="f9d2e3d2cc060d2d5fbbaef4fba580b1"/>
    <s v="2018-04-09"/>
    <x v="17"/>
    <x v="12"/>
    <x v="17"/>
    <n v="1"/>
    <n v="14.99"/>
    <n v="19.04"/>
    <s v="credit_card"/>
    <n v="31"/>
    <x v="2"/>
    <x v="0"/>
    <s v="Ceara"/>
  </r>
  <r>
    <s v="3d37b8d5d488bfee6a6f456504d2fb82"/>
    <s v="2018-04-10"/>
    <x v="17"/>
    <x v="7"/>
    <x v="2"/>
    <n v="1"/>
    <n v="17.989999999999998"/>
    <n v="12.79"/>
    <s v="boleto"/>
    <n v="10"/>
    <x v="1"/>
    <x v="2"/>
    <s v="Minas Gerais"/>
  </r>
  <r>
    <s v="12c876d1fcac530f4415cb03afc041a6"/>
    <s v="2018-04-10"/>
    <x v="17"/>
    <x v="18"/>
    <x v="9"/>
    <n v="1"/>
    <n v="58.99"/>
    <n v="16.73"/>
    <s v="credit_card"/>
    <n v="9"/>
    <x v="1"/>
    <x v="5"/>
    <s v="Distrito Federal"/>
  </r>
  <r>
    <s v="69c3c3c160e3c97d69fc07a52b4d98d2"/>
    <s v="2018-04-10"/>
    <x v="17"/>
    <x v="3"/>
    <x v="22"/>
    <n v="1"/>
    <n v="178.99"/>
    <n v="13.69"/>
    <s v="credit_card"/>
    <n v="6"/>
    <x v="1"/>
    <x v="2"/>
    <s v="Sao Paulo"/>
  </r>
  <r>
    <s v="199d865a833111b42fa9115901dbf975"/>
    <s v="2018-04-10"/>
    <x v="17"/>
    <x v="1"/>
    <x v="12"/>
    <n v="1"/>
    <n v="109.9"/>
    <n v="23.35"/>
    <s v="credit_card"/>
    <n v="6"/>
    <x v="1"/>
    <x v="2"/>
    <s v="Rio Grande do Sul"/>
  </r>
  <r>
    <s v="fb9d7568d1c3618c043135be4c5b3cfd"/>
    <s v="2018-04-10"/>
    <x v="17"/>
    <x v="18"/>
    <x v="0"/>
    <n v="1"/>
    <n v="102"/>
    <n v="19.68"/>
    <s v="credit_card"/>
    <n v="16"/>
    <x v="1"/>
    <x v="2"/>
    <s v="Distrito Federal"/>
  </r>
  <r>
    <s v="d8962b14d78c6bc197f6508354109936"/>
    <s v="2018-04-10"/>
    <x v="17"/>
    <x v="3"/>
    <x v="0"/>
    <n v="1"/>
    <n v="29.9"/>
    <n v="12.79"/>
    <s v="credit_card"/>
    <n v="5"/>
    <x v="1"/>
    <x v="2"/>
    <s v="Sao Paulo"/>
  </r>
  <r>
    <s v="6f6938612fdf53d7b863eec877c1fbfe"/>
    <s v="2018-04-10"/>
    <x v="17"/>
    <x v="15"/>
    <x v="22"/>
    <n v="1"/>
    <n v="78"/>
    <n v="22.26"/>
    <s v="credit_card"/>
    <n v="6"/>
    <x v="1"/>
    <x v="3"/>
    <s v="Mato Grosso"/>
  </r>
  <r>
    <s v="d4c17074d3c22044f71a0faa32f99564"/>
    <s v="2018-04-10"/>
    <x v="17"/>
    <x v="7"/>
    <x v="20"/>
    <n v="1"/>
    <n v="75"/>
    <n v="26.61"/>
    <s v="credit_card"/>
    <n v="17"/>
    <x v="1"/>
    <x v="0"/>
    <s v="Minas Gerais"/>
  </r>
  <r>
    <s v="10aa0d0d910582b19666c38c58588868"/>
    <s v="2018-04-11"/>
    <x v="17"/>
    <x v="3"/>
    <x v="49"/>
    <n v="1"/>
    <n v="125"/>
    <n v="9.61"/>
    <s v="credit_card"/>
    <n v="1"/>
    <x v="1"/>
    <x v="2"/>
    <s v="Sao Paulo"/>
  </r>
  <r>
    <s v="8a1bc477742faefa8ff9f614dc582244"/>
    <s v="2018-04-11"/>
    <x v="17"/>
    <x v="3"/>
    <x v="1"/>
    <n v="1"/>
    <n v="67.900000000000006"/>
    <n v="8.8800000000000008"/>
    <s v="credit_card"/>
    <n v="1"/>
    <x v="1"/>
    <x v="2"/>
    <s v="Sao Paulo"/>
  </r>
  <r>
    <s v="b99e5b462412361aab3168e1a40bdde8"/>
    <s v="2018-04-11"/>
    <x v="17"/>
    <x v="3"/>
    <x v="26"/>
    <n v="1"/>
    <n v="122.99"/>
    <n v="8.6300000000000008"/>
    <s v="credit_card"/>
    <n v="2"/>
    <x v="1"/>
    <x v="2"/>
    <s v="Sao Paulo"/>
  </r>
  <r>
    <s v="977b4442a3c1dfc2f22496727bf1ce97"/>
    <s v="2018-04-11"/>
    <x v="17"/>
    <x v="7"/>
    <x v="22"/>
    <n v="1"/>
    <n v="78"/>
    <n v="15.43"/>
    <s v="credit_card"/>
    <n v="6"/>
    <x v="1"/>
    <x v="2"/>
    <s v="Minas Gerais"/>
  </r>
  <r>
    <s v="4dae49f3bd8b5abe8d252762a1c88a1f"/>
    <s v="2018-04-11"/>
    <x v="17"/>
    <x v="3"/>
    <x v="19"/>
    <n v="1"/>
    <n v="49.9"/>
    <n v="8.8800000000000008"/>
    <s v="boleto"/>
    <n v="5"/>
    <x v="1"/>
    <x v="2"/>
    <s v="Sao Paulo"/>
  </r>
  <r>
    <s v="dcf7ef0799c6be6d3c89ea5083017e62"/>
    <s v="2018-04-11"/>
    <x v="17"/>
    <x v="3"/>
    <x v="9"/>
    <n v="1"/>
    <n v="29.9"/>
    <n v="7.71"/>
    <s v="credit_card"/>
    <n v="5"/>
    <x v="1"/>
    <x v="2"/>
    <s v="Sao Paulo"/>
  </r>
  <r>
    <s v="5aa709ad0b286644ffbb7c9aa6a1db27"/>
    <s v="2018-04-11"/>
    <x v="17"/>
    <x v="4"/>
    <x v="14"/>
    <n v="1"/>
    <n v="259.89999999999998"/>
    <n v="35.36"/>
    <s v="credit_card"/>
    <n v="9"/>
    <x v="1"/>
    <x v="2"/>
    <s v="Rio de Janeiro"/>
  </r>
  <r>
    <s v="68005513d670f9fc899928aed4963d22"/>
    <s v="2018-04-11"/>
    <x v="17"/>
    <x v="3"/>
    <x v="19"/>
    <n v="1"/>
    <n v="56.25"/>
    <n v="14.48"/>
    <s v="credit_card"/>
    <n v="9"/>
    <x v="1"/>
    <x v="2"/>
    <s v="Sao Paulo"/>
  </r>
  <r>
    <s v="33209e0f87b2ed543a0876812c9c5c40"/>
    <s v="2018-04-11"/>
    <x v="17"/>
    <x v="3"/>
    <x v="0"/>
    <n v="1"/>
    <n v="159.9"/>
    <n v="37.049999999999997"/>
    <s v="credit_card"/>
    <n v="2"/>
    <x v="1"/>
    <x v="1"/>
    <s v="Sao Paulo"/>
  </r>
  <r>
    <s v="1d643b8cef95dfa4cf580061a62c6075"/>
    <s v="2018-04-11"/>
    <x v="17"/>
    <x v="3"/>
    <x v="9"/>
    <n v="1"/>
    <n v="120"/>
    <n v="13.28"/>
    <s v="credit_card"/>
    <n v="7"/>
    <x v="1"/>
    <x v="2"/>
    <s v="Sao Paulo"/>
  </r>
  <r>
    <s v="bb1af69d9c3122c683d442d8af845410"/>
    <s v="2018-04-11"/>
    <x v="17"/>
    <x v="3"/>
    <x v="26"/>
    <n v="1"/>
    <n v="122.99"/>
    <n v="8.6300000000000008"/>
    <s v="credit_card"/>
    <n v="2"/>
    <x v="1"/>
    <x v="2"/>
    <s v="Sao Paulo"/>
  </r>
  <r>
    <s v="ccbc6d72962da1952d471d3bb26cd5dc"/>
    <s v="2018-04-11"/>
    <x v="17"/>
    <x v="22"/>
    <x v="14"/>
    <n v="2"/>
    <n v="138"/>
    <n v="46.12"/>
    <s v="credit_card"/>
    <n v="19"/>
    <x v="1"/>
    <x v="3"/>
    <s v="Espirito Santo"/>
  </r>
  <r>
    <s v="8dcc55ec15c19cb7dc05d6eb1daf8802"/>
    <s v="2018-04-11"/>
    <x v="17"/>
    <x v="10"/>
    <x v="22"/>
    <n v="1"/>
    <n v="599"/>
    <n v="64.25"/>
    <s v="credit_card"/>
    <n v="15"/>
    <x v="1"/>
    <x v="2"/>
    <s v="Piaui"/>
  </r>
  <r>
    <s v="2282f08c7a3e5bc3e7b84bb444d6e1e6"/>
    <s v="2018-04-11"/>
    <x v="17"/>
    <x v="4"/>
    <x v="19"/>
    <n v="1"/>
    <n v="29.9"/>
    <n v="16.32"/>
    <s v="credit_card"/>
    <n v="15"/>
    <x v="1"/>
    <x v="2"/>
    <s v="Rio de Janeiro"/>
  </r>
  <r>
    <s v="0f14db1abb2772e95d78a72c30d69678"/>
    <s v="2018-04-11"/>
    <x v="17"/>
    <x v="8"/>
    <x v="0"/>
    <n v="4"/>
    <n v="132.6"/>
    <n v="76.44"/>
    <s v="credit_card"/>
    <n v="9"/>
    <x v="1"/>
    <x v="1"/>
    <s v="Santa Catarina"/>
  </r>
  <r>
    <s v="f330860e4cc30640994fc5d022b00934"/>
    <s v="2018-04-11"/>
    <x v="17"/>
    <x v="7"/>
    <x v="26"/>
    <n v="1"/>
    <n v="122.99"/>
    <n v="18.739999999999998"/>
    <s v="credit_card"/>
    <m/>
    <x v="0"/>
    <x v="0"/>
    <s v="Minas Gerais"/>
  </r>
  <r>
    <s v="8a37cae0305cc1e69d6f5d0629719e9a"/>
    <s v="2018-04-11"/>
    <x v="17"/>
    <x v="1"/>
    <x v="22"/>
    <n v="1"/>
    <n v="55"/>
    <n v="18.27"/>
    <s v="credit_card"/>
    <n v="7"/>
    <x v="1"/>
    <x v="0"/>
    <s v="Rio Grande do Sul"/>
  </r>
  <r>
    <s v="81508881aee7b223104b4a5d4b28f786"/>
    <s v="2018-04-11"/>
    <x v="17"/>
    <x v="3"/>
    <x v="9"/>
    <n v="1"/>
    <n v="119.9"/>
    <n v="18.43"/>
    <s v="credit_card"/>
    <n v="8"/>
    <x v="1"/>
    <x v="2"/>
    <s v="Sao Paulo"/>
  </r>
  <r>
    <s v="e0babb29f62b941d1b6c1f2f6659973d"/>
    <s v="2018-04-11"/>
    <x v="17"/>
    <x v="1"/>
    <x v="13"/>
    <n v="1"/>
    <n v="79.989999999999995"/>
    <n v="15.44"/>
    <s v="credit_card"/>
    <n v="10"/>
    <x v="1"/>
    <x v="2"/>
    <s v="Rio Grande do Sul"/>
  </r>
  <r>
    <s v="0227da6a9a5c5d03b593cc9c2bce3463"/>
    <s v="2018-04-11"/>
    <x v="17"/>
    <x v="3"/>
    <x v="20"/>
    <n v="1"/>
    <n v="49.9"/>
    <n v="11.62"/>
    <s v="credit_card"/>
    <n v="6"/>
    <x v="1"/>
    <x v="2"/>
    <s v="Sao Paulo"/>
  </r>
  <r>
    <s v="d2e4ad2926dc435008abc29210ace9f3"/>
    <s v="2018-04-11"/>
    <x v="17"/>
    <x v="3"/>
    <x v="9"/>
    <n v="1"/>
    <n v="88"/>
    <n v="14.71"/>
    <s v="credit_card"/>
    <n v="7"/>
    <x v="1"/>
    <x v="2"/>
    <s v="Sao Paulo"/>
  </r>
  <r>
    <s v="7aaf9721911fe977bb8e6640c442aeb4"/>
    <s v="2018-04-12"/>
    <x v="17"/>
    <x v="6"/>
    <x v="4"/>
    <n v="1"/>
    <n v="129"/>
    <n v="19.59"/>
    <s v="boleto"/>
    <n v="11"/>
    <x v="1"/>
    <x v="2"/>
    <s v="Pernambuco"/>
  </r>
  <r>
    <s v="b086c1a7c7ed350b2faeb2869ac483ec"/>
    <s v="2018-04-12"/>
    <x v="17"/>
    <x v="3"/>
    <x v="19"/>
    <n v="2"/>
    <n v="69.8"/>
    <n v="34.520000000000003"/>
    <s v="credit_card"/>
    <n v="7"/>
    <x v="1"/>
    <x v="2"/>
    <s v="Sao Paulo"/>
  </r>
  <r>
    <s v="e34b841641aa07f65aedb6b71194a2e2"/>
    <s v="2018-04-12"/>
    <x v="17"/>
    <x v="3"/>
    <x v="0"/>
    <n v="1"/>
    <n v="129.05000000000001"/>
    <n v="19.87"/>
    <s v="credit_card"/>
    <n v="6"/>
    <x v="1"/>
    <x v="3"/>
    <s v="Sao Paulo"/>
  </r>
  <r>
    <s v="1852019948d9a47a6c035457a6f71410"/>
    <s v="2018-04-12"/>
    <x v="17"/>
    <x v="3"/>
    <x v="11"/>
    <n v="2"/>
    <n v="59.68"/>
    <n v="28.86"/>
    <s v="boleto"/>
    <n v="6"/>
    <x v="1"/>
    <x v="2"/>
    <s v="Sao Paulo"/>
  </r>
  <r>
    <s v="a6044c1de1912da29cb76976738d1e2a"/>
    <s v="2018-04-12"/>
    <x v="17"/>
    <x v="21"/>
    <x v="22"/>
    <n v="1"/>
    <n v="50.99"/>
    <n v="22.07"/>
    <s v="credit_card"/>
    <n v="27"/>
    <x v="1"/>
    <x v="2"/>
    <s v="Bahia"/>
  </r>
  <r>
    <s v="06f544e5c7afe6215b9e2a26b4f08442"/>
    <s v="2018-04-12"/>
    <x v="17"/>
    <x v="2"/>
    <x v="13"/>
    <n v="1"/>
    <n v="117.3"/>
    <n v="21.73"/>
    <s v="credit_card"/>
    <n v="12"/>
    <x v="1"/>
    <x v="2"/>
    <s v="Goias"/>
  </r>
  <r>
    <s v="d90f36f9fe6a2fda4bbc5498a14b81d6"/>
    <s v="2018-04-12"/>
    <x v="17"/>
    <x v="3"/>
    <x v="14"/>
    <n v="1"/>
    <n v="179.9"/>
    <n v="18.170000000000002"/>
    <s v="boleto"/>
    <n v="6"/>
    <x v="1"/>
    <x v="2"/>
    <s v="Sao Paulo"/>
  </r>
  <r>
    <s v="cc9f137560ea711d7750050acf6c9ab3"/>
    <s v="2018-04-12"/>
    <x v="17"/>
    <x v="4"/>
    <x v="26"/>
    <n v="1"/>
    <n v="99.9"/>
    <n v="17.41"/>
    <s v="debit_card"/>
    <n v="27"/>
    <x v="1"/>
    <x v="2"/>
    <s v="Rio de Janeiro"/>
  </r>
  <r>
    <s v="7772d2a6ca50ce99296982433145582b"/>
    <s v="2018-04-12"/>
    <x v="17"/>
    <x v="18"/>
    <x v="57"/>
    <n v="1"/>
    <n v="39.9"/>
    <n v="15.23"/>
    <s v="credit_card"/>
    <n v="11"/>
    <x v="1"/>
    <x v="3"/>
    <s v="Distrito Federal"/>
  </r>
  <r>
    <s v="68126438e25973e9d716ab0e2485ae05"/>
    <s v="2018-04-12"/>
    <x v="17"/>
    <x v="3"/>
    <x v="1"/>
    <n v="1"/>
    <n v="16"/>
    <n v="12.79"/>
    <s v="boleto"/>
    <n v="11"/>
    <x v="1"/>
    <x v="3"/>
    <s v="Sao Paulo"/>
  </r>
  <r>
    <s v="66f249e4d7ab2f3872de7bd6d74719dd"/>
    <s v="2018-04-12"/>
    <x v="17"/>
    <x v="2"/>
    <x v="9"/>
    <n v="1"/>
    <n v="330"/>
    <n v="18.77"/>
    <s v="credit_card"/>
    <n v="25"/>
    <x v="1"/>
    <x v="3"/>
    <s v="Goias"/>
  </r>
  <r>
    <s v="20400ea65a0eadb957f1fe55f3e1756a"/>
    <s v="2018-04-12"/>
    <x v="17"/>
    <x v="3"/>
    <x v="65"/>
    <n v="1"/>
    <n v="17.100000000000001"/>
    <n v="12.79"/>
    <s v="credit_card"/>
    <n v="7"/>
    <x v="1"/>
    <x v="2"/>
    <s v="Sao Paulo"/>
  </r>
  <r>
    <s v="76de219e02a69e67c85ab229f27eee44"/>
    <s v="2018-04-12"/>
    <x v="17"/>
    <x v="3"/>
    <x v="2"/>
    <n v="1"/>
    <n v="42.9"/>
    <n v="9.44"/>
    <s v="credit_card"/>
    <n v="35"/>
    <x v="2"/>
    <x v="1"/>
    <s v="Sao Paulo"/>
  </r>
  <r>
    <s v="9b3149eabe3d80fae592727f31f103dd"/>
    <s v="2018-04-12"/>
    <x v="17"/>
    <x v="7"/>
    <x v="5"/>
    <n v="1"/>
    <n v="117.7"/>
    <n v="18.7"/>
    <s v="credit_card"/>
    <n v="14"/>
    <x v="1"/>
    <x v="3"/>
    <s v="Minas Gerais"/>
  </r>
  <r>
    <s v="ba13f88bc48228019bdb212741534045"/>
    <s v="2018-04-12"/>
    <x v="17"/>
    <x v="26"/>
    <x v="6"/>
    <n v="1"/>
    <n v="39.99"/>
    <n v="22.85"/>
    <s v="credit_card"/>
    <n v="25"/>
    <x v="1"/>
    <x v="3"/>
    <s v="Paraiba"/>
  </r>
  <r>
    <s v="91b429393d223b94094f2b7671a634b9"/>
    <s v="2018-04-12"/>
    <x v="17"/>
    <x v="4"/>
    <x v="14"/>
    <n v="1"/>
    <n v="49.9"/>
    <n v="19.32"/>
    <s v="boleto"/>
    <n v="14"/>
    <x v="1"/>
    <x v="2"/>
    <s v="Rio de Janeiro"/>
  </r>
  <r>
    <s v="6a2928ab4a049ae96aef70dd00d5756e"/>
    <s v="2018-04-13"/>
    <x v="17"/>
    <x v="4"/>
    <x v="20"/>
    <n v="1"/>
    <n v="133.05000000000001"/>
    <n v="15.81"/>
    <s v="credit_card"/>
    <n v="19"/>
    <x v="1"/>
    <x v="3"/>
    <s v="Rio de Janeiro"/>
  </r>
  <r>
    <s v="e9ed35393653f0ebbc1d792ba5ed1447"/>
    <s v="2018-04-13"/>
    <x v="17"/>
    <x v="3"/>
    <x v="25"/>
    <n v="1"/>
    <n v="197"/>
    <n v="19.260000000000002"/>
    <s v="credit_card"/>
    <n v="12"/>
    <x v="1"/>
    <x v="2"/>
    <s v="Sao Paulo"/>
  </r>
  <r>
    <s v="2228de938a229c135ae3bd0bf71a128c"/>
    <s v="2018-04-13"/>
    <x v="17"/>
    <x v="1"/>
    <x v="20"/>
    <n v="1"/>
    <n v="148"/>
    <n v="17.59"/>
    <s v="boleto"/>
    <n v="14"/>
    <x v="1"/>
    <x v="2"/>
    <s v="Rio Grande do Sul"/>
  </r>
  <r>
    <s v="5065c673bd9aed56b2628c56c93d0619"/>
    <s v="2018-04-13"/>
    <x v="17"/>
    <x v="1"/>
    <x v="2"/>
    <n v="1"/>
    <n v="58.5"/>
    <n v="22.99"/>
    <s v="voucher"/>
    <n v="19"/>
    <x v="1"/>
    <x v="2"/>
    <s v="Rio Grande do Sul"/>
  </r>
  <r>
    <s v="c92ef068e2628ab736ea295a7d536c7d"/>
    <s v="2018-04-14"/>
    <x v="17"/>
    <x v="7"/>
    <x v="28"/>
    <n v="1"/>
    <n v="169.99"/>
    <n v="62.83"/>
    <s v="boleto"/>
    <n v="31"/>
    <x v="1"/>
    <x v="1"/>
    <s v="Minas Gerais"/>
  </r>
  <r>
    <s v="0392299d0f8bdd68d559aff77bf44bab"/>
    <s v="2018-04-14"/>
    <x v="17"/>
    <x v="21"/>
    <x v="1"/>
    <n v="1"/>
    <n v="122.99"/>
    <n v="22.57"/>
    <s v="credit_card"/>
    <n v="26"/>
    <x v="1"/>
    <x v="1"/>
    <s v="Bahia"/>
  </r>
  <r>
    <s v="c1fbc7155ea9f5c6249e998ab25708a6"/>
    <s v="2018-04-14"/>
    <x v="17"/>
    <x v="3"/>
    <x v="19"/>
    <n v="1"/>
    <n v="99.5"/>
    <n v="14.06"/>
    <s v="credit_card"/>
    <n v="6"/>
    <x v="1"/>
    <x v="2"/>
    <s v="Sao Paulo"/>
  </r>
  <r>
    <s v="9211ad9b7860612a689053307f1de3e7"/>
    <s v="2018-04-14"/>
    <x v="17"/>
    <x v="4"/>
    <x v="7"/>
    <n v="1"/>
    <n v="53.9"/>
    <n v="21.35"/>
    <s v="boleto"/>
    <n v="20"/>
    <x v="1"/>
    <x v="2"/>
    <s v="Rio de Janeiro"/>
  </r>
  <r>
    <s v="638ed9beae45e801ece6dacd6767bcab"/>
    <s v="2018-04-15"/>
    <x v="17"/>
    <x v="4"/>
    <x v="6"/>
    <n v="1"/>
    <n v="29.99"/>
    <n v="15.23"/>
    <s v="voucher"/>
    <n v="5"/>
    <x v="1"/>
    <x v="2"/>
    <s v="Rio de Janeiro"/>
  </r>
  <r>
    <s v="1c11b1c44ff1f6059f4fdf48bacf3e82"/>
    <s v="2018-04-15"/>
    <x v="17"/>
    <x v="3"/>
    <x v="17"/>
    <n v="1"/>
    <n v="12.9"/>
    <n v="7.39"/>
    <s v="credit_card"/>
    <n v="2"/>
    <x v="1"/>
    <x v="1"/>
    <s v="Sao Paulo"/>
  </r>
  <r>
    <s v="5bf9c5ac7dfc2d9cc6911038a0864fbf"/>
    <s v="2018-04-15"/>
    <x v="17"/>
    <x v="3"/>
    <x v="8"/>
    <n v="1"/>
    <n v="120"/>
    <n v="34.380000000000003"/>
    <s v="credit_card"/>
    <n v="14"/>
    <x v="1"/>
    <x v="2"/>
    <s v="Sao Paulo"/>
  </r>
  <r>
    <s v="1f4b51173e5abe491422314a94e7363c"/>
    <s v="2018-04-15"/>
    <x v="17"/>
    <x v="3"/>
    <x v="29"/>
    <n v="1"/>
    <n v="129"/>
    <n v="14.99"/>
    <s v="credit_card"/>
    <n v="9"/>
    <x v="1"/>
    <x v="2"/>
    <s v="Sao Paulo"/>
  </r>
  <r>
    <s v="fb1a2a1296f822405a946cbdfc0d3ed6"/>
    <s v="2018-04-15"/>
    <x v="17"/>
    <x v="3"/>
    <x v="14"/>
    <n v="1"/>
    <n v="21.99"/>
    <n v="12.79"/>
    <s v="credit_card"/>
    <n v="10"/>
    <x v="1"/>
    <x v="1"/>
    <s v="Sao Paulo"/>
  </r>
  <r>
    <s v="e96a4c3bfb4afc0cb895a76f5ba0440b"/>
    <s v="2018-04-15"/>
    <x v="17"/>
    <x v="3"/>
    <x v="9"/>
    <n v="1"/>
    <n v="53.99"/>
    <n v="7.39"/>
    <s v="credit_card"/>
    <n v="4"/>
    <x v="1"/>
    <x v="2"/>
    <s v="Sao Paulo"/>
  </r>
  <r>
    <s v="5956fa21016f2b556a3959ff5aea8536"/>
    <s v="2018-04-15"/>
    <x v="17"/>
    <x v="3"/>
    <x v="2"/>
    <n v="1"/>
    <n v="126.79"/>
    <n v="33.75"/>
    <s v="credit_card"/>
    <n v="11"/>
    <x v="1"/>
    <x v="1"/>
    <s v="Sao Paulo"/>
  </r>
  <r>
    <s v="1cc2afbca351a1423aeb95bd67821271"/>
    <s v="2018-04-15"/>
    <x v="17"/>
    <x v="3"/>
    <x v="14"/>
    <n v="1"/>
    <n v="199.9"/>
    <n v="14.87"/>
    <s v="credit_card"/>
    <n v="3"/>
    <x v="1"/>
    <x v="2"/>
    <s v="Sao Paulo"/>
  </r>
  <r>
    <s v="cea9ccd3a54929b9d68abbcdc75daed9"/>
    <s v="2018-04-15"/>
    <x v="17"/>
    <x v="5"/>
    <x v="29"/>
    <n v="1"/>
    <n v="395.6"/>
    <n v="41.76"/>
    <s v="credit_card"/>
    <n v="9"/>
    <x v="1"/>
    <x v="2"/>
    <s v="Parana"/>
  </r>
  <r>
    <s v="911022dc32144d6899afd62e7fe0734e"/>
    <s v="2018-04-15"/>
    <x v="17"/>
    <x v="7"/>
    <x v="0"/>
    <n v="1"/>
    <n v="84.65"/>
    <n v="7.78"/>
    <s v="credit_card"/>
    <n v="4"/>
    <x v="1"/>
    <x v="2"/>
    <s v="Minas Gerais"/>
  </r>
  <r>
    <s v="065b60cb1eb8ac3e010b81d60ab6a5a7"/>
    <s v="2018-04-15"/>
    <x v="17"/>
    <x v="3"/>
    <x v="14"/>
    <n v="1"/>
    <n v="189.9"/>
    <n v="13.23"/>
    <s v="credit_card"/>
    <n v="2"/>
    <x v="1"/>
    <x v="2"/>
    <s v="Sao Paulo"/>
  </r>
  <r>
    <s v="e0316057201638c364f3f54c86eebdcf"/>
    <s v="2018-04-16"/>
    <x v="17"/>
    <x v="3"/>
    <x v="13"/>
    <n v="1"/>
    <n v="19"/>
    <n v="7.39"/>
    <s v="credit_card"/>
    <n v="2"/>
    <x v="1"/>
    <x v="2"/>
    <s v="Sao Paulo"/>
  </r>
  <r>
    <s v="9b93d7e3492173e52be4e40470dd5d59"/>
    <s v="2018-04-16"/>
    <x v="17"/>
    <x v="6"/>
    <x v="4"/>
    <n v="1"/>
    <n v="119"/>
    <n v="97.72"/>
    <s v="boleto"/>
    <n v="9"/>
    <x v="1"/>
    <x v="2"/>
    <s v="Pernambuco"/>
  </r>
  <r>
    <s v="3d505913f0e487f72d47fa0813d00222"/>
    <s v="2018-04-16"/>
    <x v="17"/>
    <x v="2"/>
    <x v="36"/>
    <n v="1"/>
    <n v="39"/>
    <n v="22.93"/>
    <s v="credit_card"/>
    <n v="16"/>
    <x v="1"/>
    <x v="2"/>
    <s v="Goias"/>
  </r>
  <r>
    <s v="b9d8b4ec472a40d54e329cc366627cba"/>
    <s v="2018-04-16"/>
    <x v="17"/>
    <x v="3"/>
    <x v="4"/>
    <n v="1"/>
    <n v="129"/>
    <n v="15.78"/>
    <s v="boleto"/>
    <n v="7"/>
    <x v="1"/>
    <x v="3"/>
    <s v="Sao Paulo"/>
  </r>
  <r>
    <s v="0fa61e1ac47c12200902e1f9d6b0e6ad"/>
    <s v="2018-04-16"/>
    <x v="17"/>
    <x v="3"/>
    <x v="21"/>
    <n v="2"/>
    <n v="99.98"/>
    <n v="27.42"/>
    <s v="credit_card"/>
    <n v="3"/>
    <x v="1"/>
    <x v="0"/>
    <s v="Sao Paulo"/>
  </r>
  <r>
    <s v="801ad870fbcdfae41bd492be8976cbc2"/>
    <s v="2018-04-16"/>
    <x v="17"/>
    <x v="3"/>
    <x v="30"/>
    <n v="1"/>
    <n v="56.97"/>
    <n v="12.8"/>
    <s v="credit_card"/>
    <n v="7"/>
    <x v="1"/>
    <x v="2"/>
    <s v="Sao Paulo"/>
  </r>
  <r>
    <s v="d7b00090ed4c28c03afc316bc0a2ec17"/>
    <s v="2018-04-16"/>
    <x v="17"/>
    <x v="3"/>
    <x v="7"/>
    <n v="1"/>
    <n v="139.9"/>
    <n v="16.95"/>
    <s v="boleto"/>
    <n v="4"/>
    <x v="1"/>
    <x v="2"/>
    <s v="Sao Paulo"/>
  </r>
  <r>
    <s v="45881387721786e660460cd8bfcb2010"/>
    <s v="2018-04-16"/>
    <x v="17"/>
    <x v="6"/>
    <x v="2"/>
    <n v="1"/>
    <n v="89.99"/>
    <n v="37.32"/>
    <s v="credit_card"/>
    <n v="23"/>
    <x v="1"/>
    <x v="3"/>
    <s v="Pernambuco"/>
  </r>
  <r>
    <s v="5b023700ca22594b76150412fb31d733"/>
    <s v="2018-04-16"/>
    <x v="17"/>
    <x v="3"/>
    <x v="17"/>
    <n v="1"/>
    <n v="13.65"/>
    <n v="7.39"/>
    <s v="boleto"/>
    <n v="11"/>
    <x v="1"/>
    <x v="1"/>
    <s v="Sao Paulo"/>
  </r>
  <r>
    <s v="1be21009011f8032ec2932d23966bbd2"/>
    <s v="2018-04-16"/>
    <x v="17"/>
    <x v="4"/>
    <x v="13"/>
    <n v="1"/>
    <n v="30"/>
    <n v="18.23"/>
    <s v="credit_card"/>
    <n v="10"/>
    <x v="1"/>
    <x v="2"/>
    <s v="Rio de Janeiro"/>
  </r>
  <r>
    <s v="023669233121f0fb7899e5be2b22885f"/>
    <s v="2018-04-16"/>
    <x v="17"/>
    <x v="3"/>
    <x v="25"/>
    <n v="3"/>
    <n v="258.79000000000002"/>
    <n v="59.57"/>
    <s v="boleto"/>
    <n v="3"/>
    <x v="1"/>
    <x v="2"/>
    <s v="Sao Paulo"/>
  </r>
  <r>
    <s v="07182ece031138fc6c7f81b60b1eb329"/>
    <s v="2018-04-16"/>
    <x v="17"/>
    <x v="3"/>
    <x v="14"/>
    <n v="1"/>
    <n v="43.8"/>
    <n v="14.44"/>
    <s v="credit_card"/>
    <n v="7"/>
    <x v="1"/>
    <x v="2"/>
    <s v="Sao Paulo"/>
  </r>
  <r>
    <s v="b14878ee970d09943d562f30749318ae"/>
    <s v="2018-04-17"/>
    <x v="17"/>
    <x v="7"/>
    <x v="4"/>
    <n v="1"/>
    <n v="24.99"/>
    <n v="18.23"/>
    <s v="credit_card"/>
    <n v="8"/>
    <x v="1"/>
    <x v="2"/>
    <s v="Minas Gerais"/>
  </r>
  <r>
    <s v="2a2169e99fd0582e2322bce30ab5207b"/>
    <s v="2018-04-17"/>
    <x v="17"/>
    <x v="3"/>
    <x v="19"/>
    <n v="1"/>
    <n v="26"/>
    <n v="8.8800000000000008"/>
    <s v="credit_card"/>
    <n v="8"/>
    <x v="1"/>
    <x v="1"/>
    <s v="Sao Paulo"/>
  </r>
  <r>
    <s v="d1ec284532e192ddc41c2a400620e697"/>
    <s v="2018-04-17"/>
    <x v="17"/>
    <x v="4"/>
    <x v="14"/>
    <n v="2"/>
    <n v="44"/>
    <n v="38.08"/>
    <s v="credit_card"/>
    <n v="3"/>
    <x v="1"/>
    <x v="2"/>
    <s v="Rio de Janeiro"/>
  </r>
  <r>
    <s v="bbb39449a277499952671cc64cbd7232"/>
    <s v="2018-04-17"/>
    <x v="17"/>
    <x v="7"/>
    <x v="32"/>
    <n v="1"/>
    <n v="92.5"/>
    <n v="34.19"/>
    <s v="credit_card"/>
    <n v="6"/>
    <x v="1"/>
    <x v="3"/>
    <s v="Minas Gerais"/>
  </r>
  <r>
    <s v="f7fa198627aefca94731f4ec2464271e"/>
    <s v="2018-04-17"/>
    <x v="17"/>
    <x v="3"/>
    <x v="3"/>
    <n v="1"/>
    <n v="34.200000000000003"/>
    <n v="11.89"/>
    <s v="credit_card"/>
    <n v="9"/>
    <x v="1"/>
    <x v="3"/>
    <s v="Sao Paulo"/>
  </r>
  <r>
    <s v="dbc841e264c91362b1f1091a3fec3394"/>
    <s v="2018-04-17"/>
    <x v="17"/>
    <x v="3"/>
    <x v="2"/>
    <n v="1"/>
    <n v="56.9"/>
    <n v="8.2899999999999991"/>
    <s v="credit_card"/>
    <n v="1"/>
    <x v="1"/>
    <x v="2"/>
    <s v="Sao Paulo"/>
  </r>
  <r>
    <s v="de6d38ce9e3cde2325eb83681cbf5774"/>
    <s v="2018-04-17"/>
    <x v="17"/>
    <x v="3"/>
    <x v="13"/>
    <n v="1"/>
    <n v="79.900000000000006"/>
    <n v="14.65"/>
    <s v="credit_card"/>
    <n v="13"/>
    <x v="1"/>
    <x v="5"/>
    <s v="Sao Paulo"/>
  </r>
  <r>
    <s v="e2d992dfb23aa5b768db449b84b8200b"/>
    <s v="2018-04-17"/>
    <x v="17"/>
    <x v="3"/>
    <x v="4"/>
    <n v="5"/>
    <n v="399.95"/>
    <n v="65"/>
    <s v="credit_card"/>
    <n v="6"/>
    <x v="1"/>
    <x v="3"/>
    <s v="Sao Paulo"/>
  </r>
  <r>
    <s v="60bcba6747ee878b9007f61275f4cd1f"/>
    <s v="2018-04-17"/>
    <x v="17"/>
    <x v="3"/>
    <x v="14"/>
    <n v="1"/>
    <n v="249.9"/>
    <n v="15.51"/>
    <s v="debit_card"/>
    <n v="6"/>
    <x v="1"/>
    <x v="3"/>
    <s v="Sao Paulo"/>
  </r>
  <r>
    <s v="ab457766fd545ee4fd253ae81da173f3"/>
    <s v="2018-04-17"/>
    <x v="17"/>
    <x v="3"/>
    <x v="1"/>
    <n v="1"/>
    <n v="49.9"/>
    <n v="11.89"/>
    <s v="credit_card"/>
    <n v="7"/>
    <x v="1"/>
    <x v="3"/>
    <s v="Sao Paulo"/>
  </r>
  <r>
    <s v="2c76644ebdca47aa2d980e3b2714af13"/>
    <s v="2018-04-17"/>
    <x v="17"/>
    <x v="2"/>
    <x v="14"/>
    <n v="1"/>
    <n v="159.9"/>
    <n v="22.2"/>
    <s v="credit_card"/>
    <n v="9"/>
    <x v="1"/>
    <x v="2"/>
    <s v="Goias"/>
  </r>
  <r>
    <s v="16f6cf86122c11b8b1e46d21f4b31f89"/>
    <s v="2018-04-17"/>
    <x v="17"/>
    <x v="2"/>
    <x v="6"/>
    <n v="1"/>
    <n v="21.99"/>
    <n v="15.23"/>
    <s v="boleto"/>
    <n v="20"/>
    <x v="1"/>
    <x v="3"/>
    <s v="Goias"/>
  </r>
  <r>
    <s v="657d6ab783018d32016fd49494d5cf4e"/>
    <s v="2018-04-17"/>
    <x v="17"/>
    <x v="5"/>
    <x v="20"/>
    <n v="1"/>
    <n v="213.99"/>
    <n v="22.58"/>
    <s v="credit_card"/>
    <n v="8"/>
    <x v="1"/>
    <x v="3"/>
    <s v="Parana"/>
  </r>
  <r>
    <s v="cb7a2c6ea8712ab4fcb4f1c66a6ca274"/>
    <s v="2018-04-17"/>
    <x v="17"/>
    <x v="5"/>
    <x v="6"/>
    <n v="1"/>
    <n v="44.99"/>
    <n v="18.23"/>
    <s v="credit_card"/>
    <n v="13"/>
    <x v="1"/>
    <x v="3"/>
    <s v="Parana"/>
  </r>
  <r>
    <s v="b9d1db9d3e9608b2d37f962aaef45e03"/>
    <s v="2018-04-17"/>
    <x v="17"/>
    <x v="3"/>
    <x v="28"/>
    <n v="1"/>
    <n v="79.98"/>
    <n v="22.87"/>
    <s v="voucher"/>
    <n v="20"/>
    <x v="1"/>
    <x v="2"/>
    <s v="Sao Paulo"/>
  </r>
  <r>
    <s v="b157dd3a8db0279fe95e9272103e8078"/>
    <s v="2018-04-17"/>
    <x v="17"/>
    <x v="3"/>
    <x v="0"/>
    <n v="1"/>
    <n v="59.9"/>
    <n v="16.39"/>
    <s v="credit_card"/>
    <n v="6"/>
    <x v="1"/>
    <x v="2"/>
    <s v="Sao Paulo"/>
  </r>
  <r>
    <s v="ec36cbe1738f8ac4379b1ced0757c583"/>
    <s v="2018-04-17"/>
    <x v="17"/>
    <x v="3"/>
    <x v="4"/>
    <n v="1"/>
    <n v="78"/>
    <n v="12.99"/>
    <s v="credit_card"/>
    <n v="8"/>
    <x v="1"/>
    <x v="2"/>
    <s v="Sao Paulo"/>
  </r>
  <r>
    <s v="c7f27c1776def4a1c9b1585107d0f209"/>
    <s v="2018-04-17"/>
    <x v="17"/>
    <x v="1"/>
    <x v="36"/>
    <n v="1"/>
    <n v="130"/>
    <n v="19.88"/>
    <s v="credit_card"/>
    <n v="21"/>
    <x v="1"/>
    <x v="2"/>
    <s v="Rio Grande do Sul"/>
  </r>
  <r>
    <s v="89710eda9c7f1c37f55e89f035f5ceee"/>
    <s v="2018-04-18"/>
    <x v="17"/>
    <x v="3"/>
    <x v="14"/>
    <n v="1"/>
    <n v="39.99"/>
    <n v="11.89"/>
    <s v="credit_card"/>
    <n v="6"/>
    <x v="1"/>
    <x v="2"/>
    <s v="Sao Paulo"/>
  </r>
  <r>
    <s v="d07116348ed0d8c1a55ff50e9d1121fb"/>
    <s v="2018-04-18"/>
    <x v="17"/>
    <x v="3"/>
    <x v="22"/>
    <n v="1"/>
    <n v="49"/>
    <n v="12.79"/>
    <s v="credit_card"/>
    <n v="7"/>
    <x v="1"/>
    <x v="3"/>
    <s v="Sao Paulo"/>
  </r>
  <r>
    <s v="c518fcc14b2bf7ad3f5a833fe67ed9a5"/>
    <s v="2018-04-18"/>
    <x v="17"/>
    <x v="4"/>
    <x v="20"/>
    <n v="1"/>
    <n v="89.99"/>
    <n v="18.21"/>
    <s v="credit_card"/>
    <n v="18"/>
    <x v="1"/>
    <x v="2"/>
    <s v="Rio de Janeiro"/>
  </r>
  <r>
    <s v="a3696d83a951412999a280e4a331070d"/>
    <s v="2018-04-18"/>
    <x v="17"/>
    <x v="7"/>
    <x v="9"/>
    <n v="1"/>
    <n v="173.25"/>
    <n v="18.79"/>
    <s v="credit_card"/>
    <n v="8"/>
    <x v="1"/>
    <x v="2"/>
    <s v="Minas Gerais"/>
  </r>
  <r>
    <s v="fc00f81a771664dd85e2ed1bf9e0db82"/>
    <s v="2018-04-18"/>
    <x v="17"/>
    <x v="3"/>
    <x v="1"/>
    <n v="1"/>
    <n v="45"/>
    <n v="18.23"/>
    <s v="credit_card"/>
    <n v="7"/>
    <x v="1"/>
    <x v="2"/>
    <s v="Sao Paulo"/>
  </r>
  <r>
    <s v="d74e29bbba41049b6c17603fd9fabc58"/>
    <s v="2018-04-18"/>
    <x v="17"/>
    <x v="5"/>
    <x v="17"/>
    <n v="1"/>
    <n v="103.9"/>
    <n v="21.67"/>
    <s v="credit_card"/>
    <n v="14"/>
    <x v="1"/>
    <x v="2"/>
    <s v="Parana"/>
  </r>
  <r>
    <s v="8db5dc3121f330642473ed0e76209acb"/>
    <s v="2018-04-18"/>
    <x v="17"/>
    <x v="1"/>
    <x v="12"/>
    <n v="1"/>
    <n v="213"/>
    <n v="19.07"/>
    <s v="credit_card"/>
    <n v="11"/>
    <x v="1"/>
    <x v="2"/>
    <s v="Rio Grande do Sul"/>
  </r>
  <r>
    <s v="605b496ab2cd71fe8105952dafc16227"/>
    <s v="2018-04-18"/>
    <x v="17"/>
    <x v="3"/>
    <x v="36"/>
    <n v="1"/>
    <n v="48"/>
    <n v="11.86"/>
    <s v="credit_card"/>
    <n v="2"/>
    <x v="1"/>
    <x v="2"/>
    <s v="Sao Paulo"/>
  </r>
  <r>
    <s v="466466045d6dd169bdd4ab10d2361ac6"/>
    <s v="2018-04-18"/>
    <x v="17"/>
    <x v="3"/>
    <x v="13"/>
    <n v="1"/>
    <n v="27.9"/>
    <n v="12.79"/>
    <s v="boleto"/>
    <n v="12"/>
    <x v="1"/>
    <x v="3"/>
    <s v="Sao Paulo"/>
  </r>
  <r>
    <s v="9bd1262011363cf74478ba1d6f04ab28"/>
    <s v="2018-04-18"/>
    <x v="17"/>
    <x v="1"/>
    <x v="13"/>
    <n v="1"/>
    <n v="117.3"/>
    <n v="31.96"/>
    <s v="credit_card"/>
    <n v="11"/>
    <x v="1"/>
    <x v="2"/>
    <s v="Rio Grande do Sul"/>
  </r>
  <r>
    <s v="c208742c454c4a949a6126eade1d2ef0"/>
    <s v="2018-04-18"/>
    <x v="17"/>
    <x v="3"/>
    <x v="1"/>
    <n v="1"/>
    <n v="159"/>
    <n v="17.079999999999998"/>
    <s v="credit_card"/>
    <n v="7"/>
    <x v="1"/>
    <x v="2"/>
    <s v="Sao Paulo"/>
  </r>
  <r>
    <s v="50ab05e97b974138bdb98e5248bb4ec2"/>
    <s v="2018-04-18"/>
    <x v="17"/>
    <x v="4"/>
    <x v="44"/>
    <n v="1"/>
    <n v="718"/>
    <n v="60.46"/>
    <s v="credit_card"/>
    <n v="26"/>
    <x v="1"/>
    <x v="1"/>
    <s v="Rio de Janeiro"/>
  </r>
  <r>
    <s v="b460e718be1fd4349fed54e71daebf34"/>
    <s v="2018-04-18"/>
    <x v="17"/>
    <x v="4"/>
    <x v="25"/>
    <n v="1"/>
    <n v="59.99"/>
    <n v="16.39"/>
    <s v="credit_card"/>
    <n v="8"/>
    <x v="1"/>
    <x v="2"/>
    <s v="Rio de Janeiro"/>
  </r>
  <r>
    <s v="ed552069bc1dfbbae315ecf454b1e5d0"/>
    <s v="2018-04-18"/>
    <x v="17"/>
    <x v="3"/>
    <x v="36"/>
    <n v="1"/>
    <n v="52"/>
    <n v="11.86"/>
    <s v="credit_card"/>
    <n v="12"/>
    <x v="2"/>
    <x v="2"/>
    <s v="Sao Paulo"/>
  </r>
  <r>
    <s v="d6573c37b3389e591e6b1a8e286eac99"/>
    <s v="2018-04-19"/>
    <x v="17"/>
    <x v="4"/>
    <x v="32"/>
    <n v="1"/>
    <n v="94"/>
    <n v="22.37"/>
    <s v="credit_card"/>
    <n v="15"/>
    <x v="1"/>
    <x v="2"/>
    <s v="Rio de Janeiro"/>
  </r>
  <r>
    <s v="9be33ce4878405dfc4be325fe756b73b"/>
    <s v="2018-04-19"/>
    <x v="17"/>
    <x v="3"/>
    <x v="0"/>
    <n v="1"/>
    <n v="118.75"/>
    <n v="17.739999999999998"/>
    <s v="credit_card"/>
    <n v="7"/>
    <x v="1"/>
    <x v="2"/>
    <s v="Sao Paulo"/>
  </r>
  <r>
    <s v="8eac09785112ead8f11813bff461fa91"/>
    <s v="2018-04-19"/>
    <x v="17"/>
    <x v="3"/>
    <x v="7"/>
    <n v="1"/>
    <n v="53.9"/>
    <n v="0"/>
    <s v="credit_card"/>
    <n v="8"/>
    <x v="1"/>
    <x v="2"/>
    <s v="Sao Paulo"/>
  </r>
  <r>
    <s v="7dbe3b6d08b31967f83f9c26988bd7c7"/>
    <s v="2018-04-19"/>
    <x v="17"/>
    <x v="3"/>
    <x v="9"/>
    <n v="1"/>
    <n v="370.47"/>
    <n v="21.4"/>
    <s v="credit_card"/>
    <n v="8"/>
    <x v="1"/>
    <x v="2"/>
    <s v="Sao Paulo"/>
  </r>
  <r>
    <s v="906be41c08c186ca1b3152e6e9a04ed4"/>
    <s v="2018-04-19"/>
    <x v="17"/>
    <x v="3"/>
    <x v="4"/>
    <n v="2"/>
    <n v="169.78"/>
    <n v="15.88"/>
    <s v="credit_card"/>
    <n v="8"/>
    <x v="1"/>
    <x v="3"/>
    <s v="Sao Paulo"/>
  </r>
  <r>
    <s v="3bce1be95e783fcb928b6435d268d89c"/>
    <s v="2018-04-19"/>
    <x v="17"/>
    <x v="3"/>
    <x v="0"/>
    <n v="1"/>
    <n v="129"/>
    <n v="21.98"/>
    <s v="credit_card"/>
    <n v="5"/>
    <x v="1"/>
    <x v="2"/>
    <s v="Sao Paulo"/>
  </r>
  <r>
    <s v="fd15c3951b25d11abd0fcc3518ef2b42"/>
    <s v="2018-04-19"/>
    <x v="17"/>
    <x v="1"/>
    <x v="0"/>
    <n v="1"/>
    <n v="69.900000000000006"/>
    <n v="19.46"/>
    <s v="boleto"/>
    <n v="13"/>
    <x v="1"/>
    <x v="2"/>
    <s v="Rio Grande do Sul"/>
  </r>
  <r>
    <s v="f79a31ab5cdfb67808fb8e27005ffa52"/>
    <s v="2018-04-19"/>
    <x v="17"/>
    <x v="7"/>
    <x v="20"/>
    <n v="1"/>
    <n v="82.99"/>
    <n v="18.52"/>
    <s v="boleto"/>
    <n v="11"/>
    <x v="1"/>
    <x v="2"/>
    <s v="Minas Gerais"/>
  </r>
  <r>
    <s v="34f8407f7b8a9e33a001e63eb8d08545"/>
    <s v="2018-04-19"/>
    <x v="17"/>
    <x v="18"/>
    <x v="0"/>
    <n v="1"/>
    <n v="14.9"/>
    <n v="19.32"/>
    <s v="credit_card"/>
    <n v="15"/>
    <x v="1"/>
    <x v="2"/>
    <s v="Distrito Federal"/>
  </r>
  <r>
    <s v="39cdc187b130d5b19a832af5443121fa"/>
    <s v="2018-04-19"/>
    <x v="17"/>
    <x v="3"/>
    <x v="17"/>
    <n v="1"/>
    <n v="30"/>
    <n v="8.2899999999999991"/>
    <s v="credit_card"/>
    <n v="6"/>
    <x v="1"/>
    <x v="2"/>
    <s v="Sao Paulo"/>
  </r>
  <r>
    <s v="571e58edcddc5a553546eecfa4b09aa0"/>
    <s v="2018-04-19"/>
    <x v="17"/>
    <x v="4"/>
    <x v="9"/>
    <n v="1"/>
    <n v="9.4"/>
    <n v="7.55"/>
    <s v="credit_card"/>
    <n v="3"/>
    <x v="1"/>
    <x v="2"/>
    <s v="Rio de Janeiro"/>
  </r>
  <r>
    <s v="60e3ebce36d40be343e1f240b81a811e"/>
    <s v="2018-04-19"/>
    <x v="17"/>
    <x v="4"/>
    <x v="22"/>
    <n v="1"/>
    <n v="579"/>
    <n v="25.76"/>
    <s v="credit_card"/>
    <n v="11"/>
    <x v="1"/>
    <x v="2"/>
    <s v="Rio de Janeiro"/>
  </r>
  <r>
    <s v="c3d40727f60424d81739c4647fab72aa"/>
    <s v="2018-04-19"/>
    <x v="17"/>
    <x v="7"/>
    <x v="22"/>
    <n v="1"/>
    <n v="110"/>
    <n v="0"/>
    <s v="credit_card"/>
    <n v="11"/>
    <x v="1"/>
    <x v="2"/>
    <s v="Minas Gerais"/>
  </r>
  <r>
    <s v="f9df206bb22d417017b52ddef1c2795e"/>
    <s v="2018-04-19"/>
    <x v="17"/>
    <x v="23"/>
    <x v="4"/>
    <n v="2"/>
    <n v="159.80000000000001"/>
    <n v="46.12"/>
    <s v="credit_card"/>
    <n v="10"/>
    <x v="1"/>
    <x v="0"/>
    <s v="Rio Grande do Norte"/>
  </r>
  <r>
    <s v="68fb895df51e234a55fbf5c30c873fd2"/>
    <s v="2018-04-19"/>
    <x v="17"/>
    <x v="3"/>
    <x v="12"/>
    <n v="1"/>
    <n v="109.9"/>
    <n v="18.350000000000001"/>
    <s v="credit_card"/>
    <n v="6"/>
    <x v="1"/>
    <x v="2"/>
    <s v="Sao Paulo"/>
  </r>
  <r>
    <s v="cf954e7391c1981cc9090267aec67ee9"/>
    <s v="2018-04-19"/>
    <x v="17"/>
    <x v="18"/>
    <x v="36"/>
    <n v="1"/>
    <n v="52"/>
    <n v="22.94"/>
    <s v="credit_card"/>
    <n v="20"/>
    <x v="2"/>
    <x v="3"/>
    <s v="Distrito Federal"/>
  </r>
  <r>
    <s v="dcfdf4c257739648a81742a5ea7f8a07"/>
    <s v="2018-04-19"/>
    <x v="17"/>
    <x v="1"/>
    <x v="0"/>
    <n v="1"/>
    <n v="230"/>
    <n v="19.95"/>
    <s v="boleto"/>
    <n v="8"/>
    <x v="1"/>
    <x v="2"/>
    <s v="Rio Grande do Sul"/>
  </r>
  <r>
    <s v="b02a2e4aaf38eb7c05ef28a6091ae2ce"/>
    <s v="2018-04-19"/>
    <x v="17"/>
    <x v="6"/>
    <x v="7"/>
    <n v="1"/>
    <n v="500"/>
    <n v="40.19"/>
    <s v="credit_card"/>
    <n v="20"/>
    <x v="1"/>
    <x v="3"/>
    <s v="Pernambuco"/>
  </r>
  <r>
    <s v="d6b35060d6baa125cae83779381704e2"/>
    <s v="2018-04-19"/>
    <x v="17"/>
    <x v="7"/>
    <x v="1"/>
    <n v="1"/>
    <n v="179"/>
    <n v="19.13"/>
    <s v="credit_card"/>
    <n v="12"/>
    <x v="1"/>
    <x v="2"/>
    <s v="Minas Gerais"/>
  </r>
  <r>
    <s v="7958f96c87dcc4edd752ef1a39e75cd9"/>
    <s v="2018-04-19"/>
    <x v="17"/>
    <x v="3"/>
    <x v="6"/>
    <n v="1"/>
    <n v="385"/>
    <n v="10.46"/>
    <s v="credit_card"/>
    <n v="8"/>
    <x v="1"/>
    <x v="2"/>
    <s v="Sao Paulo"/>
  </r>
  <r>
    <s v="acce8f40fcce1d7eb0d4211d183fe9bc"/>
    <s v="2018-04-19"/>
    <x v="17"/>
    <x v="3"/>
    <x v="0"/>
    <n v="1"/>
    <n v="24.9"/>
    <n v="14.44"/>
    <s v="boleto"/>
    <n v="7"/>
    <x v="1"/>
    <x v="2"/>
    <s v="Sao Paulo"/>
  </r>
  <r>
    <s v="b73c36e570877e647fc56872cfbb3fa6"/>
    <s v="2018-04-19"/>
    <x v="17"/>
    <x v="3"/>
    <x v="2"/>
    <n v="1"/>
    <n v="12.99"/>
    <n v="7.39"/>
    <s v="credit_card"/>
    <n v="4"/>
    <x v="1"/>
    <x v="2"/>
    <s v="Sao Paulo"/>
  </r>
  <r>
    <s v="3af06414a3acfc16eadcc64c0b6a8f7c"/>
    <s v="2018-04-20"/>
    <x v="17"/>
    <x v="3"/>
    <x v="4"/>
    <n v="1"/>
    <n v="177.9"/>
    <n v="17.96"/>
    <s v="credit_card"/>
    <n v="10"/>
    <x v="1"/>
    <x v="1"/>
    <s v="Sao Paulo"/>
  </r>
  <r>
    <s v="c85fe66e2c1cb66a9461604acc956de9"/>
    <s v="2018-04-20"/>
    <x v="17"/>
    <x v="3"/>
    <x v="9"/>
    <n v="1"/>
    <n v="58.9"/>
    <n v="7.39"/>
    <s v="credit_card"/>
    <n v="3"/>
    <x v="1"/>
    <x v="2"/>
    <s v="Sao Paulo"/>
  </r>
  <r>
    <s v="f8a3dc81761d2783626d9deb2dc55088"/>
    <s v="2018-04-20"/>
    <x v="17"/>
    <x v="3"/>
    <x v="14"/>
    <n v="1"/>
    <n v="75.260000000000005"/>
    <n v="14.62"/>
    <s v="credit_card"/>
    <n v="6"/>
    <x v="1"/>
    <x v="2"/>
    <s v="Sao Paulo"/>
  </r>
  <r>
    <s v="96b0f7debb763d6546823ac47d15e739"/>
    <s v="2018-04-20"/>
    <x v="17"/>
    <x v="3"/>
    <x v="15"/>
    <n v="1"/>
    <n v="99.9"/>
    <n v="14.79"/>
    <s v="credit_card"/>
    <n v="16"/>
    <x v="1"/>
    <x v="3"/>
    <s v="Sao Paulo"/>
  </r>
  <r>
    <s v="32cfd413ea0c915a211233c47b4e4de6"/>
    <s v="2018-04-20"/>
    <x v="17"/>
    <x v="18"/>
    <x v="6"/>
    <n v="1"/>
    <n v="29.99"/>
    <n v="15.23"/>
    <s v="debit_card"/>
    <n v="10"/>
    <x v="1"/>
    <x v="1"/>
    <s v="Distrito Federal"/>
  </r>
  <r>
    <s v="f672640d8f525e7ee9e9662776f4ed0f"/>
    <s v="2018-04-20"/>
    <x v="17"/>
    <x v="3"/>
    <x v="9"/>
    <n v="1"/>
    <n v="529.9"/>
    <n v="21.59"/>
    <s v="credit_card"/>
    <n v="10"/>
    <x v="1"/>
    <x v="2"/>
    <s v="Sao Paulo"/>
  </r>
  <r>
    <s v="fcb37577370584bc94c2b97a2e61433c"/>
    <s v="2018-04-20"/>
    <x v="17"/>
    <x v="3"/>
    <x v="28"/>
    <n v="1"/>
    <n v="116.94"/>
    <n v="16.690000000000001"/>
    <s v="credit_card"/>
    <n v="14"/>
    <x v="1"/>
    <x v="3"/>
    <s v="Sao Paulo"/>
  </r>
  <r>
    <s v="18a0085788733945772c772b19bceed7"/>
    <s v="2018-04-20"/>
    <x v="17"/>
    <x v="3"/>
    <x v="22"/>
    <n v="1"/>
    <n v="106.9"/>
    <n v="0"/>
    <s v="credit_card"/>
    <n v="10"/>
    <x v="1"/>
    <x v="2"/>
    <s v="Sao Paulo"/>
  </r>
  <r>
    <s v="dbf4e3f97023c5490b058fba8b675191"/>
    <s v="2018-04-20"/>
    <x v="17"/>
    <x v="18"/>
    <x v="17"/>
    <n v="1"/>
    <n v="12.25"/>
    <n v="15.23"/>
    <s v="credit_card"/>
    <n v="12"/>
    <x v="1"/>
    <x v="2"/>
    <s v="Distrito Federal"/>
  </r>
  <r>
    <s v="f94344586ac6663aabd08cbb1381e347"/>
    <s v="2018-04-20"/>
    <x v="17"/>
    <x v="2"/>
    <x v="13"/>
    <n v="1"/>
    <n v="38.9"/>
    <n v="18.23"/>
    <s v="credit_card"/>
    <n v="12"/>
    <x v="1"/>
    <x v="2"/>
    <s v="Goias"/>
  </r>
  <r>
    <s v="dbf6633516ca4df83ac9e96e2100846d"/>
    <s v="2018-04-21"/>
    <x v="17"/>
    <x v="23"/>
    <x v="14"/>
    <n v="1"/>
    <n v="34.99"/>
    <n v="50.85"/>
    <s v="credit_card"/>
    <n v="16"/>
    <x v="1"/>
    <x v="2"/>
    <s v="Rio Grande do Norte"/>
  </r>
  <r>
    <s v="50852bd4d7074310017db9d4b0e243b3"/>
    <s v="2018-04-21"/>
    <x v="17"/>
    <x v="4"/>
    <x v="2"/>
    <n v="1"/>
    <n v="57.99"/>
    <n v="18.29"/>
    <s v="credit_card"/>
    <n v="19"/>
    <x v="1"/>
    <x v="3"/>
    <s v="Rio de Janeiro"/>
  </r>
  <r>
    <s v="f16dee6de72d9dcf6b644a19233a39da"/>
    <s v="2018-04-21"/>
    <x v="17"/>
    <x v="7"/>
    <x v="18"/>
    <n v="1"/>
    <n v="39.99"/>
    <n v="15.23"/>
    <s v="credit_card"/>
    <n v="5"/>
    <x v="1"/>
    <x v="2"/>
    <s v="Minas Gerais"/>
  </r>
  <r>
    <s v="1a0c4417bf4f48e594a23d90d8d7581c"/>
    <s v="2018-04-21"/>
    <x v="17"/>
    <x v="3"/>
    <x v="4"/>
    <n v="1"/>
    <n v="59.9"/>
    <n v="14.51"/>
    <s v="credit_card"/>
    <n v="8"/>
    <x v="1"/>
    <x v="1"/>
    <s v="Sao Paulo"/>
  </r>
  <r>
    <s v="7aad54859be57990ed094ca49a651d11"/>
    <s v="2018-04-21"/>
    <x v="17"/>
    <x v="22"/>
    <x v="13"/>
    <n v="1"/>
    <n v="27.9"/>
    <n v="19.32"/>
    <s v="credit_card"/>
    <n v="16"/>
    <x v="1"/>
    <x v="0"/>
    <s v="Espirito Santo"/>
  </r>
  <r>
    <s v="de2eacc3fdfabed44d32cf8607801800"/>
    <s v="2018-04-21"/>
    <x v="17"/>
    <x v="7"/>
    <x v="4"/>
    <n v="1"/>
    <n v="19.899999999999999"/>
    <n v="17.059999999999999"/>
    <s v="boleto"/>
    <n v="11"/>
    <x v="1"/>
    <x v="1"/>
    <s v="Minas Gerais"/>
  </r>
  <r>
    <s v="a00d80133807b3fcebee86be41116908"/>
    <s v="2018-04-22"/>
    <x v="17"/>
    <x v="5"/>
    <x v="9"/>
    <n v="2"/>
    <n v="105.98"/>
    <n v="28.9"/>
    <s v="credit_card"/>
    <n v="3"/>
    <x v="1"/>
    <x v="2"/>
    <s v="Parana"/>
  </r>
  <r>
    <s v="3a10bf307a2af842e384180678f26104"/>
    <s v="2018-04-22"/>
    <x v="17"/>
    <x v="3"/>
    <x v="1"/>
    <n v="1"/>
    <n v="46.99"/>
    <n v="12.79"/>
    <s v="credit_card"/>
    <n v="5"/>
    <x v="1"/>
    <x v="2"/>
    <s v="Sao Paulo"/>
  </r>
  <r>
    <s v="746e0019b6fc6170534f81e45e8d55ec"/>
    <s v="2018-04-22"/>
    <x v="17"/>
    <x v="3"/>
    <x v="29"/>
    <n v="1"/>
    <n v="65.900000000000006"/>
    <n v="8.8800000000000008"/>
    <s v="credit_card"/>
    <n v="1"/>
    <x v="1"/>
    <x v="3"/>
    <s v="Sao Paulo"/>
  </r>
  <r>
    <s v="3263e5243c28ebe706f7500cf88054ad"/>
    <s v="2018-04-22"/>
    <x v="17"/>
    <x v="3"/>
    <x v="0"/>
    <n v="6"/>
    <n v="285"/>
    <n v="84.66"/>
    <s v="credit_card"/>
    <n v="4"/>
    <x v="1"/>
    <x v="0"/>
    <s v="Sao Paulo"/>
  </r>
  <r>
    <s v="540aa72ba814b34b792f075b2164edd7"/>
    <s v="2018-04-22"/>
    <x v="17"/>
    <x v="22"/>
    <x v="19"/>
    <n v="1"/>
    <n v="233.5"/>
    <n v="42.39"/>
    <s v="credit_card"/>
    <n v="15"/>
    <x v="1"/>
    <x v="3"/>
    <s v="Espirito Santo"/>
  </r>
  <r>
    <s v="3cf90d04a286c1ea16f5700dbc764fff"/>
    <s v="2018-04-22"/>
    <x v="17"/>
    <x v="3"/>
    <x v="0"/>
    <n v="2"/>
    <n v="70"/>
    <n v="17.760000000000002"/>
    <s v="credit_card"/>
    <n v="3"/>
    <x v="1"/>
    <x v="2"/>
    <s v="Sao Paulo"/>
  </r>
  <r>
    <s v="1ab44f7237928287806feb9f4fba7820"/>
    <s v="2018-04-22"/>
    <x v="17"/>
    <x v="9"/>
    <x v="9"/>
    <n v="1"/>
    <n v="64.989999999999995"/>
    <n v="15.31"/>
    <s v="boleto"/>
    <n v="33"/>
    <x v="2"/>
    <x v="0"/>
    <s v="Sergipe"/>
  </r>
  <r>
    <s v="59153dae34968fe90642c6a919d61c09"/>
    <s v="2018-04-22"/>
    <x v="17"/>
    <x v="22"/>
    <x v="19"/>
    <n v="1"/>
    <n v="18.989999999999998"/>
    <n v="15.23"/>
    <s v="credit_card"/>
    <n v="38"/>
    <x v="2"/>
    <x v="0"/>
    <s v="Espirito Santo"/>
  </r>
  <r>
    <s v="048cb31a5449d208f197f1fe7b617c3c"/>
    <s v="2018-04-23"/>
    <x v="17"/>
    <x v="5"/>
    <x v="57"/>
    <n v="1"/>
    <n v="65"/>
    <n v="19.420000000000002"/>
    <s v="credit_card"/>
    <n v="5"/>
    <x v="1"/>
    <x v="2"/>
    <s v="Parana"/>
  </r>
  <r>
    <s v="0c1e8da95f0bc94596b6e3571ba53a33"/>
    <s v="2018-04-23"/>
    <x v="17"/>
    <x v="7"/>
    <x v="12"/>
    <n v="1"/>
    <n v="239"/>
    <n v="20.64"/>
    <s v="credit_card"/>
    <n v="21"/>
    <x v="1"/>
    <x v="3"/>
    <s v="Minas Gerais"/>
  </r>
  <r>
    <s v="a7708ffa8966514c098d15e1abfa6417"/>
    <s v="2018-04-23"/>
    <x v="17"/>
    <x v="3"/>
    <x v="2"/>
    <n v="2"/>
    <n v="36.65"/>
    <n v="21.1"/>
    <s v="credit_card"/>
    <n v="2"/>
    <x v="1"/>
    <x v="2"/>
    <s v="Sao Paulo"/>
  </r>
  <r>
    <s v="8e72aa4f22ed34fdbeb7434859ec54d8"/>
    <s v="2018-04-23"/>
    <x v="17"/>
    <x v="3"/>
    <x v="14"/>
    <n v="1"/>
    <n v="44.99"/>
    <n v="14.44"/>
    <s v="voucher"/>
    <n v="6"/>
    <x v="1"/>
    <x v="2"/>
    <s v="Sao Paulo"/>
  </r>
  <r>
    <s v="4b38f9d30c069b6ec0c1da7d03c0ea21"/>
    <s v="2018-04-23"/>
    <x v="17"/>
    <x v="3"/>
    <x v="22"/>
    <n v="1"/>
    <n v="219"/>
    <n v="13.97"/>
    <s v="credit_card"/>
    <n v="4"/>
    <x v="1"/>
    <x v="2"/>
    <s v="Sao Paulo"/>
  </r>
  <r>
    <s v="e5c8cf4dd91786f33a0f1c96ef1eda19"/>
    <s v="2018-04-23"/>
    <x v="17"/>
    <x v="4"/>
    <x v="54"/>
    <n v="1"/>
    <n v="113.85"/>
    <n v="23.38"/>
    <s v="credit_card"/>
    <n v="11"/>
    <x v="1"/>
    <x v="5"/>
    <s v="Rio de Janeiro"/>
  </r>
  <r>
    <s v="d2d740a1b76ee640f76fba030363144e"/>
    <s v="2018-04-23"/>
    <x v="17"/>
    <x v="3"/>
    <x v="23"/>
    <n v="1"/>
    <n v="115"/>
    <n v="18.690000000000001"/>
    <s v="boleto"/>
    <n v="7"/>
    <x v="1"/>
    <x v="2"/>
    <s v="Sao Paulo"/>
  </r>
  <r>
    <s v="f8631b34c3dfdad3833c611007f62455"/>
    <s v="2018-04-23"/>
    <x v="17"/>
    <x v="18"/>
    <x v="12"/>
    <n v="1"/>
    <n v="35.9"/>
    <n v="16.32"/>
    <s v="credit_card"/>
    <n v="9"/>
    <x v="1"/>
    <x v="0"/>
    <s v="Distrito Federal"/>
  </r>
  <r>
    <s v="d5ed14d56a32bdc31d25faabc33e7b7a"/>
    <s v="2018-04-23"/>
    <x v="17"/>
    <x v="4"/>
    <x v="21"/>
    <n v="1"/>
    <n v="37"/>
    <n v="15.23"/>
    <s v="credit_card"/>
    <n v="9"/>
    <x v="1"/>
    <x v="2"/>
    <s v="Rio de Janeiro"/>
  </r>
  <r>
    <s v="030475e22d114f70be1a265fee326192"/>
    <s v="2018-04-23"/>
    <x v="17"/>
    <x v="3"/>
    <x v="7"/>
    <n v="1"/>
    <n v="44.9"/>
    <n v="12.79"/>
    <s v="credit_card"/>
    <n v="3"/>
    <x v="1"/>
    <x v="2"/>
    <s v="Sao Paulo"/>
  </r>
  <r>
    <s v="d8148e06f2f2b366a0c8df064103223b"/>
    <s v="2018-04-23"/>
    <x v="17"/>
    <x v="1"/>
    <x v="9"/>
    <n v="1"/>
    <n v="56.9"/>
    <n v="19.37"/>
    <s v="boleto"/>
    <n v="7"/>
    <x v="1"/>
    <x v="2"/>
    <s v="Rio Grande do Sul"/>
  </r>
  <r>
    <s v="cd9c0ba3bb3dbb5fadbe5ce7c15eabaf"/>
    <s v="2018-04-23"/>
    <x v="17"/>
    <x v="3"/>
    <x v="0"/>
    <n v="1"/>
    <n v="99"/>
    <n v="11.32"/>
    <s v="credit_card"/>
    <n v="3"/>
    <x v="1"/>
    <x v="2"/>
    <s v="Sao Paulo"/>
  </r>
  <r>
    <s v="aac52878fd693aeeb3efce3e0e0a3ce2"/>
    <s v="2018-04-23"/>
    <x v="17"/>
    <x v="7"/>
    <x v="1"/>
    <n v="1"/>
    <n v="120"/>
    <n v="23.42"/>
    <s v="credit_card"/>
    <n v="10"/>
    <x v="1"/>
    <x v="2"/>
    <s v="Minas Gerais"/>
  </r>
  <r>
    <s v="bf955c3062582fe37befbfd4b0e4b820"/>
    <s v="2018-04-23"/>
    <x v="17"/>
    <x v="4"/>
    <x v="19"/>
    <n v="1"/>
    <n v="49.9"/>
    <n v="22.89"/>
    <s v="credit_card"/>
    <n v="9"/>
    <x v="1"/>
    <x v="2"/>
    <s v="Rio de Janeiro"/>
  </r>
  <r>
    <s v="e892eede814b151cc44aa21a6ecd1200"/>
    <s v="2018-04-23"/>
    <x v="17"/>
    <x v="4"/>
    <x v="0"/>
    <n v="1"/>
    <n v="69.900000000000006"/>
    <n v="0"/>
    <s v="credit_card"/>
    <n v="7"/>
    <x v="1"/>
    <x v="1"/>
    <s v="Rio de Janeiro"/>
  </r>
  <r>
    <s v="d812dbfcae5778a9864fae0dfe22d9c9"/>
    <s v="2018-04-23"/>
    <x v="17"/>
    <x v="5"/>
    <x v="29"/>
    <n v="1"/>
    <n v="139"/>
    <n v="23.55"/>
    <s v="credit_card"/>
    <m/>
    <x v="0"/>
    <x v="5"/>
    <s v="Parana"/>
  </r>
  <r>
    <s v="cdde449c1dcdc9aad3adc07b6de6659f"/>
    <s v="2018-04-23"/>
    <x v="17"/>
    <x v="3"/>
    <x v="9"/>
    <n v="1"/>
    <n v="67.900000000000006"/>
    <n v="11.15"/>
    <s v="credit_card"/>
    <n v="3"/>
    <x v="1"/>
    <x v="3"/>
    <s v="Sao Paulo"/>
  </r>
  <r>
    <s v="2ffb45ec99d3fc4942ee973e41e630a9"/>
    <s v="2018-04-23"/>
    <x v="17"/>
    <x v="7"/>
    <x v="9"/>
    <n v="1"/>
    <n v="64.989999999999995"/>
    <n v="22.95"/>
    <s v="credit_card"/>
    <n v="14"/>
    <x v="1"/>
    <x v="2"/>
    <s v="Minas Gerais"/>
  </r>
  <r>
    <s v="c87addc63adfeea74ce7b7de9d99d161"/>
    <s v="2018-04-23"/>
    <x v="17"/>
    <x v="8"/>
    <x v="9"/>
    <n v="1"/>
    <n v="114.99"/>
    <n v="62.83"/>
    <s v="debit_card"/>
    <n v="18"/>
    <x v="1"/>
    <x v="2"/>
    <s v="Santa Catarina"/>
  </r>
  <r>
    <s v="045eff272f42f0ae0191149686f193e1"/>
    <s v="2018-04-23"/>
    <x v="17"/>
    <x v="7"/>
    <x v="33"/>
    <n v="1"/>
    <n v="69"/>
    <n v="15.36"/>
    <s v="credit_card"/>
    <n v="3"/>
    <x v="1"/>
    <x v="0"/>
    <s v="Minas Gerais"/>
  </r>
  <r>
    <s v="ad0db85b651140eb463660b4ddf767e1"/>
    <s v="2018-04-23"/>
    <x v="17"/>
    <x v="5"/>
    <x v="33"/>
    <n v="1"/>
    <n v="1890"/>
    <n v="73.14"/>
    <s v="credit_card"/>
    <n v="11"/>
    <x v="1"/>
    <x v="3"/>
    <s v="Parana"/>
  </r>
  <r>
    <s v="bf2efa777e1a41506b6a7a702e98f0f5"/>
    <s v="2018-04-23"/>
    <x v="17"/>
    <x v="7"/>
    <x v="20"/>
    <n v="1"/>
    <n v="24"/>
    <n v="15.23"/>
    <s v="credit_card"/>
    <n v="7"/>
    <x v="1"/>
    <x v="2"/>
    <s v="Minas Gerais"/>
  </r>
  <r>
    <s v="14272800e054af4a7886796fd6b65593"/>
    <s v="2018-04-24"/>
    <x v="17"/>
    <x v="3"/>
    <x v="28"/>
    <n v="1"/>
    <n v="319.89999999999998"/>
    <n v="44.1"/>
    <s v="boleto"/>
    <n v="6"/>
    <x v="1"/>
    <x v="2"/>
    <s v="Sao Paulo"/>
  </r>
  <r>
    <s v="beb6927ba358d62ba446c803a6a4d815"/>
    <s v="2018-04-24"/>
    <x v="17"/>
    <x v="4"/>
    <x v="22"/>
    <n v="1"/>
    <n v="99.9"/>
    <n v="0"/>
    <s v="credit_card"/>
    <n v="11"/>
    <x v="1"/>
    <x v="2"/>
    <s v="Rio de Janeiro"/>
  </r>
  <r>
    <s v="2882e815bbb59314e58194adf2fe61e3"/>
    <s v="2018-04-24"/>
    <x v="17"/>
    <x v="3"/>
    <x v="6"/>
    <n v="1"/>
    <n v="45.9"/>
    <n v="12.79"/>
    <s v="voucher"/>
    <n v="5"/>
    <x v="1"/>
    <x v="2"/>
    <s v="Sao Paulo"/>
  </r>
  <r>
    <s v="b2e0314790dc44ec6a7d96a62c221a5c"/>
    <s v="2018-04-24"/>
    <x v="17"/>
    <x v="3"/>
    <x v="19"/>
    <n v="1"/>
    <n v="28.99"/>
    <n v="12.79"/>
    <s v="credit_card"/>
    <n v="7"/>
    <x v="1"/>
    <x v="2"/>
    <s v="Sao Paulo"/>
  </r>
  <r>
    <s v="d192544ec2b865ca0055b5c559bca196"/>
    <s v="2018-04-24"/>
    <x v="17"/>
    <x v="3"/>
    <x v="7"/>
    <n v="2"/>
    <n v="254.54"/>
    <n v="26.66"/>
    <s v="credit_card"/>
    <n v="7"/>
    <x v="1"/>
    <x v="3"/>
    <s v="Sao Paulo"/>
  </r>
  <r>
    <s v="8e6e7d37d25c7e66e66f8be5a34da04d"/>
    <s v="2018-04-24"/>
    <x v="17"/>
    <x v="6"/>
    <x v="1"/>
    <n v="1"/>
    <n v="139"/>
    <n v="32.770000000000003"/>
    <s v="credit_card"/>
    <n v="9"/>
    <x v="1"/>
    <x v="3"/>
    <s v="Pernambuco"/>
  </r>
  <r>
    <s v="295925037780bbbf9d7a2294087693bc"/>
    <s v="2018-04-24"/>
    <x v="17"/>
    <x v="7"/>
    <x v="0"/>
    <n v="1"/>
    <n v="69.900000000000006"/>
    <n v="0"/>
    <s v="credit_card"/>
    <n v="9"/>
    <x v="1"/>
    <x v="3"/>
    <s v="Minas Gerais"/>
  </r>
  <r>
    <s v="675b1c40d6b0d4397714c1087eeafb01"/>
    <s v="2018-04-24"/>
    <x v="17"/>
    <x v="18"/>
    <x v="5"/>
    <n v="1"/>
    <n v="14.8"/>
    <n v="7.71"/>
    <s v="credit_card"/>
    <n v="2"/>
    <x v="1"/>
    <x v="3"/>
    <s v="Distrito Federal"/>
  </r>
  <r>
    <s v="aa413696416fac21a0e58f3e6802978d"/>
    <s v="2018-04-24"/>
    <x v="17"/>
    <x v="8"/>
    <x v="2"/>
    <n v="1"/>
    <n v="89.99"/>
    <n v="26.71"/>
    <s v="credit_card"/>
    <n v="9"/>
    <x v="1"/>
    <x v="2"/>
    <s v="Santa Catarina"/>
  </r>
  <r>
    <s v="816c0409fb7624265037bcbadc488c2b"/>
    <s v="2018-04-24"/>
    <x v="17"/>
    <x v="5"/>
    <x v="36"/>
    <n v="1"/>
    <n v="37.1"/>
    <n v="18.23"/>
    <s v="boleto"/>
    <n v="8"/>
    <x v="1"/>
    <x v="0"/>
    <s v="Parana"/>
  </r>
  <r>
    <s v="d1eeb7258c6971ef8e350b3cf74bb7cf"/>
    <s v="2018-04-24"/>
    <x v="17"/>
    <x v="3"/>
    <x v="28"/>
    <n v="2"/>
    <n v="159.97999999999999"/>
    <n v="29.1"/>
    <s v="credit_card"/>
    <n v="15"/>
    <x v="1"/>
    <x v="0"/>
    <s v="Sao Paulo"/>
  </r>
  <r>
    <s v="5a369b11eae91cf552807c13a44a8878"/>
    <s v="2018-04-24"/>
    <x v="17"/>
    <x v="4"/>
    <x v="1"/>
    <n v="1"/>
    <n v="69.989999999999995"/>
    <n v="19.46"/>
    <s v="credit_card"/>
    <n v="20"/>
    <x v="1"/>
    <x v="2"/>
    <s v="Rio de Janeiro"/>
  </r>
  <r>
    <s v="a9016dde97a6a447890dd748aa844b85"/>
    <s v="2018-04-25"/>
    <x v="17"/>
    <x v="3"/>
    <x v="6"/>
    <n v="1"/>
    <n v="29.99"/>
    <n v="12.79"/>
    <s v="credit_card"/>
    <n v="4"/>
    <x v="1"/>
    <x v="2"/>
    <s v="Sao Paulo"/>
  </r>
  <r>
    <s v="5bb5e53b117f231e116d1ff1f530c8ce"/>
    <s v="2018-04-25"/>
    <x v="17"/>
    <x v="3"/>
    <x v="32"/>
    <n v="2"/>
    <n v="160"/>
    <n v="14.86"/>
    <s v="credit_card"/>
    <n v="2"/>
    <x v="1"/>
    <x v="2"/>
    <s v="Sao Paulo"/>
  </r>
  <r>
    <s v="b9babcd3be5ab7aae890f68c9fb4ccc8"/>
    <s v="2018-04-25"/>
    <x v="17"/>
    <x v="5"/>
    <x v="37"/>
    <n v="1"/>
    <n v="52"/>
    <n v="18.239999999999998"/>
    <s v="credit_card"/>
    <n v="7"/>
    <x v="1"/>
    <x v="2"/>
    <s v="Parana"/>
  </r>
  <r>
    <s v="d5af3f91478b15918f7250953622d89d"/>
    <s v="2018-04-25"/>
    <x v="17"/>
    <x v="4"/>
    <x v="22"/>
    <n v="1"/>
    <n v="199"/>
    <n v="0"/>
    <s v="credit_card"/>
    <n v="20"/>
    <x v="1"/>
    <x v="2"/>
    <s v="Rio de Janeiro"/>
  </r>
  <r>
    <s v="5145b58a90c0dfab75617173b511a9db"/>
    <s v="2018-04-25"/>
    <x v="17"/>
    <x v="7"/>
    <x v="9"/>
    <n v="1"/>
    <n v="349.9"/>
    <n v="20.43"/>
    <s v="credit_card"/>
    <n v="7"/>
    <x v="1"/>
    <x v="2"/>
    <s v="Minas Gerais"/>
  </r>
  <r>
    <s v="54ea7642b27bcfa4142c92f475f28384"/>
    <s v="2018-04-25"/>
    <x v="17"/>
    <x v="4"/>
    <x v="19"/>
    <n v="1"/>
    <n v="159.49"/>
    <n v="27.59"/>
    <s v="credit_card"/>
    <n v="16"/>
    <x v="1"/>
    <x v="2"/>
    <s v="Rio de Janeiro"/>
  </r>
  <r>
    <s v="16c96dd4350d02d1890b8b7fd141da9a"/>
    <s v="2018-04-25"/>
    <x v="17"/>
    <x v="3"/>
    <x v="2"/>
    <n v="1"/>
    <n v="275"/>
    <n v="14.83"/>
    <s v="credit_card"/>
    <n v="1"/>
    <x v="1"/>
    <x v="2"/>
    <s v="Sao Paulo"/>
  </r>
  <r>
    <s v="db938741a6e086fc10ca5c84d032fef3"/>
    <s v="2018-04-25"/>
    <x v="17"/>
    <x v="6"/>
    <x v="6"/>
    <n v="1"/>
    <n v="21.99"/>
    <n v="19.04"/>
    <s v="credit_card"/>
    <n v="15"/>
    <x v="1"/>
    <x v="2"/>
    <s v="Pernambuco"/>
  </r>
  <r>
    <s v="a37057df33d7a542cf514f9cbe7a311d"/>
    <s v="2018-04-25"/>
    <x v="17"/>
    <x v="8"/>
    <x v="62"/>
    <n v="1"/>
    <n v="99.99"/>
    <n v="23.28"/>
    <s v="credit_card"/>
    <n v="8"/>
    <x v="1"/>
    <x v="3"/>
    <s v="Santa Catarina"/>
  </r>
  <r>
    <s v="251aa2c943f75ad00a62107e4a9e83ec"/>
    <s v="2018-04-25"/>
    <x v="17"/>
    <x v="3"/>
    <x v="25"/>
    <n v="1"/>
    <n v="36"/>
    <n v="13.71"/>
    <s v="credit_card"/>
    <n v="5"/>
    <x v="1"/>
    <x v="2"/>
    <s v="Sao Paulo"/>
  </r>
  <r>
    <s v="54811adf8b498ae84eb8bef759873054"/>
    <s v="2018-04-25"/>
    <x v="17"/>
    <x v="3"/>
    <x v="1"/>
    <n v="1"/>
    <n v="59.9"/>
    <n v="18.3"/>
    <s v="credit_card"/>
    <n v="7"/>
    <x v="1"/>
    <x v="2"/>
    <s v="Sao Paulo"/>
  </r>
  <r>
    <s v="fd4a7190606c77ffa23d74c44119d191"/>
    <s v="2018-04-25"/>
    <x v="17"/>
    <x v="12"/>
    <x v="54"/>
    <n v="1"/>
    <n v="129.94999999999999"/>
    <n v="37.6"/>
    <s v="credit_card"/>
    <n v="22"/>
    <x v="1"/>
    <x v="2"/>
    <s v="Ceara"/>
  </r>
  <r>
    <s v="a5844c6ba1c0c2464b56dc6fa879b9bd"/>
    <s v="2018-04-25"/>
    <x v="17"/>
    <x v="2"/>
    <x v="64"/>
    <n v="2"/>
    <n v="91.8"/>
    <n v="15.42"/>
    <s v="credit_card"/>
    <n v="2"/>
    <x v="1"/>
    <x v="2"/>
    <s v="Goias"/>
  </r>
  <r>
    <s v="ecadbb1baca4ac613473d62989309321"/>
    <s v="2018-04-25"/>
    <x v="17"/>
    <x v="3"/>
    <x v="22"/>
    <n v="1"/>
    <n v="99.9"/>
    <n v="0"/>
    <s v="credit_card"/>
    <n v="9"/>
    <x v="1"/>
    <x v="2"/>
    <s v="Sao Paulo"/>
  </r>
  <r>
    <s v="011a43bc9bb525517251ebb3ebc99b69"/>
    <s v="2018-04-25"/>
    <x v="17"/>
    <x v="3"/>
    <x v="14"/>
    <n v="1"/>
    <n v="899"/>
    <n v="21.2"/>
    <s v="credit_card"/>
    <n v="4"/>
    <x v="1"/>
    <x v="2"/>
    <s v="Sao Paulo"/>
  </r>
  <r>
    <s v="ce9f7444804995c448736c30b7072add"/>
    <s v="2018-04-25"/>
    <x v="17"/>
    <x v="12"/>
    <x v="1"/>
    <n v="1"/>
    <n v="74.989999999999995"/>
    <n v="37.21"/>
    <s v="credit_card"/>
    <n v="21"/>
    <x v="1"/>
    <x v="2"/>
    <s v="Ceara"/>
  </r>
  <r>
    <s v="e62907b8603f88422352b8499461d59b"/>
    <s v="2018-04-25"/>
    <x v="17"/>
    <x v="3"/>
    <x v="25"/>
    <n v="1"/>
    <n v="189.9"/>
    <n v="11.95"/>
    <s v="credit_card"/>
    <n v="3"/>
    <x v="1"/>
    <x v="0"/>
    <s v="Sao Paulo"/>
  </r>
  <r>
    <s v="234cbb8d0d6f7eeb4e98ec3b67e2b228"/>
    <s v="2018-04-25"/>
    <x v="17"/>
    <x v="3"/>
    <x v="2"/>
    <n v="1"/>
    <n v="237.99"/>
    <n v="37.6"/>
    <s v="credit_card"/>
    <n v="2"/>
    <x v="1"/>
    <x v="2"/>
    <s v="Sao Paulo"/>
  </r>
  <r>
    <s v="c0a2349a8e345c3196f05a1dda9057a1"/>
    <s v="2018-04-26"/>
    <x v="17"/>
    <x v="26"/>
    <x v="7"/>
    <n v="1"/>
    <n v="53.9"/>
    <n v="39.85"/>
    <s v="credit_card"/>
    <n v="14"/>
    <x v="1"/>
    <x v="3"/>
    <s v="Paraiba"/>
  </r>
  <r>
    <s v="30a461491fa262d5d6321e3194bbb452"/>
    <s v="2018-04-26"/>
    <x v="17"/>
    <x v="4"/>
    <x v="7"/>
    <n v="1"/>
    <n v="45.9"/>
    <n v="17.93"/>
    <s v="credit_card"/>
    <m/>
    <x v="0"/>
    <x v="0"/>
    <s v="Rio de Janeiro"/>
  </r>
  <r>
    <s v="4ef992d01b3b8db02c17acd3484e20de"/>
    <s v="2018-04-26"/>
    <x v="17"/>
    <x v="3"/>
    <x v="28"/>
    <n v="1"/>
    <n v="279.89999999999998"/>
    <n v="43.82"/>
    <s v="boleto"/>
    <n v="14"/>
    <x v="1"/>
    <x v="3"/>
    <s v="Sao Paulo"/>
  </r>
  <r>
    <s v="30f757bf1610a35332de6044caf5fd2a"/>
    <s v="2018-04-26"/>
    <x v="17"/>
    <x v="12"/>
    <x v="3"/>
    <n v="1"/>
    <n v="79"/>
    <n v="60.61"/>
    <s v="credit_card"/>
    <n v="22"/>
    <x v="1"/>
    <x v="2"/>
    <s v="Ceara"/>
  </r>
  <r>
    <s v="25c22896dca583d857448141d99ef3ff"/>
    <s v="2018-04-26"/>
    <x v="17"/>
    <x v="3"/>
    <x v="4"/>
    <n v="1"/>
    <n v="67.989999999999995"/>
    <n v="14.52"/>
    <s v="boleto"/>
    <n v="6"/>
    <x v="1"/>
    <x v="1"/>
    <s v="Sao Paulo"/>
  </r>
  <r>
    <s v="2f90dccb2a52cf21e5f2886dbb8e7eda"/>
    <s v="2018-04-26"/>
    <x v="17"/>
    <x v="18"/>
    <x v="22"/>
    <n v="1"/>
    <n v="139"/>
    <n v="18.850000000000001"/>
    <s v="credit_card"/>
    <n v="8"/>
    <x v="1"/>
    <x v="2"/>
    <s v="Distrito Federal"/>
  </r>
  <r>
    <s v="a2f79ba97c95b2708f14e8e66ae525b0"/>
    <s v="2018-04-26"/>
    <x v="17"/>
    <x v="3"/>
    <x v="19"/>
    <n v="1"/>
    <n v="79.900000000000006"/>
    <n v="13.92"/>
    <s v="credit_card"/>
    <n v="7"/>
    <x v="1"/>
    <x v="2"/>
    <s v="Sao Paulo"/>
  </r>
  <r>
    <s v="0fa05bb83efc10205ac8f4224f10c336"/>
    <s v="2018-04-26"/>
    <x v="17"/>
    <x v="19"/>
    <x v="1"/>
    <n v="1"/>
    <n v="98.99"/>
    <n v="48.6"/>
    <s v="credit_card"/>
    <n v="18"/>
    <x v="1"/>
    <x v="2"/>
    <s v="Acre"/>
  </r>
  <r>
    <s v="c64c5f793e7b69138252d7c2fb45a3cb"/>
    <s v="2018-04-26"/>
    <x v="17"/>
    <x v="7"/>
    <x v="1"/>
    <n v="1"/>
    <n v="149.9"/>
    <n v="23.98"/>
    <s v="credit_card"/>
    <n v="12"/>
    <x v="1"/>
    <x v="2"/>
    <s v="Minas Gerais"/>
  </r>
  <r>
    <s v="51c5d44ed3cbadb44f409c04123a9402"/>
    <s v="2018-04-26"/>
    <x v="17"/>
    <x v="4"/>
    <x v="13"/>
    <n v="1"/>
    <n v="55"/>
    <n v="22.1"/>
    <s v="boleto"/>
    <n v="21"/>
    <x v="1"/>
    <x v="2"/>
    <s v="Rio de Janeiro"/>
  </r>
  <r>
    <s v="e2ea40e627fa59e27d40fce26a8b5a32"/>
    <s v="2018-04-27"/>
    <x v="17"/>
    <x v="3"/>
    <x v="13"/>
    <n v="1"/>
    <n v="269"/>
    <n v="12.51"/>
    <s v="credit_card"/>
    <n v="15"/>
    <x v="2"/>
    <x v="0"/>
    <s v="Sao Paulo"/>
  </r>
  <r>
    <s v="21d33068d3dfe0561f1b60cc9be732e8"/>
    <s v="2018-04-27"/>
    <x v="17"/>
    <x v="4"/>
    <x v="13"/>
    <n v="1"/>
    <n v="499.99"/>
    <n v="69.17"/>
    <s v="credit_card"/>
    <m/>
    <x v="0"/>
    <x v="5"/>
    <s v="Rio de Janeiro"/>
  </r>
  <r>
    <s v="bdfa4237c19c14513acaf750e3e8b7f1"/>
    <s v="2018-04-27"/>
    <x v="17"/>
    <x v="3"/>
    <x v="40"/>
    <n v="1"/>
    <n v="24.95"/>
    <n v="8.2899999999999991"/>
    <s v="boleto"/>
    <n v="6"/>
    <x v="1"/>
    <x v="2"/>
    <s v="Sao Paulo"/>
  </r>
  <r>
    <s v="9ad9270de3bd98ce09213f047dc7a16d"/>
    <s v="2018-04-27"/>
    <x v="17"/>
    <x v="11"/>
    <x v="17"/>
    <n v="1"/>
    <n v="145.99"/>
    <n v="34.18"/>
    <s v="credit_card"/>
    <n v="26"/>
    <x v="1"/>
    <x v="2"/>
    <s v="Para"/>
  </r>
  <r>
    <s v="4c482dafefb6a39ce4de186a707efb75"/>
    <s v="2018-04-27"/>
    <x v="17"/>
    <x v="4"/>
    <x v="19"/>
    <n v="1"/>
    <n v="129"/>
    <n v="26.98"/>
    <s v="boleto"/>
    <n v="33"/>
    <x v="1"/>
    <x v="2"/>
    <s v="Rio de Janeiro"/>
  </r>
  <r>
    <s v="50dbfd3a91c2fde907830cb668a721f2"/>
    <s v="2018-04-27"/>
    <x v="17"/>
    <x v="13"/>
    <x v="14"/>
    <n v="1"/>
    <n v="165.9"/>
    <n v="27.71"/>
    <s v="credit_card"/>
    <n v="14"/>
    <x v="1"/>
    <x v="2"/>
    <s v="Maranhao"/>
  </r>
  <r>
    <s v="6189844031702fdf168d8194d504bc0b"/>
    <s v="2018-04-27"/>
    <x v="17"/>
    <x v="7"/>
    <x v="6"/>
    <n v="1"/>
    <n v="19.989999999999998"/>
    <n v="18.23"/>
    <s v="credit_card"/>
    <n v="7"/>
    <x v="1"/>
    <x v="2"/>
    <s v="Minas Gerais"/>
  </r>
  <r>
    <s v="d9d6038fc6b49e88d43af0a6d43f0846"/>
    <s v="2018-04-27"/>
    <x v="17"/>
    <x v="3"/>
    <x v="9"/>
    <n v="1"/>
    <n v="262.39"/>
    <n v="12.46"/>
    <s v="credit_card"/>
    <n v="4"/>
    <x v="1"/>
    <x v="2"/>
    <s v="Sao Paulo"/>
  </r>
  <r>
    <s v="9e6928e55ec6948338048d72ebdf2305"/>
    <s v="2018-04-27"/>
    <x v="17"/>
    <x v="3"/>
    <x v="19"/>
    <n v="1"/>
    <n v="129.97"/>
    <n v="29.17"/>
    <s v="credit_card"/>
    <n v="10"/>
    <x v="1"/>
    <x v="2"/>
    <s v="Sao Paulo"/>
  </r>
  <r>
    <s v="5fcff0359223b0a176d984d231217b7f"/>
    <s v="2018-04-27"/>
    <x v="17"/>
    <x v="2"/>
    <x v="22"/>
    <n v="1"/>
    <n v="95"/>
    <n v="15.55"/>
    <s v="credit_card"/>
    <n v="18"/>
    <x v="1"/>
    <x v="2"/>
    <s v="Goias"/>
  </r>
  <r>
    <s v="dda7cf31684a98205550865020745d09"/>
    <s v="2018-04-27"/>
    <x v="17"/>
    <x v="4"/>
    <x v="54"/>
    <n v="1"/>
    <n v="36.5"/>
    <n v="15.23"/>
    <s v="credit_card"/>
    <n v="24"/>
    <x v="1"/>
    <x v="1"/>
    <s v="Rio de Janeiro"/>
  </r>
  <r>
    <s v="5a911c89527605e73569727488b5468d"/>
    <s v="2018-04-28"/>
    <x v="17"/>
    <x v="4"/>
    <x v="17"/>
    <n v="1"/>
    <n v="103.9"/>
    <n v="16.32"/>
    <s v="credit_card"/>
    <n v="16"/>
    <x v="1"/>
    <x v="2"/>
    <s v="Rio de Janeiro"/>
  </r>
  <r>
    <s v="6bcce39be127575854779e39a50f2059"/>
    <s v="2018-04-28"/>
    <x v="17"/>
    <x v="3"/>
    <x v="66"/>
    <n v="1"/>
    <n v="45"/>
    <n v="11.15"/>
    <s v="boleto"/>
    <n v="9"/>
    <x v="1"/>
    <x v="2"/>
    <s v="Sao Paulo"/>
  </r>
  <r>
    <s v="f9e86e23af5d5243b44d1eebaacc32be"/>
    <s v="2018-04-28"/>
    <x v="17"/>
    <x v="3"/>
    <x v="62"/>
    <n v="1"/>
    <n v="99.99"/>
    <n v="12.03"/>
    <s v="boleto"/>
    <n v="6"/>
    <x v="1"/>
    <x v="2"/>
    <s v="Sao Paulo"/>
  </r>
  <r>
    <s v="5849288b1fecd09bf57fcb568162b365"/>
    <s v="2018-04-28"/>
    <x v="17"/>
    <x v="5"/>
    <x v="7"/>
    <n v="1"/>
    <n v="179"/>
    <n v="22.75"/>
    <s v="credit_card"/>
    <n v="10"/>
    <x v="1"/>
    <x v="2"/>
    <s v="Parana"/>
  </r>
  <r>
    <s v="fc1d4a8adb62b480c591455600955b2f"/>
    <s v="2018-04-28"/>
    <x v="17"/>
    <x v="1"/>
    <x v="19"/>
    <n v="1"/>
    <n v="63.72"/>
    <n v="26.53"/>
    <s v="credit_card"/>
    <n v="6"/>
    <x v="1"/>
    <x v="2"/>
    <s v="Rio Grande do Sul"/>
  </r>
  <r>
    <s v="3637b54ea3991c5c9471dd8c9e77ab7f"/>
    <s v="2018-04-28"/>
    <x v="17"/>
    <x v="3"/>
    <x v="14"/>
    <n v="1"/>
    <n v="19.899999999999999"/>
    <n v="12.79"/>
    <s v="credit_card"/>
    <n v="6"/>
    <x v="1"/>
    <x v="0"/>
    <s v="Sao Paulo"/>
  </r>
  <r>
    <s v="4b007a72f108b589a20227ab419705c9"/>
    <s v="2018-04-29"/>
    <x v="17"/>
    <x v="3"/>
    <x v="19"/>
    <n v="1"/>
    <n v="28.99"/>
    <n v="7.39"/>
    <s v="boleto"/>
    <n v="4"/>
    <x v="1"/>
    <x v="3"/>
    <s v="Sao Paulo"/>
  </r>
  <r>
    <s v="c98ec8cb960d61c4375413b70f225104"/>
    <s v="2018-04-29"/>
    <x v="17"/>
    <x v="4"/>
    <x v="14"/>
    <n v="3"/>
    <n v="163.98"/>
    <n v="67.72"/>
    <s v="credit_card"/>
    <n v="12"/>
    <x v="1"/>
    <x v="0"/>
    <s v="Rio de Janeiro"/>
  </r>
  <r>
    <s v="df65475c6013cd0563e8c2fd9245c378"/>
    <s v="2018-04-29"/>
    <x v="17"/>
    <x v="1"/>
    <x v="5"/>
    <n v="1"/>
    <n v="385"/>
    <n v="18.66"/>
    <s v="credit_card"/>
    <n v="10"/>
    <x v="1"/>
    <x v="1"/>
    <s v="Rio Grande do Sul"/>
  </r>
  <r>
    <s v="a769c6d90738b1546865c01148fad5cb"/>
    <s v="2018-04-29"/>
    <x v="17"/>
    <x v="22"/>
    <x v="9"/>
    <n v="1"/>
    <n v="110.32"/>
    <n v="15.65"/>
    <s v="credit_card"/>
    <n v="12"/>
    <x v="1"/>
    <x v="3"/>
    <s v="Espirito Santo"/>
  </r>
  <r>
    <s v="15c1a0aa2e32bd15bfe9302af6280f97"/>
    <s v="2018-04-29"/>
    <x v="17"/>
    <x v="1"/>
    <x v="35"/>
    <n v="1"/>
    <n v="8.9"/>
    <n v="15.23"/>
    <s v="credit_card"/>
    <n v="9"/>
    <x v="1"/>
    <x v="2"/>
    <s v="Rio Grande do Sul"/>
  </r>
  <r>
    <s v="08e83756399f8394bef75d0441b17b57"/>
    <s v="2018-04-29"/>
    <x v="17"/>
    <x v="11"/>
    <x v="20"/>
    <n v="1"/>
    <n v="269.89999999999998"/>
    <n v="48.33"/>
    <s v="boleto"/>
    <n v="44"/>
    <x v="2"/>
    <x v="0"/>
    <s v="Para"/>
  </r>
  <r>
    <s v="360e4c361e56f19fc4093559b59b4bfd"/>
    <s v="2018-04-30"/>
    <x v="17"/>
    <x v="3"/>
    <x v="2"/>
    <n v="1"/>
    <n v="79.900000000000006"/>
    <n v="13.92"/>
    <s v="credit_card"/>
    <n v="3"/>
    <x v="1"/>
    <x v="2"/>
    <s v="Sao Paulo"/>
  </r>
  <r>
    <s v="b80fc187408e5b39dc58457b7db2b4b1"/>
    <s v="2018-04-30"/>
    <x v="17"/>
    <x v="3"/>
    <x v="19"/>
    <n v="2"/>
    <n v="116"/>
    <n v="25.7"/>
    <s v="credit_card"/>
    <n v="4"/>
    <x v="1"/>
    <x v="3"/>
    <s v="Sao Paulo"/>
  </r>
  <r>
    <s v="01f67ca8027e959060afd840aa06f465"/>
    <s v="2018-04-30"/>
    <x v="17"/>
    <x v="12"/>
    <x v="9"/>
    <n v="1"/>
    <n v="330"/>
    <n v="14.7"/>
    <s v="credit_card"/>
    <n v="65"/>
    <x v="2"/>
    <x v="0"/>
    <s v="Ceara"/>
  </r>
  <r>
    <s v="2db6929b692b91f237289729903d37cc"/>
    <s v="2018-04-30"/>
    <x v="17"/>
    <x v="3"/>
    <x v="8"/>
    <n v="1"/>
    <n v="150"/>
    <n v="25.7"/>
    <s v="credit_card"/>
    <n v="7"/>
    <x v="1"/>
    <x v="2"/>
    <s v="Sao Paulo"/>
  </r>
  <r>
    <s v="249e44947c66e3b0e46b3ba2f38d846d"/>
    <s v="2018-04-30"/>
    <x v="17"/>
    <x v="22"/>
    <x v="4"/>
    <n v="1"/>
    <n v="119"/>
    <n v="19.739999999999998"/>
    <s v="credit_card"/>
    <n v="9"/>
    <x v="1"/>
    <x v="2"/>
    <s v="Espirito Santo"/>
  </r>
  <r>
    <s v="96ddb284342cfe7ebbde748a2e2de094"/>
    <s v="2018-04-30"/>
    <x v="17"/>
    <x v="3"/>
    <x v="0"/>
    <n v="1"/>
    <n v="78"/>
    <n v="14.64"/>
    <s v="credit_card"/>
    <n v="10"/>
    <x v="1"/>
    <x v="0"/>
    <s v="Sao Paulo"/>
  </r>
  <r>
    <s v="b06373098fedad1545401c91bf3af711"/>
    <s v="2018-04-30"/>
    <x v="17"/>
    <x v="3"/>
    <x v="12"/>
    <n v="1"/>
    <n v="35.9"/>
    <n v="8.8800000000000008"/>
    <s v="credit_card"/>
    <n v="9"/>
    <x v="1"/>
    <x v="2"/>
    <s v="Sao Paulo"/>
  </r>
  <r>
    <s v="142ac5357e541e5881d26fc5eb5f3754"/>
    <s v="2018-04-30"/>
    <x v="17"/>
    <x v="3"/>
    <x v="19"/>
    <n v="1"/>
    <n v="279.99"/>
    <n v="31.82"/>
    <s v="credit_card"/>
    <n v="8"/>
    <x v="1"/>
    <x v="1"/>
    <s v="Sao Paulo"/>
  </r>
  <r>
    <s v="effeb0c3ecae530d0470721524db864f"/>
    <s v="2018-04-30"/>
    <x v="17"/>
    <x v="8"/>
    <x v="7"/>
    <n v="1"/>
    <n v="379"/>
    <n v="17.66"/>
    <s v="credit_card"/>
    <n v="3"/>
    <x v="1"/>
    <x v="2"/>
    <s v="Santa Catarina"/>
  </r>
  <r>
    <s v="5e24ecfdf90a8dfceb3cd8ed37db5c26"/>
    <s v="2018-04-30"/>
    <x v="17"/>
    <x v="1"/>
    <x v="0"/>
    <n v="1"/>
    <n v="39.979999999999997"/>
    <n v="19.32"/>
    <s v="credit_card"/>
    <n v="10"/>
    <x v="1"/>
    <x v="2"/>
    <s v="Rio Grande do Sul"/>
  </r>
  <r>
    <s v="f8f13f6d3692fb485fc728d915cb26d1"/>
    <s v="2018-04-30"/>
    <x v="17"/>
    <x v="4"/>
    <x v="58"/>
    <n v="1"/>
    <n v="74.900000000000006"/>
    <n v="16.489999999999998"/>
    <s v="credit_card"/>
    <n v="10"/>
    <x v="1"/>
    <x v="1"/>
    <s v="Rio de Janeiro"/>
  </r>
  <r>
    <s v="da730a4d617d48b8e8d136ef1f86915d"/>
    <s v="2018-04-30"/>
    <x v="17"/>
    <x v="3"/>
    <x v="14"/>
    <n v="1"/>
    <n v="96"/>
    <n v="14.03"/>
    <s v="credit_card"/>
    <n v="9"/>
    <x v="1"/>
    <x v="2"/>
    <s v="Sao Paulo"/>
  </r>
  <r>
    <s v="69f7357c456d8072ad6671becb0f55a5"/>
    <s v="2018-04-30"/>
    <x v="17"/>
    <x v="3"/>
    <x v="29"/>
    <n v="1"/>
    <n v="99"/>
    <n v="18.27"/>
    <s v="credit_card"/>
    <n v="17"/>
    <x v="2"/>
    <x v="2"/>
    <s v="Sao Paulo"/>
  </r>
  <r>
    <s v="3493a5e1499df429a53453047b3b4365"/>
    <s v="2018-04-30"/>
    <x v="17"/>
    <x v="7"/>
    <x v="9"/>
    <n v="2"/>
    <n v="84.36"/>
    <n v="37.619999999999997"/>
    <s v="credit_card"/>
    <n v="10"/>
    <x v="1"/>
    <x v="3"/>
    <s v="Minas Gerais"/>
  </r>
  <r>
    <s v="b6b9f5144b004ad3db40567cdce34811"/>
    <s v="2018-04-30"/>
    <x v="17"/>
    <x v="7"/>
    <x v="5"/>
    <n v="2"/>
    <n v="47.8"/>
    <n v="36.46"/>
    <s v="boleto"/>
    <n v="14"/>
    <x v="1"/>
    <x v="2"/>
    <s v="Minas Gerais"/>
  </r>
  <r>
    <s v="df4a5680a53eb14aa69c035b1c759413"/>
    <s v="2018-05-01"/>
    <x v="18"/>
    <x v="3"/>
    <x v="1"/>
    <n v="1"/>
    <n v="199.9"/>
    <n v="13.3"/>
    <s v="boleto"/>
    <n v="3"/>
    <x v="1"/>
    <x v="3"/>
    <s v="Sao Paulo"/>
  </r>
  <r>
    <s v="b1526359b93e19d491c0eaa5b2c053ec"/>
    <s v="2018-05-01"/>
    <x v="18"/>
    <x v="4"/>
    <x v="14"/>
    <n v="3"/>
    <n v="599.70000000000005"/>
    <n v="82.44"/>
    <s v="credit_card"/>
    <n v="23"/>
    <x v="1"/>
    <x v="2"/>
    <s v="Rio de Janeiro"/>
  </r>
  <r>
    <s v="3a6ce7cca096e50508a84d2fee462b66"/>
    <s v="2018-05-01"/>
    <x v="18"/>
    <x v="7"/>
    <x v="14"/>
    <n v="1"/>
    <n v="24.9"/>
    <n v="18.23"/>
    <s v="credit_card"/>
    <n v="10"/>
    <x v="1"/>
    <x v="2"/>
    <s v="Minas Gerais"/>
  </r>
  <r>
    <s v="d3e80887b0f3cb72b3b9966a6071c8db"/>
    <s v="2018-05-01"/>
    <x v="18"/>
    <x v="1"/>
    <x v="51"/>
    <n v="1"/>
    <n v="67.2"/>
    <n v="23.05"/>
    <s v="credit_card"/>
    <n v="17"/>
    <x v="1"/>
    <x v="2"/>
    <s v="Rio Grande do Sul"/>
  </r>
  <r>
    <s v="e3ca5aaa7c0ebf70aab37862b7aff263"/>
    <s v="2018-05-01"/>
    <x v="18"/>
    <x v="21"/>
    <x v="65"/>
    <n v="1"/>
    <n v="25"/>
    <n v="22.06"/>
    <s v="boleto"/>
    <n v="15"/>
    <x v="1"/>
    <x v="1"/>
    <s v="Bahia"/>
  </r>
  <r>
    <s v="e1860ce96baa10d7f08d86aaf5927459"/>
    <s v="2018-05-01"/>
    <x v="18"/>
    <x v="18"/>
    <x v="14"/>
    <n v="1"/>
    <n v="83.79"/>
    <n v="9.27"/>
    <s v="credit_card"/>
    <n v="9"/>
    <x v="1"/>
    <x v="2"/>
    <s v="Distrito Federal"/>
  </r>
  <r>
    <s v="23012529620559c40578e18d7746f3ff"/>
    <s v="2018-05-01"/>
    <x v="18"/>
    <x v="5"/>
    <x v="17"/>
    <n v="1"/>
    <n v="27.5"/>
    <n v="18.23"/>
    <s v="credit_card"/>
    <n v="10"/>
    <x v="1"/>
    <x v="2"/>
    <s v="Parana"/>
  </r>
  <r>
    <s v="d24ea9296a5de338db8128bf4a6b9c48"/>
    <s v="2018-05-01"/>
    <x v="18"/>
    <x v="3"/>
    <x v="54"/>
    <n v="1"/>
    <n v="37.950000000000003"/>
    <n v="8.64"/>
    <s v="credit_card"/>
    <n v="12"/>
    <x v="1"/>
    <x v="5"/>
    <s v="Sao Paulo"/>
  </r>
  <r>
    <s v="3d31baf1573b52990d33a1f9d2f03ce5"/>
    <s v="2018-05-01"/>
    <x v="18"/>
    <x v="3"/>
    <x v="14"/>
    <n v="1"/>
    <n v="129.99"/>
    <n v="15"/>
    <s v="credit_card"/>
    <n v="6"/>
    <x v="1"/>
    <x v="2"/>
    <s v="Sao Paulo"/>
  </r>
  <r>
    <s v="5e2d5a12419379ae165fd3596839a3cb"/>
    <s v="2018-05-01"/>
    <x v="18"/>
    <x v="1"/>
    <x v="9"/>
    <n v="1"/>
    <n v="169.9"/>
    <n v="31.84"/>
    <s v="credit_card"/>
    <n v="8"/>
    <x v="1"/>
    <x v="3"/>
    <s v="Rio Grande do Sul"/>
  </r>
  <r>
    <s v="c2575ff905b5b189ccda375084be2de2"/>
    <s v="2018-05-01"/>
    <x v="18"/>
    <x v="3"/>
    <x v="22"/>
    <n v="1"/>
    <n v="95.9"/>
    <n v="17.579999999999998"/>
    <s v="credit_card"/>
    <n v="10"/>
    <x v="1"/>
    <x v="0"/>
    <s v="Sao Paulo"/>
  </r>
  <r>
    <s v="fad50f5d61cd24d316352c44508b6ef9"/>
    <s v="2018-05-01"/>
    <x v="18"/>
    <x v="3"/>
    <x v="1"/>
    <n v="1"/>
    <n v="350"/>
    <n v="13.55"/>
    <s v="boleto"/>
    <n v="6"/>
    <x v="1"/>
    <x v="3"/>
    <s v="Sao Paulo"/>
  </r>
  <r>
    <s v="6482040c4887d33a7129473d3db4d0bd"/>
    <s v="2018-05-02"/>
    <x v="18"/>
    <x v="3"/>
    <x v="15"/>
    <n v="1"/>
    <n v="199.7"/>
    <n v="15.49"/>
    <s v="credit_card"/>
    <n v="9"/>
    <x v="1"/>
    <x v="2"/>
    <s v="Sao Paulo"/>
  </r>
  <r>
    <s v="1ac04fcb479aaae425488d963ebd0847"/>
    <s v="2018-05-02"/>
    <x v="18"/>
    <x v="4"/>
    <x v="19"/>
    <n v="1"/>
    <n v="94.9"/>
    <n v="11.53"/>
    <s v="credit_card"/>
    <n v="3"/>
    <x v="1"/>
    <x v="2"/>
    <s v="Rio de Janeiro"/>
  </r>
  <r>
    <s v="97d09fc348cbda42ae770c92ec3af0c1"/>
    <s v="2018-05-02"/>
    <x v="18"/>
    <x v="7"/>
    <x v="36"/>
    <n v="1"/>
    <n v="50.99"/>
    <n v="18.239999999999998"/>
    <s v="credit_card"/>
    <n v="7"/>
    <x v="1"/>
    <x v="3"/>
    <s v="Minas Gerais"/>
  </r>
  <r>
    <s v="b62ced5bbcbad01b30fd58926d727b21"/>
    <s v="2018-05-02"/>
    <x v="18"/>
    <x v="15"/>
    <x v="14"/>
    <n v="2"/>
    <n v="189"/>
    <n v="54.78"/>
    <s v="credit_card"/>
    <n v="22"/>
    <x v="1"/>
    <x v="2"/>
    <s v="Mato Grosso"/>
  </r>
  <r>
    <s v="b647577bafd629cca1b1c3b7aed598ed"/>
    <s v="2018-05-02"/>
    <x v="18"/>
    <x v="15"/>
    <x v="9"/>
    <n v="1"/>
    <n v="84"/>
    <n v="22.3"/>
    <s v="boleto"/>
    <n v="8"/>
    <x v="1"/>
    <x v="2"/>
    <s v="Mato Grosso"/>
  </r>
  <r>
    <s v="a275c8910a3b6a6bd7fe83c397afb4ec"/>
    <s v="2018-05-02"/>
    <x v="18"/>
    <x v="3"/>
    <x v="0"/>
    <n v="1"/>
    <n v="99.9"/>
    <n v="11.32"/>
    <s v="credit_card"/>
    <n v="2"/>
    <x v="1"/>
    <x v="2"/>
    <s v="Sao Paulo"/>
  </r>
  <r>
    <s v="4839cbb2ed51cf281dadeff495e39d6d"/>
    <s v="2018-05-02"/>
    <x v="18"/>
    <x v="8"/>
    <x v="0"/>
    <n v="1"/>
    <n v="126.69"/>
    <n v="25.22"/>
    <s v="credit_card"/>
    <n v="9"/>
    <x v="1"/>
    <x v="3"/>
    <s v="Santa Catarina"/>
  </r>
  <r>
    <s v="af45c3a8c24539daa13f4ca8d2868464"/>
    <s v="2018-05-02"/>
    <x v="18"/>
    <x v="21"/>
    <x v="4"/>
    <n v="1"/>
    <n v="49"/>
    <n v="22.06"/>
    <s v="boleto"/>
    <n v="13"/>
    <x v="1"/>
    <x v="1"/>
    <s v="Bahia"/>
  </r>
  <r>
    <s v="4263f66dd6ea50568c4369369a163208"/>
    <s v="2018-05-02"/>
    <x v="18"/>
    <x v="3"/>
    <x v="6"/>
    <n v="1"/>
    <n v="649"/>
    <n v="16.98"/>
    <s v="boleto"/>
    <m/>
    <x v="0"/>
    <x v="4"/>
    <s v="Sao Paulo"/>
  </r>
  <r>
    <s v="d2ae2653b9dbc7b50f11bf3e4001ec8e"/>
    <s v="2018-05-02"/>
    <x v="18"/>
    <x v="22"/>
    <x v="14"/>
    <n v="2"/>
    <n v="329.8"/>
    <n v="23.96"/>
    <s v="credit_card"/>
    <n v="11"/>
    <x v="1"/>
    <x v="2"/>
    <s v="Espirito Santo"/>
  </r>
  <r>
    <s v="dc5e5ca2d07c93091a87b58d9888769a"/>
    <s v="2018-05-02"/>
    <x v="18"/>
    <x v="3"/>
    <x v="25"/>
    <n v="1"/>
    <n v="14.9"/>
    <n v="12.79"/>
    <s v="credit_card"/>
    <n v="6"/>
    <x v="1"/>
    <x v="2"/>
    <s v="Sao Paulo"/>
  </r>
  <r>
    <s v="51ec62622b0b1e86fc4a3098424576ea"/>
    <s v="2018-05-02"/>
    <x v="18"/>
    <x v="4"/>
    <x v="26"/>
    <n v="2"/>
    <n v="23.8"/>
    <n v="36.46"/>
    <s v="credit_card"/>
    <n v="9"/>
    <x v="1"/>
    <x v="0"/>
    <s v="Rio de Janeiro"/>
  </r>
  <r>
    <s v="dddb05d44cc0328777c8d87c479b3680"/>
    <s v="2018-05-02"/>
    <x v="18"/>
    <x v="3"/>
    <x v="25"/>
    <n v="1"/>
    <n v="129.9"/>
    <n v="15.76"/>
    <s v="credit_card"/>
    <n v="6"/>
    <x v="1"/>
    <x v="2"/>
    <s v="Sao Paulo"/>
  </r>
  <r>
    <s v="0d8b3fb610ae4ac24891052ed60e8a2a"/>
    <s v="2018-05-02"/>
    <x v="18"/>
    <x v="15"/>
    <x v="7"/>
    <n v="2"/>
    <n v="107.8"/>
    <n v="0"/>
    <s v="boleto"/>
    <n v="11"/>
    <x v="1"/>
    <x v="2"/>
    <s v="Mato Grosso"/>
  </r>
  <r>
    <s v="d1ccf9110e914e714e76f6434142710f"/>
    <s v="2018-05-03"/>
    <x v="18"/>
    <x v="8"/>
    <x v="29"/>
    <n v="1"/>
    <n v="127"/>
    <n v="27.62"/>
    <s v="credit_card"/>
    <n v="11"/>
    <x v="1"/>
    <x v="2"/>
    <s v="Santa Catarina"/>
  </r>
  <r>
    <s v="612d5630822f4796875619b3a6a7b481"/>
    <s v="2018-05-03"/>
    <x v="18"/>
    <x v="21"/>
    <x v="21"/>
    <n v="1"/>
    <n v="97"/>
    <n v="27.41"/>
    <s v="credit_card"/>
    <n v="11"/>
    <x v="1"/>
    <x v="2"/>
    <s v="Bahia"/>
  </r>
  <r>
    <s v="74e9098e04f430c82e0a8da397f7922a"/>
    <s v="2018-05-03"/>
    <x v="18"/>
    <x v="3"/>
    <x v="14"/>
    <n v="1"/>
    <n v="88.9"/>
    <n v="14.71"/>
    <s v="credit_card"/>
    <n v="7"/>
    <x v="1"/>
    <x v="3"/>
    <s v="Sao Paulo"/>
  </r>
  <r>
    <s v="ec4f4f7e31b79905b7626cbbdf077813"/>
    <s v="2018-05-03"/>
    <x v="18"/>
    <x v="3"/>
    <x v="57"/>
    <n v="1"/>
    <n v="57.89"/>
    <n v="11.15"/>
    <s v="credit_card"/>
    <n v="7"/>
    <x v="1"/>
    <x v="2"/>
    <s v="Sao Paulo"/>
  </r>
  <r>
    <s v="bb16216a067e407c9e713fe14624e093"/>
    <s v="2018-05-03"/>
    <x v="18"/>
    <x v="8"/>
    <x v="7"/>
    <n v="1"/>
    <n v="53.9"/>
    <n v="0"/>
    <s v="boleto"/>
    <n v="11"/>
    <x v="1"/>
    <x v="2"/>
    <s v="Santa Catarina"/>
  </r>
  <r>
    <s v="f55f2ceef609960024f449621f6f478b"/>
    <s v="2018-05-03"/>
    <x v="18"/>
    <x v="2"/>
    <x v="2"/>
    <n v="1"/>
    <n v="89.99"/>
    <n v="19.600000000000001"/>
    <s v="credit_card"/>
    <n v="8"/>
    <x v="1"/>
    <x v="2"/>
    <s v="Goias"/>
  </r>
  <r>
    <s v="848e76f65aa5d3843c356d8a68dfa5b5"/>
    <s v="2018-05-03"/>
    <x v="18"/>
    <x v="1"/>
    <x v="1"/>
    <n v="1"/>
    <n v="107.7"/>
    <n v="18.63"/>
    <s v="credit_card"/>
    <n v="8"/>
    <x v="1"/>
    <x v="3"/>
    <s v="Rio Grande do Sul"/>
  </r>
  <r>
    <s v="89a591b9a088299ff2b3938b877f3ea3"/>
    <s v="2018-05-03"/>
    <x v="18"/>
    <x v="21"/>
    <x v="0"/>
    <n v="1"/>
    <n v="64.900000000000006"/>
    <n v="17.16"/>
    <s v="credit_card"/>
    <n v="16"/>
    <x v="1"/>
    <x v="1"/>
    <s v="Bahia"/>
  </r>
  <r>
    <s v="9fbac5c017947f1c23fe7979ad6c4e00"/>
    <s v="2018-05-03"/>
    <x v="18"/>
    <x v="4"/>
    <x v="22"/>
    <n v="1"/>
    <n v="99.9"/>
    <n v="0"/>
    <s v="credit_card"/>
    <n v="14"/>
    <x v="1"/>
    <x v="2"/>
    <s v="Rio de Janeiro"/>
  </r>
  <r>
    <s v="7e33051b148132bd0c823915b8863e35"/>
    <s v="2018-05-03"/>
    <x v="18"/>
    <x v="3"/>
    <x v="9"/>
    <n v="1"/>
    <n v="159.9"/>
    <n v="20.09"/>
    <s v="credit_card"/>
    <n v="5"/>
    <x v="1"/>
    <x v="2"/>
    <s v="Sao Paulo"/>
  </r>
  <r>
    <s v="8d17ba5695db76a5fc7fed0645778642"/>
    <s v="2018-05-03"/>
    <x v="18"/>
    <x v="7"/>
    <x v="1"/>
    <n v="1"/>
    <n v="120"/>
    <n v="15.72"/>
    <s v="boleto"/>
    <n v="8"/>
    <x v="1"/>
    <x v="3"/>
    <s v="Minas Gerais"/>
  </r>
  <r>
    <s v="3fed89335b07739e36d2b4680ce3e900"/>
    <s v="2018-05-03"/>
    <x v="18"/>
    <x v="3"/>
    <x v="13"/>
    <n v="2"/>
    <n v="31.89"/>
    <n v="31.94"/>
    <s v="credit_card"/>
    <n v="7"/>
    <x v="1"/>
    <x v="3"/>
    <s v="Sao Paulo"/>
  </r>
  <r>
    <s v="5b11ad967b9d5763b6f2417944c07f57"/>
    <s v="2018-05-03"/>
    <x v="18"/>
    <x v="4"/>
    <x v="22"/>
    <n v="1"/>
    <n v="144"/>
    <n v="18.89"/>
    <s v="credit_card"/>
    <n v="42"/>
    <x v="2"/>
    <x v="1"/>
    <s v="Rio de Janeiro"/>
  </r>
  <r>
    <s v="afdc19847d2b39afa2d82a35ec730571"/>
    <s v="2018-05-03"/>
    <x v="18"/>
    <x v="4"/>
    <x v="18"/>
    <n v="1"/>
    <n v="39.9"/>
    <n v="15.23"/>
    <s v="voucher"/>
    <n v="4"/>
    <x v="1"/>
    <x v="2"/>
    <s v="Rio de Janeiro"/>
  </r>
  <r>
    <s v="eb6bf171200b90eb73d01a3f2096691a"/>
    <s v="2018-05-03"/>
    <x v="18"/>
    <x v="3"/>
    <x v="9"/>
    <n v="1"/>
    <n v="95"/>
    <n v="7.53"/>
    <s v="credit_card"/>
    <n v="3"/>
    <x v="1"/>
    <x v="2"/>
    <s v="Sao Paulo"/>
  </r>
  <r>
    <s v="624ae9036a4782219f00bb569c7e39e8"/>
    <s v="2018-05-03"/>
    <x v="18"/>
    <x v="3"/>
    <x v="7"/>
    <n v="1"/>
    <n v="53.9"/>
    <n v="10.130000000000001"/>
    <s v="credit_card"/>
    <n v="7"/>
    <x v="1"/>
    <x v="2"/>
    <s v="Sao Paulo"/>
  </r>
  <r>
    <s v="4d458ae78b6be4d04c94a3e7372ca386"/>
    <s v="2018-05-03"/>
    <x v="18"/>
    <x v="3"/>
    <x v="7"/>
    <n v="1"/>
    <n v="48.28"/>
    <n v="18.23"/>
    <s v="boleto"/>
    <n v="12"/>
    <x v="1"/>
    <x v="2"/>
    <s v="Sao Paulo"/>
  </r>
  <r>
    <s v="d2dece433559912b3b1d40ac3afc35cb"/>
    <s v="2018-05-03"/>
    <x v="18"/>
    <x v="3"/>
    <x v="14"/>
    <n v="1"/>
    <n v="169.99"/>
    <n v="46.05"/>
    <s v="credit_card"/>
    <n v="6"/>
    <x v="1"/>
    <x v="2"/>
    <s v="Sao Paulo"/>
  </r>
  <r>
    <s v="45f609157f70cc8017bc5c1d617ef629"/>
    <s v="2018-05-04"/>
    <x v="18"/>
    <x v="1"/>
    <x v="29"/>
    <n v="1"/>
    <n v="79"/>
    <n v="23.13"/>
    <s v="credit_card"/>
    <n v="4"/>
    <x v="1"/>
    <x v="2"/>
    <s v="Rio Grande do Sul"/>
  </r>
  <r>
    <s v="df982d6b3644712f7d5070f053c8009a"/>
    <s v="2018-05-04"/>
    <x v="18"/>
    <x v="4"/>
    <x v="9"/>
    <n v="1"/>
    <n v="139.9"/>
    <n v="13.97"/>
    <s v="credit_card"/>
    <n v="4"/>
    <x v="1"/>
    <x v="3"/>
    <s v="Rio de Janeiro"/>
  </r>
  <r>
    <s v="1a7dcdf0c1f8c7b57dab8c7378c79cf9"/>
    <s v="2018-05-04"/>
    <x v="18"/>
    <x v="7"/>
    <x v="19"/>
    <n v="1"/>
    <n v="74.59"/>
    <n v="11.62"/>
    <s v="credit_card"/>
    <n v="7"/>
    <x v="1"/>
    <x v="1"/>
    <s v="Minas Gerais"/>
  </r>
  <r>
    <s v="78a921fe4bd6b5ca34e29ea5749bce4f"/>
    <s v="2018-05-04"/>
    <x v="18"/>
    <x v="4"/>
    <x v="1"/>
    <n v="1"/>
    <n v="69.900000000000006"/>
    <n v="18.600000000000001"/>
    <s v="credit_card"/>
    <n v="21"/>
    <x v="1"/>
    <x v="1"/>
    <s v="Rio de Janeiro"/>
  </r>
  <r>
    <s v="a178e5115c4f2f2b1f778cbf210e07cb"/>
    <s v="2018-05-04"/>
    <x v="18"/>
    <x v="3"/>
    <x v="14"/>
    <n v="4"/>
    <n v="299.60000000000002"/>
    <n v="44.6"/>
    <s v="credit_card"/>
    <n v="6"/>
    <x v="1"/>
    <x v="5"/>
    <s v="Sao Paulo"/>
  </r>
  <r>
    <s v="6d1c806cf81ca71cdd31c2079e39190b"/>
    <s v="2018-05-04"/>
    <x v="18"/>
    <x v="3"/>
    <x v="18"/>
    <n v="1"/>
    <n v="49"/>
    <n v="7.39"/>
    <s v="boleto"/>
    <n v="5"/>
    <x v="1"/>
    <x v="0"/>
    <s v="Sao Paulo"/>
  </r>
  <r>
    <s v="f45b5f54393b15cb48be3cbac8dd536f"/>
    <s v="2018-05-04"/>
    <x v="18"/>
    <x v="4"/>
    <x v="22"/>
    <n v="2"/>
    <n v="301"/>
    <n v="37.85"/>
    <s v="credit_card"/>
    <n v="17"/>
    <x v="1"/>
    <x v="0"/>
    <s v="Rio de Janeiro"/>
  </r>
  <r>
    <s v="b980d737d846b36f807b28e40796003a"/>
    <s v="2018-05-04"/>
    <x v="18"/>
    <x v="3"/>
    <x v="4"/>
    <n v="1"/>
    <n v="149.9"/>
    <n v="25.18"/>
    <s v="credit_card"/>
    <n v="9"/>
    <x v="1"/>
    <x v="2"/>
    <s v="Sao Paulo"/>
  </r>
  <r>
    <s v="6447ac90fec2245143232faee2c1728b"/>
    <s v="2018-05-04"/>
    <x v="18"/>
    <x v="5"/>
    <x v="20"/>
    <n v="1"/>
    <n v="199"/>
    <n v="23.14"/>
    <s v="boleto"/>
    <n v="6"/>
    <x v="1"/>
    <x v="2"/>
    <s v="Parana"/>
  </r>
  <r>
    <s v="b427e0ed8b6a3055c62312f135330e7e"/>
    <s v="2018-05-04"/>
    <x v="18"/>
    <x v="3"/>
    <x v="9"/>
    <n v="4"/>
    <n v="441.28"/>
    <n v="31.84"/>
    <s v="credit_card"/>
    <n v="5"/>
    <x v="1"/>
    <x v="2"/>
    <s v="Sao Paulo"/>
  </r>
  <r>
    <s v="38aa75897750a332bf16c880772df768"/>
    <s v="2018-05-04"/>
    <x v="18"/>
    <x v="3"/>
    <x v="14"/>
    <n v="1"/>
    <n v="109.9"/>
    <n v="11.86"/>
    <s v="credit_card"/>
    <n v="4"/>
    <x v="1"/>
    <x v="3"/>
    <s v="Sao Paulo"/>
  </r>
  <r>
    <s v="19f7c2937f28a1340a7a3c5c64a26123"/>
    <s v="2018-05-04"/>
    <x v="18"/>
    <x v="4"/>
    <x v="22"/>
    <n v="1"/>
    <n v="118"/>
    <n v="18.71"/>
    <s v="credit_card"/>
    <n v="14"/>
    <x v="1"/>
    <x v="2"/>
    <s v="Rio de Janeiro"/>
  </r>
  <r>
    <s v="85f76b65f934f5fb1d96eba0d53f6639"/>
    <s v="2018-05-05"/>
    <x v="18"/>
    <x v="3"/>
    <x v="7"/>
    <n v="1"/>
    <n v="53.9"/>
    <n v="10.130000000000001"/>
    <s v="credit_card"/>
    <n v="5"/>
    <x v="1"/>
    <x v="2"/>
    <s v="Sao Paulo"/>
  </r>
  <r>
    <s v="fc2f758d05227510a9f46e37a1e0095e"/>
    <s v="2018-05-05"/>
    <x v="18"/>
    <x v="3"/>
    <x v="34"/>
    <n v="1"/>
    <n v="449.9"/>
    <n v="85.47"/>
    <s v="credit_card"/>
    <n v="4"/>
    <x v="1"/>
    <x v="1"/>
    <s v="Sao Paulo"/>
  </r>
  <r>
    <s v="41b0453ab02025f52af28600854f3682"/>
    <s v="2018-05-05"/>
    <x v="18"/>
    <x v="1"/>
    <x v="19"/>
    <n v="1"/>
    <n v="40.5"/>
    <n v="46.43"/>
    <s v="credit_card"/>
    <n v="6"/>
    <x v="1"/>
    <x v="3"/>
    <s v="Rio Grande do Sul"/>
  </r>
  <r>
    <s v="84eb86f5f4ba017cd1644c27f6140424"/>
    <s v="2018-05-05"/>
    <x v="18"/>
    <x v="12"/>
    <x v="6"/>
    <n v="1"/>
    <n v="29.99"/>
    <n v="19.04"/>
    <s v="credit_card"/>
    <n v="23"/>
    <x v="1"/>
    <x v="2"/>
    <s v="Ceara"/>
  </r>
  <r>
    <s v="c87482c77931bd39e99e46dd2a7013d2"/>
    <s v="2018-05-05"/>
    <x v="18"/>
    <x v="3"/>
    <x v="0"/>
    <n v="3"/>
    <n v="130"/>
    <n v="37.17"/>
    <s v="credit_card"/>
    <n v="4"/>
    <x v="1"/>
    <x v="0"/>
    <s v="Sao Paulo"/>
  </r>
  <r>
    <s v="a9240539eed71e70690ea5a026f9f419"/>
    <s v="2018-05-05"/>
    <x v="18"/>
    <x v="3"/>
    <x v="13"/>
    <n v="1"/>
    <n v="23"/>
    <n v="12.79"/>
    <s v="credit_card"/>
    <n v="6"/>
    <x v="1"/>
    <x v="2"/>
    <s v="Sao Paulo"/>
  </r>
  <r>
    <s v="708e29e2e9ba7ec969db5cf4cf84e9fd"/>
    <s v="2018-05-05"/>
    <x v="18"/>
    <x v="4"/>
    <x v="0"/>
    <n v="1"/>
    <n v="65.900000000000006"/>
    <n v="15.34"/>
    <s v="boleto"/>
    <n v="9"/>
    <x v="1"/>
    <x v="2"/>
    <s v="Rio de Janeiro"/>
  </r>
  <r>
    <s v="2b83ae3a3dbd7388b86f75c4e41eba63"/>
    <s v="2018-05-06"/>
    <x v="18"/>
    <x v="3"/>
    <x v="14"/>
    <n v="1"/>
    <n v="164.9"/>
    <n v="13.63"/>
    <s v="credit_card"/>
    <n v="4"/>
    <x v="1"/>
    <x v="1"/>
    <s v="Sao Paulo"/>
  </r>
  <r>
    <s v="43e1cbf9959b24b39acb40a44ff3655b"/>
    <s v="2018-05-06"/>
    <x v="18"/>
    <x v="4"/>
    <x v="9"/>
    <n v="1"/>
    <n v="69.900000000000006"/>
    <n v="8.82"/>
    <s v="credit_card"/>
    <n v="2"/>
    <x v="1"/>
    <x v="2"/>
    <s v="Rio de Janeiro"/>
  </r>
  <r>
    <s v="0e3586e663acb9adff4f778c7d174890"/>
    <s v="2018-05-06"/>
    <x v="18"/>
    <x v="4"/>
    <x v="20"/>
    <n v="1"/>
    <n v="131.99"/>
    <n v="11.82"/>
    <s v="credit_card"/>
    <n v="8"/>
    <x v="1"/>
    <x v="5"/>
    <s v="Rio de Janeiro"/>
  </r>
  <r>
    <s v="aa2cd8b186c94011da9d0f80785a3f20"/>
    <s v="2018-05-06"/>
    <x v="18"/>
    <x v="3"/>
    <x v="19"/>
    <n v="1"/>
    <n v="53.9"/>
    <n v="12.43"/>
    <s v="boleto"/>
    <n v="2"/>
    <x v="1"/>
    <x v="2"/>
    <s v="Sao Paulo"/>
  </r>
  <r>
    <s v="91375775b1203d41f95ade228721b3a5"/>
    <s v="2018-05-06"/>
    <x v="18"/>
    <x v="18"/>
    <x v="21"/>
    <n v="1"/>
    <n v="54.54"/>
    <n v="22.96"/>
    <s v="credit_card"/>
    <n v="8"/>
    <x v="1"/>
    <x v="2"/>
    <s v="Distrito Federal"/>
  </r>
  <r>
    <s v="b31ee936a88cbd1d2c24a2e61db2c18c"/>
    <s v="2018-05-06"/>
    <x v="18"/>
    <x v="5"/>
    <x v="12"/>
    <n v="1"/>
    <n v="51.45"/>
    <n v="18.239999999999998"/>
    <s v="credit_card"/>
    <n v="8"/>
    <x v="1"/>
    <x v="1"/>
    <s v="Parana"/>
  </r>
  <r>
    <s v="85958e05a9ae7ade12cafdbbdc882de3"/>
    <s v="2018-05-06"/>
    <x v="18"/>
    <x v="3"/>
    <x v="13"/>
    <n v="1"/>
    <n v="58.9"/>
    <n v="14.5"/>
    <s v="credit_card"/>
    <n v="5"/>
    <x v="1"/>
    <x v="2"/>
    <s v="Sao Paulo"/>
  </r>
  <r>
    <s v="e5d30ef739b1ed6f89f11ff5fd9e285a"/>
    <s v="2018-05-06"/>
    <x v="18"/>
    <x v="4"/>
    <x v="9"/>
    <n v="1"/>
    <n v="76.989999999999995"/>
    <n v="16.510000000000002"/>
    <s v="credit_card"/>
    <n v="12"/>
    <x v="1"/>
    <x v="3"/>
    <s v="Rio de Janeiro"/>
  </r>
  <r>
    <s v="91470888d3c2a943e6ca5533ac6d86c1"/>
    <s v="2018-05-06"/>
    <x v="18"/>
    <x v="8"/>
    <x v="51"/>
    <n v="1"/>
    <n v="79.900000000000006"/>
    <n v="35.69"/>
    <s v="credit_card"/>
    <n v="9"/>
    <x v="1"/>
    <x v="2"/>
    <s v="Santa Catarina"/>
  </r>
  <r>
    <s v="12bac66f44df6a103bb5b982c45f5617"/>
    <s v="2018-05-06"/>
    <x v="18"/>
    <x v="3"/>
    <x v="23"/>
    <n v="1"/>
    <n v="8.9"/>
    <n v="7.87"/>
    <s v="credit_card"/>
    <n v="5"/>
    <x v="1"/>
    <x v="2"/>
    <s v="Sao Paulo"/>
  </r>
  <r>
    <s v="3caf494d4c5d2bd8d542138e316ad680"/>
    <s v="2018-05-07"/>
    <x v="18"/>
    <x v="7"/>
    <x v="12"/>
    <n v="2"/>
    <n v="421.99"/>
    <n v="36.39"/>
    <s v="credit_card"/>
    <n v="3"/>
    <x v="1"/>
    <x v="0"/>
    <s v="Minas Gerais"/>
  </r>
  <r>
    <s v="64c3463da17e1c9262d302b03a81fb0b"/>
    <s v="2018-05-07"/>
    <x v="18"/>
    <x v="3"/>
    <x v="4"/>
    <n v="1"/>
    <n v="14.99"/>
    <n v="7.39"/>
    <s v="credit_card"/>
    <n v="1"/>
    <x v="1"/>
    <x v="1"/>
    <s v="Sao Paulo"/>
  </r>
  <r>
    <s v="3dac54c0a4aff807cad8f1a56fc8e745"/>
    <s v="2018-05-07"/>
    <x v="18"/>
    <x v="3"/>
    <x v="9"/>
    <n v="1"/>
    <n v="64.989999999999995"/>
    <n v="27.51"/>
    <s v="credit_card"/>
    <n v="16"/>
    <x v="1"/>
    <x v="2"/>
    <s v="Sao Paulo"/>
  </r>
  <r>
    <s v="6b11abc0295e397afb43aecade82621a"/>
    <s v="2018-05-07"/>
    <x v="18"/>
    <x v="3"/>
    <x v="39"/>
    <n v="1"/>
    <n v="169"/>
    <n v="48.04"/>
    <s v="boleto"/>
    <n v="10"/>
    <x v="1"/>
    <x v="2"/>
    <s v="Sao Paulo"/>
  </r>
  <r>
    <s v="53279ed2a831a63b7a6ebb56a9097cd0"/>
    <s v="2018-05-07"/>
    <x v="18"/>
    <x v="3"/>
    <x v="3"/>
    <n v="1"/>
    <n v="79"/>
    <n v="18.43"/>
    <s v="credit_card"/>
    <n v="4"/>
    <x v="1"/>
    <x v="2"/>
    <s v="Sao Paulo"/>
  </r>
  <r>
    <s v="4529e58edfd8d45fdef9eaa1d6efdc64"/>
    <s v="2018-05-07"/>
    <x v="18"/>
    <x v="3"/>
    <x v="4"/>
    <n v="1"/>
    <n v="24.98"/>
    <n v="7.39"/>
    <s v="credit_card"/>
    <n v="1"/>
    <x v="1"/>
    <x v="2"/>
    <s v="Sao Paulo"/>
  </r>
  <r>
    <s v="14feb2791a33105fe2092f7ac34e3200"/>
    <s v="2018-05-07"/>
    <x v="18"/>
    <x v="3"/>
    <x v="14"/>
    <n v="1"/>
    <n v="79.989999999999995"/>
    <n v="13.92"/>
    <s v="credit_card"/>
    <n v="8"/>
    <x v="1"/>
    <x v="2"/>
    <s v="Sao Paulo"/>
  </r>
  <r>
    <s v="a11cb431739ce0d512e8a8e96654722f"/>
    <s v="2018-05-07"/>
    <x v="18"/>
    <x v="3"/>
    <x v="0"/>
    <n v="1"/>
    <n v="44.99"/>
    <n v="8.82"/>
    <s v="credit_card"/>
    <n v="7"/>
    <x v="1"/>
    <x v="0"/>
    <s v="Sao Paulo"/>
  </r>
  <r>
    <s v="afd40c7db09c18759908ed9d6c66fa2a"/>
    <s v="2018-05-07"/>
    <x v="18"/>
    <x v="5"/>
    <x v="1"/>
    <n v="1"/>
    <n v="63.8"/>
    <n v="13.57"/>
    <s v="credit_card"/>
    <n v="7"/>
    <x v="1"/>
    <x v="1"/>
    <s v="Parana"/>
  </r>
  <r>
    <s v="0ff95576cbc4bec34c722c80b81a25fd"/>
    <s v="2018-05-07"/>
    <x v="18"/>
    <x v="7"/>
    <x v="6"/>
    <n v="1"/>
    <n v="49.99"/>
    <n v="15.23"/>
    <s v="credit_card"/>
    <n v="8"/>
    <x v="1"/>
    <x v="2"/>
    <s v="Minas Gerais"/>
  </r>
  <r>
    <s v="6398f5a8f74b7a09697d4417628dd212"/>
    <s v="2018-05-07"/>
    <x v="18"/>
    <x v="7"/>
    <x v="32"/>
    <n v="1"/>
    <n v="21.69"/>
    <n v="18.23"/>
    <s v="credit_card"/>
    <n v="9"/>
    <x v="1"/>
    <x v="3"/>
    <s v="Minas Gerais"/>
  </r>
  <r>
    <s v="0aecc6c0c2b3598d9cd3119e0a58dc1b"/>
    <s v="2018-05-07"/>
    <x v="18"/>
    <x v="4"/>
    <x v="1"/>
    <n v="1"/>
    <n v="149.9"/>
    <n v="46.34"/>
    <s v="credit_card"/>
    <n v="7"/>
    <x v="1"/>
    <x v="2"/>
    <s v="Rio de Janeiro"/>
  </r>
  <r>
    <s v="a333d6edad2cf5efe368d9a457c27fe7"/>
    <s v="2018-05-07"/>
    <x v="18"/>
    <x v="3"/>
    <x v="22"/>
    <n v="1"/>
    <n v="187"/>
    <n v="13.75"/>
    <s v="credit_card"/>
    <n v="4"/>
    <x v="1"/>
    <x v="2"/>
    <s v="Sao Paulo"/>
  </r>
  <r>
    <s v="c2e9150ecca583eb68c1e2e2b650caac"/>
    <s v="2018-05-07"/>
    <x v="18"/>
    <x v="12"/>
    <x v="3"/>
    <n v="1"/>
    <n v="51.81"/>
    <n v="37.049999999999997"/>
    <s v="credit_card"/>
    <n v="28"/>
    <x v="1"/>
    <x v="3"/>
    <s v="Ceara"/>
  </r>
  <r>
    <s v="4a72b4694f239008b7f61c843bac4bdc"/>
    <s v="2018-05-08"/>
    <x v="18"/>
    <x v="7"/>
    <x v="6"/>
    <n v="1"/>
    <n v="22.99"/>
    <n v="18.23"/>
    <s v="credit_card"/>
    <n v="7"/>
    <x v="1"/>
    <x v="2"/>
    <s v="Minas Gerais"/>
  </r>
  <r>
    <s v="2f864e4c1471571ec2ea1476fa2ba42c"/>
    <s v="2018-05-08"/>
    <x v="18"/>
    <x v="22"/>
    <x v="18"/>
    <n v="1"/>
    <n v="89"/>
    <n v="19.309999999999999"/>
    <s v="credit_card"/>
    <n v="9"/>
    <x v="1"/>
    <x v="3"/>
    <s v="Espirito Santo"/>
  </r>
  <r>
    <s v="0eb90012b8c41dfd386552415c3b1760"/>
    <s v="2018-05-08"/>
    <x v="18"/>
    <x v="1"/>
    <x v="6"/>
    <n v="1"/>
    <n v="13.77"/>
    <n v="16.41"/>
    <s v="credit_card"/>
    <n v="16"/>
    <x v="1"/>
    <x v="2"/>
    <s v="Rio Grande do Sul"/>
  </r>
  <r>
    <s v="bde305d08669a1b46554c10f03a85675"/>
    <s v="2018-05-08"/>
    <x v="18"/>
    <x v="4"/>
    <x v="25"/>
    <n v="1"/>
    <n v="29.9"/>
    <n v="17.93"/>
    <s v="credit_card"/>
    <n v="18"/>
    <x v="1"/>
    <x v="2"/>
    <s v="Rio de Janeiro"/>
  </r>
  <r>
    <s v="abf8d2c3cc9ffa42db0103106b061889"/>
    <s v="2018-05-08"/>
    <x v="18"/>
    <x v="7"/>
    <x v="28"/>
    <n v="1"/>
    <n v="25"/>
    <n v="23.28"/>
    <s v="credit_card"/>
    <n v="7"/>
    <x v="1"/>
    <x v="1"/>
    <s v="Minas Gerais"/>
  </r>
  <r>
    <s v="c1b6a4848079f0c2f936c9535c73fb05"/>
    <s v="2018-05-08"/>
    <x v="18"/>
    <x v="7"/>
    <x v="29"/>
    <n v="1"/>
    <n v="149"/>
    <n v="23.62"/>
    <s v="credit_card"/>
    <n v="4"/>
    <x v="1"/>
    <x v="2"/>
    <s v="Minas Gerais"/>
  </r>
  <r>
    <s v="5adb752a21287f421571ba1688dafa2a"/>
    <s v="2018-05-08"/>
    <x v="18"/>
    <x v="7"/>
    <x v="1"/>
    <n v="1"/>
    <n v="539"/>
    <n v="46.7"/>
    <s v="credit_card"/>
    <n v="5"/>
    <x v="1"/>
    <x v="2"/>
    <s v="Minas Gerais"/>
  </r>
  <r>
    <s v="1f10d8242e602a2a444715754f739d95"/>
    <s v="2018-05-08"/>
    <x v="18"/>
    <x v="5"/>
    <x v="1"/>
    <n v="1"/>
    <n v="104.9"/>
    <n v="19.7"/>
    <s v="credit_card"/>
    <n v="9"/>
    <x v="1"/>
    <x v="2"/>
    <s v="Parana"/>
  </r>
  <r>
    <s v="099d60cb800db65a72d355528bb7f41e"/>
    <s v="2018-05-08"/>
    <x v="18"/>
    <x v="3"/>
    <x v="21"/>
    <n v="1"/>
    <n v="219.9"/>
    <n v="104.73"/>
    <s v="credit_card"/>
    <n v="6"/>
    <x v="1"/>
    <x v="1"/>
    <s v="Sao Paulo"/>
  </r>
  <r>
    <s v="91cb837eb3bd9136636db21568d04a78"/>
    <s v="2018-05-08"/>
    <x v="18"/>
    <x v="22"/>
    <x v="9"/>
    <n v="1"/>
    <n v="64.989999999999995"/>
    <n v="15.61"/>
    <s v="credit_card"/>
    <n v="34"/>
    <x v="2"/>
    <x v="1"/>
    <s v="Espirito Santo"/>
  </r>
  <r>
    <s v="67652712ccb6d4a88f063a50b60a1073"/>
    <s v="2018-05-08"/>
    <x v="18"/>
    <x v="5"/>
    <x v="0"/>
    <n v="1"/>
    <n v="119"/>
    <n v="31.93"/>
    <s v="credit_card"/>
    <n v="1"/>
    <x v="1"/>
    <x v="2"/>
    <s v="Parana"/>
  </r>
  <r>
    <s v="7400bc8ee7d289b54690fd540a3cdb8b"/>
    <s v="2018-05-08"/>
    <x v="18"/>
    <x v="12"/>
    <x v="25"/>
    <n v="1"/>
    <n v="35.9"/>
    <n v="22.41"/>
    <s v="credit_card"/>
    <n v="27"/>
    <x v="2"/>
    <x v="2"/>
    <s v="Ceara"/>
  </r>
  <r>
    <s v="4a62fb19d5fa08fb514619dfcc617b3d"/>
    <s v="2018-05-09"/>
    <x v="18"/>
    <x v="3"/>
    <x v="22"/>
    <n v="1"/>
    <n v="599.99"/>
    <n v="12.55"/>
    <s v="voucher"/>
    <n v="5"/>
    <x v="1"/>
    <x v="1"/>
    <s v="Sao Paulo"/>
  </r>
  <r>
    <s v="0d42686b1d1936e4c256ce2fa2cc9db2"/>
    <s v="2018-05-09"/>
    <x v="18"/>
    <x v="3"/>
    <x v="32"/>
    <n v="1"/>
    <n v="39.5"/>
    <n v="7.87"/>
    <s v="credit_card"/>
    <n v="1"/>
    <x v="1"/>
    <x v="2"/>
    <s v="Sao Paulo"/>
  </r>
  <r>
    <s v="210e60465099814a1d2c7635e4065153"/>
    <s v="2018-05-09"/>
    <x v="18"/>
    <x v="4"/>
    <x v="20"/>
    <n v="1"/>
    <n v="199"/>
    <n v="32.79"/>
    <s v="credit_card"/>
    <n v="12"/>
    <x v="1"/>
    <x v="3"/>
    <s v="Rio de Janeiro"/>
  </r>
  <r>
    <s v="560691faf05a5433e9617b9582948175"/>
    <s v="2018-05-09"/>
    <x v="18"/>
    <x v="3"/>
    <x v="32"/>
    <n v="1"/>
    <n v="141.4"/>
    <n v="11.61"/>
    <s v="boleto"/>
    <n v="4"/>
    <x v="1"/>
    <x v="2"/>
    <s v="Sao Paulo"/>
  </r>
  <r>
    <s v="59e57d3a260d94d24e665b2c817981f1"/>
    <s v="2018-05-09"/>
    <x v="18"/>
    <x v="1"/>
    <x v="14"/>
    <n v="1"/>
    <n v="149.9"/>
    <n v="17.09"/>
    <s v="credit_card"/>
    <n v="12"/>
    <x v="1"/>
    <x v="2"/>
    <s v="Rio Grande do Sul"/>
  </r>
  <r>
    <s v="6c2d7d5f598317a20719a7e5f5487ece"/>
    <s v="2018-05-09"/>
    <x v="18"/>
    <x v="4"/>
    <x v="9"/>
    <n v="1"/>
    <n v="64.989999999999995"/>
    <n v="41.15"/>
    <s v="credit_card"/>
    <n v="34"/>
    <x v="2"/>
    <x v="0"/>
    <s v="Rio de Janeiro"/>
  </r>
  <r>
    <s v="18d436f1bd867f1869bc3a16103a4b75"/>
    <s v="2018-05-09"/>
    <x v="18"/>
    <x v="4"/>
    <x v="13"/>
    <n v="1"/>
    <n v="199.99"/>
    <n v="17.37"/>
    <s v="credit_card"/>
    <n v="5"/>
    <x v="1"/>
    <x v="2"/>
    <s v="Rio de Janeiro"/>
  </r>
  <r>
    <s v="156f6f0ed73a57da184aecc81303bf9d"/>
    <s v="2018-05-09"/>
    <x v="18"/>
    <x v="3"/>
    <x v="7"/>
    <n v="1"/>
    <n v="22.99"/>
    <n v="8.2899999999999991"/>
    <s v="boleto"/>
    <n v="2"/>
    <x v="1"/>
    <x v="4"/>
    <s v="Sao Paulo"/>
  </r>
  <r>
    <s v="b4df3dcfa59f9958e993be5decfee5ce"/>
    <s v="2018-05-09"/>
    <x v="18"/>
    <x v="4"/>
    <x v="4"/>
    <n v="1"/>
    <n v="70"/>
    <n v="18.37"/>
    <s v="credit_card"/>
    <n v="14"/>
    <x v="1"/>
    <x v="2"/>
    <s v="Rio de Janeiro"/>
  </r>
  <r>
    <s v="4da1c4073a1bdbb3968cd681337f254d"/>
    <s v="2018-05-09"/>
    <x v="18"/>
    <x v="3"/>
    <x v="57"/>
    <n v="1"/>
    <n v="57.89"/>
    <n v="10.29"/>
    <s v="boleto"/>
    <n v="29"/>
    <x v="2"/>
    <x v="0"/>
    <s v="Sao Paulo"/>
  </r>
  <r>
    <s v="1f1c7f4a61de956eb59c80c6d1f73a2a"/>
    <s v="2018-05-09"/>
    <x v="18"/>
    <x v="5"/>
    <x v="19"/>
    <n v="1"/>
    <n v="320.99"/>
    <n v="22.71"/>
    <s v="credit_card"/>
    <n v="6"/>
    <x v="1"/>
    <x v="3"/>
    <s v="Parana"/>
  </r>
  <r>
    <s v="7dfab96276603768666b7f949b3ea66f"/>
    <s v="2018-05-09"/>
    <x v="18"/>
    <x v="3"/>
    <x v="9"/>
    <n v="1"/>
    <n v="29.9"/>
    <n v="7.71"/>
    <s v="credit_card"/>
    <n v="4"/>
    <x v="1"/>
    <x v="2"/>
    <s v="Sao Paulo"/>
  </r>
  <r>
    <s v="cf2d1ce92345a8db1f8b09ac4575aa7f"/>
    <s v="2018-05-09"/>
    <x v="18"/>
    <x v="1"/>
    <x v="14"/>
    <n v="1"/>
    <n v="37"/>
    <n v="18.23"/>
    <s v="credit_card"/>
    <n v="6"/>
    <x v="1"/>
    <x v="3"/>
    <s v="Rio Grande do Sul"/>
  </r>
  <r>
    <s v="f41ef35b2b93249c5239c5df242e8b28"/>
    <s v="2018-05-09"/>
    <x v="18"/>
    <x v="3"/>
    <x v="0"/>
    <n v="1"/>
    <n v="150"/>
    <n v="13.95"/>
    <s v="credit_card"/>
    <n v="6"/>
    <x v="1"/>
    <x v="2"/>
    <s v="Sao Paulo"/>
  </r>
  <r>
    <s v="2321337240c200736e346c2445003fd3"/>
    <s v="2018-05-09"/>
    <x v="18"/>
    <x v="3"/>
    <x v="22"/>
    <n v="1"/>
    <n v="519"/>
    <n v="11.99"/>
    <s v="credit_card"/>
    <m/>
    <x v="0"/>
    <x v="0"/>
    <s v="Sao Paulo"/>
  </r>
  <r>
    <s v="31757b95c65bd61af1af6d30103b64cf"/>
    <s v="2018-05-09"/>
    <x v="18"/>
    <x v="3"/>
    <x v="9"/>
    <n v="1"/>
    <n v="90"/>
    <n v="14.05"/>
    <s v="credit_card"/>
    <n v="13"/>
    <x v="1"/>
    <x v="2"/>
    <s v="Sao Paulo"/>
  </r>
  <r>
    <s v="a56949479e3d5637c235d6d58740fee3"/>
    <s v="2018-05-10"/>
    <x v="18"/>
    <x v="18"/>
    <x v="1"/>
    <n v="1"/>
    <n v="135.21"/>
    <n v="15.83"/>
    <s v="boleto"/>
    <n v="6"/>
    <x v="1"/>
    <x v="2"/>
    <s v="Distrito Federal"/>
  </r>
  <r>
    <s v="558731462aceb9588378c7c19194d2db"/>
    <s v="2018-05-10"/>
    <x v="18"/>
    <x v="4"/>
    <x v="36"/>
    <n v="1"/>
    <n v="1054"/>
    <n v="35.96"/>
    <s v="credit_card"/>
    <n v="8"/>
    <x v="1"/>
    <x v="3"/>
    <s v="Rio de Janeiro"/>
  </r>
  <r>
    <s v="f489949dbe23cf9313deb342913ece0c"/>
    <s v="2018-05-10"/>
    <x v="18"/>
    <x v="1"/>
    <x v="4"/>
    <n v="1"/>
    <n v="1360.02"/>
    <n v="76.44"/>
    <s v="credit_card"/>
    <n v="10"/>
    <x v="1"/>
    <x v="2"/>
    <s v="Rio Grande do Sul"/>
  </r>
  <r>
    <s v="35990049382e07dba1a9ef3550cad655"/>
    <s v="2018-05-10"/>
    <x v="18"/>
    <x v="4"/>
    <x v="32"/>
    <n v="6"/>
    <n v="960"/>
    <n v="348.18"/>
    <s v="credit_card"/>
    <n v="7"/>
    <x v="1"/>
    <x v="5"/>
    <s v="Rio de Janeiro"/>
  </r>
  <r>
    <s v="37f4b362697f5c9826aee9c479b32bda"/>
    <s v="2018-05-10"/>
    <x v="18"/>
    <x v="5"/>
    <x v="0"/>
    <n v="1"/>
    <n v="55.5"/>
    <n v="18.27"/>
    <s v="credit_card"/>
    <n v="7"/>
    <x v="1"/>
    <x v="3"/>
    <s v="Parana"/>
  </r>
  <r>
    <s v="7527dc48e587e3cc2071e727f32a2610"/>
    <s v="2018-05-10"/>
    <x v="18"/>
    <x v="4"/>
    <x v="22"/>
    <n v="1"/>
    <n v="129"/>
    <n v="18.78"/>
    <s v="boleto"/>
    <n v="7"/>
    <x v="1"/>
    <x v="2"/>
    <s v="Rio de Janeiro"/>
  </r>
  <r>
    <s v="bb87d6748da724f69c5e62274dc7aae6"/>
    <s v="2018-05-10"/>
    <x v="18"/>
    <x v="4"/>
    <x v="9"/>
    <n v="1"/>
    <n v="99.9"/>
    <n v="18.579999999999998"/>
    <s v="credit_card"/>
    <m/>
    <x v="0"/>
    <x v="4"/>
    <s v="Rio de Janeiro"/>
  </r>
  <r>
    <s v="73ff74f8f201c61c0c625cfe7ec63cd2"/>
    <s v="2018-05-10"/>
    <x v="18"/>
    <x v="8"/>
    <x v="23"/>
    <n v="1"/>
    <n v="24.9"/>
    <n v="18.23"/>
    <s v="credit_card"/>
    <n v="12"/>
    <x v="1"/>
    <x v="3"/>
    <s v="Santa Catarina"/>
  </r>
  <r>
    <s v="e67519acd1370f173550a6cb2b994ca6"/>
    <s v="2018-05-10"/>
    <x v="18"/>
    <x v="5"/>
    <x v="7"/>
    <n v="1"/>
    <n v="53.9"/>
    <n v="22.96"/>
    <s v="boleto"/>
    <n v="7"/>
    <x v="1"/>
    <x v="2"/>
    <s v="Parana"/>
  </r>
  <r>
    <s v="1e24c66f40e16d38609ed026af8b4c94"/>
    <s v="2018-05-11"/>
    <x v="18"/>
    <x v="21"/>
    <x v="9"/>
    <n v="1"/>
    <n v="79.989999999999995"/>
    <n v="13.16"/>
    <s v="credit_card"/>
    <n v="28"/>
    <x v="2"/>
    <x v="3"/>
    <s v="Bahia"/>
  </r>
  <r>
    <s v="d5691ee416fbe1f2d1b061319de61570"/>
    <s v="2018-05-11"/>
    <x v="18"/>
    <x v="4"/>
    <x v="9"/>
    <n v="1"/>
    <n v="54"/>
    <n v="18.260000000000002"/>
    <s v="debit_card"/>
    <n v="4"/>
    <x v="1"/>
    <x v="2"/>
    <s v="Rio de Janeiro"/>
  </r>
  <r>
    <s v="db4982d0129b4b2ac1eb511ab4743799"/>
    <s v="2018-05-11"/>
    <x v="18"/>
    <x v="3"/>
    <x v="26"/>
    <n v="1"/>
    <n v="8.99"/>
    <n v="7.39"/>
    <s v="credit_card"/>
    <n v="6"/>
    <x v="1"/>
    <x v="3"/>
    <s v="Sao Paulo"/>
  </r>
  <r>
    <s v="4bac61800c1e9be95b1fc49a6b859c64"/>
    <s v="2018-05-11"/>
    <x v="18"/>
    <x v="7"/>
    <x v="4"/>
    <n v="2"/>
    <n v="299.8"/>
    <n v="41.44"/>
    <s v="credit_card"/>
    <n v="19"/>
    <x v="1"/>
    <x v="2"/>
    <s v="Minas Gerais"/>
  </r>
  <r>
    <s v="dcfd880d34266648380b0b525d0c41e3"/>
    <s v="2018-05-11"/>
    <x v="18"/>
    <x v="3"/>
    <x v="5"/>
    <n v="1"/>
    <n v="245"/>
    <n v="9.48"/>
    <s v="credit_card"/>
    <n v="3"/>
    <x v="1"/>
    <x v="2"/>
    <s v="Sao Paulo"/>
  </r>
  <r>
    <s v="b4ed4f83279457b6eae0d4c1c9ee8aa2"/>
    <s v="2018-05-11"/>
    <x v="18"/>
    <x v="3"/>
    <x v="26"/>
    <n v="1"/>
    <n v="33"/>
    <n v="8.2899999999999991"/>
    <s v="credit_card"/>
    <n v="3"/>
    <x v="1"/>
    <x v="2"/>
    <s v="Sao Paulo"/>
  </r>
  <r>
    <s v="8b47e7e04a986e036f10ab10bae91a4b"/>
    <s v="2018-05-11"/>
    <x v="18"/>
    <x v="22"/>
    <x v="4"/>
    <n v="1"/>
    <n v="64.900000000000006"/>
    <n v="18.329999999999998"/>
    <s v="boleto"/>
    <n v="13"/>
    <x v="1"/>
    <x v="2"/>
    <s v="Espirito Santo"/>
  </r>
  <r>
    <s v="ef27899be3cc299d6e7b3a0d9c895809"/>
    <s v="2018-05-12"/>
    <x v="18"/>
    <x v="7"/>
    <x v="25"/>
    <n v="1"/>
    <n v="45"/>
    <n v="23.28"/>
    <s v="credit_card"/>
    <n v="10"/>
    <x v="1"/>
    <x v="2"/>
    <s v="Minas Gerais"/>
  </r>
  <r>
    <s v="cddb49503674fc983e56f506266cb68a"/>
    <s v="2018-05-12"/>
    <x v="18"/>
    <x v="3"/>
    <x v="7"/>
    <n v="1"/>
    <n v="55"/>
    <n v="8.8800000000000008"/>
    <s v="credit_card"/>
    <n v="4"/>
    <x v="1"/>
    <x v="3"/>
    <s v="Sao Paulo"/>
  </r>
  <r>
    <s v="395522d74b4f19e9d229bacaab803c99"/>
    <s v="2018-05-12"/>
    <x v="18"/>
    <x v="12"/>
    <x v="22"/>
    <n v="1"/>
    <n v="207"/>
    <n v="38.14"/>
    <s v="credit_card"/>
    <n v="37"/>
    <x v="2"/>
    <x v="1"/>
    <s v="Ceara"/>
  </r>
  <r>
    <s v="c7f9a63be296b2be1bb5ad47c7d61dd2"/>
    <s v="2018-05-12"/>
    <x v="18"/>
    <x v="3"/>
    <x v="9"/>
    <n v="1"/>
    <n v="99.99"/>
    <n v="16.670000000000002"/>
    <s v="credit_card"/>
    <n v="5"/>
    <x v="1"/>
    <x v="1"/>
    <s v="Sao Paulo"/>
  </r>
  <r>
    <s v="695e141b92a0f2bc8a7bff7d621692ed"/>
    <s v="2018-05-12"/>
    <x v="18"/>
    <x v="18"/>
    <x v="4"/>
    <n v="1"/>
    <n v="18.989999999999998"/>
    <n v="15.23"/>
    <s v="boleto"/>
    <n v="9"/>
    <x v="1"/>
    <x v="2"/>
    <s v="Distrito Federal"/>
  </r>
  <r>
    <s v="0d8e03520c1b877edaf5ef24f7abb5cb"/>
    <s v="2018-05-12"/>
    <x v="18"/>
    <x v="26"/>
    <x v="11"/>
    <n v="1"/>
    <n v="899.9"/>
    <n v="28.8"/>
    <s v="boleto"/>
    <n v="29"/>
    <x v="1"/>
    <x v="2"/>
    <s v="Paraiba"/>
  </r>
  <r>
    <s v="dd9768256f9f491643fb7b53fc193b7d"/>
    <s v="2018-05-12"/>
    <x v="18"/>
    <x v="3"/>
    <x v="29"/>
    <n v="1"/>
    <n v="55"/>
    <n v="8.2899999999999991"/>
    <s v="credit_card"/>
    <n v="2"/>
    <x v="1"/>
    <x v="2"/>
    <s v="Sao Paulo"/>
  </r>
  <r>
    <s v="6c28b1d1bade1e274dc893aaf8b0535d"/>
    <s v="2018-05-12"/>
    <x v="18"/>
    <x v="3"/>
    <x v="20"/>
    <n v="1"/>
    <n v="599.9"/>
    <n v="26.78"/>
    <s v="credit_card"/>
    <n v="4"/>
    <x v="1"/>
    <x v="0"/>
    <s v="Sao Paulo"/>
  </r>
  <r>
    <s v="aa73e81062a62cb7834b770ff58ff6b8"/>
    <s v="2018-05-12"/>
    <x v="18"/>
    <x v="15"/>
    <x v="0"/>
    <n v="1"/>
    <n v="299"/>
    <n v="68.53"/>
    <s v="credit_card"/>
    <n v="23"/>
    <x v="1"/>
    <x v="2"/>
    <s v="Mato Grosso"/>
  </r>
  <r>
    <s v="5775b40b5767cf4043ffa1322c7d646c"/>
    <s v="2018-05-13"/>
    <x v="18"/>
    <x v="1"/>
    <x v="1"/>
    <n v="1"/>
    <n v="299"/>
    <n v="14.18"/>
    <s v="credit_card"/>
    <n v="5"/>
    <x v="1"/>
    <x v="1"/>
    <s v="Rio Grande do Sul"/>
  </r>
  <r>
    <s v="638a5347b71204f129b75b558d79bf07"/>
    <s v="2018-05-13"/>
    <x v="18"/>
    <x v="7"/>
    <x v="9"/>
    <n v="1"/>
    <n v="151"/>
    <n v="17.239999999999998"/>
    <s v="credit_card"/>
    <n v="19"/>
    <x v="1"/>
    <x v="3"/>
    <s v="Minas Gerais"/>
  </r>
  <r>
    <s v="2362f0e9afcae197310501d93b070bb6"/>
    <s v="2018-05-13"/>
    <x v="18"/>
    <x v="3"/>
    <x v="0"/>
    <n v="1"/>
    <n v="189.9"/>
    <n v="13.77"/>
    <s v="credit_card"/>
    <n v="22"/>
    <x v="2"/>
    <x v="2"/>
    <s v="Sao Paulo"/>
  </r>
  <r>
    <s v="8ca4b77b042042e7388a0df85b37ebeb"/>
    <s v="2018-05-13"/>
    <x v="18"/>
    <x v="3"/>
    <x v="14"/>
    <n v="1"/>
    <n v="149.9"/>
    <n v="12.14"/>
    <s v="credit_card"/>
    <n v="1"/>
    <x v="1"/>
    <x v="2"/>
    <s v="Sao Paulo"/>
  </r>
  <r>
    <s v="01ed8d522a969ceeb6ba285a161bf4c9"/>
    <s v="2018-05-13"/>
    <x v="18"/>
    <x v="3"/>
    <x v="40"/>
    <n v="1"/>
    <n v="47.9"/>
    <n v="19.32"/>
    <s v="credit_card"/>
    <n v="4"/>
    <x v="1"/>
    <x v="3"/>
    <s v="Sao Paulo"/>
  </r>
  <r>
    <s v="cc94a3db006a9dbbf0a57bda0091d616"/>
    <s v="2018-05-13"/>
    <x v="18"/>
    <x v="3"/>
    <x v="1"/>
    <n v="2"/>
    <n v="219.8"/>
    <n v="17.059999999999999"/>
    <s v="credit_card"/>
    <n v="3"/>
    <x v="1"/>
    <x v="2"/>
    <s v="Sao Paulo"/>
  </r>
  <r>
    <s v="39b9e0d03c6b33e01332ca4c06c6aa2e"/>
    <s v="2018-05-13"/>
    <x v="18"/>
    <x v="1"/>
    <x v="1"/>
    <n v="1"/>
    <n v="62.9"/>
    <n v="19.41"/>
    <s v="credit_card"/>
    <n v="8"/>
    <x v="1"/>
    <x v="3"/>
    <s v="Rio Grande do Sul"/>
  </r>
  <r>
    <s v="88af1e29bb0ae20c379da31875a94806"/>
    <s v="2018-05-13"/>
    <x v="18"/>
    <x v="4"/>
    <x v="20"/>
    <n v="1"/>
    <n v="199"/>
    <n v="32.79"/>
    <s v="credit_card"/>
    <n v="8"/>
    <x v="1"/>
    <x v="2"/>
    <s v="Rio de Janeiro"/>
  </r>
  <r>
    <s v="1ab81205bd97428adba5715c92dae13a"/>
    <s v="2018-05-13"/>
    <x v="18"/>
    <x v="3"/>
    <x v="63"/>
    <n v="1"/>
    <n v="858.9"/>
    <n v="17.920000000000002"/>
    <s v="credit_card"/>
    <n v="2"/>
    <x v="1"/>
    <x v="3"/>
    <s v="Sao Paulo"/>
  </r>
  <r>
    <s v="6d08b9609c4e0cb107497f8307539077"/>
    <s v="2018-05-14"/>
    <x v="18"/>
    <x v="7"/>
    <x v="42"/>
    <n v="1"/>
    <n v="14.9"/>
    <n v="15.23"/>
    <s v="credit_card"/>
    <n v="6"/>
    <x v="1"/>
    <x v="3"/>
    <s v="Minas Gerais"/>
  </r>
  <r>
    <s v="0877034e4780ed6345f93f2c0e0d48ec"/>
    <s v="2018-05-14"/>
    <x v="18"/>
    <x v="1"/>
    <x v="22"/>
    <n v="1"/>
    <n v="96"/>
    <n v="13.38"/>
    <s v="credit_card"/>
    <n v="8"/>
    <x v="1"/>
    <x v="3"/>
    <s v="Rio Grande do Sul"/>
  </r>
  <r>
    <s v="50bbd6f58e1641ea899a67a31871cc73"/>
    <s v="2018-05-14"/>
    <x v="18"/>
    <x v="3"/>
    <x v="36"/>
    <n v="1"/>
    <n v="129.99"/>
    <n v="22.51"/>
    <s v="boleto"/>
    <n v="35"/>
    <x v="2"/>
    <x v="0"/>
    <s v="Sao Paulo"/>
  </r>
  <r>
    <s v="801e8e7738a06b96bda344c9ff1d738c"/>
    <s v="2018-05-14"/>
    <x v="18"/>
    <x v="4"/>
    <x v="19"/>
    <n v="1"/>
    <n v="36"/>
    <n v="18.28"/>
    <s v="boleto"/>
    <n v="7"/>
    <x v="1"/>
    <x v="2"/>
    <s v="Rio de Janeiro"/>
  </r>
  <r>
    <s v="434c9890eff8856d64b1d01c1024686d"/>
    <s v="2018-05-14"/>
    <x v="18"/>
    <x v="7"/>
    <x v="7"/>
    <n v="1"/>
    <n v="110"/>
    <n v="19.48"/>
    <s v="credit_card"/>
    <n v="2"/>
    <x v="1"/>
    <x v="2"/>
    <s v="Minas Gerais"/>
  </r>
  <r>
    <s v="527e7490ba8ede88db23aff0f080f5a7"/>
    <s v="2018-05-14"/>
    <x v="18"/>
    <x v="8"/>
    <x v="24"/>
    <n v="1"/>
    <n v="89"/>
    <n v="34.69"/>
    <s v="credit_card"/>
    <n v="7"/>
    <x v="1"/>
    <x v="2"/>
    <s v="Santa Catarina"/>
  </r>
  <r>
    <s v="c9c47f859e747812a921562c2f874229"/>
    <s v="2018-05-14"/>
    <x v="18"/>
    <x v="3"/>
    <x v="14"/>
    <n v="2"/>
    <n v="152.9"/>
    <n v="27.78"/>
    <s v="credit_card"/>
    <n v="7"/>
    <x v="1"/>
    <x v="3"/>
    <s v="Sao Paulo"/>
  </r>
  <r>
    <s v="bd15e6a6eec338675a42659c3509da35"/>
    <s v="2018-05-14"/>
    <x v="18"/>
    <x v="7"/>
    <x v="4"/>
    <n v="2"/>
    <n v="225.98"/>
    <n v="46.66"/>
    <s v="credit_card"/>
    <n v="6"/>
    <x v="1"/>
    <x v="1"/>
    <s v="Minas Gerais"/>
  </r>
  <r>
    <s v="a5b16df50e965748a0f8406dd415f23c"/>
    <s v="2018-05-14"/>
    <x v="18"/>
    <x v="3"/>
    <x v="9"/>
    <n v="1"/>
    <n v="53.79"/>
    <n v="7.39"/>
    <s v="credit_card"/>
    <n v="2"/>
    <x v="1"/>
    <x v="2"/>
    <s v="Sao Paulo"/>
  </r>
  <r>
    <s v="db29fa675e3fb38dc9f16106b18a43f8"/>
    <s v="2018-05-14"/>
    <x v="18"/>
    <x v="21"/>
    <x v="22"/>
    <n v="1"/>
    <n v="189"/>
    <n v="23.03"/>
    <s v="credit_card"/>
    <n v="27"/>
    <x v="2"/>
    <x v="0"/>
    <s v="Bahia"/>
  </r>
  <r>
    <s v="94d1e075b6cad085871799dedd2b7e3d"/>
    <s v="2018-05-14"/>
    <x v="18"/>
    <x v="5"/>
    <x v="2"/>
    <n v="1"/>
    <n v="99"/>
    <n v="15.31"/>
    <s v="credit_card"/>
    <n v="2"/>
    <x v="1"/>
    <x v="2"/>
    <s v="Parana"/>
  </r>
  <r>
    <s v="cfaa877f09b4f4bc73fc768bf5817df7"/>
    <s v="2018-05-14"/>
    <x v="18"/>
    <x v="3"/>
    <x v="58"/>
    <n v="1"/>
    <n v="100"/>
    <n v="13.14"/>
    <s v="credit_card"/>
    <n v="4"/>
    <x v="1"/>
    <x v="2"/>
    <s v="Sao Paulo"/>
  </r>
  <r>
    <s v="7ab1a9babde2a1355e3075d07ea895e3"/>
    <s v="2018-05-14"/>
    <x v="18"/>
    <x v="3"/>
    <x v="17"/>
    <n v="1"/>
    <n v="26.9"/>
    <n v="8.2899999999999991"/>
    <s v="boleto"/>
    <n v="3"/>
    <x v="1"/>
    <x v="2"/>
    <s v="Sao Paulo"/>
  </r>
  <r>
    <s v="d8eada63874f4ad83911e6c388521ba9"/>
    <s v="2018-05-14"/>
    <x v="18"/>
    <x v="4"/>
    <x v="19"/>
    <n v="2"/>
    <n v="190"/>
    <n v="46.5"/>
    <s v="credit_card"/>
    <n v="7"/>
    <x v="1"/>
    <x v="3"/>
    <s v="Rio de Janeiro"/>
  </r>
  <r>
    <s v="8ed4df9e21def5033d20475c0e568c92"/>
    <s v="2018-05-14"/>
    <x v="18"/>
    <x v="4"/>
    <x v="1"/>
    <n v="2"/>
    <n v="598"/>
    <n v="33.799999999999997"/>
    <s v="credit_card"/>
    <n v="7"/>
    <x v="1"/>
    <x v="3"/>
    <s v="Rio de Janeiro"/>
  </r>
  <r>
    <s v="002c9def9c9b951b1bec6d50753c9891"/>
    <s v="2018-05-14"/>
    <x v="18"/>
    <x v="3"/>
    <x v="19"/>
    <n v="2"/>
    <n v="156"/>
    <n v="17.8"/>
    <s v="credit_card"/>
    <n v="3"/>
    <x v="1"/>
    <x v="3"/>
    <s v="Sao Paulo"/>
  </r>
  <r>
    <s v="a7e777244d28c9330d778b6626beb029"/>
    <s v="2018-05-14"/>
    <x v="18"/>
    <x v="3"/>
    <x v="19"/>
    <n v="1"/>
    <n v="179"/>
    <n v="13.16"/>
    <s v="credit_card"/>
    <n v="3"/>
    <x v="1"/>
    <x v="3"/>
    <s v="Sao Paulo"/>
  </r>
  <r>
    <s v="b0a53313f05c1fb7b57eba8c55f35035"/>
    <s v="2018-05-14"/>
    <x v="18"/>
    <x v="1"/>
    <x v="4"/>
    <n v="1"/>
    <n v="29.9"/>
    <n v="19.32"/>
    <s v="boleto"/>
    <n v="9"/>
    <x v="1"/>
    <x v="1"/>
    <s v="Rio Grande do Sul"/>
  </r>
  <r>
    <s v="dc72bbc96294739757a895a8e6ec0d5f"/>
    <s v="2018-05-14"/>
    <x v="18"/>
    <x v="5"/>
    <x v="52"/>
    <n v="1"/>
    <n v="193.65"/>
    <n v="19.239999999999998"/>
    <s v="boleto"/>
    <n v="21"/>
    <x v="1"/>
    <x v="3"/>
    <s v="Parana"/>
  </r>
  <r>
    <s v="ab355d60eb2f7b4ffcd01aab4da8ebef"/>
    <s v="2018-05-14"/>
    <x v="18"/>
    <x v="3"/>
    <x v="9"/>
    <n v="1"/>
    <n v="146.30000000000001"/>
    <n v="19.989999999999998"/>
    <s v="credit_card"/>
    <n v="6"/>
    <x v="1"/>
    <x v="2"/>
    <s v="Sao Paulo"/>
  </r>
  <r>
    <s v="a97ed6ffd3a1daacc526d95fe844c8a5"/>
    <s v="2018-05-14"/>
    <x v="18"/>
    <x v="3"/>
    <x v="17"/>
    <n v="1"/>
    <n v="12.25"/>
    <n v="7.39"/>
    <s v="credit_card"/>
    <n v="2"/>
    <x v="1"/>
    <x v="2"/>
    <s v="Sao Paulo"/>
  </r>
  <r>
    <s v="b313fc60227234f6c73ab4f2585b5365"/>
    <s v="2018-05-14"/>
    <x v="18"/>
    <x v="4"/>
    <x v="9"/>
    <n v="1"/>
    <n v="75.25"/>
    <n v="18.41"/>
    <s v="credit_card"/>
    <n v="22"/>
    <x v="1"/>
    <x v="2"/>
    <s v="Rio de Janeiro"/>
  </r>
  <r>
    <s v="f1a2c0aa708e55ca4ab35b96f89c9aad"/>
    <s v="2018-05-15"/>
    <x v="18"/>
    <x v="4"/>
    <x v="44"/>
    <n v="1"/>
    <n v="119.99"/>
    <n v="35.97"/>
    <s v="boleto"/>
    <n v="6"/>
    <x v="1"/>
    <x v="2"/>
    <s v="Rio de Janeiro"/>
  </r>
  <r>
    <s v="1565f22aa9452ff278638e87cc895678"/>
    <s v="2018-05-15"/>
    <x v="18"/>
    <x v="3"/>
    <x v="5"/>
    <n v="1"/>
    <n v="15.5"/>
    <n v="12.79"/>
    <s v="boleto"/>
    <n v="5"/>
    <x v="1"/>
    <x v="2"/>
    <s v="Sao Paulo"/>
  </r>
  <r>
    <s v="16e1e21ae459315114f092dc02743dea"/>
    <s v="2018-05-15"/>
    <x v="18"/>
    <x v="3"/>
    <x v="9"/>
    <n v="1"/>
    <n v="110"/>
    <n v="8.5299999999999994"/>
    <s v="credit_card"/>
    <n v="1"/>
    <x v="1"/>
    <x v="2"/>
    <s v="Sao Paulo"/>
  </r>
  <r>
    <s v="c3e06da7b224bfb3d077ca32fa23bff1"/>
    <s v="2018-05-15"/>
    <x v="18"/>
    <x v="3"/>
    <x v="13"/>
    <n v="1"/>
    <n v="249.9"/>
    <n v="8.61"/>
    <s v="credit_card"/>
    <n v="18"/>
    <x v="2"/>
    <x v="0"/>
    <s v="Sao Paulo"/>
  </r>
  <r>
    <s v="69933502bb7f9b4aaac818858f964553"/>
    <s v="2018-05-15"/>
    <x v="18"/>
    <x v="15"/>
    <x v="1"/>
    <n v="1"/>
    <n v="169.99"/>
    <n v="20.92"/>
    <s v="credit_card"/>
    <n v="14"/>
    <x v="1"/>
    <x v="2"/>
    <s v="Mato Grosso"/>
  </r>
  <r>
    <s v="768f78186d59eef3d5f40db13f5bcb8d"/>
    <s v="2018-05-15"/>
    <x v="18"/>
    <x v="3"/>
    <x v="19"/>
    <n v="1"/>
    <n v="14.9"/>
    <n v="7.39"/>
    <s v="credit_card"/>
    <n v="1"/>
    <x v="1"/>
    <x v="2"/>
    <s v="Sao Paulo"/>
  </r>
  <r>
    <s v="f152b3976a55ebf22b3057cb0b79bcec"/>
    <s v="2018-05-15"/>
    <x v="18"/>
    <x v="8"/>
    <x v="1"/>
    <n v="1"/>
    <n v="46.99"/>
    <n v="18.23"/>
    <s v="credit_card"/>
    <n v="22"/>
    <x v="2"/>
    <x v="2"/>
    <s v="Santa Catarina"/>
  </r>
  <r>
    <s v="812086848825c140a1472472a845a774"/>
    <s v="2018-05-15"/>
    <x v="18"/>
    <x v="3"/>
    <x v="22"/>
    <n v="1"/>
    <n v="489"/>
    <n v="10.29"/>
    <s v="credit_card"/>
    <n v="48"/>
    <x v="2"/>
    <x v="0"/>
    <s v="Sao Paulo"/>
  </r>
  <r>
    <s v="a0b862a69020ac0160aabd2acb06f8e7"/>
    <s v="2018-05-15"/>
    <x v="18"/>
    <x v="1"/>
    <x v="4"/>
    <n v="2"/>
    <n v="197.25"/>
    <n v="37.14"/>
    <s v="credit_card"/>
    <n v="20"/>
    <x v="1"/>
    <x v="2"/>
    <s v="Rio Grande do Sul"/>
  </r>
  <r>
    <s v="7ef0e1c98232d43b6e92ab32795aeb06"/>
    <s v="2018-05-15"/>
    <x v="18"/>
    <x v="3"/>
    <x v="41"/>
    <n v="2"/>
    <n v="173.8"/>
    <n v="17.34"/>
    <s v="credit_card"/>
    <n v="6"/>
    <x v="1"/>
    <x v="1"/>
    <s v="Sao Paulo"/>
  </r>
  <r>
    <s v="51a204a8b06b2f485e8e9de1e6741618"/>
    <s v="2018-05-15"/>
    <x v="18"/>
    <x v="13"/>
    <x v="19"/>
    <n v="1"/>
    <n v="48.9"/>
    <n v="50.85"/>
    <s v="credit_card"/>
    <n v="19"/>
    <x v="2"/>
    <x v="2"/>
    <s v="Maranhao"/>
  </r>
  <r>
    <s v="4b46e49817058cac906f2c219cc7351e"/>
    <s v="2018-05-15"/>
    <x v="18"/>
    <x v="5"/>
    <x v="3"/>
    <n v="1"/>
    <n v="19.989999999999998"/>
    <n v="15.23"/>
    <s v="credit_card"/>
    <n v="5"/>
    <x v="1"/>
    <x v="2"/>
    <s v="Parana"/>
  </r>
  <r>
    <s v="1a57108394169c0b47d8f876acc9ba2d"/>
    <s v="2018-05-15"/>
    <x v="18"/>
    <x v="21"/>
    <x v="19"/>
    <n v="2"/>
    <n v="83.38"/>
    <n v="46.56"/>
    <s v="credit_card"/>
    <n v="8"/>
    <x v="1"/>
    <x v="2"/>
    <s v="Bahia"/>
  </r>
  <r>
    <s v="e3ee317683c1cb4df51994ca63755d6d"/>
    <s v="2018-05-15"/>
    <x v="18"/>
    <x v="1"/>
    <x v="1"/>
    <n v="1"/>
    <n v="47.99"/>
    <n v="15.36"/>
    <s v="credit_card"/>
    <n v="21"/>
    <x v="1"/>
    <x v="2"/>
    <s v="Rio Grande do Sul"/>
  </r>
  <r>
    <s v="6a5560b5b974183928205724063cdfa6"/>
    <s v="2018-05-16"/>
    <x v="18"/>
    <x v="3"/>
    <x v="1"/>
    <n v="1"/>
    <n v="129.9"/>
    <n v="9.26"/>
    <s v="credit_card"/>
    <n v="1"/>
    <x v="1"/>
    <x v="3"/>
    <s v="Sao Paulo"/>
  </r>
  <r>
    <s v="03e6de4517499ee6aaae7d9004799504"/>
    <s v="2018-05-16"/>
    <x v="18"/>
    <x v="4"/>
    <x v="1"/>
    <n v="1"/>
    <n v="149.9"/>
    <n v="23.98"/>
    <s v="credit_card"/>
    <n v="12"/>
    <x v="1"/>
    <x v="2"/>
    <s v="Rio de Janeiro"/>
  </r>
  <r>
    <s v="4c95e64d87f0a8e6c7e8ffc83767df0f"/>
    <s v="2018-05-16"/>
    <x v="18"/>
    <x v="20"/>
    <x v="0"/>
    <n v="1"/>
    <n v="69.900000000000006"/>
    <n v="0"/>
    <s v="boleto"/>
    <n v="17"/>
    <x v="1"/>
    <x v="2"/>
    <s v="Tocantins"/>
  </r>
  <r>
    <s v="470ae997eff151effb3503add146880b"/>
    <s v="2018-05-16"/>
    <x v="18"/>
    <x v="2"/>
    <x v="12"/>
    <n v="1"/>
    <n v="889"/>
    <n v="28.8"/>
    <s v="credit_card"/>
    <n v="21"/>
    <x v="1"/>
    <x v="2"/>
    <s v="Goias"/>
  </r>
  <r>
    <s v="4178c05b8ab84fbe2adaf20cffadaa9d"/>
    <s v="2018-05-16"/>
    <x v="18"/>
    <x v="3"/>
    <x v="6"/>
    <n v="2"/>
    <n v="51.54"/>
    <n v="14.78"/>
    <s v="credit_card"/>
    <n v="5"/>
    <x v="1"/>
    <x v="3"/>
    <s v="Sao Paulo"/>
  </r>
  <r>
    <s v="d34b43bca6cc1cb6d49c06d6090770eb"/>
    <s v="2018-05-16"/>
    <x v="18"/>
    <x v="22"/>
    <x v="1"/>
    <n v="1"/>
    <n v="370"/>
    <n v="15.74"/>
    <s v="credit_card"/>
    <n v="23"/>
    <x v="2"/>
    <x v="0"/>
    <s v="Espirito Santo"/>
  </r>
  <r>
    <s v="800447e795f2bcf1009e0b2a88d05bbe"/>
    <s v="2018-05-16"/>
    <x v="18"/>
    <x v="3"/>
    <x v="12"/>
    <n v="4"/>
    <n v="23.6"/>
    <n v="29.56"/>
    <s v="credit_card"/>
    <n v="4"/>
    <x v="1"/>
    <x v="2"/>
    <s v="Sao Paulo"/>
  </r>
  <r>
    <s v="a3ab1f6066a1d294342241bbe29e363a"/>
    <s v="2018-05-16"/>
    <x v="18"/>
    <x v="3"/>
    <x v="0"/>
    <n v="1"/>
    <n v="120"/>
    <n v="30.7"/>
    <s v="credit_card"/>
    <n v="7"/>
    <x v="1"/>
    <x v="2"/>
    <s v="Sao Paulo"/>
  </r>
  <r>
    <s v="a45006ef91228905575d115da011049b"/>
    <s v="2018-05-16"/>
    <x v="18"/>
    <x v="3"/>
    <x v="1"/>
    <n v="1"/>
    <n v="299"/>
    <n v="10.8"/>
    <s v="credit_card"/>
    <n v="6"/>
    <x v="1"/>
    <x v="2"/>
    <s v="Sao Paulo"/>
  </r>
  <r>
    <s v="f175c06d9a1a1c98a7ba8dd83950718f"/>
    <s v="2018-05-16"/>
    <x v="18"/>
    <x v="4"/>
    <x v="0"/>
    <n v="1"/>
    <n v="89.9"/>
    <n v="41.39"/>
    <s v="credit_card"/>
    <n v="12"/>
    <x v="1"/>
    <x v="2"/>
    <s v="Rio de Janeiro"/>
  </r>
  <r>
    <s v="bab4194a4df4aac8d2cf6386c4979973"/>
    <s v="2018-05-16"/>
    <x v="18"/>
    <x v="3"/>
    <x v="20"/>
    <n v="1"/>
    <n v="65"/>
    <n v="7.39"/>
    <s v="credit_card"/>
    <n v="2"/>
    <x v="1"/>
    <x v="2"/>
    <s v="Sao Paulo"/>
  </r>
  <r>
    <s v="680b35174e2902cd642343db6b436def"/>
    <s v="2018-05-16"/>
    <x v="18"/>
    <x v="1"/>
    <x v="1"/>
    <n v="1"/>
    <n v="329"/>
    <n v="14.74"/>
    <s v="credit_card"/>
    <n v="4"/>
    <x v="1"/>
    <x v="2"/>
    <s v="Rio Grande do Sul"/>
  </r>
  <r>
    <s v="ab5cbb5966da51d374d6ca55c71c8319"/>
    <s v="2018-05-16"/>
    <x v="18"/>
    <x v="3"/>
    <x v="19"/>
    <n v="1"/>
    <n v="59"/>
    <n v="14.5"/>
    <s v="credit_card"/>
    <n v="6"/>
    <x v="1"/>
    <x v="3"/>
    <s v="Sao Paulo"/>
  </r>
  <r>
    <s v="97afe73fe13a14d269383825a8a32646"/>
    <s v="2018-05-16"/>
    <x v="18"/>
    <x v="3"/>
    <x v="6"/>
    <n v="1"/>
    <n v="19.989999999999998"/>
    <n v="7.39"/>
    <s v="credit_card"/>
    <n v="1"/>
    <x v="1"/>
    <x v="3"/>
    <s v="Sao Paulo"/>
  </r>
  <r>
    <s v="dc9b5b176c87f1c3bc2d69b282873d5b"/>
    <s v="2018-05-16"/>
    <x v="18"/>
    <x v="3"/>
    <x v="19"/>
    <n v="1"/>
    <n v="265"/>
    <n v="43.96"/>
    <s v="credit_card"/>
    <n v="19"/>
    <x v="2"/>
    <x v="2"/>
    <s v="Sao Paulo"/>
  </r>
  <r>
    <s v="8416d26ac5ef346cd2926c3b35e1da86"/>
    <s v="2018-05-16"/>
    <x v="18"/>
    <x v="3"/>
    <x v="9"/>
    <n v="1"/>
    <n v="29.9"/>
    <n v="7.71"/>
    <s v="boleto"/>
    <n v="5"/>
    <x v="1"/>
    <x v="2"/>
    <s v="Sao Paulo"/>
  </r>
  <r>
    <s v="89e7c89d4642d0f6de33b1314a209e96"/>
    <s v="2018-05-16"/>
    <x v="18"/>
    <x v="4"/>
    <x v="5"/>
    <n v="2"/>
    <n v="296"/>
    <n v="28.98"/>
    <s v="credit_card"/>
    <n v="27"/>
    <x v="2"/>
    <x v="0"/>
    <s v="Rio de Janeiro"/>
  </r>
  <r>
    <s v="c5bff3d6b9585e55844afce2a2061259"/>
    <s v="2018-05-16"/>
    <x v="18"/>
    <x v="1"/>
    <x v="20"/>
    <n v="1"/>
    <n v="87.97"/>
    <n v="23.2"/>
    <s v="credit_card"/>
    <n v="9"/>
    <x v="1"/>
    <x v="2"/>
    <s v="Rio Grande do Sul"/>
  </r>
  <r>
    <s v="0cfabecb909812856ae6d21400104334"/>
    <s v="2018-05-16"/>
    <x v="18"/>
    <x v="3"/>
    <x v="14"/>
    <n v="1"/>
    <n v="70.25"/>
    <n v="23.07"/>
    <s v="credit_card"/>
    <n v="22"/>
    <x v="1"/>
    <x v="3"/>
    <s v="Sao Paulo"/>
  </r>
  <r>
    <s v="8d48de810012d2cb59c59d5c4e0442a3"/>
    <s v="2018-05-17"/>
    <x v="18"/>
    <x v="23"/>
    <x v="9"/>
    <n v="2"/>
    <n v="43.98"/>
    <n v="45.7"/>
    <s v="credit_card"/>
    <n v="21"/>
    <x v="1"/>
    <x v="2"/>
    <s v="Rio Grande do Norte"/>
  </r>
  <r>
    <s v="6d45b70444c5898d019ee65973019ef7"/>
    <s v="2018-05-17"/>
    <x v="18"/>
    <x v="3"/>
    <x v="14"/>
    <n v="2"/>
    <n v="98"/>
    <n v="28.88"/>
    <s v="credit_card"/>
    <n v="5"/>
    <x v="1"/>
    <x v="2"/>
    <s v="Sao Paulo"/>
  </r>
  <r>
    <s v="ce7c7e5c6b73492e11c8155ed626416d"/>
    <s v="2018-05-17"/>
    <x v="18"/>
    <x v="1"/>
    <x v="14"/>
    <n v="2"/>
    <n v="139.80000000000001"/>
    <n v="36.14"/>
    <s v="credit_card"/>
    <n v="19"/>
    <x v="1"/>
    <x v="3"/>
    <s v="Rio Grande do Sul"/>
  </r>
  <r>
    <s v="27de70aab873d2512659020719964c2a"/>
    <s v="2018-05-17"/>
    <x v="18"/>
    <x v="11"/>
    <x v="17"/>
    <n v="1"/>
    <n v="44"/>
    <n v="19.04"/>
    <s v="credit_card"/>
    <n v="22"/>
    <x v="1"/>
    <x v="3"/>
    <s v="Para"/>
  </r>
  <r>
    <s v="c9dacb231adb8fe3a8d4d452aa10bfe1"/>
    <s v="2018-05-17"/>
    <x v="18"/>
    <x v="7"/>
    <x v="4"/>
    <n v="1"/>
    <n v="30"/>
    <n v="19.32"/>
    <s v="boleto"/>
    <n v="27"/>
    <x v="2"/>
    <x v="0"/>
    <s v="Minas Gerais"/>
  </r>
  <r>
    <s v="99a12301d30f34d260111f258570bbfc"/>
    <s v="2018-05-17"/>
    <x v="18"/>
    <x v="3"/>
    <x v="14"/>
    <n v="1"/>
    <n v="69.900000000000006"/>
    <n v="13.85"/>
    <s v="boleto"/>
    <n v="7"/>
    <x v="1"/>
    <x v="2"/>
    <s v="Sao Paulo"/>
  </r>
  <r>
    <s v="5ab86968467c65a96b9a6437e9e83164"/>
    <s v="2018-05-17"/>
    <x v="18"/>
    <x v="21"/>
    <x v="63"/>
    <n v="1"/>
    <n v="750"/>
    <n v="49.87"/>
    <s v="boleto"/>
    <n v="21"/>
    <x v="2"/>
    <x v="2"/>
    <s v="Bahia"/>
  </r>
  <r>
    <s v="7cc93b2925f1d8b88fbcd410b02bc5b5"/>
    <s v="2018-05-17"/>
    <x v="18"/>
    <x v="3"/>
    <x v="14"/>
    <n v="2"/>
    <n v="598"/>
    <n v="42.28"/>
    <s v="credit_card"/>
    <n v="4"/>
    <x v="1"/>
    <x v="2"/>
    <s v="Sao Paulo"/>
  </r>
  <r>
    <s v="9d9d06f2b18d6a0dbf941721131b65eb"/>
    <s v="2018-05-17"/>
    <x v="18"/>
    <x v="3"/>
    <x v="13"/>
    <n v="1"/>
    <n v="29.99"/>
    <n v="7.87"/>
    <s v="boleto"/>
    <n v="4"/>
    <x v="1"/>
    <x v="2"/>
    <s v="Sao Paulo"/>
  </r>
  <r>
    <s v="d49c4942f461cbef8cfc4269ad86195b"/>
    <s v="2018-05-18"/>
    <x v="18"/>
    <x v="3"/>
    <x v="5"/>
    <n v="1"/>
    <n v="114.9"/>
    <n v="15.68"/>
    <s v="credit_card"/>
    <n v="5"/>
    <x v="1"/>
    <x v="3"/>
    <s v="Sao Paulo"/>
  </r>
  <r>
    <s v="25850021261764efbccacf5e29ed13f7"/>
    <s v="2018-05-18"/>
    <x v="18"/>
    <x v="3"/>
    <x v="21"/>
    <n v="1"/>
    <n v="279.99"/>
    <n v="10.55"/>
    <s v="credit_card"/>
    <n v="7"/>
    <x v="1"/>
    <x v="2"/>
    <s v="Sao Paulo"/>
  </r>
  <r>
    <s v="47206fff1e56391bf30b5acbe7f5f7a2"/>
    <s v="2018-05-18"/>
    <x v="18"/>
    <x v="3"/>
    <x v="17"/>
    <n v="1"/>
    <n v="13.65"/>
    <n v="7.39"/>
    <s v="credit_card"/>
    <n v="3"/>
    <x v="1"/>
    <x v="2"/>
    <s v="Sao Paulo"/>
  </r>
  <r>
    <s v="28d14a9fb1c0c5e0667fd9ed3834eb5e"/>
    <s v="2018-05-18"/>
    <x v="18"/>
    <x v="3"/>
    <x v="5"/>
    <n v="1"/>
    <n v="70.900000000000006"/>
    <n v="17.21"/>
    <s v="voucher"/>
    <n v="7"/>
    <x v="1"/>
    <x v="2"/>
    <s v="Sao Paulo"/>
  </r>
  <r>
    <s v="9378f7fb4dad9527f338b16cd75fc196"/>
    <s v="2018-05-18"/>
    <x v="18"/>
    <x v="3"/>
    <x v="4"/>
    <n v="1"/>
    <n v="98.44"/>
    <n v="18.57"/>
    <s v="credit_card"/>
    <n v="19"/>
    <x v="1"/>
    <x v="1"/>
    <s v="Sao Paulo"/>
  </r>
  <r>
    <s v="ab85e3c92c828eb802fd91345e45d92e"/>
    <s v="2018-05-18"/>
    <x v="18"/>
    <x v="5"/>
    <x v="19"/>
    <n v="1"/>
    <n v="330.99"/>
    <n v="26.98"/>
    <s v="credit_card"/>
    <n v="14"/>
    <x v="1"/>
    <x v="1"/>
    <s v="Parana"/>
  </r>
  <r>
    <s v="37e7875cdce5a9e5b3a692971f370151"/>
    <s v="2018-05-18"/>
    <x v="18"/>
    <x v="21"/>
    <x v="1"/>
    <n v="1"/>
    <n v="34.9"/>
    <n v="22.06"/>
    <s v="credit_card"/>
    <n v="19"/>
    <x v="1"/>
    <x v="3"/>
    <s v="Bahia"/>
  </r>
  <r>
    <s v="eb208b2789d0b383599396c007996073"/>
    <s v="2018-05-18"/>
    <x v="18"/>
    <x v="3"/>
    <x v="6"/>
    <n v="1"/>
    <n v="13.77"/>
    <n v="7.39"/>
    <s v="credit_card"/>
    <n v="4"/>
    <x v="1"/>
    <x v="1"/>
    <s v="Sao Paulo"/>
  </r>
  <r>
    <s v="67b0b5998d225c031727557708e9bfb3"/>
    <s v="2018-05-18"/>
    <x v="18"/>
    <x v="1"/>
    <x v="19"/>
    <n v="4"/>
    <n v="600"/>
    <n v="57.56"/>
    <s v="credit_card"/>
    <n v="20"/>
    <x v="1"/>
    <x v="3"/>
    <s v="Rio Grande do Sul"/>
  </r>
  <r>
    <s v="2c87632da2d3149c3812ca5da44418e6"/>
    <s v="2018-05-18"/>
    <x v="18"/>
    <x v="21"/>
    <x v="5"/>
    <n v="1"/>
    <n v="99"/>
    <n v="37.380000000000003"/>
    <s v="credit_card"/>
    <n v="21"/>
    <x v="1"/>
    <x v="2"/>
    <s v="Bahia"/>
  </r>
  <r>
    <s v="756fbe4ee70c4866a3cfb2facf6d7ec8"/>
    <s v="2018-05-19"/>
    <x v="18"/>
    <x v="3"/>
    <x v="20"/>
    <n v="1"/>
    <n v="89.99"/>
    <n v="15.53"/>
    <s v="credit_card"/>
    <n v="2"/>
    <x v="1"/>
    <x v="2"/>
    <s v="Sao Paulo"/>
  </r>
  <r>
    <s v="395e3c91f1eec0bda9e0cf4f57d3bf3b"/>
    <s v="2018-05-19"/>
    <x v="18"/>
    <x v="8"/>
    <x v="13"/>
    <n v="1"/>
    <n v="319"/>
    <n v="20.11"/>
    <s v="credit_card"/>
    <n v="14"/>
    <x v="1"/>
    <x v="3"/>
    <s v="Santa Catarina"/>
  </r>
  <r>
    <s v="e540d00fceab564fcd95cc8a75b10beb"/>
    <s v="2018-05-19"/>
    <x v="18"/>
    <x v="21"/>
    <x v="19"/>
    <n v="1"/>
    <n v="97"/>
    <n v="27.41"/>
    <s v="credit_card"/>
    <n v="18"/>
    <x v="1"/>
    <x v="3"/>
    <s v="Bahia"/>
  </r>
  <r>
    <s v="1a302b3c311d6fd772e886b742c24304"/>
    <s v="2018-05-19"/>
    <x v="18"/>
    <x v="3"/>
    <x v="19"/>
    <n v="1"/>
    <n v="69.989999999999995"/>
    <n v="8.8800000000000008"/>
    <s v="credit_card"/>
    <n v="4"/>
    <x v="1"/>
    <x v="1"/>
    <s v="Sao Paulo"/>
  </r>
  <r>
    <s v="652050879a7da861024a1114f926958d"/>
    <s v="2018-05-19"/>
    <x v="18"/>
    <x v="3"/>
    <x v="19"/>
    <n v="1"/>
    <n v="138"/>
    <n v="42.59"/>
    <s v="credit_card"/>
    <n v="19"/>
    <x v="1"/>
    <x v="2"/>
    <s v="Sao Paulo"/>
  </r>
  <r>
    <s v="b2569f05d40ea199f859f0d9cdc7b9d6"/>
    <s v="2018-05-20"/>
    <x v="18"/>
    <x v="3"/>
    <x v="9"/>
    <n v="1"/>
    <n v="53.69"/>
    <n v="8.64"/>
    <s v="credit_card"/>
    <n v="3"/>
    <x v="1"/>
    <x v="3"/>
    <s v="Sao Paulo"/>
  </r>
  <r>
    <s v="fb7688c98b85305cf636fb26b2804186"/>
    <s v="2018-05-20"/>
    <x v="18"/>
    <x v="7"/>
    <x v="17"/>
    <n v="1"/>
    <n v="30"/>
    <n v="18.23"/>
    <s v="voucher"/>
    <n v="23"/>
    <x v="2"/>
    <x v="5"/>
    <s v="Minas Gerais"/>
  </r>
  <r>
    <s v="18fe9e7ed59582d16d26a9bd99872e7c"/>
    <s v="2018-05-20"/>
    <x v="18"/>
    <x v="7"/>
    <x v="20"/>
    <n v="1"/>
    <n v="19.899999999999999"/>
    <n v="18.23"/>
    <s v="credit_card"/>
    <n v="8"/>
    <x v="1"/>
    <x v="2"/>
    <s v="Minas Gerais"/>
  </r>
  <r>
    <s v="78135b03c6d7a39f10996624b9baf92a"/>
    <s v="2018-05-20"/>
    <x v="18"/>
    <x v="3"/>
    <x v="19"/>
    <n v="1"/>
    <n v="149.97"/>
    <n v="15.93"/>
    <s v="credit_card"/>
    <n v="2"/>
    <x v="1"/>
    <x v="2"/>
    <s v="Sao Paulo"/>
  </r>
  <r>
    <s v="4b13014a5302b496d85822e47906556c"/>
    <s v="2018-05-20"/>
    <x v="18"/>
    <x v="1"/>
    <x v="57"/>
    <n v="1"/>
    <n v="57.89"/>
    <n v="12.77"/>
    <s v="credit_card"/>
    <n v="18"/>
    <x v="1"/>
    <x v="2"/>
    <s v="Rio Grande do Sul"/>
  </r>
  <r>
    <s v="0e7569797e4b4f2871c2439fa24b3888"/>
    <s v="2018-05-20"/>
    <x v="18"/>
    <x v="3"/>
    <x v="29"/>
    <n v="1"/>
    <n v="36.229999999999997"/>
    <n v="18.23"/>
    <s v="credit_card"/>
    <n v="15"/>
    <x v="1"/>
    <x v="2"/>
    <s v="Sao Paulo"/>
  </r>
  <r>
    <s v="6d15a355fd35494ccd207bec6a3a04d4"/>
    <s v="2018-05-20"/>
    <x v="18"/>
    <x v="7"/>
    <x v="19"/>
    <n v="1"/>
    <n v="69.900000000000006"/>
    <n v="7.87"/>
    <s v="credit_card"/>
    <n v="12"/>
    <x v="1"/>
    <x v="2"/>
    <s v="Minas Gerais"/>
  </r>
  <r>
    <s v="2dac1809f9dbdd8fa97870ee26c2736f"/>
    <s v="2018-05-20"/>
    <x v="18"/>
    <x v="8"/>
    <x v="25"/>
    <n v="1"/>
    <n v="59.9"/>
    <n v="19.39"/>
    <s v="credit_card"/>
    <n v="18"/>
    <x v="1"/>
    <x v="3"/>
    <s v="Santa Catarina"/>
  </r>
  <r>
    <s v="1181b3a643dfdf013bd399adcc3bed11"/>
    <s v="2018-05-20"/>
    <x v="18"/>
    <x v="4"/>
    <x v="19"/>
    <n v="1"/>
    <n v="189"/>
    <n v="27.4"/>
    <s v="boleto"/>
    <n v="19"/>
    <x v="1"/>
    <x v="2"/>
    <s v="Rio de Janeiro"/>
  </r>
  <r>
    <s v="5510c1adb5cc6262d2fd7ce904b6e8f4"/>
    <s v="2018-05-20"/>
    <x v="18"/>
    <x v="5"/>
    <x v="9"/>
    <n v="1"/>
    <n v="46.4"/>
    <n v="15.23"/>
    <s v="credit_card"/>
    <n v="25"/>
    <x v="2"/>
    <x v="0"/>
    <s v="Parana"/>
  </r>
  <r>
    <s v="d2c4b43f2986e614c4f281927c47d228"/>
    <s v="2018-05-20"/>
    <x v="18"/>
    <x v="3"/>
    <x v="17"/>
    <n v="2"/>
    <n v="53.8"/>
    <n v="17.760000000000002"/>
    <s v="credit_card"/>
    <n v="2"/>
    <x v="1"/>
    <x v="1"/>
    <s v="Sao Paulo"/>
  </r>
  <r>
    <s v="c9bfc156368eb14aae98ebff0ee377da"/>
    <s v="2018-05-20"/>
    <x v="18"/>
    <x v="4"/>
    <x v="14"/>
    <n v="1"/>
    <n v="49.95"/>
    <n v="19.32"/>
    <s v="boleto"/>
    <n v="16"/>
    <x v="1"/>
    <x v="3"/>
    <s v="Rio de Janeiro"/>
  </r>
  <r>
    <s v="caf09f63f8f702663028ad9c731a162f"/>
    <s v="2018-05-21"/>
    <x v="18"/>
    <x v="4"/>
    <x v="54"/>
    <n v="1"/>
    <n v="54.4"/>
    <n v="27.14"/>
    <s v="credit_card"/>
    <n v="18"/>
    <x v="1"/>
    <x v="1"/>
    <s v="Rio de Janeiro"/>
  </r>
  <r>
    <s v="cb04c4f13d483754c5b6e420df7cc1dd"/>
    <s v="2018-05-21"/>
    <x v="18"/>
    <x v="3"/>
    <x v="0"/>
    <n v="1"/>
    <n v="79.900000000000006"/>
    <n v="18.14"/>
    <s v="credit_card"/>
    <n v="15"/>
    <x v="1"/>
    <x v="2"/>
    <s v="Sao Paulo"/>
  </r>
  <r>
    <s v="253009218018b92ca2f36309c8dc97cf"/>
    <s v="2018-05-21"/>
    <x v="18"/>
    <x v="3"/>
    <x v="32"/>
    <n v="1"/>
    <n v="80"/>
    <n v="7.43"/>
    <s v="credit_card"/>
    <n v="2"/>
    <x v="1"/>
    <x v="2"/>
    <s v="Sao Paulo"/>
  </r>
  <r>
    <s v="fc2dd41f06d775c7fd26ecf8a529ae0a"/>
    <s v="2018-05-21"/>
    <x v="18"/>
    <x v="1"/>
    <x v="56"/>
    <n v="2"/>
    <n v="116"/>
    <n v="36.58"/>
    <s v="credit_card"/>
    <n v="16"/>
    <x v="1"/>
    <x v="2"/>
    <s v="Rio Grande do Sul"/>
  </r>
  <r>
    <s v="c3fb8e13cb37ff21273a1d90ebcf0896"/>
    <s v="2018-05-21"/>
    <x v="18"/>
    <x v="3"/>
    <x v="17"/>
    <n v="1"/>
    <n v="26.9"/>
    <n v="8.8800000000000008"/>
    <s v="credit_card"/>
    <n v="7"/>
    <x v="2"/>
    <x v="2"/>
    <s v="Sao Paulo"/>
  </r>
  <r>
    <s v="2da8623704f2a31c2f57526043b28458"/>
    <s v="2018-05-21"/>
    <x v="18"/>
    <x v="7"/>
    <x v="29"/>
    <n v="1"/>
    <n v="199"/>
    <n v="14.51"/>
    <s v="credit_card"/>
    <n v="11"/>
    <x v="1"/>
    <x v="2"/>
    <s v="Minas Gerais"/>
  </r>
  <r>
    <s v="c0834ece62641e0d8cf5da3a070f4195"/>
    <s v="2018-05-21"/>
    <x v="18"/>
    <x v="3"/>
    <x v="0"/>
    <n v="2"/>
    <n v="139.80000000000001"/>
    <n v="24.86"/>
    <s v="credit_card"/>
    <n v="2"/>
    <x v="1"/>
    <x v="2"/>
    <s v="Sao Paulo"/>
  </r>
  <r>
    <s v="fcaa27705f4857554664f4e54825d593"/>
    <s v="2018-05-22"/>
    <x v="18"/>
    <x v="3"/>
    <x v="13"/>
    <n v="1"/>
    <n v="595"/>
    <n v="85.26"/>
    <s v="boleto"/>
    <n v="15"/>
    <x v="1"/>
    <x v="2"/>
    <s v="Sao Paulo"/>
  </r>
  <r>
    <s v="7b8327bef89b921c5f3ca8b3769b0a67"/>
    <s v="2018-05-22"/>
    <x v="18"/>
    <x v="3"/>
    <x v="13"/>
    <n v="1"/>
    <n v="69.989999999999995"/>
    <n v="8.2899999999999991"/>
    <s v="boleto"/>
    <n v="2"/>
    <x v="1"/>
    <x v="2"/>
    <s v="Sao Paulo"/>
  </r>
  <r>
    <s v="955d472a5c7c0e6ee8d3ae51e258cf6a"/>
    <s v="2018-05-22"/>
    <x v="18"/>
    <x v="3"/>
    <x v="2"/>
    <n v="1"/>
    <n v="38.9"/>
    <n v="9.44"/>
    <s v="credit_card"/>
    <n v="1"/>
    <x v="1"/>
    <x v="2"/>
    <s v="Sao Paulo"/>
  </r>
  <r>
    <s v="7865280b7f716318630d85eb2ea9cd17"/>
    <s v="2018-05-22"/>
    <x v="18"/>
    <x v="3"/>
    <x v="0"/>
    <n v="2"/>
    <n v="129.6"/>
    <n v="25.78"/>
    <s v="credit_card"/>
    <n v="10"/>
    <x v="1"/>
    <x v="2"/>
    <s v="Sao Paulo"/>
  </r>
  <r>
    <s v="758c123811f3da2280246ba25f4938d1"/>
    <s v="2018-05-22"/>
    <x v="18"/>
    <x v="3"/>
    <x v="14"/>
    <n v="1"/>
    <n v="91.3"/>
    <n v="23.22"/>
    <s v="voucher"/>
    <n v="14"/>
    <x v="1"/>
    <x v="2"/>
    <s v="Sao Paulo"/>
  </r>
  <r>
    <s v="7d038f7eeec76a7eb898fef8a12e6157"/>
    <s v="2018-05-22"/>
    <x v="18"/>
    <x v="3"/>
    <x v="14"/>
    <n v="1"/>
    <n v="47.9"/>
    <n v="8.8800000000000008"/>
    <s v="boleto"/>
    <n v="6"/>
    <x v="1"/>
    <x v="1"/>
    <s v="Sao Paulo"/>
  </r>
  <r>
    <s v="6c55bf4d09523cf2a72a452cdc0f0a80"/>
    <s v="2018-05-22"/>
    <x v="18"/>
    <x v="3"/>
    <x v="28"/>
    <n v="3"/>
    <n v="449.82"/>
    <n v="72.350000000000009"/>
    <s v="credit_card"/>
    <n v="20"/>
    <x v="1"/>
    <x v="2"/>
    <s v="Sao Paulo"/>
  </r>
  <r>
    <s v="8250f4901ec804e830f26ef6fc285138"/>
    <s v="2018-05-22"/>
    <x v="18"/>
    <x v="3"/>
    <x v="8"/>
    <n v="1"/>
    <n v="110"/>
    <n v="15.67"/>
    <s v="credit_card"/>
    <n v="2"/>
    <x v="1"/>
    <x v="2"/>
    <s v="Sao Paulo"/>
  </r>
  <r>
    <s v="2d0f32fa8bc7885514c176ca48f798d6"/>
    <s v="2018-05-22"/>
    <x v="18"/>
    <x v="3"/>
    <x v="52"/>
    <n v="1"/>
    <n v="120"/>
    <n v="17.55"/>
    <s v="boleto"/>
    <n v="8"/>
    <x v="1"/>
    <x v="2"/>
    <s v="Sao Paulo"/>
  </r>
  <r>
    <s v="5347a7f07b3387d2dd23be64b9ceea32"/>
    <s v="2018-05-22"/>
    <x v="18"/>
    <x v="3"/>
    <x v="14"/>
    <n v="1"/>
    <n v="48.99"/>
    <n v="13.71"/>
    <s v="credit_card"/>
    <n v="11"/>
    <x v="1"/>
    <x v="1"/>
    <s v="Sao Paulo"/>
  </r>
  <r>
    <s v="43070b94b6d741a764e8e1ba4a2ea91d"/>
    <s v="2018-05-22"/>
    <x v="18"/>
    <x v="3"/>
    <x v="28"/>
    <n v="1"/>
    <n v="1189.9000000000001"/>
    <n v="121.05"/>
    <s v="credit_card"/>
    <n v="13"/>
    <x v="1"/>
    <x v="1"/>
    <s v="Sao Paulo"/>
  </r>
  <r>
    <s v="b09d72418cab562c0f010453c7d1fcaa"/>
    <s v="2018-05-22"/>
    <x v="18"/>
    <x v="3"/>
    <x v="19"/>
    <n v="1"/>
    <n v="24.2"/>
    <n v="17.34"/>
    <s v="boleto"/>
    <n v="5"/>
    <x v="1"/>
    <x v="2"/>
    <s v="Sao Paulo"/>
  </r>
  <r>
    <s v="20824f4d96365315a1f191746a385a0c"/>
    <s v="2018-05-22"/>
    <x v="18"/>
    <x v="3"/>
    <x v="14"/>
    <n v="1"/>
    <n v="19.899999999999999"/>
    <n v="12.79"/>
    <s v="credit_card"/>
    <n v="12"/>
    <x v="1"/>
    <x v="2"/>
    <s v="Sao Paulo"/>
  </r>
  <r>
    <s v="7068f768a623a654abf648def8753495"/>
    <s v="2018-05-22"/>
    <x v="18"/>
    <x v="3"/>
    <x v="7"/>
    <n v="3"/>
    <n v="198.7"/>
    <n v="63.19"/>
    <s v="boleto"/>
    <n v="2"/>
    <x v="1"/>
    <x v="2"/>
    <s v="Sao Paulo"/>
  </r>
  <r>
    <s v="fe00e26eb05c951aad5cbc6b7f602edb"/>
    <s v="2018-05-23"/>
    <x v="18"/>
    <x v="4"/>
    <x v="14"/>
    <n v="1"/>
    <n v="114.9"/>
    <n v="23.38"/>
    <s v="boleto"/>
    <n v="14"/>
    <x v="1"/>
    <x v="3"/>
    <s v="Rio de Janeiro"/>
  </r>
  <r>
    <s v="1a1ef8dc595adbce0e5d75d806d69286"/>
    <s v="2018-05-23"/>
    <x v="18"/>
    <x v="8"/>
    <x v="14"/>
    <n v="1"/>
    <n v="51.9"/>
    <n v="19.05"/>
    <s v="credit_card"/>
    <n v="15"/>
    <x v="1"/>
    <x v="2"/>
    <s v="Santa Catarina"/>
  </r>
  <r>
    <s v="d6bb547da098f595bc40f00e2d38056e"/>
    <s v="2018-05-23"/>
    <x v="18"/>
    <x v="3"/>
    <x v="14"/>
    <n v="1"/>
    <n v="69.900000000000006"/>
    <n v="10.210000000000001"/>
    <s v="credit_card"/>
    <n v="14"/>
    <x v="1"/>
    <x v="1"/>
    <s v="Sao Paulo"/>
  </r>
  <r>
    <s v="a2eb5d639e60dc92388b4177edfc52a4"/>
    <s v="2018-05-23"/>
    <x v="18"/>
    <x v="4"/>
    <x v="19"/>
    <n v="1"/>
    <n v="97"/>
    <n v="23.26"/>
    <s v="credit_card"/>
    <n v="9"/>
    <x v="1"/>
    <x v="1"/>
    <s v="Rio de Janeiro"/>
  </r>
  <r>
    <s v="b2b345cd2633deaf2b69c3b5c5585afa"/>
    <s v="2018-05-23"/>
    <x v="18"/>
    <x v="3"/>
    <x v="9"/>
    <n v="1"/>
    <n v="53"/>
    <n v="8.2899999999999991"/>
    <s v="boleto"/>
    <n v="2"/>
    <x v="1"/>
    <x v="2"/>
    <s v="Sao Paulo"/>
  </r>
  <r>
    <s v="ce36799829f380bb23aa467649d173c5"/>
    <s v="2018-05-24"/>
    <x v="18"/>
    <x v="3"/>
    <x v="54"/>
    <n v="1"/>
    <n v="150"/>
    <n v="11.31"/>
    <s v="boleto"/>
    <n v="13"/>
    <x v="1"/>
    <x v="0"/>
    <s v="Sao Paulo"/>
  </r>
  <r>
    <s v="fb8c84f49d464b75f05a3de37923fc87"/>
    <s v="2018-05-24"/>
    <x v="18"/>
    <x v="3"/>
    <x v="63"/>
    <n v="1"/>
    <n v="1799"/>
    <n v="29.41"/>
    <s v="credit_card"/>
    <n v="1"/>
    <x v="1"/>
    <x v="3"/>
    <s v="Sao Paulo"/>
  </r>
  <r>
    <s v="e32a92918d2cdf233b619daa465cfb6d"/>
    <s v="2018-05-24"/>
    <x v="18"/>
    <x v="3"/>
    <x v="1"/>
    <n v="2"/>
    <n v="39.979999999999997"/>
    <n v="14.78"/>
    <s v="credit_card"/>
    <n v="1"/>
    <x v="1"/>
    <x v="2"/>
    <s v="Sao Paulo"/>
  </r>
  <r>
    <s v="bb05bd3bbacf1e3c6026b43b44a6631c"/>
    <s v="2018-05-24"/>
    <x v="18"/>
    <x v="3"/>
    <x v="1"/>
    <n v="1"/>
    <n v="22.3"/>
    <n v="8.8800000000000008"/>
    <s v="boleto"/>
    <n v="8"/>
    <x v="1"/>
    <x v="2"/>
    <s v="Sao Paulo"/>
  </r>
  <r>
    <s v="db1c20a4da0424fc89761d0a694ea01a"/>
    <s v="2018-05-24"/>
    <x v="18"/>
    <x v="3"/>
    <x v="13"/>
    <n v="1"/>
    <n v="85"/>
    <n v="13.03"/>
    <s v="credit_card"/>
    <n v="4"/>
    <x v="1"/>
    <x v="2"/>
    <s v="Sao Paulo"/>
  </r>
  <r>
    <s v="944f138622bd3f426cb3c1588035ce87"/>
    <s v="2018-05-24"/>
    <x v="18"/>
    <x v="5"/>
    <x v="0"/>
    <n v="1"/>
    <n v="99.9"/>
    <n v="11.38"/>
    <s v="credit_card"/>
    <n v="8"/>
    <x v="1"/>
    <x v="2"/>
    <s v="Parana"/>
  </r>
  <r>
    <s v="2109de10cb751b43648fd8c1ebbb1d0f"/>
    <s v="2018-05-24"/>
    <x v="18"/>
    <x v="3"/>
    <x v="19"/>
    <n v="3"/>
    <n v="291"/>
    <n v="44.31"/>
    <s v="credit_card"/>
    <n v="9"/>
    <x v="1"/>
    <x v="3"/>
    <s v="Sao Paulo"/>
  </r>
  <r>
    <s v="96eb9d1d1588412109dae29e68f86e86"/>
    <s v="2018-05-25"/>
    <x v="18"/>
    <x v="3"/>
    <x v="4"/>
    <n v="1"/>
    <n v="75.900000000000006"/>
    <n v="13.65"/>
    <s v="credit_card"/>
    <n v="13"/>
    <x v="1"/>
    <x v="3"/>
    <s v="Sao Paulo"/>
  </r>
  <r>
    <s v="c4406c3911b19657e6304e5c7c61a069"/>
    <s v="2018-05-25"/>
    <x v="18"/>
    <x v="1"/>
    <x v="8"/>
    <n v="1"/>
    <n v="109.99"/>
    <n v="7.95"/>
    <s v="credit_card"/>
    <n v="3"/>
    <x v="1"/>
    <x v="2"/>
    <s v="Rio Grande do Sul"/>
  </r>
  <r>
    <s v="a853cdd8003fb8372f09eefdb15720f8"/>
    <s v="2018-05-25"/>
    <x v="18"/>
    <x v="5"/>
    <x v="6"/>
    <n v="4"/>
    <n v="109.96"/>
    <n v="63.8"/>
    <s v="credit_card"/>
    <n v="11"/>
    <x v="1"/>
    <x v="2"/>
    <s v="Parana"/>
  </r>
  <r>
    <s v="f1ec04b3b8679de55776bea7e3ad436f"/>
    <s v="2018-05-25"/>
    <x v="18"/>
    <x v="3"/>
    <x v="14"/>
    <n v="1"/>
    <n v="74.989999999999995"/>
    <n v="8.8800000000000008"/>
    <s v="credit_card"/>
    <n v="40"/>
    <x v="2"/>
    <x v="1"/>
    <s v="Sao Paulo"/>
  </r>
  <r>
    <s v="b9499283a775ccfa9da92e6e75e9b4b9"/>
    <s v="2018-05-26"/>
    <x v="18"/>
    <x v="1"/>
    <x v="19"/>
    <n v="1"/>
    <n v="18.95"/>
    <n v="18.23"/>
    <s v="credit_card"/>
    <n v="25"/>
    <x v="1"/>
    <x v="2"/>
    <s v="Rio Grande do Sul"/>
  </r>
  <r>
    <s v="57796a616d95192ef9a47a6634733f89"/>
    <s v="2018-05-26"/>
    <x v="18"/>
    <x v="8"/>
    <x v="9"/>
    <n v="1"/>
    <n v="151"/>
    <n v="15.72"/>
    <s v="credit_card"/>
    <n v="17"/>
    <x v="1"/>
    <x v="2"/>
    <s v="Santa Catarina"/>
  </r>
  <r>
    <s v="e9fe4a25c4b2cf9709c06e7e6aef0a8c"/>
    <s v="2018-05-26"/>
    <x v="18"/>
    <x v="3"/>
    <x v="2"/>
    <n v="1"/>
    <n v="115.9"/>
    <n v="24.58"/>
    <s v="credit_card"/>
    <n v="3"/>
    <x v="1"/>
    <x v="2"/>
    <s v="Sao Paulo"/>
  </r>
  <r>
    <s v="660a6fbde01967fda369dc69c3d4b50a"/>
    <s v="2018-05-27"/>
    <x v="18"/>
    <x v="21"/>
    <x v="4"/>
    <n v="1"/>
    <n v="149.9"/>
    <n v="12.06"/>
    <s v="boleto"/>
    <n v="11"/>
    <x v="1"/>
    <x v="2"/>
    <s v="Bahia"/>
  </r>
  <r>
    <s v="e98f62f167c0c56e1d6e2c852bf04adf"/>
    <s v="2018-05-28"/>
    <x v="18"/>
    <x v="3"/>
    <x v="21"/>
    <n v="1"/>
    <n v="70"/>
    <n v="19.46"/>
    <s v="credit_card"/>
    <n v="11"/>
    <x v="1"/>
    <x v="2"/>
    <s v="Sao Paulo"/>
  </r>
  <r>
    <s v="1efa3bd33f2a887addccba92edc88340"/>
    <s v="2018-05-28"/>
    <x v="18"/>
    <x v="3"/>
    <x v="19"/>
    <n v="1"/>
    <n v="399"/>
    <n v="25.11"/>
    <s v="credit_card"/>
    <n v="3"/>
    <x v="1"/>
    <x v="2"/>
    <s v="Sao Paulo"/>
  </r>
  <r>
    <s v="083c350532e95d46b3c25b7c41b1ad63"/>
    <s v="2018-05-28"/>
    <x v="18"/>
    <x v="3"/>
    <x v="19"/>
    <n v="1"/>
    <n v="79"/>
    <n v="13.46"/>
    <s v="credit_card"/>
    <n v="4"/>
    <x v="1"/>
    <x v="2"/>
    <s v="Sao Paulo"/>
  </r>
  <r>
    <s v="9797613eed6fac4314c4d5c9132c7ff4"/>
    <s v="2018-05-28"/>
    <x v="18"/>
    <x v="21"/>
    <x v="7"/>
    <n v="1"/>
    <n v="49.9"/>
    <n v="23.28"/>
    <s v="credit_card"/>
    <n v="23"/>
    <x v="1"/>
    <x v="3"/>
    <s v="Bahia"/>
  </r>
  <r>
    <s v="67adc926d34e13b8e6144b020f0e1153"/>
    <s v="2018-05-28"/>
    <x v="18"/>
    <x v="5"/>
    <x v="1"/>
    <n v="2"/>
    <n v="86"/>
    <n v="36.46"/>
    <s v="credit_card"/>
    <n v="13"/>
    <x v="1"/>
    <x v="2"/>
    <s v="Parana"/>
  </r>
  <r>
    <s v="43d5113f8c14cc2c72b763c801f47ac6"/>
    <s v="2018-05-28"/>
    <x v="18"/>
    <x v="3"/>
    <x v="14"/>
    <n v="1"/>
    <n v="199.9"/>
    <n v="13.84"/>
    <s v="credit_card"/>
    <n v="9"/>
    <x v="1"/>
    <x v="1"/>
    <s v="Sao Paulo"/>
  </r>
  <r>
    <s v="72b02234375680d174bc9fecfb0fd9fe"/>
    <s v="2018-05-28"/>
    <x v="18"/>
    <x v="3"/>
    <x v="19"/>
    <n v="1"/>
    <n v="34.9"/>
    <n v="9.44"/>
    <s v="voucher"/>
    <n v="4"/>
    <x v="1"/>
    <x v="2"/>
    <s v="Sao Paulo"/>
  </r>
  <r>
    <s v="d2485e80a65cd94cd4a4755e0934bf47"/>
    <s v="2018-05-28"/>
    <x v="18"/>
    <x v="3"/>
    <x v="14"/>
    <n v="1"/>
    <n v="149.9"/>
    <n v="12.14"/>
    <s v="credit_card"/>
    <n v="6"/>
    <x v="1"/>
    <x v="2"/>
    <s v="Sao Paulo"/>
  </r>
  <r>
    <s v="ecab7448f4b42657c66bc603971693c1"/>
    <s v="2018-05-29"/>
    <x v="18"/>
    <x v="4"/>
    <x v="7"/>
    <n v="1"/>
    <n v="138.9"/>
    <n v="13.68"/>
    <s v="boleto"/>
    <n v="8"/>
    <x v="1"/>
    <x v="1"/>
    <s v="Rio de Janeiro"/>
  </r>
  <r>
    <s v="30a08f0074bc43c8284b61015a6c530d"/>
    <s v="2018-05-29"/>
    <x v="18"/>
    <x v="4"/>
    <x v="9"/>
    <n v="1"/>
    <n v="90"/>
    <n v="27.36"/>
    <s v="boleto"/>
    <n v="14"/>
    <x v="1"/>
    <x v="0"/>
    <s v="Rio de Janeiro"/>
  </r>
  <r>
    <s v="6f73a96cdd874d89723d560bda640b52"/>
    <s v="2018-05-29"/>
    <x v="18"/>
    <x v="3"/>
    <x v="28"/>
    <n v="1"/>
    <n v="149.94"/>
    <n v="33.909999999999997"/>
    <s v="credit_card"/>
    <n v="16"/>
    <x v="1"/>
    <x v="2"/>
    <s v="Sao Paulo"/>
  </r>
  <r>
    <s v="09cbcd1a5e559da522327abcf7e30dda"/>
    <s v="2018-05-29"/>
    <x v="18"/>
    <x v="1"/>
    <x v="1"/>
    <n v="1"/>
    <n v="28.9"/>
    <n v="18.23"/>
    <s v="credit_card"/>
    <n v="14"/>
    <x v="1"/>
    <x v="2"/>
    <s v="Rio Grande do Sul"/>
  </r>
  <r>
    <s v="5d38e21bcfe6ead5e9e882d4f8c828b1"/>
    <s v="2018-05-29"/>
    <x v="18"/>
    <x v="3"/>
    <x v="4"/>
    <n v="1"/>
    <n v="12.88"/>
    <n v="7.87"/>
    <s v="credit_card"/>
    <n v="3"/>
    <x v="1"/>
    <x v="2"/>
    <s v="Sao Paulo"/>
  </r>
  <r>
    <s v="0f758f5895563ce1892043bc8f17dda1"/>
    <s v="2018-05-29"/>
    <x v="18"/>
    <x v="10"/>
    <x v="3"/>
    <n v="3"/>
    <n v="146.69999999999999"/>
    <n v="170.7"/>
    <s v="boleto"/>
    <n v="22"/>
    <x v="1"/>
    <x v="3"/>
    <s v="Piaui"/>
  </r>
  <r>
    <s v="73840bb583b69b1d181d54f3f755a4e2"/>
    <s v="2018-05-29"/>
    <x v="18"/>
    <x v="2"/>
    <x v="4"/>
    <n v="1"/>
    <n v="149.9"/>
    <n v="53.18"/>
    <s v="credit_card"/>
    <n v="20"/>
    <x v="1"/>
    <x v="3"/>
    <s v="Goias"/>
  </r>
  <r>
    <s v="3c55e82098814e81a8a9314b9ebd0be4"/>
    <s v="2018-05-30"/>
    <x v="18"/>
    <x v="3"/>
    <x v="19"/>
    <n v="1"/>
    <n v="16"/>
    <n v="12.79"/>
    <s v="credit_card"/>
    <n v="9"/>
    <x v="1"/>
    <x v="3"/>
    <s v="Sao Paulo"/>
  </r>
  <r>
    <s v="fc47141e198b2f83882cef0cbbea6886"/>
    <s v="2018-05-30"/>
    <x v="18"/>
    <x v="3"/>
    <x v="6"/>
    <n v="1"/>
    <n v="14.99"/>
    <n v="7.39"/>
    <s v="credit_card"/>
    <n v="13"/>
    <x v="1"/>
    <x v="2"/>
    <s v="Sao Paulo"/>
  </r>
  <r>
    <s v="186ff84d5b5b50a2d790cabc5800b9d1"/>
    <s v="2018-05-30"/>
    <x v="18"/>
    <x v="3"/>
    <x v="12"/>
    <n v="2"/>
    <n v="155.96"/>
    <n v="27.82"/>
    <s v="credit_card"/>
    <n v="5"/>
    <x v="1"/>
    <x v="2"/>
    <s v="Sao Paulo"/>
  </r>
  <r>
    <s v="6002f27b7795af4f2bd4da90aca5a958"/>
    <s v="2018-05-31"/>
    <x v="18"/>
    <x v="3"/>
    <x v="28"/>
    <n v="1"/>
    <n v="179.9"/>
    <n v="39.46"/>
    <s v="credit_card"/>
    <n v="20"/>
    <x v="1"/>
    <x v="3"/>
    <s v="Sao Paulo"/>
  </r>
  <r>
    <s v="cb740e05716c376f1e99f0509fad75c7"/>
    <s v="2018-05-31"/>
    <x v="18"/>
    <x v="13"/>
    <x v="22"/>
    <n v="1"/>
    <n v="180.54"/>
    <n v="53.39"/>
    <s v="credit_card"/>
    <n v="24"/>
    <x v="1"/>
    <x v="2"/>
    <s v="Maranhao"/>
  </r>
  <r>
    <s v="697c79c16c63d9a81a331219b49243e8"/>
    <s v="2018-05-31"/>
    <x v="18"/>
    <x v="7"/>
    <x v="18"/>
    <n v="1"/>
    <n v="79.900000000000006"/>
    <n v="7.74"/>
    <s v="credit_card"/>
    <n v="2"/>
    <x v="1"/>
    <x v="2"/>
    <s v="Minas Gerais"/>
  </r>
  <r>
    <s v="e393cee11ecbbcc2a9b3dd06a660957c"/>
    <s v="2018-05-31"/>
    <x v="18"/>
    <x v="7"/>
    <x v="14"/>
    <n v="1"/>
    <n v="79.900000000000006"/>
    <n v="23.14"/>
    <s v="credit_card"/>
    <n v="15"/>
    <x v="1"/>
    <x v="3"/>
    <s v="Minas Gerais"/>
  </r>
  <r>
    <s v="556e5ad87434de71e0948b9bca0046f5"/>
    <s v="2018-05-31"/>
    <x v="18"/>
    <x v="5"/>
    <x v="6"/>
    <n v="1"/>
    <n v="37.99"/>
    <n v="18.23"/>
    <s v="credit_card"/>
    <n v="13"/>
    <x v="1"/>
    <x v="3"/>
    <s v="Parana"/>
  </r>
  <r>
    <s v="c70910216a8ff28d93ac7e1c39663784"/>
    <s v="2018-05-31"/>
    <x v="18"/>
    <x v="3"/>
    <x v="22"/>
    <n v="1"/>
    <n v="227.9"/>
    <n v="8.4600000000000009"/>
    <s v="credit_card"/>
    <n v="25"/>
    <x v="1"/>
    <x v="2"/>
    <s v="Sao Paulo"/>
  </r>
  <r>
    <s v="c7e751031488310638a5952834dadf4d"/>
    <s v="2018-05-31"/>
    <x v="18"/>
    <x v="3"/>
    <x v="18"/>
    <n v="1"/>
    <n v="49"/>
    <n v="12.79"/>
    <s v="credit_card"/>
    <n v="11"/>
    <x v="1"/>
    <x v="2"/>
    <s v="Sao Paulo"/>
  </r>
  <r>
    <s v="6d710101fb9f067dd5385ea1b6021946"/>
    <s v="2018-05-31"/>
    <x v="18"/>
    <x v="3"/>
    <x v="24"/>
    <n v="1"/>
    <n v="13.9"/>
    <n v="8.8800000000000008"/>
    <s v="credit_card"/>
    <n v="13"/>
    <x v="1"/>
    <x v="2"/>
    <s v="Sao Paulo"/>
  </r>
  <r>
    <s v="a0f7769c320fd4c1900add6490eab094"/>
    <s v="2018-05-31"/>
    <x v="18"/>
    <x v="7"/>
    <x v="22"/>
    <n v="1"/>
    <n v="124.9"/>
    <n v="16.84"/>
    <s v="credit_card"/>
    <n v="39"/>
    <x v="1"/>
    <x v="1"/>
    <s v="Minas Gerais"/>
  </r>
  <r>
    <s v="80d49171762a51f500bf6b774aa24617"/>
    <s v="2018-05-31"/>
    <x v="18"/>
    <x v="3"/>
    <x v="9"/>
    <n v="1"/>
    <n v="2749.65"/>
    <n v="38.22"/>
    <s v="credit_card"/>
    <n v="5"/>
    <x v="1"/>
    <x v="2"/>
    <s v="Sao Paulo"/>
  </r>
  <r>
    <s v="fe9ee959acb4aa3fd81440e75ccbe0cf"/>
    <s v="2018-06-01"/>
    <x v="19"/>
    <x v="7"/>
    <x v="25"/>
    <n v="1"/>
    <n v="123.99"/>
    <n v="15.75"/>
    <s v="credit_card"/>
    <n v="7"/>
    <x v="1"/>
    <x v="2"/>
    <s v="Minas Gerais"/>
  </r>
  <r>
    <s v="b142695409c8bbe4749969c0a697148e"/>
    <s v="2018-06-01"/>
    <x v="19"/>
    <x v="4"/>
    <x v="17"/>
    <n v="1"/>
    <n v="15"/>
    <n v="15.23"/>
    <s v="boleto"/>
    <n v="12"/>
    <x v="1"/>
    <x v="3"/>
    <s v="Rio de Janeiro"/>
  </r>
  <r>
    <s v="9dce1279b896cb9d151b2649073089c2"/>
    <s v="2018-06-01"/>
    <x v="19"/>
    <x v="3"/>
    <x v="5"/>
    <n v="1"/>
    <n v="116.5"/>
    <n v="8.16"/>
    <s v="credit_card"/>
    <n v="6"/>
    <x v="1"/>
    <x v="2"/>
    <s v="Sao Paulo"/>
  </r>
  <r>
    <s v="7a7ca02c6fd9b1c25e9452a6f56c018a"/>
    <s v="2018-06-01"/>
    <x v="19"/>
    <x v="21"/>
    <x v="22"/>
    <n v="1"/>
    <n v="84.99"/>
    <n v="22.3"/>
    <s v="credit_card"/>
    <n v="26"/>
    <x v="1"/>
    <x v="2"/>
    <s v="Bahia"/>
  </r>
  <r>
    <s v="89ee90f89627e3f3d3fa700921a80197"/>
    <s v="2018-06-01"/>
    <x v="19"/>
    <x v="6"/>
    <x v="1"/>
    <n v="1"/>
    <n v="99.99"/>
    <n v="20.75"/>
    <s v="credit_card"/>
    <n v="16"/>
    <x v="1"/>
    <x v="2"/>
    <s v="Pernambuco"/>
  </r>
  <r>
    <s v="0cb2239ee3c4947fce4ab10c1742fe67"/>
    <s v="2018-06-01"/>
    <x v="19"/>
    <x v="7"/>
    <x v="12"/>
    <n v="1"/>
    <n v="99.49"/>
    <n v="13.82"/>
    <s v="credit_card"/>
    <n v="5"/>
    <x v="1"/>
    <x v="3"/>
    <s v="Minas Gerais"/>
  </r>
  <r>
    <s v="ea7bc44cb5c025230582d186e6366125"/>
    <s v="2018-06-01"/>
    <x v="19"/>
    <x v="3"/>
    <x v="22"/>
    <n v="1"/>
    <n v="229"/>
    <n v="14.04"/>
    <s v="boleto"/>
    <n v="12"/>
    <x v="1"/>
    <x v="2"/>
    <s v="Sao Paulo"/>
  </r>
  <r>
    <s v="f5bb23a6bf7d9bd0d8b8d4575dd82b58"/>
    <s v="2018-06-01"/>
    <x v="19"/>
    <x v="3"/>
    <x v="33"/>
    <n v="1"/>
    <n v="55"/>
    <n v="8.8800000000000008"/>
    <s v="credit_card"/>
    <n v="6"/>
    <x v="1"/>
    <x v="5"/>
    <s v="Sao Paulo"/>
  </r>
  <r>
    <s v="d4ab8a264235be36f72a07621046d082"/>
    <s v="2018-06-01"/>
    <x v="19"/>
    <x v="4"/>
    <x v="22"/>
    <n v="1"/>
    <n v="195.9"/>
    <n v="19.25"/>
    <s v="credit_card"/>
    <n v="11"/>
    <x v="1"/>
    <x v="3"/>
    <s v="Rio de Janeiro"/>
  </r>
  <r>
    <s v="470dea50dbd9c5e77735b49bd904af6d"/>
    <s v="2018-06-01"/>
    <x v="19"/>
    <x v="3"/>
    <x v="0"/>
    <n v="1"/>
    <n v="139.99"/>
    <n v="9.33"/>
    <s v="credit_card"/>
    <n v="7"/>
    <x v="1"/>
    <x v="3"/>
    <s v="Sao Paulo"/>
  </r>
  <r>
    <s v="e9e6694329a69927508c82d943013cb5"/>
    <s v="2018-06-01"/>
    <x v="19"/>
    <x v="21"/>
    <x v="2"/>
    <n v="1"/>
    <n v="125"/>
    <n v="37.56"/>
    <s v="credit_card"/>
    <n v="12"/>
    <x v="1"/>
    <x v="3"/>
    <s v="Bahia"/>
  </r>
  <r>
    <s v="d6a544caf1fd9274c3ff0d13257bfeac"/>
    <s v="2018-06-02"/>
    <x v="19"/>
    <x v="3"/>
    <x v="0"/>
    <n v="1"/>
    <n v="21.5"/>
    <n v="7.39"/>
    <s v="credit_card"/>
    <n v="9"/>
    <x v="1"/>
    <x v="1"/>
    <s v="Sao Paulo"/>
  </r>
  <r>
    <s v="71551c2db02730406edd5839f5e2a53b"/>
    <s v="2018-06-02"/>
    <x v="19"/>
    <x v="7"/>
    <x v="9"/>
    <n v="1"/>
    <n v="199.9"/>
    <n v="23.98"/>
    <s v="credit_card"/>
    <n v="8"/>
    <x v="1"/>
    <x v="2"/>
    <s v="Minas Gerais"/>
  </r>
  <r>
    <s v="a5903a529b9519a24ef2252f50a19cbe"/>
    <s v="2018-06-02"/>
    <x v="19"/>
    <x v="22"/>
    <x v="17"/>
    <n v="1"/>
    <n v="14.99"/>
    <n v="15.23"/>
    <s v="credit_card"/>
    <n v="10"/>
    <x v="1"/>
    <x v="3"/>
    <s v="Espirito Santo"/>
  </r>
  <r>
    <s v="7b8cdadf6b13903fc09049ba85f5ecb3"/>
    <s v="2018-06-02"/>
    <x v="19"/>
    <x v="3"/>
    <x v="13"/>
    <n v="3"/>
    <n v="180"/>
    <n v="61.71"/>
    <s v="credit_card"/>
    <n v="3"/>
    <x v="1"/>
    <x v="2"/>
    <s v="Sao Paulo"/>
  </r>
  <r>
    <s v="bd18cc55469db99cfb36886d68bb3791"/>
    <s v="2018-06-03"/>
    <x v="19"/>
    <x v="3"/>
    <x v="17"/>
    <n v="1"/>
    <n v="16.989999999999998"/>
    <n v="7.39"/>
    <s v="credit_card"/>
    <n v="2"/>
    <x v="1"/>
    <x v="2"/>
    <s v="Sao Paulo"/>
  </r>
  <r>
    <s v="7c5c5961b54c4057653d3b72bc612585"/>
    <s v="2018-06-03"/>
    <x v="19"/>
    <x v="1"/>
    <x v="9"/>
    <n v="1"/>
    <n v="330"/>
    <n v="20.190000000000001"/>
    <s v="boleto"/>
    <n v="10"/>
    <x v="1"/>
    <x v="2"/>
    <s v="Rio Grande do Sul"/>
  </r>
  <r>
    <s v="2709ee9d4fc363bd22b6bc782fa3668f"/>
    <s v="2018-06-03"/>
    <x v="19"/>
    <x v="5"/>
    <x v="3"/>
    <n v="1"/>
    <n v="80"/>
    <n v="7.75"/>
    <s v="credit_card"/>
    <n v="2"/>
    <x v="1"/>
    <x v="5"/>
    <s v="Parana"/>
  </r>
  <r>
    <s v="d185b5e82eb8f2ff1175d13bbbdcea13"/>
    <s v="2018-06-03"/>
    <x v="19"/>
    <x v="18"/>
    <x v="9"/>
    <n v="1"/>
    <n v="330"/>
    <n v="17.190000000000001"/>
    <s v="credit_card"/>
    <n v="8"/>
    <x v="1"/>
    <x v="1"/>
    <s v="Distrito Federal"/>
  </r>
  <r>
    <s v="f93af565de05d2427790ad8d0368a80e"/>
    <s v="2018-06-03"/>
    <x v="19"/>
    <x v="3"/>
    <x v="9"/>
    <n v="1"/>
    <n v="79.989999999999995"/>
    <n v="8.32"/>
    <s v="credit_card"/>
    <n v="2"/>
    <x v="1"/>
    <x v="2"/>
    <s v="Sao Paulo"/>
  </r>
  <r>
    <s v="cd1709e97dc100d3eea6e801ca6f3a29"/>
    <s v="2018-06-03"/>
    <x v="19"/>
    <x v="7"/>
    <x v="20"/>
    <n v="1"/>
    <n v="157"/>
    <n v="18.98"/>
    <s v="credit_card"/>
    <n v="8"/>
    <x v="1"/>
    <x v="2"/>
    <s v="Minas Gerais"/>
  </r>
  <r>
    <s v="63523ca4619b9bf3e69631ca6a273e4f"/>
    <s v="2018-06-03"/>
    <x v="19"/>
    <x v="1"/>
    <x v="17"/>
    <n v="1"/>
    <n v="12.9"/>
    <n v="15.23"/>
    <s v="credit_card"/>
    <n v="15"/>
    <x v="1"/>
    <x v="3"/>
    <s v="Rio Grande do Sul"/>
  </r>
  <r>
    <s v="5f12df808d35ea25be28ad052f4aa3ea"/>
    <s v="2018-06-03"/>
    <x v="19"/>
    <x v="3"/>
    <x v="9"/>
    <n v="1"/>
    <n v="330"/>
    <n v="10.07"/>
    <s v="boleto"/>
    <n v="3"/>
    <x v="1"/>
    <x v="2"/>
    <s v="Sao Paulo"/>
  </r>
  <r>
    <s v="494fa4e20c0a57c2f565a2d43a41462b"/>
    <s v="2018-06-03"/>
    <x v="19"/>
    <x v="8"/>
    <x v="22"/>
    <n v="1"/>
    <n v="227.9"/>
    <n v="19.48"/>
    <s v="credit_card"/>
    <n v="25"/>
    <x v="1"/>
    <x v="5"/>
    <s v="Santa Catarina"/>
  </r>
  <r>
    <s v="a0e10efd1951db4d6347c04f4c79a3f5"/>
    <s v="2018-06-03"/>
    <x v="19"/>
    <x v="4"/>
    <x v="22"/>
    <n v="1"/>
    <n v="95"/>
    <n v="18.55"/>
    <s v="credit_card"/>
    <n v="7"/>
    <x v="1"/>
    <x v="2"/>
    <s v="Rio de Janeiro"/>
  </r>
  <r>
    <s v="cc8978e74f4d8907fbad695ee3f7f933"/>
    <s v="2018-06-04"/>
    <x v="19"/>
    <x v="4"/>
    <x v="56"/>
    <n v="1"/>
    <n v="167.5"/>
    <n v="48"/>
    <s v="debit_card"/>
    <n v="4"/>
    <x v="1"/>
    <x v="2"/>
    <s v="Rio de Janeiro"/>
  </r>
  <r>
    <s v="adf094db594ac7282fe50859f69cdb31"/>
    <s v="2018-06-04"/>
    <x v="19"/>
    <x v="7"/>
    <x v="28"/>
    <n v="1"/>
    <n v="149.99"/>
    <n v="33.31"/>
    <s v="credit_card"/>
    <n v="13"/>
    <x v="1"/>
    <x v="2"/>
    <s v="Minas Gerais"/>
  </r>
  <r>
    <s v="1bab231e166587a2e6834a89ab97b32d"/>
    <s v="2018-06-04"/>
    <x v="19"/>
    <x v="3"/>
    <x v="9"/>
    <n v="1"/>
    <n v="69.900000000000006"/>
    <n v="18.37"/>
    <s v="credit_card"/>
    <n v="7"/>
    <x v="1"/>
    <x v="3"/>
    <s v="Sao Paulo"/>
  </r>
  <r>
    <s v="45c653bdeb327fde86e2a52bd3d33e89"/>
    <s v="2018-06-04"/>
    <x v="19"/>
    <x v="7"/>
    <x v="36"/>
    <n v="1"/>
    <n v="29.9"/>
    <n v="18.23"/>
    <s v="credit_card"/>
    <n v="6"/>
    <x v="1"/>
    <x v="3"/>
    <s v="Minas Gerais"/>
  </r>
  <r>
    <s v="13d7a56c8538c342f96bc88730ef2919"/>
    <s v="2018-06-04"/>
    <x v="19"/>
    <x v="7"/>
    <x v="57"/>
    <n v="1"/>
    <n v="274.95"/>
    <n v="28"/>
    <s v="credit_card"/>
    <n v="15"/>
    <x v="1"/>
    <x v="2"/>
    <s v="Minas Gerais"/>
  </r>
  <r>
    <s v="96b205ed4ede615918071ef68a2f8831"/>
    <s v="2018-06-04"/>
    <x v="19"/>
    <x v="13"/>
    <x v="4"/>
    <n v="1"/>
    <n v="40"/>
    <n v="22.85"/>
    <s v="boleto"/>
    <n v="22"/>
    <x v="1"/>
    <x v="2"/>
    <s v="Maranhao"/>
  </r>
  <r>
    <s v="49d0ecc62e79de0f34766cb97df47cf7"/>
    <s v="2018-06-04"/>
    <x v="19"/>
    <x v="3"/>
    <x v="17"/>
    <n v="1"/>
    <n v="9.9"/>
    <n v="12.79"/>
    <s v="credit_card"/>
    <n v="14"/>
    <x v="1"/>
    <x v="2"/>
    <s v="Sao Paulo"/>
  </r>
  <r>
    <s v="9991f93b8033efb6a155363142504f5a"/>
    <s v="2018-06-04"/>
    <x v="19"/>
    <x v="3"/>
    <x v="58"/>
    <n v="2"/>
    <n v="90"/>
    <n v="25.58"/>
    <s v="credit_card"/>
    <n v="8"/>
    <x v="1"/>
    <x v="3"/>
    <s v="Sao Paulo"/>
  </r>
  <r>
    <s v="3d1a669c8ccacd61bf065e1537d5cad4"/>
    <s v="2018-06-04"/>
    <x v="19"/>
    <x v="3"/>
    <x v="19"/>
    <n v="1"/>
    <n v="179"/>
    <n v="27.69"/>
    <s v="credit_card"/>
    <n v="2"/>
    <x v="1"/>
    <x v="2"/>
    <s v="Sao Paulo"/>
  </r>
  <r>
    <s v="182499c96e47e2fa18c6d442a1fa6b1f"/>
    <s v="2018-06-04"/>
    <x v="19"/>
    <x v="3"/>
    <x v="9"/>
    <n v="1"/>
    <n v="141.9"/>
    <n v="19.96"/>
    <s v="credit_card"/>
    <n v="3"/>
    <x v="1"/>
    <x v="2"/>
    <s v="Sao Paulo"/>
  </r>
  <r>
    <s v="a67eb7e1e345d47ea191f88d20b02f48"/>
    <s v="2018-06-04"/>
    <x v="19"/>
    <x v="3"/>
    <x v="12"/>
    <n v="1"/>
    <n v="34.99"/>
    <n v="8.2899999999999991"/>
    <s v="credit_card"/>
    <n v="1"/>
    <x v="1"/>
    <x v="2"/>
    <s v="Sao Paulo"/>
  </r>
  <r>
    <s v="753e537c63c618f5c27c4a3a51182909"/>
    <s v="2018-06-04"/>
    <x v="19"/>
    <x v="4"/>
    <x v="2"/>
    <n v="1"/>
    <n v="79"/>
    <n v="17.260000000000002"/>
    <s v="credit_card"/>
    <n v="7"/>
    <x v="1"/>
    <x v="5"/>
    <s v="Rio de Janeiro"/>
  </r>
  <r>
    <s v="77178560d74827781c4c0495c5a5abc2"/>
    <s v="2018-06-04"/>
    <x v="19"/>
    <x v="3"/>
    <x v="21"/>
    <n v="1"/>
    <n v="149.9"/>
    <n v="60.06"/>
    <s v="voucher"/>
    <n v="7"/>
    <x v="1"/>
    <x v="2"/>
    <s v="Sao Paulo"/>
  </r>
  <r>
    <s v="a29e1c93ee597410428699bb1e339edb"/>
    <s v="2018-06-04"/>
    <x v="19"/>
    <x v="3"/>
    <x v="36"/>
    <n v="1"/>
    <n v="46.2"/>
    <n v="9.44"/>
    <s v="credit_card"/>
    <n v="3"/>
    <x v="1"/>
    <x v="5"/>
    <s v="Sao Paulo"/>
  </r>
  <r>
    <s v="d105b386fa5b4aab107c43ba2760f64b"/>
    <s v="2018-06-04"/>
    <x v="19"/>
    <x v="3"/>
    <x v="19"/>
    <n v="1"/>
    <n v="49.9"/>
    <n v="8.2899999999999991"/>
    <s v="voucher"/>
    <n v="7"/>
    <x v="1"/>
    <x v="5"/>
    <s v="Sao Paulo"/>
  </r>
  <r>
    <s v="dbaabdb0be80480bf6306b5e3c953017"/>
    <s v="2018-06-04"/>
    <x v="19"/>
    <x v="3"/>
    <x v="4"/>
    <n v="1"/>
    <n v="119"/>
    <n v="57.09"/>
    <s v="credit_card"/>
    <n v="9"/>
    <x v="1"/>
    <x v="2"/>
    <s v="Sao Paulo"/>
  </r>
  <r>
    <s v="0b9b1c5bbb14862e0e96660280048b04"/>
    <s v="2018-06-04"/>
    <x v="19"/>
    <x v="3"/>
    <x v="26"/>
    <n v="1"/>
    <n v="8.99"/>
    <n v="7.39"/>
    <s v="credit_card"/>
    <n v="2"/>
    <x v="1"/>
    <x v="3"/>
    <s v="Sao Paulo"/>
  </r>
  <r>
    <s v="61762cc32c47f742be3e930cac5d681d"/>
    <s v="2018-06-04"/>
    <x v="19"/>
    <x v="3"/>
    <x v="29"/>
    <n v="1"/>
    <n v="114.9"/>
    <n v="7.67"/>
    <s v="credit_card"/>
    <n v="6"/>
    <x v="1"/>
    <x v="2"/>
    <s v="Sao Paulo"/>
  </r>
  <r>
    <s v="9d2a11bab82354e3c134c7212988228a"/>
    <s v="2018-06-04"/>
    <x v="19"/>
    <x v="3"/>
    <x v="19"/>
    <n v="1"/>
    <n v="87"/>
    <n v="34.700000000000003"/>
    <s v="boleto"/>
    <n v="5"/>
    <x v="1"/>
    <x v="3"/>
    <s v="Sao Paulo"/>
  </r>
  <r>
    <s v="2bae46553a029f4e6c9976e173d676ef"/>
    <s v="2018-06-04"/>
    <x v="19"/>
    <x v="1"/>
    <x v="9"/>
    <n v="1"/>
    <n v="122.99"/>
    <n v="84.41"/>
    <s v="boleto"/>
    <n v="16"/>
    <x v="1"/>
    <x v="2"/>
    <s v="Rio Grande do Sul"/>
  </r>
  <r>
    <s v="099e239a7cce8ed6ef0905feb80808c0"/>
    <s v="2018-06-04"/>
    <x v="19"/>
    <x v="6"/>
    <x v="14"/>
    <n v="1"/>
    <n v="144.99"/>
    <n v="47.45"/>
    <s v="boleto"/>
    <n v="17"/>
    <x v="1"/>
    <x v="3"/>
    <s v="Pernambuco"/>
  </r>
  <r>
    <s v="75b96a3b1a4aa70f1b20c1e86020cfd3"/>
    <s v="2018-06-04"/>
    <x v="19"/>
    <x v="3"/>
    <x v="7"/>
    <n v="1"/>
    <n v="49.9"/>
    <n v="17.260000000000002"/>
    <s v="credit_card"/>
    <n v="7"/>
    <x v="1"/>
    <x v="2"/>
    <s v="Sao Paulo"/>
  </r>
  <r>
    <s v="8deb64b979ba1e9e5325ca8427efec4f"/>
    <s v="2018-06-05"/>
    <x v="19"/>
    <x v="3"/>
    <x v="22"/>
    <n v="1"/>
    <n v="95"/>
    <n v="7.53"/>
    <s v="debit_card"/>
    <n v="3"/>
    <x v="1"/>
    <x v="2"/>
    <s v="Sao Paulo"/>
  </r>
  <r>
    <s v="c046779e1ef14c11e325b9b9a46d610d"/>
    <s v="2018-06-05"/>
    <x v="19"/>
    <x v="3"/>
    <x v="5"/>
    <n v="1"/>
    <n v="19.899999999999999"/>
    <n v="7.39"/>
    <s v="boleto"/>
    <n v="4"/>
    <x v="1"/>
    <x v="1"/>
    <s v="Sao Paulo"/>
  </r>
  <r>
    <s v="0e6844f9954c0a475641b6490c3f9739"/>
    <s v="2018-06-05"/>
    <x v="19"/>
    <x v="3"/>
    <x v="14"/>
    <n v="4"/>
    <n v="239.6"/>
    <n v="77.56"/>
    <s v="debit_card"/>
    <n v="7"/>
    <x v="1"/>
    <x v="0"/>
    <s v="Sao Paulo"/>
  </r>
  <r>
    <s v="90e0d38d1d5842547ebd5cb95069c1f7"/>
    <s v="2018-06-05"/>
    <x v="19"/>
    <x v="3"/>
    <x v="29"/>
    <n v="1"/>
    <n v="8.6999999999999993"/>
    <n v="7.39"/>
    <s v="credit_card"/>
    <n v="6"/>
    <x v="1"/>
    <x v="2"/>
    <s v="Sao Paulo"/>
  </r>
  <r>
    <s v="6333046a213dd2a7a2fa8909a8111bfb"/>
    <s v="2018-06-05"/>
    <x v="19"/>
    <x v="6"/>
    <x v="12"/>
    <n v="1"/>
    <n v="134.9"/>
    <n v="38.99"/>
    <s v="credit_card"/>
    <n v="15"/>
    <x v="1"/>
    <x v="2"/>
    <s v="Pernambuco"/>
  </r>
  <r>
    <s v="1a73487544d0b9f2ae19eaf22e3c7462"/>
    <s v="2018-06-05"/>
    <x v="19"/>
    <x v="21"/>
    <x v="1"/>
    <n v="1"/>
    <n v="55"/>
    <n v="27.12"/>
    <s v="boleto"/>
    <n v="28"/>
    <x v="1"/>
    <x v="2"/>
    <s v="Bahia"/>
  </r>
  <r>
    <s v="c2baa2c68f42b3980566cf7f366fcd5b"/>
    <s v="2018-06-05"/>
    <x v="19"/>
    <x v="7"/>
    <x v="18"/>
    <n v="1"/>
    <n v="34.99"/>
    <n v="15.23"/>
    <s v="credit_card"/>
    <n v="9"/>
    <x v="1"/>
    <x v="2"/>
    <s v="Minas Gerais"/>
  </r>
  <r>
    <s v="507a6db9c4fdc782cddab2d468782a97"/>
    <s v="2018-06-05"/>
    <x v="19"/>
    <x v="4"/>
    <x v="14"/>
    <n v="1"/>
    <n v="56.99"/>
    <n v="19.37"/>
    <s v="credit_card"/>
    <n v="56"/>
    <x v="2"/>
    <x v="0"/>
    <s v="Rio de Janeiro"/>
  </r>
  <r>
    <s v="a44bccae654f637781e1918da79f4fd2"/>
    <s v="2018-06-06"/>
    <x v="19"/>
    <x v="4"/>
    <x v="14"/>
    <n v="1"/>
    <n v="119.9"/>
    <n v="40.909999999999997"/>
    <s v="credit_card"/>
    <n v="14"/>
    <x v="1"/>
    <x v="2"/>
    <s v="Rio de Janeiro"/>
  </r>
  <r>
    <s v="3eaa38ceecb7aa8a13c72b571236041d"/>
    <s v="2018-06-06"/>
    <x v="19"/>
    <x v="2"/>
    <x v="12"/>
    <n v="1"/>
    <n v="67.989999999999995"/>
    <n v="16.45"/>
    <s v="credit_card"/>
    <n v="11"/>
    <x v="1"/>
    <x v="2"/>
    <s v="Goias"/>
  </r>
  <r>
    <s v="859b8b69ff63d94b4c45df72adb387b2"/>
    <s v="2018-06-06"/>
    <x v="19"/>
    <x v="4"/>
    <x v="14"/>
    <n v="1"/>
    <n v="199.9"/>
    <n v="27.48"/>
    <s v="boleto"/>
    <n v="9"/>
    <x v="1"/>
    <x v="3"/>
    <s v="Rio de Janeiro"/>
  </r>
  <r>
    <s v="6f61cfff949f6d2569a44327aaaca639"/>
    <s v="2018-06-06"/>
    <x v="19"/>
    <x v="4"/>
    <x v="22"/>
    <n v="1"/>
    <n v="105"/>
    <n v="9.27"/>
    <s v="boleto"/>
    <n v="13"/>
    <x v="1"/>
    <x v="1"/>
    <s v="Rio de Janeiro"/>
  </r>
  <r>
    <s v="f8433ba8190dc8137e3409d466cf90ef"/>
    <s v="2018-06-06"/>
    <x v="19"/>
    <x v="7"/>
    <x v="12"/>
    <n v="1"/>
    <n v="36.75"/>
    <n v="18.23"/>
    <s v="credit_card"/>
    <n v="7"/>
    <x v="1"/>
    <x v="3"/>
    <s v="Minas Gerais"/>
  </r>
  <r>
    <s v="38776c227318fc6906defc2d197cb17a"/>
    <s v="2018-06-06"/>
    <x v="19"/>
    <x v="3"/>
    <x v="57"/>
    <n v="1"/>
    <n v="14.95"/>
    <n v="8.2899999999999991"/>
    <s v="credit_card"/>
    <n v="5"/>
    <x v="1"/>
    <x v="2"/>
    <s v="Sao Paulo"/>
  </r>
  <r>
    <s v="dd254408dc9d63326b2028c5ffe9e23b"/>
    <s v="2018-06-06"/>
    <x v="19"/>
    <x v="4"/>
    <x v="19"/>
    <n v="1"/>
    <n v="22.9"/>
    <n v="13.34"/>
    <s v="boleto"/>
    <n v="13"/>
    <x v="1"/>
    <x v="1"/>
    <s v="Rio de Janeiro"/>
  </r>
  <r>
    <s v="55d273b56003b6897fad01895ef4f482"/>
    <s v="2018-06-06"/>
    <x v="19"/>
    <x v="4"/>
    <x v="22"/>
    <n v="1"/>
    <n v="95"/>
    <n v="15.55"/>
    <s v="credit_card"/>
    <n v="5"/>
    <x v="1"/>
    <x v="3"/>
    <s v="Rio de Janeiro"/>
  </r>
  <r>
    <s v="87afd3fd1ec1b984a228c772b5dd2a4c"/>
    <s v="2018-06-06"/>
    <x v="19"/>
    <x v="5"/>
    <x v="22"/>
    <n v="1"/>
    <n v="78"/>
    <n v="18.43"/>
    <s v="credit_card"/>
    <n v="6"/>
    <x v="1"/>
    <x v="3"/>
    <s v="Parana"/>
  </r>
  <r>
    <s v="80e3ea9d65b89f8cbaa3d1f08f5dbd17"/>
    <s v="2018-06-06"/>
    <x v="19"/>
    <x v="4"/>
    <x v="14"/>
    <n v="1"/>
    <n v="89.9"/>
    <n v="23.21"/>
    <s v="credit_card"/>
    <n v="13"/>
    <x v="1"/>
    <x v="3"/>
    <s v="Rio de Janeiro"/>
  </r>
  <r>
    <s v="605b6e2919387ca3cd0480e7d420320f"/>
    <s v="2018-06-06"/>
    <x v="19"/>
    <x v="18"/>
    <x v="2"/>
    <n v="1"/>
    <n v="29.9"/>
    <n v="15.23"/>
    <s v="credit_card"/>
    <n v="5"/>
    <x v="1"/>
    <x v="2"/>
    <s v="Distrito Federal"/>
  </r>
  <r>
    <s v="92ba7c89244ceee45a169b86da9fcada"/>
    <s v="2018-06-06"/>
    <x v="19"/>
    <x v="7"/>
    <x v="29"/>
    <n v="1"/>
    <n v="79.900000000000006"/>
    <n v="16.53"/>
    <s v="credit_card"/>
    <n v="5"/>
    <x v="1"/>
    <x v="2"/>
    <s v="Minas Gerais"/>
  </r>
  <r>
    <s v="3dbe9476def7eceba5ab2cab07ac948e"/>
    <s v="2018-06-06"/>
    <x v="19"/>
    <x v="3"/>
    <x v="21"/>
    <n v="1"/>
    <n v="39.99"/>
    <n v="7.71"/>
    <s v="credit_card"/>
    <n v="2"/>
    <x v="1"/>
    <x v="2"/>
    <s v="Sao Paulo"/>
  </r>
  <r>
    <s v="8d73d05fe1d2142179985e04712e8485"/>
    <s v="2018-06-06"/>
    <x v="19"/>
    <x v="10"/>
    <x v="9"/>
    <n v="1"/>
    <n v="110.32"/>
    <n v="23.27"/>
    <s v="credit_card"/>
    <n v="51"/>
    <x v="2"/>
    <x v="0"/>
    <s v="Piaui"/>
  </r>
  <r>
    <s v="5ef687909733df8914b4723111ceb1a2"/>
    <s v="2018-06-06"/>
    <x v="19"/>
    <x v="3"/>
    <x v="26"/>
    <n v="1"/>
    <n v="86"/>
    <n v="8.9"/>
    <s v="credit_card"/>
    <n v="4"/>
    <x v="1"/>
    <x v="2"/>
    <s v="Sao Paulo"/>
  </r>
  <r>
    <s v="ac5cedb0f5d816dd6ac33929fcfd1f00"/>
    <s v="2018-06-07"/>
    <x v="19"/>
    <x v="14"/>
    <x v="9"/>
    <n v="1"/>
    <n v="66.989999999999995"/>
    <n v="60.53"/>
    <s v="boleto"/>
    <n v="12"/>
    <x v="1"/>
    <x v="2"/>
    <s v="Mato Grosso do Sul"/>
  </r>
  <r>
    <s v="d931b40ce94a288787de6e568f9a76b3"/>
    <s v="2018-06-07"/>
    <x v="19"/>
    <x v="6"/>
    <x v="14"/>
    <n v="1"/>
    <n v="52.9"/>
    <n v="42.43"/>
    <s v="credit_card"/>
    <n v="18"/>
    <x v="1"/>
    <x v="3"/>
    <s v="Pernambuco"/>
  </r>
  <r>
    <s v="2f1134015ad299ec4f3ae950c5761e69"/>
    <s v="2018-06-07"/>
    <x v="19"/>
    <x v="3"/>
    <x v="14"/>
    <n v="2"/>
    <n v="164.8"/>
    <n v="29.33"/>
    <s v="credit_card"/>
    <n v="7"/>
    <x v="1"/>
    <x v="0"/>
    <s v="Sao Paulo"/>
  </r>
  <r>
    <s v="cd9a4a2f34981d431266156f950ce0ef"/>
    <s v="2018-06-07"/>
    <x v="19"/>
    <x v="6"/>
    <x v="1"/>
    <n v="1"/>
    <n v="65.900000000000006"/>
    <n v="22.96"/>
    <s v="credit_card"/>
    <n v="20"/>
    <x v="1"/>
    <x v="2"/>
    <s v="Pernambuco"/>
  </r>
  <r>
    <s v="8881dc280b8de23e6913aaee6bf61bb5"/>
    <s v="2018-06-07"/>
    <x v="19"/>
    <x v="5"/>
    <x v="4"/>
    <n v="1"/>
    <n v="109.99"/>
    <n v="63.92"/>
    <s v="credit_card"/>
    <n v="8"/>
    <x v="1"/>
    <x v="2"/>
    <s v="Parana"/>
  </r>
  <r>
    <s v="0eeaf3619d35e90b2430da57d351dd01"/>
    <s v="2018-06-07"/>
    <x v="19"/>
    <x v="3"/>
    <x v="14"/>
    <n v="1"/>
    <n v="129"/>
    <n v="18.78"/>
    <s v="credit_card"/>
    <n v="7"/>
    <x v="1"/>
    <x v="3"/>
    <s v="Sao Paulo"/>
  </r>
  <r>
    <s v="73563e5cad2305f7972626384efdd8a1"/>
    <s v="2018-06-07"/>
    <x v="19"/>
    <x v="4"/>
    <x v="22"/>
    <n v="1"/>
    <n v="359.9"/>
    <n v="20.399999999999999"/>
    <s v="credit_card"/>
    <n v="7"/>
    <x v="1"/>
    <x v="1"/>
    <s v="Rio de Janeiro"/>
  </r>
  <r>
    <s v="87366ca73707125ffa59204926a728cb"/>
    <s v="2018-06-07"/>
    <x v="19"/>
    <x v="3"/>
    <x v="14"/>
    <n v="1"/>
    <n v="51.99"/>
    <n v="8.8800000000000008"/>
    <s v="credit_card"/>
    <n v="1"/>
    <x v="1"/>
    <x v="2"/>
    <s v="Sao Paulo"/>
  </r>
  <r>
    <s v="c79d89949e9c0c15257737ad928cd954"/>
    <s v="2018-06-07"/>
    <x v="19"/>
    <x v="3"/>
    <x v="17"/>
    <n v="1"/>
    <n v="60.9"/>
    <n v="11.15"/>
    <s v="boleto"/>
    <n v="3"/>
    <x v="1"/>
    <x v="2"/>
    <s v="Sao Paulo"/>
  </r>
  <r>
    <s v="23d4f61b839ef6570d6bc7210be91d8b"/>
    <s v="2018-06-07"/>
    <x v="19"/>
    <x v="21"/>
    <x v="4"/>
    <n v="1"/>
    <n v="99.99"/>
    <n v="7.88"/>
    <s v="credit_card"/>
    <n v="14"/>
    <x v="1"/>
    <x v="5"/>
    <s v="Bahia"/>
  </r>
  <r>
    <s v="2536e0f8936553b5d7c7de59d0dc4b0e"/>
    <s v="2018-06-08"/>
    <x v="19"/>
    <x v="4"/>
    <x v="12"/>
    <n v="1"/>
    <n v="89.99"/>
    <n v="18.21"/>
    <s v="credit_card"/>
    <n v="17"/>
    <x v="1"/>
    <x v="1"/>
    <s v="Rio de Janeiro"/>
  </r>
  <r>
    <s v="4ec19b697aade053fdce351d848f2a01"/>
    <s v="2018-06-08"/>
    <x v="19"/>
    <x v="3"/>
    <x v="19"/>
    <n v="1"/>
    <n v="75"/>
    <n v="18.41"/>
    <s v="credit_card"/>
    <n v="18"/>
    <x v="1"/>
    <x v="2"/>
    <s v="Sao Paulo"/>
  </r>
  <r>
    <s v="b17d1971fecd03b2f511cbf6cfab681e"/>
    <s v="2018-06-08"/>
    <x v="19"/>
    <x v="8"/>
    <x v="7"/>
    <n v="1"/>
    <n v="174.99"/>
    <n v="23.8"/>
    <s v="credit_card"/>
    <n v="21"/>
    <x v="1"/>
    <x v="3"/>
    <s v="Santa Catarina"/>
  </r>
  <r>
    <s v="df7cf69b92e5ffc5ff57038ee4990f00"/>
    <s v="2018-06-08"/>
    <x v="19"/>
    <x v="3"/>
    <x v="17"/>
    <n v="1"/>
    <n v="11.89"/>
    <n v="17.059999999999999"/>
    <s v="boleto"/>
    <n v="10"/>
    <x v="1"/>
    <x v="3"/>
    <s v="Sao Paulo"/>
  </r>
  <r>
    <s v="425fcc243ccff35a28b40a54a506487b"/>
    <s v="2018-06-08"/>
    <x v="19"/>
    <x v="3"/>
    <x v="9"/>
    <n v="1"/>
    <n v="54"/>
    <n v="13.74"/>
    <s v="credit_card"/>
    <n v="6"/>
    <x v="1"/>
    <x v="1"/>
    <s v="Sao Paulo"/>
  </r>
  <r>
    <s v="a506cff68ad939f030138d38c2350dd0"/>
    <s v="2018-06-08"/>
    <x v="19"/>
    <x v="3"/>
    <x v="2"/>
    <n v="2"/>
    <n v="123.8"/>
    <n v="23.38"/>
    <s v="credit_card"/>
    <n v="3"/>
    <x v="1"/>
    <x v="2"/>
    <s v="Sao Paulo"/>
  </r>
  <r>
    <s v="aaddf267c922a9dd81dd0d1ba5d0459a"/>
    <s v="2018-06-08"/>
    <x v="19"/>
    <x v="12"/>
    <x v="33"/>
    <n v="1"/>
    <n v="164.9"/>
    <n v="82.31"/>
    <s v="debit_card"/>
    <n v="14"/>
    <x v="1"/>
    <x v="2"/>
    <s v="Ceara"/>
  </r>
  <r>
    <s v="6902f0d9d7309f56f50b8713c3b6a4de"/>
    <s v="2018-06-08"/>
    <x v="19"/>
    <x v="3"/>
    <x v="56"/>
    <n v="1"/>
    <n v="59.3"/>
    <n v="7.39"/>
    <s v="boleto"/>
    <n v="18"/>
    <x v="2"/>
    <x v="0"/>
    <s v="Sao Paulo"/>
  </r>
  <r>
    <s v="8512c3651a6750c25e333aebff60ca57"/>
    <s v="2018-06-08"/>
    <x v="19"/>
    <x v="14"/>
    <x v="22"/>
    <n v="1"/>
    <n v="178.9"/>
    <n v="19.13"/>
    <s v="credit_card"/>
    <n v="17"/>
    <x v="1"/>
    <x v="1"/>
    <s v="Mato Grosso do Sul"/>
  </r>
  <r>
    <s v="00c4f17dcb94448f27a2cbaa83f10a4b"/>
    <s v="2018-06-08"/>
    <x v="19"/>
    <x v="3"/>
    <x v="9"/>
    <n v="1"/>
    <n v="32"/>
    <n v="7.39"/>
    <s v="credit_card"/>
    <n v="3"/>
    <x v="1"/>
    <x v="2"/>
    <s v="Sao Paulo"/>
  </r>
  <r>
    <s v="d522ea055ceb7a828b6a82e266837784"/>
    <s v="2018-06-09"/>
    <x v="19"/>
    <x v="3"/>
    <x v="0"/>
    <n v="1"/>
    <n v="65"/>
    <n v="8.8800000000000008"/>
    <s v="credit_card"/>
    <n v="5"/>
    <x v="1"/>
    <x v="2"/>
    <s v="Sao Paulo"/>
  </r>
  <r>
    <s v="88ec70d10d0a2e45b46dc7fc335b56fb"/>
    <s v="2018-06-09"/>
    <x v="19"/>
    <x v="4"/>
    <x v="28"/>
    <n v="1"/>
    <n v="119.99"/>
    <n v="33.1"/>
    <s v="credit_card"/>
    <n v="30"/>
    <x v="1"/>
    <x v="2"/>
    <s v="Rio de Janeiro"/>
  </r>
  <r>
    <s v="c0fc9ab7bf56d900f1456a75b2cb5ab9"/>
    <s v="2018-06-09"/>
    <x v="19"/>
    <x v="26"/>
    <x v="9"/>
    <n v="1"/>
    <n v="168.48"/>
    <n v="23.68"/>
    <s v="credit_card"/>
    <n v="8"/>
    <x v="1"/>
    <x v="2"/>
    <s v="Paraiba"/>
  </r>
  <r>
    <s v="fffe41c64501cc87c801fd61db3f6244"/>
    <s v="2018-06-09"/>
    <x v="19"/>
    <x v="3"/>
    <x v="14"/>
    <n v="1"/>
    <n v="43"/>
    <n v="12.79"/>
    <s v="credit_card"/>
    <n v="5"/>
    <x v="1"/>
    <x v="2"/>
    <s v="Sao Paulo"/>
  </r>
  <r>
    <s v="7f2309408220014301685cdf123b4067"/>
    <s v="2018-06-09"/>
    <x v="19"/>
    <x v="3"/>
    <x v="0"/>
    <n v="1"/>
    <n v="78.8"/>
    <n v="12.99"/>
    <s v="credit_card"/>
    <n v="5"/>
    <x v="1"/>
    <x v="1"/>
    <s v="Sao Paulo"/>
  </r>
  <r>
    <s v="5765cf3a5fe5d5d74cfac532f9d48939"/>
    <s v="2018-06-09"/>
    <x v="19"/>
    <x v="8"/>
    <x v="5"/>
    <n v="1"/>
    <n v="309.89999999999998"/>
    <n v="23.88"/>
    <s v="credit_card"/>
    <n v="5"/>
    <x v="1"/>
    <x v="2"/>
    <s v="Santa Catarina"/>
  </r>
  <r>
    <s v="aa99487411b30032936831e56c42da2f"/>
    <s v="2018-06-09"/>
    <x v="19"/>
    <x v="6"/>
    <x v="33"/>
    <n v="1"/>
    <n v="890"/>
    <n v="101.09"/>
    <s v="credit_card"/>
    <n v="12"/>
    <x v="1"/>
    <x v="2"/>
    <s v="Pernambuco"/>
  </r>
  <r>
    <s v="85bc57a3e811daa04557aabba27f535c"/>
    <s v="2018-06-09"/>
    <x v="19"/>
    <x v="1"/>
    <x v="5"/>
    <n v="1"/>
    <n v="154"/>
    <n v="20.05"/>
    <s v="credit_card"/>
    <n v="11"/>
    <x v="1"/>
    <x v="2"/>
    <s v="Rio Grande do Sul"/>
  </r>
  <r>
    <s v="4d830da4d207262a3965ac4429084d52"/>
    <s v="2018-06-09"/>
    <x v="19"/>
    <x v="16"/>
    <x v="37"/>
    <n v="1"/>
    <n v="50"/>
    <n v="22.85"/>
    <s v="credit_card"/>
    <n v="24"/>
    <x v="1"/>
    <x v="3"/>
    <s v="Amazonas"/>
  </r>
  <r>
    <s v="3b45c3fa7862deec90565c3dbf6e9e8c"/>
    <s v="2018-06-10"/>
    <x v="19"/>
    <x v="3"/>
    <x v="14"/>
    <n v="1"/>
    <n v="129"/>
    <n v="18.78"/>
    <s v="voucher"/>
    <n v="8"/>
    <x v="1"/>
    <x v="3"/>
    <s v="Sao Paulo"/>
  </r>
  <r>
    <s v="80288d8ccb8b1899f5377f27feebb1f0"/>
    <s v="2018-06-10"/>
    <x v="19"/>
    <x v="3"/>
    <x v="22"/>
    <n v="1"/>
    <n v="178.99"/>
    <n v="13.69"/>
    <s v="credit_card"/>
    <n v="9"/>
    <x v="1"/>
    <x v="2"/>
    <s v="Sao Paulo"/>
  </r>
  <r>
    <s v="ea0295dc22e609716e19683e24874c1c"/>
    <s v="2018-06-10"/>
    <x v="19"/>
    <x v="3"/>
    <x v="25"/>
    <n v="3"/>
    <n v="89.699999999999989"/>
    <n v="39.69"/>
    <s v="credit_card"/>
    <n v="3"/>
    <x v="1"/>
    <x v="2"/>
    <s v="Sao Paulo"/>
  </r>
  <r>
    <s v="997428ea645e3cced2ab880385654112"/>
    <s v="2018-06-10"/>
    <x v="19"/>
    <x v="3"/>
    <x v="18"/>
    <n v="1"/>
    <n v="39.9"/>
    <n v="7.39"/>
    <s v="credit_card"/>
    <n v="3"/>
    <x v="1"/>
    <x v="3"/>
    <s v="Sao Paulo"/>
  </r>
  <r>
    <s v="4879204a6b45d7ba10b3d703ba460778"/>
    <s v="2018-06-10"/>
    <x v="19"/>
    <x v="4"/>
    <x v="24"/>
    <n v="1"/>
    <n v="179.9"/>
    <n v="36.39"/>
    <s v="credit_card"/>
    <n v="2"/>
    <x v="1"/>
    <x v="2"/>
    <s v="Rio de Janeiro"/>
  </r>
  <r>
    <s v="9400d8dac20b5beae1c2833bf7dc440f"/>
    <s v="2018-06-10"/>
    <x v="19"/>
    <x v="3"/>
    <x v="14"/>
    <n v="1"/>
    <n v="39.99"/>
    <n v="13.71"/>
    <s v="credit_card"/>
    <n v="8"/>
    <x v="1"/>
    <x v="2"/>
    <s v="Sao Paulo"/>
  </r>
  <r>
    <s v="852d24d230e0038f83e1337c4ab06147"/>
    <s v="2018-06-10"/>
    <x v="19"/>
    <x v="3"/>
    <x v="25"/>
    <n v="1"/>
    <n v="102.62"/>
    <n v="24.11"/>
    <s v="credit_card"/>
    <n v="15"/>
    <x v="1"/>
    <x v="3"/>
    <s v="Sao Paulo"/>
  </r>
  <r>
    <s v="9682e213157788365257ba787969f33b"/>
    <s v="2018-06-10"/>
    <x v="19"/>
    <x v="3"/>
    <x v="25"/>
    <n v="1"/>
    <n v="29.9"/>
    <n v="13.23"/>
    <s v="credit_card"/>
    <n v="2"/>
    <x v="1"/>
    <x v="2"/>
    <s v="Sao Paulo"/>
  </r>
  <r>
    <s v="0505a29e827a4c609b3fd250c0313bef"/>
    <s v="2018-06-10"/>
    <x v="19"/>
    <x v="12"/>
    <x v="9"/>
    <n v="1"/>
    <n v="99.9"/>
    <n v="42.76"/>
    <s v="boleto"/>
    <n v="19"/>
    <x v="1"/>
    <x v="3"/>
    <s v="Ceara"/>
  </r>
  <r>
    <s v="78fe61feb61fcd8421082ee8888cd93f"/>
    <s v="2018-06-10"/>
    <x v="19"/>
    <x v="3"/>
    <x v="21"/>
    <n v="1"/>
    <n v="58"/>
    <n v="15.26"/>
    <s v="credit_card"/>
    <n v="8"/>
    <x v="1"/>
    <x v="2"/>
    <s v="Sao Paulo"/>
  </r>
  <r>
    <s v="5380e1df2075d96eee6f72be7d0a0b7e"/>
    <s v="2018-06-10"/>
    <x v="19"/>
    <x v="3"/>
    <x v="15"/>
    <n v="1"/>
    <n v="109.9"/>
    <n v="14.86"/>
    <s v="credit_card"/>
    <n v="8"/>
    <x v="1"/>
    <x v="3"/>
    <s v="Sao Paulo"/>
  </r>
  <r>
    <s v="49afa8bc01b5b6aa01e875a0785cc7bf"/>
    <s v="2018-06-10"/>
    <x v="19"/>
    <x v="12"/>
    <x v="4"/>
    <n v="1"/>
    <n v="22.49"/>
    <n v="19.04"/>
    <s v="credit_card"/>
    <n v="11"/>
    <x v="1"/>
    <x v="2"/>
    <s v="Ceara"/>
  </r>
  <r>
    <s v="5551af3c5c287246cc239e923963ef6c"/>
    <s v="2018-06-10"/>
    <x v="19"/>
    <x v="2"/>
    <x v="22"/>
    <n v="1"/>
    <n v="733"/>
    <n v="23.01"/>
    <s v="credit_card"/>
    <n v="10"/>
    <x v="1"/>
    <x v="2"/>
    <s v="Goias"/>
  </r>
  <r>
    <s v="4a6f0e75398881152007f6ab2d3f5159"/>
    <s v="2018-06-10"/>
    <x v="19"/>
    <x v="3"/>
    <x v="14"/>
    <n v="1"/>
    <n v="19.899999999999999"/>
    <n v="12.79"/>
    <s v="credit_card"/>
    <m/>
    <x v="0"/>
    <x v="1"/>
    <s v="Sao Paulo"/>
  </r>
  <r>
    <s v="e6c7749520fc49e6ede435a6996d5f0e"/>
    <s v="2018-06-10"/>
    <x v="19"/>
    <x v="7"/>
    <x v="11"/>
    <n v="1"/>
    <n v="1199"/>
    <n v="35.15"/>
    <s v="credit_card"/>
    <n v="3"/>
    <x v="1"/>
    <x v="2"/>
    <s v="Minas Gerais"/>
  </r>
  <r>
    <s v="4c5e883786df8d555be4dc12f11d3fe7"/>
    <s v="2018-06-10"/>
    <x v="19"/>
    <x v="3"/>
    <x v="9"/>
    <n v="1"/>
    <n v="112.83"/>
    <n v="9.14"/>
    <s v="boleto"/>
    <m/>
    <x v="0"/>
    <x v="1"/>
    <s v="Sao Paulo"/>
  </r>
  <r>
    <s v="2c70f2b99096bd1c7b05eede8e860fc8"/>
    <s v="2018-06-11"/>
    <x v="19"/>
    <x v="11"/>
    <x v="22"/>
    <n v="1"/>
    <n v="29"/>
    <n v="37.11"/>
    <s v="credit_card"/>
    <n v="13"/>
    <x v="1"/>
    <x v="2"/>
    <s v="Para"/>
  </r>
  <r>
    <s v="a5c523f7f14f85ee88f26643f9a99e66"/>
    <s v="2018-06-11"/>
    <x v="19"/>
    <x v="7"/>
    <x v="19"/>
    <n v="1"/>
    <n v="129"/>
    <n v="26.05"/>
    <s v="credit_card"/>
    <n v="4"/>
    <x v="1"/>
    <x v="2"/>
    <s v="Minas Gerais"/>
  </r>
  <r>
    <s v="b49fb5d1cf86975cf5a295431c278a33"/>
    <s v="2018-06-11"/>
    <x v="19"/>
    <x v="3"/>
    <x v="5"/>
    <n v="2"/>
    <n v="378"/>
    <n v="29.8"/>
    <s v="credit_card"/>
    <n v="8"/>
    <x v="1"/>
    <x v="2"/>
    <s v="Sao Paulo"/>
  </r>
  <r>
    <s v="616105c9352a9668c38303ad44e056cd"/>
    <s v="2018-06-11"/>
    <x v="19"/>
    <x v="7"/>
    <x v="17"/>
    <n v="2"/>
    <n v="39.299999999999997"/>
    <n v="36.479999999999997"/>
    <s v="credit_card"/>
    <n v="9"/>
    <x v="1"/>
    <x v="5"/>
    <s v="Minas Gerais"/>
  </r>
  <r>
    <s v="464fa85d33903ce6bbc98bc18223dfe2"/>
    <s v="2018-06-11"/>
    <x v="19"/>
    <x v="3"/>
    <x v="22"/>
    <n v="2"/>
    <n v="210"/>
    <n v="33.86"/>
    <s v="credit_card"/>
    <n v="6"/>
    <x v="1"/>
    <x v="3"/>
    <s v="Sao Paulo"/>
  </r>
  <r>
    <s v="d30523a4766e8ea7e59ce35203bb73e4"/>
    <s v="2018-06-11"/>
    <x v="19"/>
    <x v="1"/>
    <x v="57"/>
    <n v="1"/>
    <n v="17.45"/>
    <n v="18.23"/>
    <s v="credit_card"/>
    <n v="10"/>
    <x v="1"/>
    <x v="2"/>
    <s v="Rio Grande do Sul"/>
  </r>
  <r>
    <s v="1b68a09aef174135ac2b4a138c3a1eda"/>
    <s v="2018-06-11"/>
    <x v="19"/>
    <x v="21"/>
    <x v="4"/>
    <n v="1"/>
    <n v="46"/>
    <n v="22.25"/>
    <s v="voucher"/>
    <n v="9"/>
    <x v="1"/>
    <x v="2"/>
    <s v="Bahia"/>
  </r>
  <r>
    <s v="d9e882686a56edc2560a4983f10daddb"/>
    <s v="2018-06-11"/>
    <x v="19"/>
    <x v="4"/>
    <x v="15"/>
    <n v="1"/>
    <n v="220.7"/>
    <n v="24.12"/>
    <s v="credit_card"/>
    <n v="10"/>
    <x v="1"/>
    <x v="2"/>
    <s v="Rio de Janeiro"/>
  </r>
  <r>
    <s v="f7f52d7843e579d62167f8afb3d1d946"/>
    <s v="2018-06-11"/>
    <x v="19"/>
    <x v="6"/>
    <x v="17"/>
    <n v="1"/>
    <n v="9.5"/>
    <n v="37.04"/>
    <s v="credit_card"/>
    <n v="9"/>
    <x v="1"/>
    <x v="2"/>
    <s v="Pernambuco"/>
  </r>
  <r>
    <s v="511ec73b8104809938ca0ee00706c0ca"/>
    <s v="2018-06-11"/>
    <x v="19"/>
    <x v="3"/>
    <x v="30"/>
    <n v="1"/>
    <n v="27.9"/>
    <n v="7.87"/>
    <s v="credit_card"/>
    <n v="2"/>
    <x v="1"/>
    <x v="3"/>
    <s v="Sao Paulo"/>
  </r>
  <r>
    <s v="a54f14e8c617edc690ea2b56276d6743"/>
    <s v="2018-06-11"/>
    <x v="19"/>
    <x v="3"/>
    <x v="4"/>
    <n v="1"/>
    <n v="63.9"/>
    <n v="13.79"/>
    <s v="credit_card"/>
    <n v="8"/>
    <x v="1"/>
    <x v="2"/>
    <s v="Sao Paulo"/>
  </r>
  <r>
    <s v="20a97330a091c74984f7cd0018cd15e4"/>
    <s v="2018-06-11"/>
    <x v="19"/>
    <x v="3"/>
    <x v="29"/>
    <n v="1"/>
    <n v="25"/>
    <n v="7.39"/>
    <s v="credit_card"/>
    <n v="1"/>
    <x v="1"/>
    <x v="2"/>
    <s v="Sao Paulo"/>
  </r>
  <r>
    <s v="eabdb3245b41ac12ad9302904538202c"/>
    <s v="2018-06-11"/>
    <x v="19"/>
    <x v="3"/>
    <x v="14"/>
    <n v="1"/>
    <n v="179.9"/>
    <n v="10.01"/>
    <s v="credit_card"/>
    <n v="4"/>
    <x v="1"/>
    <x v="0"/>
    <s v="Sao Paulo"/>
  </r>
  <r>
    <s v="03ecec245220b63fd7f68c1737ba99ba"/>
    <s v="2018-06-11"/>
    <x v="19"/>
    <x v="20"/>
    <x v="5"/>
    <n v="2"/>
    <n v="298.89999999999998"/>
    <n v="76.83"/>
    <s v="credit_card"/>
    <n v="9"/>
    <x v="1"/>
    <x v="1"/>
    <s v="Tocantins"/>
  </r>
  <r>
    <s v="9a142fefa71ded6bdc21817299f5ab7c"/>
    <s v="2018-06-11"/>
    <x v="19"/>
    <x v="20"/>
    <x v="1"/>
    <n v="1"/>
    <n v="349.9"/>
    <n v="85.37"/>
    <s v="credit_card"/>
    <n v="10"/>
    <x v="1"/>
    <x v="3"/>
    <s v="Tocantins"/>
  </r>
  <r>
    <s v="c5da9ed3db42d9ae4e1938ebd9f77a5d"/>
    <s v="2018-06-11"/>
    <x v="19"/>
    <x v="3"/>
    <x v="56"/>
    <n v="1"/>
    <n v="29.49"/>
    <n v="9.44"/>
    <s v="credit_card"/>
    <n v="3"/>
    <x v="1"/>
    <x v="2"/>
    <s v="Sao Paulo"/>
  </r>
  <r>
    <s v="71e99de0514a59f2e5ac80e89773802a"/>
    <s v="2018-06-12"/>
    <x v="19"/>
    <x v="7"/>
    <x v="22"/>
    <n v="1"/>
    <n v="95"/>
    <n v="15.77"/>
    <s v="credit_card"/>
    <n v="5"/>
    <x v="1"/>
    <x v="1"/>
    <s v="Minas Gerais"/>
  </r>
  <r>
    <s v="5c6716058d09c774a733e192b5573e96"/>
    <s v="2018-06-12"/>
    <x v="19"/>
    <x v="3"/>
    <x v="8"/>
    <n v="1"/>
    <n v="69"/>
    <n v="36.75"/>
    <s v="credit_card"/>
    <n v="8"/>
    <x v="1"/>
    <x v="2"/>
    <s v="Sao Paulo"/>
  </r>
  <r>
    <s v="549d30fc0378a3645167a900c9ece399"/>
    <s v="2018-06-12"/>
    <x v="19"/>
    <x v="21"/>
    <x v="5"/>
    <n v="1"/>
    <n v="118.9"/>
    <n v="22.76"/>
    <s v="credit_card"/>
    <n v="7"/>
    <x v="1"/>
    <x v="2"/>
    <s v="Bahia"/>
  </r>
  <r>
    <s v="1b764528e41e55c86cae49fca1d5bf18"/>
    <s v="2018-06-12"/>
    <x v="19"/>
    <x v="8"/>
    <x v="25"/>
    <n v="1"/>
    <n v="179.9"/>
    <n v="24.48"/>
    <s v="credit_card"/>
    <n v="3"/>
    <x v="1"/>
    <x v="2"/>
    <s v="Santa Catarina"/>
  </r>
  <r>
    <s v="4433add7ec1811cbdb34a289d636f1f3"/>
    <s v="2018-06-12"/>
    <x v="19"/>
    <x v="24"/>
    <x v="20"/>
    <n v="1"/>
    <n v="209.99"/>
    <n v="35.68"/>
    <s v="credit_card"/>
    <n v="16"/>
    <x v="1"/>
    <x v="3"/>
    <s v="Alagoas"/>
  </r>
  <r>
    <s v="3a5fc5a4374b66b42bae2135cfcdf9e2"/>
    <s v="2018-06-12"/>
    <x v="19"/>
    <x v="7"/>
    <x v="19"/>
    <n v="1"/>
    <n v="159.9"/>
    <n v="16.190000000000001"/>
    <s v="credit_card"/>
    <n v="6"/>
    <x v="1"/>
    <x v="2"/>
    <s v="Minas Gerais"/>
  </r>
  <r>
    <s v="f2e7c5a142f10116a1e657090e50e83a"/>
    <s v="2018-06-12"/>
    <x v="19"/>
    <x v="11"/>
    <x v="32"/>
    <n v="1"/>
    <n v="299.99"/>
    <n v="28.76"/>
    <s v="debit_card"/>
    <n v="21"/>
    <x v="1"/>
    <x v="3"/>
    <s v="Para"/>
  </r>
  <r>
    <s v="609fe250465553b45a01fc8de7109383"/>
    <s v="2018-06-12"/>
    <x v="19"/>
    <x v="3"/>
    <x v="9"/>
    <n v="1"/>
    <n v="28.9"/>
    <n v="9.51"/>
    <s v="boleto"/>
    <n v="2"/>
    <x v="1"/>
    <x v="2"/>
    <s v="Sao Paulo"/>
  </r>
  <r>
    <s v="8f702483ec7aee668f059ef71fc07a5c"/>
    <s v="2018-06-12"/>
    <x v="19"/>
    <x v="3"/>
    <x v="14"/>
    <n v="1"/>
    <n v="129"/>
    <n v="19"/>
    <s v="boleto"/>
    <n v="6"/>
    <x v="1"/>
    <x v="2"/>
    <s v="Sao Paulo"/>
  </r>
  <r>
    <s v="471a20066d4855e0de2359824437be13"/>
    <s v="2018-06-13"/>
    <x v="19"/>
    <x v="5"/>
    <x v="22"/>
    <n v="1"/>
    <n v="79"/>
    <n v="18.649999999999999"/>
    <s v="boleto"/>
    <n v="6"/>
    <x v="1"/>
    <x v="2"/>
    <s v="Parana"/>
  </r>
  <r>
    <s v="42c9e271e2d5ac7698d3061451576d42"/>
    <s v="2018-06-13"/>
    <x v="19"/>
    <x v="7"/>
    <x v="2"/>
    <n v="1"/>
    <n v="25"/>
    <n v="19.37"/>
    <s v="debit_card"/>
    <n v="7"/>
    <x v="1"/>
    <x v="2"/>
    <s v="Minas Gerais"/>
  </r>
  <r>
    <s v="ae1b14b57f98fbf9a364b91093c93e40"/>
    <s v="2018-06-13"/>
    <x v="19"/>
    <x v="5"/>
    <x v="19"/>
    <n v="1"/>
    <n v="29.9"/>
    <n v="16.399999999999999"/>
    <s v="credit_card"/>
    <n v="8"/>
    <x v="1"/>
    <x v="0"/>
    <s v="Parana"/>
  </r>
  <r>
    <s v="5bca61e411c4fcce08327a8efc371911"/>
    <s v="2018-06-13"/>
    <x v="19"/>
    <x v="3"/>
    <x v="19"/>
    <n v="1"/>
    <n v="388.16"/>
    <n v="106.11"/>
    <s v="credit_card"/>
    <m/>
    <x v="0"/>
    <x v="0"/>
    <s v="Sao Paulo"/>
  </r>
  <r>
    <s v="3eee7c93497d482e7a3c335e325ea0ec"/>
    <s v="2018-06-13"/>
    <x v="19"/>
    <x v="8"/>
    <x v="1"/>
    <n v="2"/>
    <n v="89.8"/>
    <n v="36.82"/>
    <s v="credit_card"/>
    <n v="7"/>
    <x v="1"/>
    <x v="2"/>
    <s v="Santa Catarina"/>
  </r>
  <r>
    <s v="e50fcda6d7d9a1e22b4d9d1d65ae8224"/>
    <s v="2018-06-13"/>
    <x v="19"/>
    <x v="3"/>
    <x v="0"/>
    <n v="1"/>
    <n v="39.9"/>
    <n v="12.01"/>
    <s v="boleto"/>
    <n v="9"/>
    <x v="1"/>
    <x v="2"/>
    <s v="Sao Paulo"/>
  </r>
  <r>
    <s v="9711d975b961355b4b5d636857e48498"/>
    <s v="2018-06-13"/>
    <x v="19"/>
    <x v="4"/>
    <x v="11"/>
    <n v="1"/>
    <n v="50"/>
    <n v="9.2799999999999994"/>
    <s v="credit_card"/>
    <n v="12"/>
    <x v="1"/>
    <x v="0"/>
    <s v="Rio de Janeiro"/>
  </r>
  <r>
    <s v="e2ae500f28aab47adcb9f215fac99b5b"/>
    <s v="2018-06-13"/>
    <x v="19"/>
    <x v="7"/>
    <x v="22"/>
    <n v="1"/>
    <n v="78"/>
    <n v="18.649999999999999"/>
    <s v="credit_card"/>
    <n v="6"/>
    <x v="1"/>
    <x v="2"/>
    <s v="Minas Gerais"/>
  </r>
  <r>
    <s v="dbd8e1a6d62bae210e6a42ed8bcf8d39"/>
    <s v="2018-06-13"/>
    <x v="19"/>
    <x v="4"/>
    <x v="22"/>
    <n v="1"/>
    <n v="55"/>
    <n v="15.49"/>
    <s v="credit_card"/>
    <n v="4"/>
    <x v="1"/>
    <x v="2"/>
    <s v="Rio de Janeiro"/>
  </r>
  <r>
    <s v="f52952f4c900a5c0295a392769f7538e"/>
    <s v="2018-06-13"/>
    <x v="19"/>
    <x v="3"/>
    <x v="9"/>
    <n v="1"/>
    <n v="99"/>
    <n v="13.99"/>
    <s v="credit_card"/>
    <n v="5"/>
    <x v="1"/>
    <x v="5"/>
    <s v="Sao Paulo"/>
  </r>
  <r>
    <s v="59c85bd55f3914b2f9b2d5a4d1309b51"/>
    <s v="2018-06-13"/>
    <x v="19"/>
    <x v="3"/>
    <x v="14"/>
    <n v="1"/>
    <n v="39.97"/>
    <n v="15.38"/>
    <s v="boleto"/>
    <n v="6"/>
    <x v="1"/>
    <x v="2"/>
    <s v="Sao Paulo"/>
  </r>
  <r>
    <s v="e58ac2a3d13a940b460ccc4299264f37"/>
    <s v="2018-06-13"/>
    <x v="19"/>
    <x v="1"/>
    <x v="19"/>
    <n v="1"/>
    <n v="85.9"/>
    <n v="23.4"/>
    <s v="credit_card"/>
    <n v="14"/>
    <x v="1"/>
    <x v="2"/>
    <s v="Rio Grande do Sul"/>
  </r>
  <r>
    <s v="2353c3b67536350ec12490aaa0b01c39"/>
    <s v="2018-06-13"/>
    <x v="19"/>
    <x v="3"/>
    <x v="9"/>
    <n v="1"/>
    <n v="95"/>
    <n v="7.93"/>
    <s v="credit_card"/>
    <n v="2"/>
    <x v="1"/>
    <x v="2"/>
    <s v="Sao Paulo"/>
  </r>
  <r>
    <s v="4c17c523dc7daa9cfdfb327f119179a4"/>
    <s v="2018-06-13"/>
    <x v="19"/>
    <x v="3"/>
    <x v="56"/>
    <n v="1"/>
    <n v="29.49"/>
    <n v="13.79"/>
    <s v="boleto"/>
    <n v="7"/>
    <x v="1"/>
    <x v="1"/>
    <s v="Sao Paulo"/>
  </r>
  <r>
    <s v="cad2acef57f845758b7d0da4ee76a3e1"/>
    <s v="2018-06-13"/>
    <x v="19"/>
    <x v="5"/>
    <x v="0"/>
    <n v="1"/>
    <n v="189.9"/>
    <n v="86.54"/>
    <s v="credit_card"/>
    <n v="8"/>
    <x v="1"/>
    <x v="2"/>
    <s v="Parana"/>
  </r>
  <r>
    <s v="0b61dd71ead1e65e9d50db5b89cb5cc4"/>
    <s v="2018-06-13"/>
    <x v="19"/>
    <x v="7"/>
    <x v="9"/>
    <n v="1"/>
    <n v="110.32"/>
    <n v="18.87"/>
    <s v="credit_card"/>
    <n v="6"/>
    <x v="1"/>
    <x v="3"/>
    <s v="Minas Gerais"/>
  </r>
  <r>
    <s v="9f625a3ed898cbfe30b9f9ef44897889"/>
    <s v="2018-06-13"/>
    <x v="19"/>
    <x v="3"/>
    <x v="19"/>
    <n v="2"/>
    <n v="35.979999999999997"/>
    <n v="14.78"/>
    <s v="boleto"/>
    <n v="2"/>
    <x v="1"/>
    <x v="2"/>
    <s v="Sao Paulo"/>
  </r>
  <r>
    <s v="9c70e1f41efa94eecfbeeb5f13217760"/>
    <s v="2018-06-13"/>
    <x v="19"/>
    <x v="3"/>
    <x v="0"/>
    <n v="1"/>
    <n v="196.8"/>
    <n v="13.68"/>
    <s v="credit_card"/>
    <n v="6"/>
    <x v="1"/>
    <x v="2"/>
    <s v="Sao Paulo"/>
  </r>
  <r>
    <s v="c8567e9b03f16c9c4efdc8f8bf423204"/>
    <s v="2018-06-14"/>
    <x v="19"/>
    <x v="21"/>
    <x v="65"/>
    <n v="1"/>
    <n v="319.89999999999998"/>
    <n v="24.17"/>
    <s v="credit_card"/>
    <n v="13"/>
    <x v="1"/>
    <x v="2"/>
    <s v="Bahia"/>
  </r>
  <r>
    <s v="7c204785100c09c72acb28ef9a1f2fe2"/>
    <s v="2018-06-14"/>
    <x v="19"/>
    <x v="3"/>
    <x v="40"/>
    <n v="1"/>
    <n v="27.93"/>
    <n v="8.36"/>
    <s v="credit_card"/>
    <n v="7"/>
    <x v="1"/>
    <x v="3"/>
    <s v="Sao Paulo"/>
  </r>
  <r>
    <s v="5cd1e199b5a1a3c27407766b2788851c"/>
    <s v="2018-06-14"/>
    <x v="19"/>
    <x v="3"/>
    <x v="14"/>
    <n v="1"/>
    <n v="91.3"/>
    <n v="23.44"/>
    <s v="credit_card"/>
    <n v="12"/>
    <x v="1"/>
    <x v="2"/>
    <s v="Sao Paulo"/>
  </r>
  <r>
    <s v="a297f2735d1c57d50a70246794d12c3f"/>
    <s v="2018-06-14"/>
    <x v="19"/>
    <x v="22"/>
    <x v="1"/>
    <n v="1"/>
    <n v="26"/>
    <n v="18.28"/>
    <s v="credit_card"/>
    <n v="14"/>
    <x v="1"/>
    <x v="2"/>
    <s v="Espirito Santo"/>
  </r>
  <r>
    <s v="df545fca1d6c9f96b0eeeb751a6f2650"/>
    <s v="2018-06-14"/>
    <x v="19"/>
    <x v="18"/>
    <x v="22"/>
    <n v="1"/>
    <n v="99.99"/>
    <n v="15.8"/>
    <s v="boleto"/>
    <n v="15"/>
    <x v="1"/>
    <x v="3"/>
    <s v="Distrito Federal"/>
  </r>
  <r>
    <s v="21068b8eb0d85fa340b2cfaecaec42a8"/>
    <s v="2018-06-14"/>
    <x v="19"/>
    <x v="17"/>
    <x v="21"/>
    <n v="1"/>
    <n v="169.9"/>
    <n v="61.47"/>
    <s v="credit_card"/>
    <n v="12"/>
    <x v="1"/>
    <x v="2"/>
    <s v="Rondonia"/>
  </r>
  <r>
    <s v="ee1a60d0930166de412a27e2af280f9c"/>
    <s v="2018-06-14"/>
    <x v="19"/>
    <x v="3"/>
    <x v="14"/>
    <n v="1"/>
    <n v="47.9"/>
    <n v="9.09"/>
    <s v="credit_card"/>
    <n v="7"/>
    <x v="1"/>
    <x v="2"/>
    <s v="Sao Paulo"/>
  </r>
  <r>
    <s v="ae0b67266fec287e49a6bfa534e52d8c"/>
    <s v="2018-06-14"/>
    <x v="19"/>
    <x v="3"/>
    <x v="22"/>
    <n v="1"/>
    <n v="299.89999999999998"/>
    <n v="14.76"/>
    <s v="boleto"/>
    <n v="5"/>
    <x v="1"/>
    <x v="2"/>
    <s v="Sao Paulo"/>
  </r>
  <r>
    <s v="057889a9d468c179e39e9a6cdb5f4f8e"/>
    <s v="2018-06-15"/>
    <x v="19"/>
    <x v="3"/>
    <x v="0"/>
    <n v="1"/>
    <n v="69.900000000000006"/>
    <n v="35.340000000000003"/>
    <s v="boleto"/>
    <n v="11"/>
    <x v="1"/>
    <x v="3"/>
    <s v="Sao Paulo"/>
  </r>
  <r>
    <s v="b9e021cd678385c5fe5e9ef35d5bae49"/>
    <s v="2018-06-15"/>
    <x v="19"/>
    <x v="4"/>
    <x v="0"/>
    <n v="1"/>
    <n v="18.899999999999999"/>
    <n v="7.55"/>
    <s v="credit_card"/>
    <n v="3"/>
    <x v="1"/>
    <x v="2"/>
    <s v="Rio de Janeiro"/>
  </r>
  <r>
    <s v="77b1fb852c170c3b7facfaf20083061c"/>
    <s v="2018-06-15"/>
    <x v="19"/>
    <x v="18"/>
    <x v="9"/>
    <n v="1"/>
    <n v="51"/>
    <n v="23.16"/>
    <s v="boleto"/>
    <n v="10"/>
    <x v="1"/>
    <x v="2"/>
    <s v="Distrito Federal"/>
  </r>
  <r>
    <s v="ebcb12dc163784a4dad2cddb8feb64aa"/>
    <s v="2018-06-15"/>
    <x v="19"/>
    <x v="4"/>
    <x v="4"/>
    <n v="1"/>
    <n v="149.9"/>
    <n v="21.32"/>
    <s v="credit_card"/>
    <n v="10"/>
    <x v="1"/>
    <x v="3"/>
    <s v="Rio de Janeiro"/>
  </r>
  <r>
    <s v="7a1b04571b7a200f334cf7a4ab4c918c"/>
    <s v="2018-06-15"/>
    <x v="19"/>
    <x v="3"/>
    <x v="25"/>
    <n v="1"/>
    <n v="99.9"/>
    <n v="23.5"/>
    <s v="credit_card"/>
    <n v="6"/>
    <x v="1"/>
    <x v="2"/>
    <s v="Sao Paulo"/>
  </r>
  <r>
    <s v="ba4c51e2b3f76361019f66b1295f2593"/>
    <s v="2018-06-15"/>
    <x v="19"/>
    <x v="4"/>
    <x v="20"/>
    <n v="1"/>
    <n v="219.99"/>
    <n v="45.46"/>
    <s v="credit_card"/>
    <n v="6"/>
    <x v="1"/>
    <x v="2"/>
    <s v="Rio de Janeiro"/>
  </r>
  <r>
    <s v="a2c31cac6514866fed16c4aa57c6f773"/>
    <s v="2018-06-15"/>
    <x v="19"/>
    <x v="3"/>
    <x v="62"/>
    <n v="1"/>
    <n v="99.99"/>
    <n v="12.43"/>
    <s v="boleto"/>
    <n v="5"/>
    <x v="1"/>
    <x v="3"/>
    <s v="Sao Paulo"/>
  </r>
  <r>
    <s v="04f94352a3c9730205d3fa72cb014eb4"/>
    <s v="2018-06-15"/>
    <x v="19"/>
    <x v="7"/>
    <x v="0"/>
    <n v="2"/>
    <n v="430"/>
    <n v="84.98"/>
    <s v="credit_card"/>
    <n v="10"/>
    <x v="1"/>
    <x v="3"/>
    <s v="Minas Gerais"/>
  </r>
  <r>
    <s v="28cf0d3a2917f031ecf4715669a2dfad"/>
    <s v="2018-06-15"/>
    <x v="19"/>
    <x v="3"/>
    <x v="13"/>
    <n v="1"/>
    <n v="58.9"/>
    <n v="19.97"/>
    <s v="boleto"/>
    <n v="6"/>
    <x v="1"/>
    <x v="2"/>
    <s v="Sao Paulo"/>
  </r>
  <r>
    <s v="77831afddf2a5ebdda899a6adc91f88f"/>
    <s v="2018-06-15"/>
    <x v="19"/>
    <x v="3"/>
    <x v="2"/>
    <n v="1"/>
    <n v="89.9"/>
    <n v="9.3800000000000008"/>
    <s v="credit_card"/>
    <n v="3"/>
    <x v="1"/>
    <x v="2"/>
    <s v="Sao Paulo"/>
  </r>
  <r>
    <s v="3d4b51e124185cb134ebc4fad365dc85"/>
    <s v="2018-06-16"/>
    <x v="19"/>
    <x v="3"/>
    <x v="25"/>
    <n v="1"/>
    <n v="102"/>
    <n v="10.02"/>
    <s v="credit_card"/>
    <n v="9"/>
    <x v="1"/>
    <x v="2"/>
    <s v="Sao Paulo"/>
  </r>
  <r>
    <s v="3c01ff78a2f337f911274be0d0338656"/>
    <s v="2018-06-16"/>
    <x v="19"/>
    <x v="11"/>
    <x v="9"/>
    <n v="1"/>
    <n v="140"/>
    <n v="68.12"/>
    <s v="credit_card"/>
    <n v="18"/>
    <x v="1"/>
    <x v="3"/>
    <s v="Para"/>
  </r>
  <r>
    <s v="7427527f5f871c1681b4729ca7f38b59"/>
    <s v="2018-06-16"/>
    <x v="19"/>
    <x v="3"/>
    <x v="4"/>
    <n v="1"/>
    <n v="109.99"/>
    <n v="57.25"/>
    <s v="credit_card"/>
    <n v="11"/>
    <x v="1"/>
    <x v="2"/>
    <s v="Sao Paulo"/>
  </r>
  <r>
    <s v="3794637715d8b081505b74d3274f9c4c"/>
    <s v="2018-06-16"/>
    <x v="19"/>
    <x v="5"/>
    <x v="54"/>
    <n v="1"/>
    <n v="78"/>
    <n v="16.739999999999998"/>
    <s v="credit_card"/>
    <n v="10"/>
    <x v="1"/>
    <x v="5"/>
    <s v="Parana"/>
  </r>
  <r>
    <s v="a57d4debabea8a2d143b3d78e224d774"/>
    <s v="2018-06-16"/>
    <x v="19"/>
    <x v="7"/>
    <x v="4"/>
    <n v="1"/>
    <n v="22.32"/>
    <n v="7.74"/>
    <s v="credit_card"/>
    <n v="9"/>
    <x v="1"/>
    <x v="2"/>
    <s v="Minas Gerais"/>
  </r>
  <r>
    <s v="97be7604e2c6e1cbccaa1103dbac25ca"/>
    <s v="2018-06-16"/>
    <x v="19"/>
    <x v="3"/>
    <x v="19"/>
    <n v="1"/>
    <n v="39"/>
    <n v="14.58"/>
    <s v="boleto"/>
    <n v="6"/>
    <x v="1"/>
    <x v="2"/>
    <s v="Sao Paulo"/>
  </r>
  <r>
    <s v="6e3224c4911f8c73424e7c2c7678c01e"/>
    <s v="2018-06-17"/>
    <x v="19"/>
    <x v="7"/>
    <x v="9"/>
    <n v="1"/>
    <n v="39.99"/>
    <n v="18.38"/>
    <s v="voucher"/>
    <n v="5"/>
    <x v="1"/>
    <x v="2"/>
    <s v="Minas Gerais"/>
  </r>
  <r>
    <s v="2adb88df15a33d97f2990e59b1745820"/>
    <s v="2018-06-17"/>
    <x v="19"/>
    <x v="1"/>
    <x v="17"/>
    <n v="1"/>
    <n v="12.25"/>
    <n v="15.23"/>
    <s v="credit_card"/>
    <n v="9"/>
    <x v="1"/>
    <x v="2"/>
    <s v="Rio Grande do Sul"/>
  </r>
  <r>
    <s v="91744dee3192bc28caf20eaa3c2251ef"/>
    <s v="2018-06-17"/>
    <x v="19"/>
    <x v="12"/>
    <x v="22"/>
    <n v="1"/>
    <n v="55"/>
    <n v="19.3"/>
    <s v="voucher"/>
    <n v="11"/>
    <x v="1"/>
    <x v="2"/>
    <s v="Ceara"/>
  </r>
  <r>
    <s v="9d465e0a985e7dbc3c4b76c71a479a1f"/>
    <s v="2018-06-17"/>
    <x v="19"/>
    <x v="5"/>
    <x v="22"/>
    <n v="1"/>
    <n v="119.9"/>
    <n v="18.940000000000001"/>
    <s v="boleto"/>
    <n v="8"/>
    <x v="1"/>
    <x v="2"/>
    <s v="Parana"/>
  </r>
  <r>
    <s v="e77f560df130ed0c0170ca3c556ea1d5"/>
    <s v="2018-06-17"/>
    <x v="19"/>
    <x v="22"/>
    <x v="9"/>
    <n v="1"/>
    <n v="66.989999999999995"/>
    <n v="23.19"/>
    <s v="credit_card"/>
    <n v="11"/>
    <x v="1"/>
    <x v="2"/>
    <s v="Espirito Santo"/>
  </r>
  <r>
    <s v="8104cba0cfe32e03aa870b61f6cdbf24"/>
    <s v="2018-06-17"/>
    <x v="19"/>
    <x v="3"/>
    <x v="54"/>
    <n v="1"/>
    <n v="119.85"/>
    <n v="15.15"/>
    <s v="credit_card"/>
    <n v="12"/>
    <x v="1"/>
    <x v="5"/>
    <s v="Sao Paulo"/>
  </r>
  <r>
    <s v="74c13e4838eb5d8953b62b5f5feaf826"/>
    <s v="2018-06-17"/>
    <x v="19"/>
    <x v="21"/>
    <x v="7"/>
    <n v="1"/>
    <n v="52.9"/>
    <n v="22.3"/>
    <s v="credit_card"/>
    <n v="10"/>
    <x v="1"/>
    <x v="3"/>
    <s v="Bahia"/>
  </r>
  <r>
    <s v="08b7dbdd744f8be921b6e7f7fac199b7"/>
    <s v="2018-06-17"/>
    <x v="19"/>
    <x v="3"/>
    <x v="1"/>
    <n v="1"/>
    <n v="194.99"/>
    <n v="13.67"/>
    <s v="boleto"/>
    <n v="3"/>
    <x v="1"/>
    <x v="3"/>
    <s v="Sao Paulo"/>
  </r>
  <r>
    <s v="6e1fdac1871d58f1e81976be36a2634a"/>
    <s v="2018-06-17"/>
    <x v="19"/>
    <x v="7"/>
    <x v="9"/>
    <n v="1"/>
    <n v="29.9"/>
    <n v="18.309999999999999"/>
    <s v="credit_card"/>
    <n v="4"/>
    <x v="1"/>
    <x v="2"/>
    <s v="Minas Gerais"/>
  </r>
  <r>
    <s v="10fd0add9c8dd2fc964bbd79ce10343b"/>
    <s v="2018-06-18"/>
    <x v="19"/>
    <x v="3"/>
    <x v="4"/>
    <n v="1"/>
    <n v="12.88"/>
    <n v="7.87"/>
    <s v="credit_card"/>
    <n v="1"/>
    <x v="1"/>
    <x v="2"/>
    <s v="Sao Paulo"/>
  </r>
  <r>
    <s v="4c4f39265955100d527fe377ac3c0f55"/>
    <s v="2018-06-18"/>
    <x v="19"/>
    <x v="3"/>
    <x v="19"/>
    <n v="1"/>
    <n v="44.9"/>
    <n v="19.5"/>
    <s v="boleto"/>
    <n v="16"/>
    <x v="1"/>
    <x v="2"/>
    <s v="Sao Paulo"/>
  </r>
  <r>
    <s v="479374e6d18c89bd20eb4c80cc291fc6"/>
    <s v="2018-06-18"/>
    <x v="19"/>
    <x v="3"/>
    <x v="9"/>
    <n v="1"/>
    <n v="79.39"/>
    <n v="14.14"/>
    <s v="credit_card"/>
    <n v="4"/>
    <x v="1"/>
    <x v="2"/>
    <s v="Sao Paulo"/>
  </r>
  <r>
    <s v="30727429f8337a76c80a10e0540ce073"/>
    <s v="2018-06-18"/>
    <x v="19"/>
    <x v="3"/>
    <x v="22"/>
    <n v="1"/>
    <n v="119.9"/>
    <n v="13.5"/>
    <s v="credit_card"/>
    <n v="3"/>
    <x v="1"/>
    <x v="2"/>
    <s v="Sao Paulo"/>
  </r>
  <r>
    <s v="5f6499a6a16dcde4cd6fc183a2b26046"/>
    <s v="2018-06-18"/>
    <x v="19"/>
    <x v="3"/>
    <x v="12"/>
    <n v="1"/>
    <n v="48.9"/>
    <n v="9.4700000000000006"/>
    <s v="voucher"/>
    <n v="3"/>
    <x v="1"/>
    <x v="2"/>
    <s v="Sao Paulo"/>
  </r>
  <r>
    <s v="a4244008bc97ae9cdc3807237fa83229"/>
    <s v="2018-06-18"/>
    <x v="19"/>
    <x v="10"/>
    <x v="22"/>
    <n v="1"/>
    <n v="579"/>
    <n v="64.33"/>
    <s v="credit_card"/>
    <n v="15"/>
    <x v="1"/>
    <x v="2"/>
    <s v="Piaui"/>
  </r>
  <r>
    <s v="f3dfda8fe064d227cee42eb21b73cc69"/>
    <s v="2018-06-18"/>
    <x v="19"/>
    <x v="7"/>
    <x v="9"/>
    <n v="1"/>
    <n v="1189"/>
    <n v="26.42"/>
    <s v="boleto"/>
    <n v="7"/>
    <x v="1"/>
    <x v="2"/>
    <s v="Minas Gerais"/>
  </r>
  <r>
    <s v="431478a35228bb7816df8336af000672"/>
    <s v="2018-06-18"/>
    <x v="19"/>
    <x v="22"/>
    <x v="22"/>
    <n v="1"/>
    <n v="93.9"/>
    <n v="16.399999999999999"/>
    <s v="credit_card"/>
    <n v="9"/>
    <x v="1"/>
    <x v="2"/>
    <s v="Espirito Santo"/>
  </r>
  <r>
    <s v="1c8e780f8b1bf3054b7f2be02ea4bce4"/>
    <s v="2018-06-18"/>
    <x v="19"/>
    <x v="3"/>
    <x v="14"/>
    <n v="1"/>
    <n v="179.9"/>
    <n v="14.09"/>
    <s v="credit_card"/>
    <n v="1"/>
    <x v="1"/>
    <x v="3"/>
    <s v="Sao Paulo"/>
  </r>
  <r>
    <s v="f1557b51d80a217105b6edae448b5548"/>
    <s v="2018-06-18"/>
    <x v="19"/>
    <x v="3"/>
    <x v="6"/>
    <n v="1"/>
    <n v="18.489999999999998"/>
    <n v="7.39"/>
    <s v="credit_card"/>
    <n v="4"/>
    <x v="1"/>
    <x v="2"/>
    <s v="Sao Paulo"/>
  </r>
  <r>
    <s v="6ad7862e05692cc6d511bc83ee4669d9"/>
    <s v="2018-06-18"/>
    <x v="19"/>
    <x v="7"/>
    <x v="14"/>
    <n v="1"/>
    <n v="52.9"/>
    <n v="23.17"/>
    <s v="credit_card"/>
    <n v="9"/>
    <x v="1"/>
    <x v="2"/>
    <s v="Minas Gerais"/>
  </r>
  <r>
    <s v="b11b5fa23629054214fa15a68c0cfe73"/>
    <s v="2018-06-18"/>
    <x v="19"/>
    <x v="1"/>
    <x v="0"/>
    <n v="1"/>
    <n v="249.9"/>
    <n v="58.23"/>
    <s v="credit_card"/>
    <n v="6"/>
    <x v="1"/>
    <x v="1"/>
    <s v="Rio Grande do Sul"/>
  </r>
  <r>
    <s v="6ff68e4d7ba469f258223a389f864f25"/>
    <s v="2018-06-18"/>
    <x v="19"/>
    <x v="4"/>
    <x v="22"/>
    <n v="1"/>
    <n v="129.99"/>
    <n v="9.25"/>
    <s v="credit_card"/>
    <n v="1"/>
    <x v="1"/>
    <x v="2"/>
    <s v="Rio de Janeiro"/>
  </r>
  <r>
    <s v="07f970754e737efe221e6349eeb5a8e7"/>
    <s v="2018-06-18"/>
    <x v="19"/>
    <x v="10"/>
    <x v="9"/>
    <n v="1"/>
    <n v="114.9"/>
    <n v="83.72"/>
    <s v="boleto"/>
    <n v="16"/>
    <x v="1"/>
    <x v="2"/>
    <s v="Piaui"/>
  </r>
  <r>
    <s v="1d67293aa79feef7aac612621d710869"/>
    <s v="2018-06-19"/>
    <x v="19"/>
    <x v="18"/>
    <x v="9"/>
    <n v="1"/>
    <n v="82"/>
    <n v="18.37"/>
    <s v="credit_card"/>
    <n v="6"/>
    <x v="1"/>
    <x v="2"/>
    <s v="Distrito Federal"/>
  </r>
  <r>
    <s v="b378d3979dc4d1d8bd701f93e8b7ce6a"/>
    <s v="2018-06-19"/>
    <x v="19"/>
    <x v="15"/>
    <x v="6"/>
    <n v="1"/>
    <n v="25"/>
    <n v="17.11"/>
    <s v="credit_card"/>
    <n v="9"/>
    <x v="1"/>
    <x v="3"/>
    <s v="Mato Grosso"/>
  </r>
  <r>
    <s v="fd46b456c10f8d438b9dcaeb69932853"/>
    <s v="2018-06-19"/>
    <x v="19"/>
    <x v="3"/>
    <x v="9"/>
    <n v="1"/>
    <n v="224"/>
    <n v="16.27"/>
    <s v="credit_card"/>
    <n v="6"/>
    <x v="1"/>
    <x v="2"/>
    <s v="Sao Paulo"/>
  </r>
  <r>
    <s v="771a3c809e079dc89392a34a5d797651"/>
    <s v="2018-06-19"/>
    <x v="19"/>
    <x v="7"/>
    <x v="4"/>
    <n v="1"/>
    <n v="119.99"/>
    <n v="25"/>
    <s v="credit_card"/>
    <n v="8"/>
    <x v="1"/>
    <x v="2"/>
    <s v="Minas Gerais"/>
  </r>
  <r>
    <s v="d5b01c154bfa35f8f18cf115336714f4"/>
    <s v="2018-06-19"/>
    <x v="19"/>
    <x v="3"/>
    <x v="4"/>
    <n v="1"/>
    <n v="135"/>
    <n v="16.05"/>
    <s v="credit_card"/>
    <n v="5"/>
    <x v="1"/>
    <x v="2"/>
    <s v="Sao Paulo"/>
  </r>
  <r>
    <s v="ba6fe5e92a31200b06b69c99171eacf8"/>
    <s v="2018-06-19"/>
    <x v="19"/>
    <x v="3"/>
    <x v="9"/>
    <n v="1"/>
    <n v="74.900000000000006"/>
    <n v="7.78"/>
    <s v="credit_card"/>
    <n v="1"/>
    <x v="1"/>
    <x v="2"/>
    <s v="Sao Paulo"/>
  </r>
  <r>
    <s v="f247c7a7f6677c91066b72c033b635f3"/>
    <s v="2018-06-19"/>
    <x v="19"/>
    <x v="3"/>
    <x v="14"/>
    <n v="1"/>
    <n v="107.5"/>
    <n v="13.41"/>
    <s v="credit_card"/>
    <n v="7"/>
    <x v="1"/>
    <x v="3"/>
    <s v="Sao Paulo"/>
  </r>
  <r>
    <s v="303a73983ac1421570602e1812ea3bbd"/>
    <s v="2018-06-19"/>
    <x v="19"/>
    <x v="3"/>
    <x v="19"/>
    <n v="1"/>
    <n v="379.9"/>
    <n v="69.010000000000005"/>
    <s v="boleto"/>
    <n v="6"/>
    <x v="1"/>
    <x v="2"/>
    <s v="Sao Paulo"/>
  </r>
  <r>
    <s v="18898a06fcd1e440c28bd18943ea0e92"/>
    <s v="2018-06-19"/>
    <x v="19"/>
    <x v="22"/>
    <x v="13"/>
    <n v="1"/>
    <n v="108.9"/>
    <n v="23.56"/>
    <s v="credit_card"/>
    <n v="8"/>
    <x v="1"/>
    <x v="3"/>
    <s v="Espirito Santo"/>
  </r>
  <r>
    <s v="9a07b32ac6acb2734d3da27111fafd4f"/>
    <s v="2018-06-20"/>
    <x v="19"/>
    <x v="3"/>
    <x v="14"/>
    <n v="1"/>
    <n v="153"/>
    <n v="18.2"/>
    <s v="voucher"/>
    <n v="8"/>
    <x v="1"/>
    <x v="3"/>
    <s v="Sao Paulo"/>
  </r>
  <r>
    <s v="7a0698ce87fc4cd3e171e7361f0bc0b5"/>
    <s v="2018-06-20"/>
    <x v="19"/>
    <x v="3"/>
    <x v="22"/>
    <n v="1"/>
    <n v="120"/>
    <n v="18.940000000000001"/>
    <s v="credit_card"/>
    <n v="8"/>
    <x v="1"/>
    <x v="2"/>
    <s v="Sao Paulo"/>
  </r>
  <r>
    <s v="c17d3d6c480b09300d8daa2eb502d060"/>
    <s v="2018-06-20"/>
    <x v="19"/>
    <x v="3"/>
    <x v="14"/>
    <n v="2"/>
    <n v="99.8"/>
    <n v="27.86"/>
    <s v="credit_card"/>
    <n v="20"/>
    <x v="1"/>
    <x v="5"/>
    <s v="Sao Paulo"/>
  </r>
  <r>
    <s v="0de08476877eca848f61e9e236256b3a"/>
    <s v="2018-06-20"/>
    <x v="19"/>
    <x v="3"/>
    <x v="4"/>
    <n v="2"/>
    <n v="49.98"/>
    <n v="14.88"/>
    <s v="credit_card"/>
    <n v="1"/>
    <x v="1"/>
    <x v="3"/>
    <s v="Sao Paulo"/>
  </r>
  <r>
    <s v="ccf27ea35dc842ef81bc07ec33164b56"/>
    <s v="2018-06-20"/>
    <x v="19"/>
    <x v="3"/>
    <x v="56"/>
    <n v="1"/>
    <n v="11.49"/>
    <n v="8.82"/>
    <s v="credit_card"/>
    <n v="2"/>
    <x v="1"/>
    <x v="2"/>
    <s v="Sao Paulo"/>
  </r>
  <r>
    <s v="81ed84aeb6c20f643158b0e0ec587bd2"/>
    <s v="2018-06-20"/>
    <x v="19"/>
    <x v="3"/>
    <x v="20"/>
    <n v="1"/>
    <n v="100"/>
    <n v="25.05"/>
    <s v="credit_card"/>
    <n v="12"/>
    <x v="1"/>
    <x v="3"/>
    <s v="Sao Paulo"/>
  </r>
  <r>
    <s v="aaabf43feb9498d9de4588eb73231c25"/>
    <s v="2018-06-20"/>
    <x v="19"/>
    <x v="21"/>
    <x v="0"/>
    <n v="1"/>
    <n v="14.33"/>
    <n v="22.06"/>
    <s v="credit_card"/>
    <n v="15"/>
    <x v="1"/>
    <x v="2"/>
    <s v="Bahia"/>
  </r>
  <r>
    <s v="f1abca034cc2b7c0f679e551dc63f6bd"/>
    <s v="2018-06-20"/>
    <x v="19"/>
    <x v="3"/>
    <x v="4"/>
    <n v="1"/>
    <n v="74.89"/>
    <n v="17.45"/>
    <s v="boleto"/>
    <n v="6"/>
    <x v="1"/>
    <x v="3"/>
    <s v="Sao Paulo"/>
  </r>
  <r>
    <s v="ba7243ecb3b63c80579ba1d4c34e277c"/>
    <s v="2018-06-21"/>
    <x v="19"/>
    <x v="5"/>
    <x v="44"/>
    <n v="1"/>
    <n v="32.9"/>
    <n v="22.16"/>
    <s v="boleto"/>
    <n v="13"/>
    <x v="1"/>
    <x v="3"/>
    <s v="Parana"/>
  </r>
  <r>
    <s v="18a9c1f948e1b0500785565ef4041b85"/>
    <s v="2018-06-21"/>
    <x v="19"/>
    <x v="8"/>
    <x v="9"/>
    <n v="1"/>
    <n v="23.99"/>
    <n v="15.27"/>
    <s v="boleto"/>
    <n v="7"/>
    <x v="1"/>
    <x v="2"/>
    <s v="Santa Catarina"/>
  </r>
  <r>
    <s v="b2a075b61f56f754745f60eeca7c0f63"/>
    <s v="2018-06-21"/>
    <x v="19"/>
    <x v="8"/>
    <x v="22"/>
    <n v="1"/>
    <n v="78"/>
    <n v="15.65"/>
    <s v="boleto"/>
    <n v="13"/>
    <x v="1"/>
    <x v="2"/>
    <s v="Santa Catarina"/>
  </r>
  <r>
    <s v="4141a4d0188de2c856950810c9a5e52c"/>
    <s v="2018-06-21"/>
    <x v="19"/>
    <x v="3"/>
    <x v="11"/>
    <n v="1"/>
    <n v="153.4"/>
    <n v="14.37"/>
    <s v="credit_card"/>
    <n v="5"/>
    <x v="1"/>
    <x v="4"/>
    <s v="Sao Paulo"/>
  </r>
  <r>
    <s v="033abfda50a317e7664dc789031fbdef"/>
    <s v="2018-06-21"/>
    <x v="19"/>
    <x v="3"/>
    <x v="2"/>
    <n v="1"/>
    <n v="117"/>
    <n v="21.26"/>
    <s v="credit_card"/>
    <n v="8"/>
    <x v="1"/>
    <x v="2"/>
    <s v="Sao Paulo"/>
  </r>
  <r>
    <s v="7c48889642a4142114249d57bb4bdee4"/>
    <s v="2018-06-21"/>
    <x v="19"/>
    <x v="3"/>
    <x v="36"/>
    <n v="1"/>
    <n v="349.9"/>
    <n v="16.84"/>
    <s v="credit_card"/>
    <n v="6"/>
    <x v="1"/>
    <x v="3"/>
    <s v="Sao Paulo"/>
  </r>
  <r>
    <s v="f3ef0ddf732dfd6a0c31fe3f8cd3b948"/>
    <s v="2018-06-21"/>
    <x v="19"/>
    <x v="3"/>
    <x v="16"/>
    <n v="2"/>
    <n v="80"/>
    <n v="17.579999999999998"/>
    <s v="credit_card"/>
    <n v="8"/>
    <x v="1"/>
    <x v="2"/>
    <s v="Sao Paulo"/>
  </r>
  <r>
    <s v="1fb42df5f777c1b9bf5790d888e15075"/>
    <s v="2018-06-21"/>
    <x v="19"/>
    <x v="3"/>
    <x v="9"/>
    <n v="1"/>
    <n v="122.99"/>
    <n v="30.11"/>
    <s v="boleto"/>
    <n v="11"/>
    <x v="1"/>
    <x v="2"/>
    <s v="Sao Paulo"/>
  </r>
  <r>
    <s v="382b28c2f9fa93f5bb38c304ea11d6fc"/>
    <s v="2018-06-22"/>
    <x v="19"/>
    <x v="23"/>
    <x v="29"/>
    <n v="1"/>
    <n v="189.9"/>
    <n v="61.61"/>
    <s v="credit_card"/>
    <n v="10"/>
    <x v="1"/>
    <x v="2"/>
    <s v="Rio Grande do Norte"/>
  </r>
  <r>
    <s v="591776df8fe679d1406cdf74040ba972"/>
    <s v="2018-06-22"/>
    <x v="19"/>
    <x v="3"/>
    <x v="22"/>
    <n v="1"/>
    <n v="85"/>
    <n v="7.86"/>
    <s v="credit_card"/>
    <n v="3"/>
    <x v="1"/>
    <x v="2"/>
    <s v="Sao Paulo"/>
  </r>
  <r>
    <s v="03211eda276999d5eaa8a167a4b6286a"/>
    <s v="2018-06-22"/>
    <x v="19"/>
    <x v="1"/>
    <x v="27"/>
    <n v="1"/>
    <n v="479"/>
    <n v="38.700000000000003"/>
    <s v="credit_card"/>
    <n v="12"/>
    <x v="1"/>
    <x v="2"/>
    <s v="Rio Grande do Sul"/>
  </r>
  <r>
    <s v="613aa65ab0ca25bcfc8ce3812cafae2d"/>
    <s v="2018-06-22"/>
    <x v="19"/>
    <x v="3"/>
    <x v="1"/>
    <n v="1"/>
    <n v="55.99"/>
    <n v="18.489999999999998"/>
    <s v="debit_card"/>
    <n v="4"/>
    <x v="1"/>
    <x v="2"/>
    <s v="Sao Paulo"/>
  </r>
  <r>
    <s v="248aebbd996d29fa9e2c5fbe3d4bfd38"/>
    <s v="2018-06-22"/>
    <x v="19"/>
    <x v="8"/>
    <x v="4"/>
    <n v="1"/>
    <n v="67.989999999999995"/>
    <n v="19.670000000000002"/>
    <s v="credit_card"/>
    <n v="10"/>
    <x v="1"/>
    <x v="3"/>
    <s v="Santa Catarina"/>
  </r>
  <r>
    <s v="aed8a6355c72e229dbe6db611871f210"/>
    <s v="2018-06-22"/>
    <x v="19"/>
    <x v="3"/>
    <x v="14"/>
    <n v="1"/>
    <n v="79.900000000000006"/>
    <n v="14.87"/>
    <s v="boleto"/>
    <n v="7"/>
    <x v="1"/>
    <x v="2"/>
    <s v="Sao Paulo"/>
  </r>
  <r>
    <s v="77787bddc1466e4041a18a6109163e72"/>
    <s v="2018-06-22"/>
    <x v="19"/>
    <x v="18"/>
    <x v="12"/>
    <n v="1"/>
    <n v="48.9"/>
    <n v="19.53"/>
    <s v="credit_card"/>
    <n v="8"/>
    <x v="1"/>
    <x v="2"/>
    <s v="Distrito Federal"/>
  </r>
  <r>
    <s v="aaf89e8d7cbbf9a40432e9e1a9c880c8"/>
    <s v="2018-06-22"/>
    <x v="19"/>
    <x v="22"/>
    <x v="9"/>
    <n v="1"/>
    <n v="95"/>
    <n v="18.77"/>
    <s v="voucher"/>
    <n v="12"/>
    <x v="1"/>
    <x v="3"/>
    <s v="Espirito Santo"/>
  </r>
  <r>
    <s v="05a61d016706110ed3580eeba84e31c7"/>
    <s v="2018-06-22"/>
    <x v="19"/>
    <x v="7"/>
    <x v="14"/>
    <n v="2"/>
    <n v="99.9"/>
    <n v="36.9"/>
    <s v="credit_card"/>
    <n v="10"/>
    <x v="1"/>
    <x v="2"/>
    <s v="Minas Gerais"/>
  </r>
  <r>
    <s v="abed2a2ecd907630587f0062063d3df7"/>
    <s v="2018-06-22"/>
    <x v="19"/>
    <x v="3"/>
    <x v="9"/>
    <n v="1"/>
    <n v="65.5"/>
    <n v="8.6199999999999992"/>
    <s v="credit_card"/>
    <n v="10"/>
    <x v="1"/>
    <x v="0"/>
    <s v="Sao Paulo"/>
  </r>
  <r>
    <s v="2d8a0bc4abbb7bbb3a420f2219f02f93"/>
    <s v="2018-06-22"/>
    <x v="19"/>
    <x v="4"/>
    <x v="42"/>
    <n v="1"/>
    <n v="14.9"/>
    <n v="18.23"/>
    <s v="voucher"/>
    <n v="6"/>
    <x v="1"/>
    <x v="3"/>
    <s v="Rio de Janeiro"/>
  </r>
  <r>
    <s v="2a6d1505d28e5a6956a20dcdaa6e0464"/>
    <s v="2018-06-22"/>
    <x v="19"/>
    <x v="6"/>
    <x v="9"/>
    <n v="1"/>
    <n v="64.989999999999995"/>
    <n v="37.369999999999997"/>
    <s v="credit_card"/>
    <n v="10"/>
    <x v="1"/>
    <x v="2"/>
    <s v="Pernambuco"/>
  </r>
  <r>
    <s v="d4938fbb008a69c486b8f17c96739905"/>
    <s v="2018-06-22"/>
    <x v="19"/>
    <x v="15"/>
    <x v="14"/>
    <n v="1"/>
    <n v="34.99"/>
    <n v="23.4"/>
    <s v="boleto"/>
    <n v="14"/>
    <x v="1"/>
    <x v="4"/>
    <s v="Mato Grosso"/>
  </r>
  <r>
    <s v="fe386506094fadffd450e5754b5d9c17"/>
    <s v="2018-06-23"/>
    <x v="19"/>
    <x v="8"/>
    <x v="25"/>
    <n v="1"/>
    <n v="103"/>
    <n v="18.82"/>
    <s v="credit_card"/>
    <n v="9"/>
    <x v="1"/>
    <x v="1"/>
    <s v="Santa Catarina"/>
  </r>
  <r>
    <s v="274a7f7e4f1c17b7434a830e9b8759b1"/>
    <s v="2018-06-23"/>
    <x v="19"/>
    <x v="9"/>
    <x v="6"/>
    <n v="1"/>
    <n v="34.97"/>
    <n v="22.97"/>
    <s v="voucher"/>
    <m/>
    <x v="0"/>
    <x v="0"/>
    <s v="Sergipe"/>
  </r>
  <r>
    <s v="2db42ea65de6f21be729a6671b074a4b"/>
    <s v="2018-06-23"/>
    <x v="19"/>
    <x v="3"/>
    <x v="29"/>
    <n v="1"/>
    <n v="59.9"/>
    <n v="7.68"/>
    <s v="credit_card"/>
    <n v="3"/>
    <x v="1"/>
    <x v="2"/>
    <s v="Sao Paulo"/>
  </r>
  <r>
    <s v="71588428f9341618a05bf69e1aba5128"/>
    <s v="2018-06-23"/>
    <x v="19"/>
    <x v="4"/>
    <x v="28"/>
    <n v="1"/>
    <n v="146.94"/>
    <n v="49.4"/>
    <s v="credit_card"/>
    <n v="17"/>
    <x v="1"/>
    <x v="2"/>
    <s v="Rio de Janeiro"/>
  </r>
  <r>
    <s v="3ba7bbd7b7686df219611578ece6918c"/>
    <s v="2018-06-23"/>
    <x v="19"/>
    <x v="3"/>
    <x v="25"/>
    <n v="1"/>
    <n v="59.99"/>
    <n v="16.690000000000001"/>
    <s v="credit_card"/>
    <n v="4"/>
    <x v="1"/>
    <x v="1"/>
    <s v="Sao Paulo"/>
  </r>
  <r>
    <s v="5fbf74426609c2706727d1e358652e36"/>
    <s v="2018-06-23"/>
    <x v="19"/>
    <x v="4"/>
    <x v="9"/>
    <n v="2"/>
    <n v="149.80000000000001"/>
    <n v="37.24"/>
    <s v="credit_card"/>
    <n v="9"/>
    <x v="1"/>
    <x v="2"/>
    <s v="Rio de Janeiro"/>
  </r>
  <r>
    <s v="ef814f60d8d32909ecb19879c24c1f53"/>
    <s v="2018-06-23"/>
    <x v="19"/>
    <x v="3"/>
    <x v="0"/>
    <n v="1"/>
    <n v="279"/>
    <n v="18.14"/>
    <s v="credit_card"/>
    <n v="6"/>
    <x v="1"/>
    <x v="1"/>
    <s v="Sao Paulo"/>
  </r>
  <r>
    <s v="9040dcd14cc032f8abce25f90b9739d8"/>
    <s v="2018-06-24"/>
    <x v="19"/>
    <x v="3"/>
    <x v="9"/>
    <n v="1"/>
    <n v="35"/>
    <n v="12.91"/>
    <s v="credit_card"/>
    <n v="4"/>
    <x v="1"/>
    <x v="3"/>
    <s v="Sao Paulo"/>
  </r>
  <r>
    <s v="8bad870bb86e0b67f6db07bb5e3c55c5"/>
    <s v="2018-06-24"/>
    <x v="19"/>
    <x v="3"/>
    <x v="23"/>
    <n v="1"/>
    <n v="40"/>
    <n v="15.38"/>
    <s v="credit_card"/>
    <n v="8"/>
    <x v="1"/>
    <x v="2"/>
    <s v="Sao Paulo"/>
  </r>
  <r>
    <s v="aaf164d36ed493530b104e9e76e44af9"/>
    <s v="2018-06-24"/>
    <x v="19"/>
    <x v="3"/>
    <x v="62"/>
    <n v="1"/>
    <n v="55"/>
    <n v="8.5500000000000007"/>
    <s v="credit_card"/>
    <n v="2"/>
    <x v="1"/>
    <x v="2"/>
    <s v="Sao Paulo"/>
  </r>
  <r>
    <s v="adc2f0c9fd838d820339f8220c1adf08"/>
    <s v="2018-06-24"/>
    <x v="19"/>
    <x v="3"/>
    <x v="14"/>
    <n v="1"/>
    <n v="17.899999999999999"/>
    <n v="12.79"/>
    <s v="voucher"/>
    <n v="8"/>
    <x v="1"/>
    <x v="2"/>
    <s v="Sao Paulo"/>
  </r>
  <r>
    <s v="c12dc1b88c47c377eecc9384a4b1c7bb"/>
    <s v="2018-06-24"/>
    <x v="19"/>
    <x v="3"/>
    <x v="41"/>
    <n v="1"/>
    <n v="129"/>
    <n v="11.92"/>
    <s v="credit_card"/>
    <n v="1"/>
    <x v="1"/>
    <x v="5"/>
    <s v="Sao Paulo"/>
  </r>
  <r>
    <s v="ec042ef0cc05d098905c4383c70f9132"/>
    <s v="2018-06-24"/>
    <x v="19"/>
    <x v="1"/>
    <x v="20"/>
    <n v="1"/>
    <n v="289.99"/>
    <n v="9.61"/>
    <s v="credit_card"/>
    <n v="2"/>
    <x v="1"/>
    <x v="3"/>
    <s v="Rio Grande do Sul"/>
  </r>
  <r>
    <s v="b1973248ff76d9a24f6a8888662de6bd"/>
    <s v="2018-06-24"/>
    <x v="19"/>
    <x v="4"/>
    <x v="19"/>
    <n v="1"/>
    <n v="219.9"/>
    <n v="59.62"/>
    <s v="credit_card"/>
    <n v="5"/>
    <x v="1"/>
    <x v="3"/>
    <s v="Rio de Janeiro"/>
  </r>
  <r>
    <s v="f6222b0551b7a86b06483e58df64df89"/>
    <s v="2018-06-24"/>
    <x v="19"/>
    <x v="3"/>
    <x v="62"/>
    <n v="2"/>
    <n v="145.88999999999999"/>
    <n v="31.05"/>
    <s v="credit_card"/>
    <n v="2"/>
    <x v="1"/>
    <x v="2"/>
    <s v="Sao Paulo"/>
  </r>
  <r>
    <s v="13831f5b4e64bcef58f4a1b4cc8748d4"/>
    <s v="2018-06-24"/>
    <x v="19"/>
    <x v="7"/>
    <x v="22"/>
    <n v="1"/>
    <n v="155"/>
    <n v="19.190000000000001"/>
    <s v="credit_card"/>
    <n v="9"/>
    <x v="1"/>
    <x v="2"/>
    <s v="Minas Gerais"/>
  </r>
  <r>
    <s v="3f0371aa67821598a57596f091ac6ba5"/>
    <s v="2018-06-24"/>
    <x v="19"/>
    <x v="3"/>
    <x v="14"/>
    <n v="1"/>
    <n v="139.9"/>
    <n v="58.06"/>
    <s v="credit_card"/>
    <n v="3"/>
    <x v="1"/>
    <x v="2"/>
    <s v="Sao Paulo"/>
  </r>
  <r>
    <s v="50cc713127f0c3035445fd5fc64460f9"/>
    <s v="2018-06-24"/>
    <x v="19"/>
    <x v="5"/>
    <x v="32"/>
    <n v="1"/>
    <n v="42.97"/>
    <n v="23.1"/>
    <s v="credit_card"/>
    <n v="8"/>
    <x v="1"/>
    <x v="2"/>
    <s v="Parana"/>
  </r>
  <r>
    <s v="3bfc35d4ba7683a65787e6be78b670f4"/>
    <s v="2018-06-24"/>
    <x v="19"/>
    <x v="3"/>
    <x v="19"/>
    <n v="2"/>
    <n v="25.4"/>
    <n v="23.72"/>
    <s v="credit_card"/>
    <n v="1"/>
    <x v="1"/>
    <x v="2"/>
    <s v="Sao Paulo"/>
  </r>
  <r>
    <s v="08e33dc1bf04d3cbc2fb5e93fbfcd6c2"/>
    <s v="2018-06-24"/>
    <x v="19"/>
    <x v="1"/>
    <x v="17"/>
    <n v="1"/>
    <n v="67.900000000000006"/>
    <n v="37.85"/>
    <s v="boleto"/>
    <n v="9"/>
    <x v="1"/>
    <x v="2"/>
    <s v="Rio Grande do Sul"/>
  </r>
  <r>
    <s v="e1bef85e8803340d03472e920d4a7ce1"/>
    <s v="2018-06-25"/>
    <x v="19"/>
    <x v="3"/>
    <x v="7"/>
    <n v="1"/>
    <n v="360"/>
    <n v="16.829999999999998"/>
    <s v="credit_card"/>
    <n v="4"/>
    <x v="1"/>
    <x v="2"/>
    <s v="Sao Paulo"/>
  </r>
  <r>
    <s v="99c7028b41234ebb47c132aa3c6a1b47"/>
    <s v="2018-06-25"/>
    <x v="19"/>
    <x v="3"/>
    <x v="1"/>
    <n v="1"/>
    <n v="84.9"/>
    <n v="16.78"/>
    <s v="credit_card"/>
    <n v="3"/>
    <x v="1"/>
    <x v="2"/>
    <s v="Sao Paulo"/>
  </r>
  <r>
    <s v="f2991816555a193c68d97e39cbc85277"/>
    <s v="2018-06-25"/>
    <x v="19"/>
    <x v="18"/>
    <x v="19"/>
    <n v="1"/>
    <n v="113.89"/>
    <n v="47.46"/>
    <s v="credit_card"/>
    <n v="5"/>
    <x v="1"/>
    <x v="2"/>
    <s v="Distrito Federal"/>
  </r>
  <r>
    <s v="c94206a6d6698d5852b7e9e14bdc2e79"/>
    <s v="2018-06-25"/>
    <x v="19"/>
    <x v="3"/>
    <x v="9"/>
    <n v="1"/>
    <n v="29.89"/>
    <n v="7.47"/>
    <s v="credit_card"/>
    <n v="4"/>
    <x v="1"/>
    <x v="2"/>
    <s v="Sao Paulo"/>
  </r>
  <r>
    <s v="d614d13ed2aca6884ec736b100a96c50"/>
    <s v="2018-06-25"/>
    <x v="19"/>
    <x v="3"/>
    <x v="23"/>
    <n v="1"/>
    <n v="67"/>
    <n v="9.2200000000000006"/>
    <s v="credit_card"/>
    <n v="4"/>
    <x v="1"/>
    <x v="2"/>
    <s v="Sao Paulo"/>
  </r>
  <r>
    <s v="b647b0e8ecce1771ba6f6a0cc30d3f99"/>
    <s v="2018-06-25"/>
    <x v="19"/>
    <x v="3"/>
    <x v="33"/>
    <n v="1"/>
    <n v="1335"/>
    <n v="53.43"/>
    <s v="credit_card"/>
    <n v="3"/>
    <x v="1"/>
    <x v="2"/>
    <s v="Sao Paulo"/>
  </r>
  <r>
    <s v="275bdc3d32ed65dee689eecaa10e7a80"/>
    <s v="2018-06-25"/>
    <x v="19"/>
    <x v="3"/>
    <x v="13"/>
    <n v="1"/>
    <n v="249"/>
    <n v="19.84"/>
    <s v="credit_card"/>
    <n v="8"/>
    <x v="1"/>
    <x v="2"/>
    <s v="Sao Paulo"/>
  </r>
  <r>
    <s v="2f9518f273a6399fe8a94d78129fe404"/>
    <s v="2018-06-25"/>
    <x v="19"/>
    <x v="3"/>
    <x v="29"/>
    <n v="1"/>
    <n v="119.9"/>
    <n v="17.03"/>
    <s v="credit_card"/>
    <n v="6"/>
    <x v="1"/>
    <x v="2"/>
    <s v="Sao Paulo"/>
  </r>
  <r>
    <s v="9df16fc9c0296bef63c2effb85d6969c"/>
    <s v="2018-06-25"/>
    <x v="19"/>
    <x v="12"/>
    <x v="27"/>
    <n v="1"/>
    <n v="124.9"/>
    <n v="43.15"/>
    <s v="credit_card"/>
    <n v="17"/>
    <x v="1"/>
    <x v="2"/>
    <s v="Ceara"/>
  </r>
  <r>
    <s v="b13d41f7f58e83efb42dde0657777b9e"/>
    <s v="2018-06-25"/>
    <x v="19"/>
    <x v="1"/>
    <x v="20"/>
    <n v="1"/>
    <n v="219.99"/>
    <n v="27.84"/>
    <s v="boleto"/>
    <n v="8"/>
    <x v="1"/>
    <x v="3"/>
    <s v="Rio Grande do Sul"/>
  </r>
  <r>
    <s v="aad86d958ecbedd8da621bf570b1ab1a"/>
    <s v="2018-06-25"/>
    <x v="19"/>
    <x v="5"/>
    <x v="19"/>
    <n v="1"/>
    <n v="119"/>
    <n v="18.63"/>
    <s v="credit_card"/>
    <n v="8"/>
    <x v="1"/>
    <x v="3"/>
    <s v="Parana"/>
  </r>
  <r>
    <s v="1bc4cbfa417cbf64682ad0f639f9e58c"/>
    <s v="2018-06-25"/>
    <x v="19"/>
    <x v="3"/>
    <x v="29"/>
    <n v="1"/>
    <n v="229.79"/>
    <n v="19.41"/>
    <s v="boleto"/>
    <n v="9"/>
    <x v="1"/>
    <x v="3"/>
    <s v="Sao Paulo"/>
  </r>
  <r>
    <s v="c1e09d04655160d6d54de41e9d001c47"/>
    <s v="2018-06-25"/>
    <x v="19"/>
    <x v="3"/>
    <x v="9"/>
    <n v="1"/>
    <n v="30"/>
    <n v="7.47"/>
    <s v="boleto"/>
    <n v="3"/>
    <x v="1"/>
    <x v="2"/>
    <s v="Sao Paulo"/>
  </r>
  <r>
    <s v="020aec76c43508e4214579c52c1133f4"/>
    <s v="2018-06-25"/>
    <x v="19"/>
    <x v="3"/>
    <x v="7"/>
    <n v="1"/>
    <n v="27.9"/>
    <n v="19.39"/>
    <s v="credit_card"/>
    <n v="6"/>
    <x v="1"/>
    <x v="2"/>
    <s v="Sao Paulo"/>
  </r>
  <r>
    <s v="62a7bb29522188f4c6467125ea02e867"/>
    <s v="2018-06-25"/>
    <x v="19"/>
    <x v="3"/>
    <x v="14"/>
    <n v="1"/>
    <n v="9.9"/>
    <n v="18.23"/>
    <s v="credit_card"/>
    <n v="7"/>
    <x v="1"/>
    <x v="0"/>
    <s v="Sao Paulo"/>
  </r>
  <r>
    <s v="0261eac8b7b097ab1e28579b69e6ea90"/>
    <s v="2018-06-25"/>
    <x v="19"/>
    <x v="3"/>
    <x v="24"/>
    <n v="1"/>
    <n v="99"/>
    <n v="33.17"/>
    <s v="boleto"/>
    <n v="3"/>
    <x v="1"/>
    <x v="0"/>
    <s v="Sao Paulo"/>
  </r>
  <r>
    <s v="d93ef0caa7a160caec60b4d6833415a6"/>
    <s v="2018-06-25"/>
    <x v="19"/>
    <x v="7"/>
    <x v="1"/>
    <n v="2"/>
    <n v="90"/>
    <n v="46.62"/>
    <s v="credit_card"/>
    <m/>
    <x v="0"/>
    <x v="0"/>
    <s v="Minas Gerais"/>
  </r>
  <r>
    <s v="cc8454f08599794be25a95f691617e11"/>
    <s v="2018-06-25"/>
    <x v="19"/>
    <x v="3"/>
    <x v="58"/>
    <n v="1"/>
    <n v="113.3"/>
    <n v="15.1"/>
    <s v="credit_card"/>
    <n v="9"/>
    <x v="1"/>
    <x v="2"/>
    <s v="Sao Paulo"/>
  </r>
  <r>
    <s v="9b52c70d4fbddc36fa8c5e4c94c66501"/>
    <s v="2018-06-25"/>
    <x v="19"/>
    <x v="21"/>
    <x v="9"/>
    <n v="1"/>
    <n v="49.99"/>
    <n v="22.28"/>
    <s v="credit_card"/>
    <n v="16"/>
    <x v="1"/>
    <x v="3"/>
    <s v="Bahia"/>
  </r>
  <r>
    <s v="0f9dcd718955037bf65c97edcee390ff"/>
    <s v="2018-06-26"/>
    <x v="19"/>
    <x v="7"/>
    <x v="14"/>
    <n v="1"/>
    <n v="49.9"/>
    <n v="22.28"/>
    <s v="credit_card"/>
    <n v="6"/>
    <x v="1"/>
    <x v="4"/>
    <s v="Minas Gerais"/>
  </r>
  <r>
    <s v="1a2056a1d6e8db71b7d777ec36f9b1b5"/>
    <s v="2018-06-26"/>
    <x v="19"/>
    <x v="24"/>
    <x v="17"/>
    <n v="1"/>
    <n v="24.12"/>
    <n v="26.94"/>
    <s v="credit_card"/>
    <n v="16"/>
    <x v="1"/>
    <x v="2"/>
    <s v="Alagoas"/>
  </r>
  <r>
    <s v="c139edcf8b223915f78d5a487a6b5500"/>
    <s v="2018-06-26"/>
    <x v="19"/>
    <x v="3"/>
    <x v="13"/>
    <n v="2"/>
    <n v="99.8"/>
    <n v="15.22"/>
    <s v="credit_card"/>
    <n v="1"/>
    <x v="1"/>
    <x v="5"/>
    <s v="Sao Paulo"/>
  </r>
  <r>
    <s v="05086b5a715c97d1971784b6ae899a6d"/>
    <s v="2018-06-26"/>
    <x v="19"/>
    <x v="3"/>
    <x v="9"/>
    <n v="2"/>
    <n v="220.64"/>
    <n v="16.059999999999999"/>
    <s v="credit_card"/>
    <n v="4"/>
    <x v="1"/>
    <x v="3"/>
    <s v="Sao Paulo"/>
  </r>
  <r>
    <s v="7dba3fad5219968d9c9d8e03aa43bb35"/>
    <s v="2018-06-26"/>
    <x v="19"/>
    <x v="7"/>
    <x v="6"/>
    <n v="1"/>
    <n v="25"/>
    <n v="15.28"/>
    <s v="credit_card"/>
    <n v="7"/>
    <x v="1"/>
    <x v="2"/>
    <s v="Minas Gerais"/>
  </r>
  <r>
    <s v="d99c72513d6238909b57399c840fa8ef"/>
    <s v="2018-06-26"/>
    <x v="19"/>
    <x v="3"/>
    <x v="9"/>
    <n v="1"/>
    <n v="84.5"/>
    <n v="13.25"/>
    <s v="boleto"/>
    <n v="7"/>
    <x v="1"/>
    <x v="2"/>
    <s v="Sao Paulo"/>
  </r>
  <r>
    <s v="ced1aea35f3b1e1474390a452a02d750"/>
    <s v="2018-06-26"/>
    <x v="19"/>
    <x v="4"/>
    <x v="14"/>
    <n v="1"/>
    <n v="56.99"/>
    <n v="19.59"/>
    <s v="credit_card"/>
    <n v="7"/>
    <x v="1"/>
    <x v="2"/>
    <s v="Rio de Janeiro"/>
  </r>
  <r>
    <s v="5f19271c1eb0a8eb0a1efed995df752b"/>
    <s v="2018-06-26"/>
    <x v="19"/>
    <x v="3"/>
    <x v="28"/>
    <n v="3"/>
    <n v="209.97"/>
    <n v="69.599999999999994"/>
    <s v="boleto"/>
    <n v="9"/>
    <x v="1"/>
    <x v="2"/>
    <s v="Sao Paulo"/>
  </r>
  <r>
    <s v="7f2401dd864cb66d12840ebff7581231"/>
    <s v="2018-06-26"/>
    <x v="19"/>
    <x v="3"/>
    <x v="22"/>
    <n v="1"/>
    <n v="117.87"/>
    <n v="15.93"/>
    <s v="boleto"/>
    <n v="15"/>
    <x v="1"/>
    <x v="2"/>
    <s v="Sao Paulo"/>
  </r>
  <r>
    <s v="36e78e784a4d494d933d65b28b7bca99"/>
    <s v="2018-06-26"/>
    <x v="19"/>
    <x v="3"/>
    <x v="14"/>
    <n v="1"/>
    <n v="114.9"/>
    <n v="12.29"/>
    <s v="boleto"/>
    <n v="10"/>
    <x v="1"/>
    <x v="2"/>
    <s v="Sao Paulo"/>
  </r>
  <r>
    <s v="721ee49ca54fe5b73b1871b5e4cb1f57"/>
    <s v="2018-06-26"/>
    <x v="19"/>
    <x v="2"/>
    <x v="18"/>
    <n v="1"/>
    <n v="49"/>
    <n v="15.44"/>
    <s v="credit_card"/>
    <n v="13"/>
    <x v="1"/>
    <x v="3"/>
    <s v="Goias"/>
  </r>
  <r>
    <s v="c9e3d29ede6d60999c59c8626757ec6c"/>
    <s v="2018-06-26"/>
    <x v="19"/>
    <x v="4"/>
    <x v="4"/>
    <n v="1"/>
    <n v="28.9"/>
    <n v="15.3"/>
    <s v="credit_card"/>
    <n v="12"/>
    <x v="1"/>
    <x v="2"/>
    <s v="Rio de Janeiro"/>
  </r>
  <r>
    <s v="fa99f9d0ca69a5d2bc4c66f71e31918e"/>
    <s v="2018-06-26"/>
    <x v="19"/>
    <x v="7"/>
    <x v="12"/>
    <n v="1"/>
    <n v="48.9"/>
    <n v="19.53"/>
    <s v="credit_card"/>
    <n v="7"/>
    <x v="1"/>
    <x v="1"/>
    <s v="Minas Gerais"/>
  </r>
  <r>
    <s v="eaa950f3b3db6c1a8f5d884992a997c0"/>
    <s v="2018-06-26"/>
    <x v="19"/>
    <x v="5"/>
    <x v="0"/>
    <n v="1"/>
    <n v="99.9"/>
    <n v="18.75"/>
    <s v="credit_card"/>
    <n v="2"/>
    <x v="1"/>
    <x v="2"/>
    <s v="Parana"/>
  </r>
  <r>
    <s v="9a6a8b514f1317683ed32c9775e2cfc6"/>
    <s v="2018-06-27"/>
    <x v="19"/>
    <x v="3"/>
    <x v="7"/>
    <n v="1"/>
    <n v="49.9"/>
    <n v="20.99"/>
    <s v="debit_card"/>
    <n v="6"/>
    <x v="1"/>
    <x v="2"/>
    <s v="Sao Paulo"/>
  </r>
  <r>
    <s v="f655ae6fff7b523b34ac845cd918b87f"/>
    <s v="2018-06-27"/>
    <x v="19"/>
    <x v="6"/>
    <x v="4"/>
    <n v="1"/>
    <n v="149.9"/>
    <n v="15.5"/>
    <s v="boleto"/>
    <n v="5"/>
    <x v="1"/>
    <x v="2"/>
    <s v="Pernambuco"/>
  </r>
  <r>
    <s v="4f2dc4a949823819bfc75b784fb32686"/>
    <s v="2018-06-27"/>
    <x v="19"/>
    <x v="3"/>
    <x v="25"/>
    <n v="1"/>
    <n v="36.99"/>
    <n v="14.57"/>
    <s v="boleto"/>
    <n v="7"/>
    <x v="1"/>
    <x v="2"/>
    <s v="Sao Paulo"/>
  </r>
  <r>
    <s v="57ecffc3a29fb1db005184b46b5f655d"/>
    <s v="2018-06-27"/>
    <x v="19"/>
    <x v="22"/>
    <x v="17"/>
    <n v="1"/>
    <n v="60.9"/>
    <n v="18.23"/>
    <s v="credit_card"/>
    <n v="8"/>
    <x v="1"/>
    <x v="3"/>
    <s v="Espirito Santo"/>
  </r>
  <r>
    <s v="efa967efa40217c320aa7aa2954ebe52"/>
    <s v="2018-06-27"/>
    <x v="19"/>
    <x v="4"/>
    <x v="28"/>
    <n v="1"/>
    <n v="349.9"/>
    <n v="105.84"/>
    <s v="credit_card"/>
    <n v="14"/>
    <x v="1"/>
    <x v="2"/>
    <s v="Rio de Janeiro"/>
  </r>
  <r>
    <s v="a4e65d48cbd25e5dd19d906d3cb180b2"/>
    <s v="2018-06-27"/>
    <x v="19"/>
    <x v="7"/>
    <x v="22"/>
    <n v="1"/>
    <n v="49.89"/>
    <n v="22.28"/>
    <s v="credit_card"/>
    <n v="6"/>
    <x v="1"/>
    <x v="2"/>
    <s v="Minas Gerais"/>
  </r>
  <r>
    <s v="cca0fdbe32d86d386a95c02433412640"/>
    <s v="2018-06-27"/>
    <x v="19"/>
    <x v="21"/>
    <x v="33"/>
    <n v="1"/>
    <n v="149"/>
    <n v="22.97"/>
    <s v="credit_card"/>
    <n v="17"/>
    <x v="1"/>
    <x v="2"/>
    <s v="Bahia"/>
  </r>
  <r>
    <s v="fcca6c3fefb03709360cbcc79f2ff73d"/>
    <s v="2018-06-27"/>
    <x v="19"/>
    <x v="3"/>
    <x v="22"/>
    <n v="1"/>
    <n v="55"/>
    <n v="7.65"/>
    <s v="credit_card"/>
    <n v="1"/>
    <x v="1"/>
    <x v="2"/>
    <s v="Sao Paulo"/>
  </r>
  <r>
    <s v="3cd800ca7c2571661a5d8f0fe9053536"/>
    <s v="2018-06-28"/>
    <x v="19"/>
    <x v="4"/>
    <x v="36"/>
    <n v="1"/>
    <n v="165"/>
    <n v="19.260000000000002"/>
    <s v="credit_card"/>
    <n v="10"/>
    <x v="1"/>
    <x v="2"/>
    <s v="Rio de Janeiro"/>
  </r>
  <r>
    <s v="8b287c802866ec3b7b594e5cbc2d5acf"/>
    <s v="2018-06-28"/>
    <x v="19"/>
    <x v="3"/>
    <x v="9"/>
    <n v="1"/>
    <n v="129"/>
    <n v="18.7"/>
    <s v="boleto"/>
    <n v="13"/>
    <x v="1"/>
    <x v="3"/>
    <s v="Sao Paulo"/>
  </r>
  <r>
    <s v="7e9d429736ca906b27567eceda90f4b6"/>
    <s v="2018-06-28"/>
    <x v="19"/>
    <x v="22"/>
    <x v="2"/>
    <n v="1"/>
    <n v="109"/>
    <n v="41.74"/>
    <s v="credit_card"/>
    <n v="11"/>
    <x v="1"/>
    <x v="5"/>
    <s v="Espirito Santo"/>
  </r>
  <r>
    <s v="454ecfc568c4d964048236e91a42bda6"/>
    <s v="2018-06-28"/>
    <x v="19"/>
    <x v="10"/>
    <x v="6"/>
    <n v="1"/>
    <n v="29.99"/>
    <n v="22.93"/>
    <s v="credit_card"/>
    <n v="27"/>
    <x v="2"/>
    <x v="5"/>
    <s v="Piaui"/>
  </r>
  <r>
    <s v="f8164ab157d2fa8835750d2249e9b1cb"/>
    <s v="2018-06-28"/>
    <x v="19"/>
    <x v="8"/>
    <x v="39"/>
    <n v="1"/>
    <n v="287"/>
    <n v="61.24"/>
    <s v="boleto"/>
    <n v="12"/>
    <x v="1"/>
    <x v="1"/>
    <s v="Santa Catarina"/>
  </r>
  <r>
    <s v="bbeace003fa084aa3ecbb486d76b6766"/>
    <s v="2018-06-28"/>
    <x v="19"/>
    <x v="3"/>
    <x v="25"/>
    <n v="1"/>
    <n v="39.99"/>
    <n v="14.59"/>
    <s v="credit_card"/>
    <n v="7"/>
    <x v="1"/>
    <x v="2"/>
    <s v="Sao Paulo"/>
  </r>
  <r>
    <s v="1347a24fc320c48fcaf6ed2bed66ee30"/>
    <s v="2018-06-28"/>
    <x v="19"/>
    <x v="7"/>
    <x v="0"/>
    <n v="2"/>
    <n v="70"/>
    <n v="38.880000000000003"/>
    <s v="credit_card"/>
    <n v="10"/>
    <x v="1"/>
    <x v="1"/>
    <s v="Minas Gerais"/>
  </r>
  <r>
    <s v="62ff10e32649e2f8d65d3acf35c67580"/>
    <s v="2018-06-28"/>
    <x v="19"/>
    <x v="7"/>
    <x v="14"/>
    <n v="1"/>
    <n v="169.4"/>
    <n v="23.99"/>
    <s v="credit_card"/>
    <n v="7"/>
    <x v="1"/>
    <x v="5"/>
    <s v="Minas Gerais"/>
  </r>
  <r>
    <s v="67119966e190b3d2f210b4f9117395f1"/>
    <s v="2018-06-28"/>
    <x v="19"/>
    <x v="4"/>
    <x v="14"/>
    <n v="1"/>
    <n v="61.9"/>
    <n v="18.23"/>
    <s v="credit_card"/>
    <n v="5"/>
    <x v="1"/>
    <x v="3"/>
    <s v="Rio de Janeiro"/>
  </r>
  <r>
    <s v="67816bc8a83ed1ca09b99c2512cbedb3"/>
    <s v="2018-06-28"/>
    <x v="19"/>
    <x v="2"/>
    <x v="19"/>
    <n v="1"/>
    <n v="76.5"/>
    <n v="26.84"/>
    <s v="credit_card"/>
    <n v="8"/>
    <x v="1"/>
    <x v="3"/>
    <s v="Goias"/>
  </r>
  <r>
    <s v="7d20c79f25c64f2c7feca12d01677c8e"/>
    <s v="2018-06-28"/>
    <x v="19"/>
    <x v="1"/>
    <x v="19"/>
    <n v="4"/>
    <n v="99.56"/>
    <n v="73.08"/>
    <s v="credit_card"/>
    <n v="14"/>
    <x v="1"/>
    <x v="0"/>
    <s v="Rio Grande do Sul"/>
  </r>
  <r>
    <s v="7d1e3a395580e827eff45e47efd8017d"/>
    <s v="2018-06-28"/>
    <x v="19"/>
    <x v="7"/>
    <x v="22"/>
    <n v="1"/>
    <n v="97.9"/>
    <n v="18.79"/>
    <s v="credit_card"/>
    <n v="10"/>
    <x v="1"/>
    <x v="2"/>
    <s v="Minas Gerais"/>
  </r>
  <r>
    <s v="12d8f84b2205c7654fdf6768718d243d"/>
    <s v="2018-06-28"/>
    <x v="19"/>
    <x v="5"/>
    <x v="4"/>
    <n v="1"/>
    <n v="60.9"/>
    <n v="13.77"/>
    <s v="credit_card"/>
    <n v="11"/>
    <x v="1"/>
    <x v="0"/>
    <s v="Parana"/>
  </r>
  <r>
    <s v="b49298f3f28ff2194633444aa6b08cb4"/>
    <s v="2018-06-28"/>
    <x v="19"/>
    <x v="3"/>
    <x v="22"/>
    <n v="1"/>
    <n v="359.6"/>
    <n v="20.62"/>
    <s v="credit_card"/>
    <n v="4"/>
    <x v="1"/>
    <x v="2"/>
    <s v="Sao Paulo"/>
  </r>
  <r>
    <s v="4f1e72c86c397722120a1cb409714f5e"/>
    <s v="2018-06-28"/>
    <x v="19"/>
    <x v="7"/>
    <x v="5"/>
    <n v="1"/>
    <n v="36"/>
    <n v="23.05"/>
    <s v="credit_card"/>
    <n v="5"/>
    <x v="1"/>
    <x v="2"/>
    <s v="Minas Gerais"/>
  </r>
  <r>
    <s v="9ea96bace1093d93e7fcbdfabc1dc830"/>
    <s v="2018-06-28"/>
    <x v="19"/>
    <x v="4"/>
    <x v="1"/>
    <n v="1"/>
    <n v="75"/>
    <n v="7.95"/>
    <s v="debit_card"/>
    <n v="4"/>
    <x v="1"/>
    <x v="3"/>
    <s v="Rio de Janeiro"/>
  </r>
  <r>
    <s v="c6952ba78d5adfd24e93300fc30718c6"/>
    <s v="2018-06-28"/>
    <x v="19"/>
    <x v="26"/>
    <x v="4"/>
    <n v="1"/>
    <n v="59.99"/>
    <n v="23.14"/>
    <s v="credit_card"/>
    <n v="12"/>
    <x v="1"/>
    <x v="3"/>
    <s v="Paraiba"/>
  </r>
  <r>
    <s v="d5a809a7a258b9196d2bde32e7b9546e"/>
    <s v="2018-06-28"/>
    <x v="19"/>
    <x v="3"/>
    <x v="0"/>
    <n v="3"/>
    <n v="105"/>
    <n v="41.49"/>
    <s v="credit_card"/>
    <n v="8"/>
    <x v="1"/>
    <x v="2"/>
    <s v="Sao Paulo"/>
  </r>
  <r>
    <s v="4ff4e765fb57ce1bc954bf8138e14013"/>
    <s v="2018-06-29"/>
    <x v="19"/>
    <x v="11"/>
    <x v="20"/>
    <n v="1"/>
    <n v="259.99"/>
    <n v="65.38"/>
    <s v="boleto"/>
    <n v="14"/>
    <x v="1"/>
    <x v="1"/>
    <s v="Para"/>
  </r>
  <r>
    <s v="b82cf5fe4911adae1a6d2c4b171ec237"/>
    <s v="2018-06-29"/>
    <x v="19"/>
    <x v="3"/>
    <x v="29"/>
    <n v="1"/>
    <n v="83"/>
    <n v="7.84"/>
    <s v="boleto"/>
    <n v="6"/>
    <x v="1"/>
    <x v="3"/>
    <s v="Sao Paulo"/>
  </r>
  <r>
    <s v="58f9ab98b542d84139dda631d9e257d5"/>
    <s v="2018-06-29"/>
    <x v="19"/>
    <x v="3"/>
    <x v="22"/>
    <n v="1"/>
    <n v="139"/>
    <n v="19.07"/>
    <s v="credit_card"/>
    <n v="9"/>
    <x v="1"/>
    <x v="2"/>
    <s v="Sao Paulo"/>
  </r>
  <r>
    <s v="b1303b12e93f925254918495e630d0a2"/>
    <s v="2018-06-29"/>
    <x v="19"/>
    <x v="15"/>
    <x v="2"/>
    <n v="1"/>
    <n v="367.9"/>
    <n v="193.76"/>
    <s v="credit_card"/>
    <n v="13"/>
    <x v="1"/>
    <x v="2"/>
    <s v="Mato Grosso"/>
  </r>
  <r>
    <s v="9b36be8204e21a5c4bb5be20c404cc1e"/>
    <s v="2018-06-29"/>
    <x v="19"/>
    <x v="3"/>
    <x v="13"/>
    <n v="1"/>
    <n v="62"/>
    <n v="17.75"/>
    <s v="voucher"/>
    <n v="6"/>
    <x v="1"/>
    <x v="2"/>
    <s v="Sao Paulo"/>
  </r>
  <r>
    <s v="eb55f59a44f8ca8558eb570394b598da"/>
    <s v="2018-06-29"/>
    <x v="19"/>
    <x v="7"/>
    <x v="13"/>
    <n v="1"/>
    <n v="256"/>
    <n v="24.59"/>
    <s v="credit_card"/>
    <n v="10"/>
    <x v="1"/>
    <x v="3"/>
    <s v="Minas Gerais"/>
  </r>
  <r>
    <s v="7954d26fa0d387724ccb30d846ebbd9f"/>
    <s v="2018-06-29"/>
    <x v="19"/>
    <x v="21"/>
    <x v="26"/>
    <n v="2"/>
    <n v="29.6"/>
    <n v="34.119999999999997"/>
    <s v="voucher"/>
    <n v="14"/>
    <x v="1"/>
    <x v="0"/>
    <s v="Bahia"/>
  </r>
  <r>
    <s v="9eea7815889d95c5fbd5d314ebc40fe5"/>
    <s v="2018-06-29"/>
    <x v="19"/>
    <x v="3"/>
    <x v="14"/>
    <n v="1"/>
    <n v="21.99"/>
    <n v="12.81"/>
    <s v="credit_card"/>
    <n v="4"/>
    <x v="1"/>
    <x v="2"/>
    <s v="Sao Paulo"/>
  </r>
  <r>
    <s v="5f4488ffadc1defe6b015c8c6e128c46"/>
    <s v="2018-06-29"/>
    <x v="19"/>
    <x v="8"/>
    <x v="4"/>
    <n v="1"/>
    <n v="12.9"/>
    <n v="15.23"/>
    <s v="credit_card"/>
    <n v="6"/>
    <x v="1"/>
    <x v="2"/>
    <s v="Santa Catarina"/>
  </r>
  <r>
    <s v="b2642502bf8864ede538c80b67275178"/>
    <s v="2018-06-30"/>
    <x v="19"/>
    <x v="3"/>
    <x v="4"/>
    <n v="2"/>
    <n v="138"/>
    <n v="28.12"/>
    <s v="boleto"/>
    <n v="12"/>
    <x v="1"/>
    <x v="2"/>
    <s v="Sao Paulo"/>
  </r>
  <r>
    <s v="a4c100660bd4f8af58cf90ef7641d5e6"/>
    <s v="2018-06-30"/>
    <x v="19"/>
    <x v="3"/>
    <x v="52"/>
    <n v="1"/>
    <n v="11.9"/>
    <n v="7.39"/>
    <s v="voucher"/>
    <n v="4"/>
    <x v="1"/>
    <x v="2"/>
    <s v="Sao Paulo"/>
  </r>
  <r>
    <s v="81161411335afb1d9c6dfd1b42a63eb3"/>
    <s v="2018-06-30"/>
    <x v="19"/>
    <x v="3"/>
    <x v="19"/>
    <n v="1"/>
    <n v="49.99"/>
    <n v="13.93"/>
    <s v="credit_card"/>
    <n v="4"/>
    <x v="1"/>
    <x v="2"/>
    <s v="Sao Paulo"/>
  </r>
  <r>
    <s v="1fcbc88015c88c1a14d4b8ec35ea8ed7"/>
    <s v="2018-06-30"/>
    <x v="19"/>
    <x v="21"/>
    <x v="25"/>
    <n v="3"/>
    <n v="125.28"/>
    <n v="118.12"/>
    <s v="credit_card"/>
    <n v="13"/>
    <x v="1"/>
    <x v="2"/>
    <s v="Bahia"/>
  </r>
  <r>
    <s v="43e22b919baf176fe28fb243217cc90c"/>
    <s v="2018-07-01"/>
    <x v="20"/>
    <x v="3"/>
    <x v="19"/>
    <n v="1"/>
    <n v="105"/>
    <n v="16.04"/>
    <s v="credit_card"/>
    <n v="4"/>
    <x v="1"/>
    <x v="3"/>
    <s v="Sao Paulo"/>
  </r>
  <r>
    <s v="845f40ca6f1b315562f20fd125f93330"/>
    <s v="2018-07-01"/>
    <x v="20"/>
    <x v="3"/>
    <x v="29"/>
    <n v="1"/>
    <n v="299"/>
    <n v="33.14"/>
    <s v="credit_card"/>
    <n v="4"/>
    <x v="1"/>
    <x v="2"/>
    <s v="Sao Paulo"/>
  </r>
  <r>
    <s v="cbbf61b366cb1ca7a9f9b954e8f345b5"/>
    <s v="2018-07-01"/>
    <x v="20"/>
    <x v="3"/>
    <x v="13"/>
    <n v="1"/>
    <n v="19.690000000000001"/>
    <n v="7.4"/>
    <s v="debit_card"/>
    <n v="4"/>
    <x v="1"/>
    <x v="2"/>
    <s v="Sao Paulo"/>
  </r>
  <r>
    <s v="fd3a02bb749359b9e6a4126cd8a50822"/>
    <s v="2018-07-01"/>
    <x v="20"/>
    <x v="7"/>
    <x v="17"/>
    <n v="1"/>
    <n v="11.97"/>
    <n v="18.23"/>
    <s v="credit_card"/>
    <n v="12"/>
    <x v="1"/>
    <x v="3"/>
    <s v="Minas Gerais"/>
  </r>
  <r>
    <s v="a994ff8265aed38e21cb63b2d8402b09"/>
    <s v="2018-07-01"/>
    <x v="20"/>
    <x v="15"/>
    <x v="22"/>
    <n v="2"/>
    <n v="926"/>
    <n v="65.739999999999995"/>
    <s v="credit_card"/>
    <n v="9"/>
    <x v="1"/>
    <x v="1"/>
    <s v="Mato Grosso"/>
  </r>
  <r>
    <s v="644e4fc3f5cdee08df44f2534319fac8"/>
    <s v="2018-07-02"/>
    <x v="20"/>
    <x v="4"/>
    <x v="0"/>
    <n v="1"/>
    <n v="179.9"/>
    <n v="102.57"/>
    <s v="credit_card"/>
    <n v="9"/>
    <x v="1"/>
    <x v="2"/>
    <s v="Rio de Janeiro"/>
  </r>
  <r>
    <s v="04b7151492b049661380a47e0449f9b6"/>
    <s v="2018-07-02"/>
    <x v="20"/>
    <x v="5"/>
    <x v="4"/>
    <n v="1"/>
    <n v="84.9"/>
    <n v="26.89"/>
    <s v="boleto"/>
    <n v="7"/>
    <x v="1"/>
    <x v="2"/>
    <s v="Parana"/>
  </r>
  <r>
    <s v="988601ceae0e294c4482e8ef89e4bfd7"/>
    <s v="2018-07-02"/>
    <x v="20"/>
    <x v="7"/>
    <x v="7"/>
    <n v="3"/>
    <n v="417"/>
    <n v="88.5"/>
    <s v="credit_card"/>
    <n v="4"/>
    <x v="1"/>
    <x v="2"/>
    <s v="Minas Gerais"/>
  </r>
  <r>
    <s v="d08c879188638eda44ea5da9dca68d09"/>
    <s v="2018-07-02"/>
    <x v="20"/>
    <x v="3"/>
    <x v="9"/>
    <n v="1"/>
    <n v="34.9"/>
    <n v="16.43"/>
    <s v="credit_card"/>
    <n v="8"/>
    <x v="1"/>
    <x v="2"/>
    <s v="Sao Paulo"/>
  </r>
  <r>
    <s v="181f3a2409fbfd9640a4e017c3b9971f"/>
    <s v="2018-07-02"/>
    <x v="20"/>
    <x v="3"/>
    <x v="13"/>
    <n v="1"/>
    <n v="19.989999999999998"/>
    <n v="7.88"/>
    <s v="credit_card"/>
    <n v="1"/>
    <x v="1"/>
    <x v="2"/>
    <s v="Sao Paulo"/>
  </r>
  <r>
    <s v="3cc9d3f8dca39fc7c29d082e1197b488"/>
    <s v="2018-07-02"/>
    <x v="20"/>
    <x v="3"/>
    <x v="9"/>
    <n v="1"/>
    <n v="66.989999999999995"/>
    <n v="27.75"/>
    <s v="credit_card"/>
    <n v="9"/>
    <x v="1"/>
    <x v="2"/>
    <s v="Sao Paulo"/>
  </r>
  <r>
    <s v="1abd0dfe27b9146f0fe7ac0e4d03fcf5"/>
    <s v="2018-07-02"/>
    <x v="20"/>
    <x v="5"/>
    <x v="11"/>
    <n v="1"/>
    <n v="255"/>
    <n v="16.89"/>
    <s v="credit_card"/>
    <n v="7"/>
    <x v="1"/>
    <x v="2"/>
    <s v="Parana"/>
  </r>
  <r>
    <s v="401de49ffa73d6f2b442357b6c84beab"/>
    <s v="2018-07-02"/>
    <x v="20"/>
    <x v="2"/>
    <x v="9"/>
    <n v="1"/>
    <n v="56.9"/>
    <n v="22.33"/>
    <s v="credit_card"/>
    <n v="6"/>
    <x v="1"/>
    <x v="2"/>
    <s v="Goias"/>
  </r>
  <r>
    <s v="b91ca0418b6f2ae549bb6f356eee80cb"/>
    <s v="2018-07-02"/>
    <x v="20"/>
    <x v="8"/>
    <x v="14"/>
    <n v="1"/>
    <n v="43.99"/>
    <n v="19.5"/>
    <s v="credit_card"/>
    <n v="9"/>
    <x v="1"/>
    <x v="1"/>
    <s v="Santa Catarina"/>
  </r>
  <r>
    <s v="614e6a3e3a3c1ef48fa89ab1e15da0fb"/>
    <s v="2018-07-02"/>
    <x v="20"/>
    <x v="1"/>
    <x v="14"/>
    <n v="2"/>
    <n v="159.80000000000001"/>
    <n v="46.72"/>
    <s v="credit_card"/>
    <n v="6"/>
    <x v="1"/>
    <x v="2"/>
    <s v="Rio Grande do Sul"/>
  </r>
  <r>
    <s v="9da2b22e3f25c8310d5e5c36084a97ea"/>
    <s v="2018-07-02"/>
    <x v="20"/>
    <x v="3"/>
    <x v="19"/>
    <n v="1"/>
    <n v="130"/>
    <n v="15.22"/>
    <s v="credit_card"/>
    <n v="3"/>
    <x v="1"/>
    <x v="1"/>
    <s v="Sao Paulo"/>
  </r>
  <r>
    <s v="6a83e5c040d9fc9d14c1035925ecee1f"/>
    <s v="2018-07-02"/>
    <x v="20"/>
    <x v="2"/>
    <x v="12"/>
    <n v="1"/>
    <n v="89.9"/>
    <n v="19.82"/>
    <s v="credit_card"/>
    <n v="24"/>
    <x v="2"/>
    <x v="0"/>
    <s v="Goias"/>
  </r>
  <r>
    <s v="65c103df35abbe57462ae508a41fe3a3"/>
    <s v="2018-07-03"/>
    <x v="20"/>
    <x v="3"/>
    <x v="4"/>
    <n v="1"/>
    <n v="124.89"/>
    <n v="14.21"/>
    <s v="debit_card"/>
    <n v="8"/>
    <x v="1"/>
    <x v="3"/>
    <s v="Sao Paulo"/>
  </r>
  <r>
    <s v="95807754346c1a01b8040f29f42f74d7"/>
    <s v="2018-07-03"/>
    <x v="20"/>
    <x v="8"/>
    <x v="12"/>
    <n v="1"/>
    <n v="109.9"/>
    <n v="15.22"/>
    <s v="credit_card"/>
    <n v="6"/>
    <x v="1"/>
    <x v="2"/>
    <s v="Santa Catarina"/>
  </r>
  <r>
    <s v="d32e51406daab72e2dceefb08b096e13"/>
    <s v="2018-07-03"/>
    <x v="20"/>
    <x v="15"/>
    <x v="29"/>
    <n v="1"/>
    <n v="109"/>
    <n v="51.05"/>
    <s v="credit_card"/>
    <n v="10"/>
    <x v="1"/>
    <x v="2"/>
    <s v="Mato Grosso"/>
  </r>
  <r>
    <s v="88d55d6258872b31bf45ce51a6675c2b"/>
    <s v="2018-07-03"/>
    <x v="20"/>
    <x v="7"/>
    <x v="22"/>
    <n v="1"/>
    <n v="149.80000000000001"/>
    <n v="19.149999999999999"/>
    <s v="credit_card"/>
    <n v="6"/>
    <x v="1"/>
    <x v="2"/>
    <s v="Minas Gerais"/>
  </r>
  <r>
    <s v="b5b79bbbc8693953906951dad6a55f07"/>
    <s v="2018-07-03"/>
    <x v="20"/>
    <x v="8"/>
    <x v="1"/>
    <n v="1"/>
    <n v="109.9"/>
    <n v="18.82"/>
    <s v="boleto"/>
    <n v="6"/>
    <x v="1"/>
    <x v="2"/>
    <s v="Santa Catarina"/>
  </r>
  <r>
    <s v="b3c2fc7374cd5dbb27c84f1a0315594d"/>
    <s v="2018-07-03"/>
    <x v="20"/>
    <x v="1"/>
    <x v="14"/>
    <n v="1"/>
    <n v="79"/>
    <n v="23.35"/>
    <s v="credit_card"/>
    <n v="6"/>
    <x v="1"/>
    <x v="2"/>
    <s v="Rio Grande do Sul"/>
  </r>
  <r>
    <s v="b8a33fa5ef27e365f04703b899401762"/>
    <s v="2018-07-03"/>
    <x v="20"/>
    <x v="1"/>
    <x v="2"/>
    <n v="1"/>
    <n v="87.9"/>
    <n v="23.42"/>
    <s v="credit_card"/>
    <n v="10"/>
    <x v="1"/>
    <x v="3"/>
    <s v="Rio Grande do Sul"/>
  </r>
  <r>
    <s v="6672ea757b340c6ebd644244a2c982ae"/>
    <s v="2018-07-03"/>
    <x v="20"/>
    <x v="3"/>
    <x v="18"/>
    <n v="1"/>
    <n v="49"/>
    <n v="7.6"/>
    <s v="boleto"/>
    <n v="2"/>
    <x v="1"/>
    <x v="3"/>
    <s v="Sao Paulo"/>
  </r>
  <r>
    <s v="4d513811c3447933c3472defe4992141"/>
    <s v="2018-07-03"/>
    <x v="20"/>
    <x v="3"/>
    <x v="9"/>
    <n v="1"/>
    <n v="227.17"/>
    <n v="10.34"/>
    <s v="credit_card"/>
    <n v="8"/>
    <x v="1"/>
    <x v="2"/>
    <s v="Sao Paulo"/>
  </r>
  <r>
    <s v="af79819a5f90540c8d9a0eb9a4ed589c"/>
    <s v="2018-07-03"/>
    <x v="20"/>
    <x v="8"/>
    <x v="55"/>
    <n v="1"/>
    <n v="16.399999999999999"/>
    <n v="18.23"/>
    <s v="boleto"/>
    <n v="6"/>
    <x v="1"/>
    <x v="2"/>
    <s v="Santa Catarina"/>
  </r>
  <r>
    <s v="f15eda4eee582fbfebc330748f24e208"/>
    <s v="2018-07-04"/>
    <x v="20"/>
    <x v="1"/>
    <x v="6"/>
    <n v="2"/>
    <n v="123.99"/>
    <n v="37.07"/>
    <s v="boleto"/>
    <n v="8"/>
    <x v="1"/>
    <x v="0"/>
    <s v="Rio Grande do Sul"/>
  </r>
  <r>
    <s v="b090db406a3c2b8c132d12115b575fa8"/>
    <s v="2018-07-04"/>
    <x v="20"/>
    <x v="3"/>
    <x v="14"/>
    <n v="1"/>
    <n v="219.9"/>
    <n v="18.670000000000002"/>
    <s v="credit_card"/>
    <n v="6"/>
    <x v="1"/>
    <x v="3"/>
    <s v="Sao Paulo"/>
  </r>
  <r>
    <s v="000576fe39319847cbb9d288c5617fa6"/>
    <s v="2018-07-04"/>
    <x v="20"/>
    <x v="3"/>
    <x v="7"/>
    <n v="1"/>
    <n v="810"/>
    <n v="70.75"/>
    <s v="credit_card"/>
    <n v="5"/>
    <x v="1"/>
    <x v="2"/>
    <s v="Sao Paulo"/>
  </r>
  <r>
    <s v="159da9914b51de617fe80162939965c5"/>
    <s v="2018-07-04"/>
    <x v="20"/>
    <x v="3"/>
    <x v="13"/>
    <n v="1"/>
    <n v="27.9"/>
    <n v="12.86"/>
    <s v="debit_card"/>
    <n v="8"/>
    <x v="1"/>
    <x v="2"/>
    <s v="Sao Paulo"/>
  </r>
  <r>
    <s v="51ee9ef5d831b5f76f97d2819e7f94a9"/>
    <s v="2018-07-04"/>
    <x v="20"/>
    <x v="3"/>
    <x v="0"/>
    <n v="1"/>
    <n v="75.900000000000006"/>
    <n v="13.87"/>
    <s v="credit_card"/>
    <n v="4"/>
    <x v="1"/>
    <x v="2"/>
    <s v="Sao Paulo"/>
  </r>
  <r>
    <s v="c9e7721790d06c21ff6fcd2dee7a2f73"/>
    <s v="2018-07-04"/>
    <x v="20"/>
    <x v="3"/>
    <x v="52"/>
    <n v="1"/>
    <n v="112.9"/>
    <n v="8.0500000000000007"/>
    <s v="credit_card"/>
    <n v="1"/>
    <x v="1"/>
    <x v="2"/>
    <s v="Sao Paulo"/>
  </r>
  <r>
    <s v="7889e9a569a5488a0c9d93381a13d5ba"/>
    <s v="2018-07-04"/>
    <x v="20"/>
    <x v="3"/>
    <x v="22"/>
    <n v="1"/>
    <n v="175.99"/>
    <n v="20.420000000000002"/>
    <s v="credit_card"/>
    <n v="6"/>
    <x v="1"/>
    <x v="0"/>
    <s v="Sao Paulo"/>
  </r>
  <r>
    <s v="c2320c404179d2b8805c42b8b8de9668"/>
    <s v="2018-07-04"/>
    <x v="20"/>
    <x v="3"/>
    <x v="26"/>
    <n v="2"/>
    <n v="315.8"/>
    <n v="56.38"/>
    <s v="credit_card"/>
    <n v="6"/>
    <x v="1"/>
    <x v="2"/>
    <s v="Sao Paulo"/>
  </r>
  <r>
    <s v="15dd36b746e48dfec9824dcebef22b7f"/>
    <s v="2018-07-04"/>
    <x v="20"/>
    <x v="4"/>
    <x v="36"/>
    <n v="1"/>
    <n v="26.19"/>
    <n v="18.28"/>
    <s v="credit_card"/>
    <n v="6"/>
    <x v="1"/>
    <x v="1"/>
    <s v="Rio de Janeiro"/>
  </r>
  <r>
    <s v="994572d6e67b97ce9c9ceb7cc0f6445f"/>
    <s v="2018-07-04"/>
    <x v="20"/>
    <x v="1"/>
    <x v="18"/>
    <n v="1"/>
    <n v="29.99"/>
    <n v="7.79"/>
    <s v="boleto"/>
    <n v="2"/>
    <x v="1"/>
    <x v="2"/>
    <s v="Rio Grande do Sul"/>
  </r>
  <r>
    <s v="8ad43a57bb88d52531c6facae014a8ae"/>
    <s v="2018-07-04"/>
    <x v="20"/>
    <x v="7"/>
    <x v="18"/>
    <n v="1"/>
    <n v="96.8"/>
    <n v="14.98"/>
    <s v="credit_card"/>
    <n v="6"/>
    <x v="1"/>
    <x v="3"/>
    <s v="Minas Gerais"/>
  </r>
  <r>
    <s v="aea67f89b3841f780d8eed0beabd3398"/>
    <s v="2018-07-05"/>
    <x v="20"/>
    <x v="3"/>
    <x v="6"/>
    <n v="1"/>
    <n v="44.9"/>
    <n v="7.57"/>
    <s v="credit_card"/>
    <n v="4"/>
    <x v="1"/>
    <x v="0"/>
    <s v="Sao Paulo"/>
  </r>
  <r>
    <s v="7da29e735c26d64e18e421e8eadf2f1b"/>
    <s v="2018-07-05"/>
    <x v="20"/>
    <x v="3"/>
    <x v="14"/>
    <n v="1"/>
    <n v="89"/>
    <n v="8.36"/>
    <s v="credit_card"/>
    <n v="6"/>
    <x v="1"/>
    <x v="2"/>
    <s v="Sao Paulo"/>
  </r>
  <r>
    <s v="7a8f0c1255003a0de7fd484dbab75fdb"/>
    <s v="2018-07-05"/>
    <x v="20"/>
    <x v="4"/>
    <x v="9"/>
    <n v="1"/>
    <n v="122.99"/>
    <n v="30.11"/>
    <s v="boleto"/>
    <n v="18"/>
    <x v="1"/>
    <x v="2"/>
    <s v="Rio de Janeiro"/>
  </r>
  <r>
    <s v="75e6eea3103ed05319ebfb5947e94b02"/>
    <s v="2018-07-05"/>
    <x v="20"/>
    <x v="6"/>
    <x v="17"/>
    <n v="1"/>
    <n v="13.65"/>
    <n v="19.04"/>
    <s v="credit_card"/>
    <n v="22"/>
    <x v="1"/>
    <x v="3"/>
    <s v="Pernambuco"/>
  </r>
  <r>
    <s v="87bad102fdebff40d7f35773874f5c5d"/>
    <s v="2018-07-05"/>
    <x v="20"/>
    <x v="4"/>
    <x v="12"/>
    <n v="1"/>
    <n v="39.99"/>
    <n v="18.38"/>
    <s v="credit_card"/>
    <n v="29"/>
    <x v="2"/>
    <x v="0"/>
    <s v="Rio de Janeiro"/>
  </r>
  <r>
    <s v="a56a7f475df6154f6e6ad0311578f697"/>
    <s v="2018-07-05"/>
    <x v="20"/>
    <x v="7"/>
    <x v="2"/>
    <n v="1"/>
    <n v="69.900000000000006"/>
    <n v="27.44"/>
    <s v="boleto"/>
    <n v="6"/>
    <x v="1"/>
    <x v="2"/>
    <s v="Minas Gerais"/>
  </r>
  <r>
    <s v="ec6fe04836bc8811fedf31b14bd8b549"/>
    <s v="2018-07-05"/>
    <x v="20"/>
    <x v="2"/>
    <x v="9"/>
    <n v="1"/>
    <n v="130"/>
    <n v="17.84"/>
    <s v="credit_card"/>
    <n v="7"/>
    <x v="1"/>
    <x v="2"/>
    <s v="Goias"/>
  </r>
  <r>
    <s v="020f04b3da1d597b9a00b825762299ba"/>
    <s v="2018-07-05"/>
    <x v="20"/>
    <x v="3"/>
    <x v="2"/>
    <n v="1"/>
    <n v="125"/>
    <n v="18.98"/>
    <s v="credit_card"/>
    <n v="8"/>
    <x v="1"/>
    <x v="2"/>
    <s v="Sao Paulo"/>
  </r>
  <r>
    <s v="c0ebb2411df290b3d4e15a8409f419b2"/>
    <s v="2018-07-05"/>
    <x v="20"/>
    <x v="3"/>
    <x v="4"/>
    <n v="1"/>
    <n v="149.9"/>
    <n v="25.4"/>
    <s v="credit_card"/>
    <n v="8"/>
    <x v="1"/>
    <x v="2"/>
    <s v="Sao Paulo"/>
  </r>
  <r>
    <s v="c22f4f00d48f26a217d8f07c7653b588"/>
    <s v="2018-07-05"/>
    <x v="20"/>
    <x v="18"/>
    <x v="14"/>
    <n v="1"/>
    <n v="114.9"/>
    <n v="23.6"/>
    <s v="credit_card"/>
    <n v="5"/>
    <x v="1"/>
    <x v="3"/>
    <s v="Distrito Federal"/>
  </r>
  <r>
    <s v="fd5bd3708628df1f0104d49b995f87d7"/>
    <s v="2018-07-05"/>
    <x v="20"/>
    <x v="4"/>
    <x v="17"/>
    <n v="1"/>
    <n v="17.989999999999998"/>
    <n v="15.23"/>
    <s v="debit_card"/>
    <n v="7"/>
    <x v="1"/>
    <x v="3"/>
    <s v="Rio de Janeiro"/>
  </r>
  <r>
    <s v="aafd725a98bce75b9d5c31adbe708cb7"/>
    <s v="2018-07-06"/>
    <x v="20"/>
    <x v="3"/>
    <x v="1"/>
    <n v="1"/>
    <n v="95"/>
    <n v="13.77"/>
    <s v="boleto"/>
    <n v="7"/>
    <x v="1"/>
    <x v="2"/>
    <s v="Sao Paulo"/>
  </r>
  <r>
    <s v="06d77e4ba21f283252286b6a72fb8fe2"/>
    <s v="2018-07-06"/>
    <x v="20"/>
    <x v="3"/>
    <x v="19"/>
    <n v="1"/>
    <n v="78"/>
    <n v="18.350000000000001"/>
    <s v="credit_card"/>
    <n v="3"/>
    <x v="1"/>
    <x v="2"/>
    <s v="Sao Paulo"/>
  </r>
  <r>
    <s v="2305a735f5b64c8b4e0e7e3d64b5a39f"/>
    <s v="2018-07-06"/>
    <x v="20"/>
    <x v="3"/>
    <x v="0"/>
    <n v="1"/>
    <n v="65"/>
    <n v="9.2100000000000009"/>
    <s v="debit_card"/>
    <n v="7"/>
    <x v="1"/>
    <x v="2"/>
    <s v="Sao Paulo"/>
  </r>
  <r>
    <s v="4d4c65feca16bc9de359cb5d4feef10d"/>
    <s v="2018-07-06"/>
    <x v="20"/>
    <x v="21"/>
    <x v="0"/>
    <n v="2"/>
    <n v="97.98"/>
    <n v="46.98"/>
    <s v="voucher"/>
    <n v="18"/>
    <x v="1"/>
    <x v="2"/>
    <s v="Bahia"/>
  </r>
  <r>
    <s v="270405232941d7da4e2b02fb8580f571"/>
    <s v="2018-07-06"/>
    <x v="20"/>
    <x v="25"/>
    <x v="0"/>
    <n v="1"/>
    <n v="75"/>
    <n v="44.45"/>
    <s v="credit_card"/>
    <n v="27"/>
    <x v="1"/>
    <x v="2"/>
    <s v="Amapa"/>
  </r>
  <r>
    <s v="d5d3b4b504a59a416704978bb72fce3d"/>
    <s v="2018-07-06"/>
    <x v="20"/>
    <x v="3"/>
    <x v="9"/>
    <n v="1"/>
    <n v="24.9"/>
    <n v="7.43"/>
    <s v="credit_card"/>
    <n v="6"/>
    <x v="1"/>
    <x v="2"/>
    <s v="Sao Paulo"/>
  </r>
  <r>
    <s v="9a7e8939f3e332415b9915a209e3607e"/>
    <s v="2018-07-07"/>
    <x v="20"/>
    <x v="3"/>
    <x v="18"/>
    <n v="1"/>
    <n v="35"/>
    <n v="7.51"/>
    <s v="credit_card"/>
    <n v="5"/>
    <x v="1"/>
    <x v="2"/>
    <s v="Sao Paulo"/>
  </r>
  <r>
    <s v="d6df3e183721aa30b30577e1184eaa7f"/>
    <s v="2018-07-07"/>
    <x v="20"/>
    <x v="3"/>
    <x v="22"/>
    <n v="1"/>
    <n v="89"/>
    <n v="7.88"/>
    <s v="credit_card"/>
    <n v="3"/>
    <x v="1"/>
    <x v="2"/>
    <s v="Sao Paulo"/>
  </r>
  <r>
    <s v="4d0bd88af1748e0658ddfad3100b2958"/>
    <s v="2018-07-07"/>
    <x v="20"/>
    <x v="7"/>
    <x v="64"/>
    <n v="2"/>
    <n v="438"/>
    <n v="41.44"/>
    <s v="credit_card"/>
    <n v="6"/>
    <x v="1"/>
    <x v="2"/>
    <s v="Minas Gerais"/>
  </r>
  <r>
    <s v="55d03c0ad1a4743f9845da6d9444beaa"/>
    <s v="2018-07-07"/>
    <x v="20"/>
    <x v="3"/>
    <x v="14"/>
    <n v="1"/>
    <n v="69.900000000000006"/>
    <n v="14.8"/>
    <s v="credit_card"/>
    <n v="8"/>
    <x v="1"/>
    <x v="2"/>
    <s v="Sao Paulo"/>
  </r>
  <r>
    <s v="b8b12c952ae497fb7389315cd2a101e1"/>
    <s v="2018-07-08"/>
    <x v="20"/>
    <x v="6"/>
    <x v="1"/>
    <n v="1"/>
    <n v="79"/>
    <n v="47.21"/>
    <s v="credit_card"/>
    <n v="17"/>
    <x v="1"/>
    <x v="2"/>
    <s v="Pernambuco"/>
  </r>
  <r>
    <s v="e37cb83a77f2c53e5710ace789c66a97"/>
    <s v="2018-07-08"/>
    <x v="20"/>
    <x v="3"/>
    <x v="0"/>
    <n v="2"/>
    <n v="258"/>
    <n v="55.86"/>
    <s v="credit_card"/>
    <n v="4"/>
    <x v="1"/>
    <x v="2"/>
    <s v="Sao Paulo"/>
  </r>
  <r>
    <s v="52b5d339bbba7bd8f18ca836ab540227"/>
    <s v="2018-07-08"/>
    <x v="20"/>
    <x v="4"/>
    <x v="9"/>
    <n v="1"/>
    <n v="21"/>
    <n v="22.08"/>
    <s v="credit_card"/>
    <n v="5"/>
    <x v="1"/>
    <x v="2"/>
    <s v="Rio de Janeiro"/>
  </r>
  <r>
    <s v="3777fdee1e90e53636623e02ecccc4ba"/>
    <s v="2018-07-08"/>
    <x v="20"/>
    <x v="3"/>
    <x v="5"/>
    <n v="1"/>
    <n v="129.99"/>
    <n v="8.17"/>
    <s v="credit_card"/>
    <n v="3"/>
    <x v="1"/>
    <x v="2"/>
    <s v="Sao Paulo"/>
  </r>
  <r>
    <s v="6931075877d7cbb8cc81cad6c66d67c7"/>
    <s v="2018-07-08"/>
    <x v="20"/>
    <x v="3"/>
    <x v="58"/>
    <n v="1"/>
    <n v="169.99"/>
    <n v="12.92"/>
    <s v="credit_card"/>
    <n v="4"/>
    <x v="1"/>
    <x v="2"/>
    <s v="Sao Paulo"/>
  </r>
  <r>
    <s v="051c701261744807b2535ab976842f7e"/>
    <s v="2018-07-08"/>
    <x v="20"/>
    <x v="3"/>
    <x v="14"/>
    <n v="1"/>
    <n v="159.9"/>
    <n v="18.329999999999998"/>
    <s v="credit_card"/>
    <n v="3"/>
    <x v="1"/>
    <x v="2"/>
    <s v="Sao Paulo"/>
  </r>
  <r>
    <s v="5227f2736ccc6b82c2bdf19be46b1320"/>
    <s v="2018-07-08"/>
    <x v="20"/>
    <x v="7"/>
    <x v="9"/>
    <n v="1"/>
    <n v="160"/>
    <n v="14.46"/>
    <s v="credit_card"/>
    <n v="4"/>
    <x v="1"/>
    <x v="1"/>
    <s v="Minas Gerais"/>
  </r>
  <r>
    <s v="d30d0c9c3a766ca0d558a205d4579320"/>
    <s v="2018-07-09"/>
    <x v="20"/>
    <x v="7"/>
    <x v="22"/>
    <n v="1"/>
    <n v="149"/>
    <n v="14.38"/>
    <s v="credit_card"/>
    <n v="4"/>
    <x v="1"/>
    <x v="2"/>
    <s v="Minas Gerais"/>
  </r>
  <r>
    <s v="47ce198e173de34ed4c92187e82717ac"/>
    <s v="2018-07-09"/>
    <x v="20"/>
    <x v="3"/>
    <x v="44"/>
    <n v="1"/>
    <n v="1129.99"/>
    <n v="32.89"/>
    <s v="credit_card"/>
    <n v="1"/>
    <x v="1"/>
    <x v="2"/>
    <s v="Sao Paulo"/>
  </r>
  <r>
    <s v="30597e915fa41c74c59cf5f8ce640d3d"/>
    <s v="2018-07-09"/>
    <x v="20"/>
    <x v="12"/>
    <x v="6"/>
    <n v="1"/>
    <n v="19.989999999999998"/>
    <n v="37.049999999999997"/>
    <s v="credit_card"/>
    <n v="10"/>
    <x v="1"/>
    <x v="2"/>
    <s v="Ceara"/>
  </r>
  <r>
    <s v="ef0e9ebf18b0033d57b60ee42b12d65f"/>
    <s v="2018-07-09"/>
    <x v="20"/>
    <x v="4"/>
    <x v="22"/>
    <n v="1"/>
    <n v="173.9"/>
    <n v="16.32"/>
    <s v="credit_card"/>
    <n v="16"/>
    <x v="1"/>
    <x v="5"/>
    <s v="Rio de Janeiro"/>
  </r>
  <r>
    <s v="d17eedcc5d276d0eb9ea566289f89352"/>
    <s v="2018-07-09"/>
    <x v="20"/>
    <x v="4"/>
    <x v="20"/>
    <n v="1"/>
    <n v="135"/>
    <n v="22.88"/>
    <s v="credit_card"/>
    <n v="14"/>
    <x v="1"/>
    <x v="0"/>
    <s v="Rio de Janeiro"/>
  </r>
  <r>
    <s v="d1632cdbf90f11c2d5fa53d5c3deeadf"/>
    <s v="2018-07-09"/>
    <x v="20"/>
    <x v="3"/>
    <x v="2"/>
    <n v="1"/>
    <n v="79.900000000000006"/>
    <n v="8.7200000000000006"/>
    <s v="credit_card"/>
    <n v="3"/>
    <x v="1"/>
    <x v="2"/>
    <s v="Sao Paulo"/>
  </r>
  <r>
    <s v="e0f57f06590a2aee981778faa5b7c80c"/>
    <s v="2018-07-09"/>
    <x v="20"/>
    <x v="13"/>
    <x v="1"/>
    <n v="2"/>
    <n v="299.8"/>
    <n v="126.14"/>
    <s v="boleto"/>
    <n v="17"/>
    <x v="1"/>
    <x v="2"/>
    <s v="Maranhao"/>
  </r>
  <r>
    <s v="20a1b5b821806e87157587550af9d52e"/>
    <s v="2018-07-09"/>
    <x v="20"/>
    <x v="1"/>
    <x v="14"/>
    <n v="1"/>
    <n v="90.1"/>
    <n v="19.82"/>
    <s v="credit_card"/>
    <n v="28"/>
    <x v="2"/>
    <x v="2"/>
    <s v="Rio Grande do Sul"/>
  </r>
  <r>
    <s v="78420988bdc7bf4dac19e4fe4ccdbd6a"/>
    <s v="2018-07-09"/>
    <x v="20"/>
    <x v="13"/>
    <x v="22"/>
    <n v="1"/>
    <n v="194.91"/>
    <n v="24.08"/>
    <s v="credit_card"/>
    <n v="25"/>
    <x v="1"/>
    <x v="1"/>
    <s v="Maranhao"/>
  </r>
  <r>
    <s v="86c411cc5e0c28b069f3e98edc6e6290"/>
    <s v="2018-07-10"/>
    <x v="20"/>
    <x v="3"/>
    <x v="25"/>
    <n v="1"/>
    <n v="51.31"/>
    <n v="7.94"/>
    <s v="credit_card"/>
    <n v="2"/>
    <x v="1"/>
    <x v="5"/>
    <s v="Sao Paulo"/>
  </r>
  <r>
    <s v="b1e7ea6ef4104c3bcd94c0b9260717b2"/>
    <s v="2018-07-10"/>
    <x v="20"/>
    <x v="3"/>
    <x v="9"/>
    <n v="1"/>
    <n v="64.989999999999995"/>
    <n v="8.6199999999999992"/>
    <s v="credit_card"/>
    <n v="1"/>
    <x v="1"/>
    <x v="2"/>
    <s v="Sao Paulo"/>
  </r>
  <r>
    <s v="28a1ff56441c9df5d5bfaead83cd76fd"/>
    <s v="2018-07-10"/>
    <x v="20"/>
    <x v="3"/>
    <x v="9"/>
    <n v="2"/>
    <n v="267.98"/>
    <n v="58.4"/>
    <s v="credit_card"/>
    <n v="13"/>
    <x v="1"/>
    <x v="1"/>
    <s v="Sao Paulo"/>
  </r>
  <r>
    <s v="c3d8d92b4371e7710cdc67fcb1f49a34"/>
    <s v="2018-07-10"/>
    <x v="20"/>
    <x v="21"/>
    <x v="1"/>
    <n v="1"/>
    <n v="11"/>
    <n v="22.06"/>
    <s v="credit_card"/>
    <n v="15"/>
    <x v="1"/>
    <x v="2"/>
    <s v="Bahia"/>
  </r>
  <r>
    <s v="d10503eeef371049c26e11de7d6552dc"/>
    <s v="2018-07-11"/>
    <x v="20"/>
    <x v="3"/>
    <x v="9"/>
    <n v="1"/>
    <n v="24.9"/>
    <n v="7.43"/>
    <s v="credit_card"/>
    <n v="1"/>
    <x v="1"/>
    <x v="2"/>
    <s v="Sao Paulo"/>
  </r>
  <r>
    <s v="8a9424899aac432d80d8e580932b5ee9"/>
    <s v="2018-07-11"/>
    <x v="20"/>
    <x v="6"/>
    <x v="22"/>
    <n v="1"/>
    <n v="55"/>
    <n v="37.299999999999997"/>
    <s v="voucher"/>
    <n v="12"/>
    <x v="1"/>
    <x v="2"/>
    <s v="Pernambuco"/>
  </r>
  <r>
    <s v="977649a07fb7be354cc39d9a79ee83e1"/>
    <s v="2018-07-11"/>
    <x v="20"/>
    <x v="10"/>
    <x v="53"/>
    <n v="1"/>
    <n v="770"/>
    <n v="91.24"/>
    <s v="credit_card"/>
    <n v="16"/>
    <x v="1"/>
    <x v="2"/>
    <s v="Piaui"/>
  </r>
  <r>
    <s v="15f8e1e2abf48b0c5161b2f0110ba6eb"/>
    <s v="2018-07-11"/>
    <x v="20"/>
    <x v="3"/>
    <x v="20"/>
    <n v="1"/>
    <n v="133.9"/>
    <n v="19.04"/>
    <s v="boleto"/>
    <n v="12"/>
    <x v="1"/>
    <x v="2"/>
    <s v="Sao Paulo"/>
  </r>
  <r>
    <s v="58346246ea802a21cb34124ed2326770"/>
    <s v="2018-07-11"/>
    <x v="20"/>
    <x v="3"/>
    <x v="5"/>
    <n v="4"/>
    <n v="179.96"/>
    <n v="30.32"/>
    <s v="credit_card"/>
    <n v="2"/>
    <x v="1"/>
    <x v="2"/>
    <s v="Sao Paulo"/>
  </r>
  <r>
    <s v="789ef8e547844763c96f5e815b5478e3"/>
    <s v="2018-07-12"/>
    <x v="20"/>
    <x v="4"/>
    <x v="22"/>
    <n v="1"/>
    <n v="1534.9"/>
    <n v="27.67"/>
    <s v="debit_card"/>
    <n v="25"/>
    <x v="1"/>
    <x v="1"/>
    <s v="Rio de Janeiro"/>
  </r>
  <r>
    <s v="490a97982e956ca7dcafe2282467dccb"/>
    <s v="2018-07-12"/>
    <x v="20"/>
    <x v="24"/>
    <x v="13"/>
    <n v="1"/>
    <n v="43"/>
    <n v="23.02"/>
    <s v="credit_card"/>
    <n v="21"/>
    <x v="1"/>
    <x v="2"/>
    <s v="Alagoas"/>
  </r>
  <r>
    <s v="75d5ef4d60406619e9be0c9be3c3d92c"/>
    <s v="2018-07-12"/>
    <x v="20"/>
    <x v="7"/>
    <x v="62"/>
    <n v="1"/>
    <n v="99.99"/>
    <n v="23.5"/>
    <s v="credit_card"/>
    <n v="11"/>
    <x v="1"/>
    <x v="2"/>
    <s v="Minas Gerais"/>
  </r>
  <r>
    <s v="e051aa19f5f2e6a98406c005cf5c656b"/>
    <s v="2018-07-12"/>
    <x v="20"/>
    <x v="1"/>
    <x v="17"/>
    <n v="1"/>
    <n v="88.9"/>
    <n v="24.97"/>
    <s v="voucher"/>
    <n v="3"/>
    <x v="1"/>
    <x v="0"/>
    <s v="Rio Grande do Sul"/>
  </r>
  <r>
    <s v="15ea2ff54aafb487d482a527b120464b"/>
    <s v="2018-07-12"/>
    <x v="20"/>
    <x v="6"/>
    <x v="29"/>
    <n v="1"/>
    <n v="169.9"/>
    <n v="20.100000000000001"/>
    <s v="boleto"/>
    <n v="12"/>
    <x v="1"/>
    <x v="2"/>
    <s v="Pernambuco"/>
  </r>
  <r>
    <s v="308163f9666c3f335e92b0f0f61554ed"/>
    <s v="2018-07-12"/>
    <x v="20"/>
    <x v="4"/>
    <x v="12"/>
    <n v="1"/>
    <n v="20"/>
    <n v="18.239999999999998"/>
    <s v="boleto"/>
    <n v="19"/>
    <x v="2"/>
    <x v="1"/>
    <s v="Rio de Janeiro"/>
  </r>
  <r>
    <s v="da3dc62f13188f2866f5775585107a7f"/>
    <s v="2018-07-12"/>
    <x v="20"/>
    <x v="4"/>
    <x v="14"/>
    <n v="1"/>
    <n v="70.25"/>
    <n v="27.44"/>
    <s v="voucher"/>
    <n v="12"/>
    <x v="1"/>
    <x v="0"/>
    <s v="Rio de Janeiro"/>
  </r>
  <r>
    <s v="49df58eca26497b2af5a5685006f9615"/>
    <s v="2018-07-12"/>
    <x v="20"/>
    <x v="3"/>
    <x v="9"/>
    <n v="1"/>
    <n v="27.9"/>
    <n v="7.46"/>
    <s v="credit_card"/>
    <n v="1"/>
    <x v="1"/>
    <x v="2"/>
    <s v="Sao Paulo"/>
  </r>
  <r>
    <s v="58435d6ff97216c2ca1eab87aba77dff"/>
    <s v="2018-07-13"/>
    <x v="20"/>
    <x v="4"/>
    <x v="56"/>
    <n v="1"/>
    <n v="58"/>
    <n v="18.510000000000002"/>
    <s v="credit_card"/>
    <n v="10"/>
    <x v="1"/>
    <x v="2"/>
    <s v="Rio de Janeiro"/>
  </r>
  <r>
    <s v="b8eaf5e9d1583c47190523695464e441"/>
    <s v="2018-07-13"/>
    <x v="20"/>
    <x v="3"/>
    <x v="9"/>
    <n v="1"/>
    <n v="35.9"/>
    <n v="18.350000000000001"/>
    <s v="debit_card"/>
    <n v="11"/>
    <x v="1"/>
    <x v="2"/>
    <s v="Sao Paulo"/>
  </r>
  <r>
    <s v="53302305754d77daab8c64a29db8d8c4"/>
    <s v="2018-07-13"/>
    <x v="20"/>
    <x v="6"/>
    <x v="9"/>
    <n v="1"/>
    <n v="69.900000000000006"/>
    <n v="19.399999999999999"/>
    <s v="credit_card"/>
    <n v="13"/>
    <x v="1"/>
    <x v="2"/>
    <s v="Pernambuco"/>
  </r>
  <r>
    <s v="c37d41945512f0cfbcdd0f085bbd04d8"/>
    <s v="2018-07-13"/>
    <x v="20"/>
    <x v="2"/>
    <x v="65"/>
    <n v="2"/>
    <n v="190.54"/>
    <n v="31.54"/>
    <s v="boleto"/>
    <n v="11"/>
    <x v="1"/>
    <x v="2"/>
    <s v="Goias"/>
  </r>
  <r>
    <s v="dacb857612778747b96d5afcad0adbd4"/>
    <s v="2018-07-13"/>
    <x v="20"/>
    <x v="5"/>
    <x v="9"/>
    <n v="3"/>
    <n v="116.97"/>
    <n v="55.11"/>
    <s v="boleto"/>
    <n v="10"/>
    <x v="1"/>
    <x v="2"/>
    <s v="Parana"/>
  </r>
  <r>
    <s v="a6ecc5068e6e585b2dca3e496ba4b277"/>
    <s v="2018-07-13"/>
    <x v="20"/>
    <x v="3"/>
    <x v="5"/>
    <n v="1"/>
    <n v="132.19999999999999"/>
    <n v="19.03"/>
    <s v="credit_card"/>
    <n v="11"/>
    <x v="1"/>
    <x v="2"/>
    <s v="Sao Paulo"/>
  </r>
  <r>
    <s v="b3c22881ab836451fc66d6cbf6a2083e"/>
    <s v="2018-07-13"/>
    <x v="20"/>
    <x v="8"/>
    <x v="0"/>
    <n v="1"/>
    <n v="120"/>
    <n v="74.790000000000006"/>
    <s v="credit_card"/>
    <n v="11"/>
    <x v="1"/>
    <x v="2"/>
    <s v="Santa Catarina"/>
  </r>
  <r>
    <s v="70f3d00cfbc9cc2a465887a6edeb1149"/>
    <s v="2018-07-14"/>
    <x v="20"/>
    <x v="21"/>
    <x v="13"/>
    <n v="1"/>
    <n v="1280"/>
    <n v="63.44"/>
    <s v="credit_card"/>
    <n v="9"/>
    <x v="1"/>
    <x v="2"/>
    <s v="Bahia"/>
  </r>
  <r>
    <s v="ca5194dbc94536f842d03241b5a223bb"/>
    <s v="2018-07-14"/>
    <x v="20"/>
    <x v="12"/>
    <x v="33"/>
    <n v="1"/>
    <n v="55"/>
    <n v="38.659999999999997"/>
    <s v="credit_card"/>
    <n v="12"/>
    <x v="1"/>
    <x v="3"/>
    <s v="Ceara"/>
  </r>
  <r>
    <s v="fffcd46ef2263f404302a634eb57f7eb"/>
    <s v="2018-07-14"/>
    <x v="20"/>
    <x v="5"/>
    <x v="4"/>
    <n v="1"/>
    <n v="350"/>
    <n v="36.53"/>
    <s v="boleto"/>
    <n v="9"/>
    <x v="1"/>
    <x v="2"/>
    <s v="Parana"/>
  </r>
  <r>
    <s v="94205d5566885abf3cb4da408bdb1ae9"/>
    <s v="2018-07-14"/>
    <x v="20"/>
    <x v="8"/>
    <x v="6"/>
    <n v="1"/>
    <n v="29.99"/>
    <n v="18.309999999999999"/>
    <s v="credit_card"/>
    <n v="12"/>
    <x v="1"/>
    <x v="1"/>
    <s v="Santa Catarina"/>
  </r>
  <r>
    <s v="8780697430377d453d0cf3f29848a515"/>
    <s v="2018-07-14"/>
    <x v="20"/>
    <x v="4"/>
    <x v="28"/>
    <n v="1"/>
    <n v="79.98"/>
    <n v="40.17"/>
    <s v="credit_card"/>
    <n v="23"/>
    <x v="1"/>
    <x v="2"/>
    <s v="Rio de Janeiro"/>
  </r>
  <r>
    <s v="fafc6736ffc73023e2685c30aa3822c2"/>
    <s v="2018-07-15"/>
    <x v="20"/>
    <x v="4"/>
    <x v="32"/>
    <n v="1"/>
    <n v="65.489999999999995"/>
    <n v="18.559999999999999"/>
    <s v="credit_card"/>
    <n v="5"/>
    <x v="1"/>
    <x v="2"/>
    <s v="Rio de Janeiro"/>
  </r>
  <r>
    <s v="6c825e27cef5e047f570be83dd1feaba"/>
    <s v="2018-07-15"/>
    <x v="20"/>
    <x v="3"/>
    <x v="1"/>
    <n v="1"/>
    <n v="43"/>
    <n v="12.96"/>
    <s v="credit_card"/>
    <n v="8"/>
    <x v="1"/>
    <x v="2"/>
    <s v="Sao Paulo"/>
  </r>
  <r>
    <s v="dd42be32e12fb6ede27f5debb852e94a"/>
    <s v="2018-07-15"/>
    <x v="20"/>
    <x v="3"/>
    <x v="22"/>
    <n v="1"/>
    <n v="155.97"/>
    <n v="8.35"/>
    <s v="credit_card"/>
    <n v="10"/>
    <x v="1"/>
    <x v="2"/>
    <s v="Sao Paulo"/>
  </r>
  <r>
    <s v="0c283c8e0c146f4528295a6f4ade284f"/>
    <s v="2018-07-15"/>
    <x v="20"/>
    <x v="3"/>
    <x v="22"/>
    <n v="1"/>
    <n v="139"/>
    <n v="19.07"/>
    <s v="boleto"/>
    <n v="9"/>
    <x v="1"/>
    <x v="2"/>
    <s v="Sao Paulo"/>
  </r>
  <r>
    <s v="a77391cdf600460b495855e76f6938c8"/>
    <s v="2018-07-15"/>
    <x v="20"/>
    <x v="7"/>
    <x v="0"/>
    <n v="1"/>
    <n v="39.9"/>
    <n v="23.43"/>
    <s v="credit_card"/>
    <n v="4"/>
    <x v="1"/>
    <x v="2"/>
    <s v="Minas Gerais"/>
  </r>
  <r>
    <s v="214e3e63d08a54a0670daa8ce72df870"/>
    <s v="2018-07-16"/>
    <x v="20"/>
    <x v="3"/>
    <x v="29"/>
    <n v="1"/>
    <n v="129.9"/>
    <n v="50.43"/>
    <s v="boleto"/>
    <n v="14"/>
    <x v="1"/>
    <x v="2"/>
    <s v="Sao Paulo"/>
  </r>
  <r>
    <s v="cf5f9668e80998cdc237f43f27857570"/>
    <s v="2018-07-16"/>
    <x v="20"/>
    <x v="3"/>
    <x v="9"/>
    <n v="1"/>
    <n v="30.5"/>
    <n v="18.309999999999999"/>
    <s v="credit_card"/>
    <n v="7"/>
    <x v="1"/>
    <x v="2"/>
    <s v="Sao Paulo"/>
  </r>
  <r>
    <s v="d9770884f02a4e0d5e0f9d8fc5f5b9c4"/>
    <s v="2018-07-16"/>
    <x v="20"/>
    <x v="4"/>
    <x v="7"/>
    <n v="1"/>
    <n v="50"/>
    <n v="23.15"/>
    <s v="credit_card"/>
    <n v="8"/>
    <x v="1"/>
    <x v="2"/>
    <s v="Rio de Janeiro"/>
  </r>
  <r>
    <s v="e3d1d37007a4d31d2269ba250664f6b2"/>
    <s v="2018-07-16"/>
    <x v="20"/>
    <x v="3"/>
    <x v="9"/>
    <n v="2"/>
    <n v="220.64"/>
    <n v="16.059999999999999"/>
    <s v="debit_card"/>
    <n v="10"/>
    <x v="2"/>
    <x v="3"/>
    <s v="Sao Paulo"/>
  </r>
  <r>
    <s v="6ffc78c9003aa616f58b4de610bcce29"/>
    <s v="2018-07-16"/>
    <x v="20"/>
    <x v="3"/>
    <x v="9"/>
    <n v="1"/>
    <n v="66.989999999999995"/>
    <n v="27.75"/>
    <s v="credit_card"/>
    <n v="25"/>
    <x v="2"/>
    <x v="0"/>
    <s v="Sao Paulo"/>
  </r>
  <r>
    <s v="9645ec392b0691767c5d0e2fabca23d7"/>
    <s v="2018-07-16"/>
    <x v="20"/>
    <x v="12"/>
    <x v="5"/>
    <n v="1"/>
    <n v="44.99"/>
    <n v="19.23"/>
    <s v="credit_card"/>
    <n v="10"/>
    <x v="1"/>
    <x v="2"/>
    <s v="Ceara"/>
  </r>
  <r>
    <s v="afc68d1f35e9dfe8220c9b9e27647065"/>
    <s v="2018-07-16"/>
    <x v="20"/>
    <x v="7"/>
    <x v="4"/>
    <n v="1"/>
    <n v="49"/>
    <n v="18.440000000000001"/>
    <s v="credit_card"/>
    <n v="9"/>
    <x v="1"/>
    <x v="2"/>
    <s v="Minas Gerais"/>
  </r>
  <r>
    <s v="82f4c933483d577ca9f00f49b1203155"/>
    <s v="2018-07-16"/>
    <x v="20"/>
    <x v="3"/>
    <x v="9"/>
    <n v="1"/>
    <n v="14.9"/>
    <n v="8.8800000000000008"/>
    <s v="boleto"/>
    <m/>
    <x v="0"/>
    <x v="0"/>
    <s v="Sao Paulo"/>
  </r>
  <r>
    <s v="7a40bb8803549af172ca4403ff436229"/>
    <s v="2018-07-16"/>
    <x v="20"/>
    <x v="3"/>
    <x v="22"/>
    <n v="1"/>
    <n v="259"/>
    <n v="14.47"/>
    <s v="credit_card"/>
    <n v="7"/>
    <x v="1"/>
    <x v="0"/>
    <s v="Sao Paulo"/>
  </r>
  <r>
    <s v="455dbd3c7fa4666ddb7b723bbdd09076"/>
    <s v="2018-07-16"/>
    <x v="20"/>
    <x v="5"/>
    <x v="13"/>
    <n v="1"/>
    <n v="59.8"/>
    <n v="23.22"/>
    <s v="credit_card"/>
    <n v="4"/>
    <x v="1"/>
    <x v="2"/>
    <s v="Parana"/>
  </r>
  <r>
    <s v="5dea57306e01caa42ad0b07b85042953"/>
    <s v="2018-07-16"/>
    <x v="20"/>
    <x v="8"/>
    <x v="22"/>
    <n v="1"/>
    <n v="155.97"/>
    <n v="19.190000000000001"/>
    <s v="credit_card"/>
    <n v="17"/>
    <x v="1"/>
    <x v="2"/>
    <s v="Santa Catarina"/>
  </r>
  <r>
    <s v="c8e2288c4eab2cbafdf32fbde78f5a0e"/>
    <s v="2018-07-16"/>
    <x v="20"/>
    <x v="1"/>
    <x v="58"/>
    <n v="2"/>
    <n v="59.8"/>
    <n v="36.619999999999997"/>
    <s v="credit_card"/>
    <n v="6"/>
    <x v="1"/>
    <x v="2"/>
    <s v="Rio Grande do Sul"/>
  </r>
  <r>
    <s v="37754393d4f73d9ef01dc61d6bac379b"/>
    <s v="2018-07-16"/>
    <x v="20"/>
    <x v="7"/>
    <x v="9"/>
    <n v="1"/>
    <n v="99.9"/>
    <n v="27"/>
    <s v="credit_card"/>
    <n v="8"/>
    <x v="1"/>
    <x v="2"/>
    <s v="Minas Gerais"/>
  </r>
  <r>
    <s v="02521a906b13fc8ff9314bf88adc31ed"/>
    <s v="2018-07-16"/>
    <x v="20"/>
    <x v="3"/>
    <x v="22"/>
    <n v="1"/>
    <n v="509"/>
    <n v="12.31"/>
    <s v="credit_card"/>
    <n v="4"/>
    <x v="1"/>
    <x v="2"/>
    <s v="Sao Paulo"/>
  </r>
  <r>
    <s v="274f33c3b4d5612a37e3a223a2d9bc5a"/>
    <s v="2018-07-17"/>
    <x v="20"/>
    <x v="5"/>
    <x v="58"/>
    <n v="1"/>
    <n v="326"/>
    <n v="85.69"/>
    <s v="credit_card"/>
    <n v="6"/>
    <x v="1"/>
    <x v="2"/>
    <s v="Parana"/>
  </r>
  <r>
    <s v="e918a18483ed36b716b6fbc8cf570e83"/>
    <s v="2018-07-17"/>
    <x v="20"/>
    <x v="7"/>
    <x v="4"/>
    <n v="1"/>
    <n v="38.9"/>
    <n v="13.61"/>
    <s v="boleto"/>
    <n v="8"/>
    <x v="1"/>
    <x v="2"/>
    <s v="Minas Gerais"/>
  </r>
  <r>
    <s v="07294ed0ece67bb004a4813c77dfc3e3"/>
    <s v="2018-07-17"/>
    <x v="20"/>
    <x v="8"/>
    <x v="32"/>
    <n v="1"/>
    <n v="45.97"/>
    <n v="19.510000000000002"/>
    <s v="credit_card"/>
    <n v="7"/>
    <x v="1"/>
    <x v="2"/>
    <s v="Santa Catarina"/>
  </r>
  <r>
    <s v="c027f3c5515fef73b9212d8381c33b25"/>
    <s v="2018-07-17"/>
    <x v="20"/>
    <x v="5"/>
    <x v="29"/>
    <n v="1"/>
    <n v="199.9"/>
    <n v="45.2"/>
    <s v="credit_card"/>
    <n v="8"/>
    <x v="1"/>
    <x v="2"/>
    <s v="Parana"/>
  </r>
  <r>
    <s v="c85e13fa13301ec2cb996db10353e737"/>
    <s v="2018-07-17"/>
    <x v="20"/>
    <x v="4"/>
    <x v="14"/>
    <n v="1"/>
    <n v="49.95"/>
    <n v="18.45"/>
    <s v="credit_card"/>
    <n v="9"/>
    <x v="1"/>
    <x v="3"/>
    <s v="Rio de Janeiro"/>
  </r>
  <r>
    <s v="7caa2aaed7e9a56d1bc1004eb7d296e5"/>
    <s v="2018-07-17"/>
    <x v="20"/>
    <x v="3"/>
    <x v="12"/>
    <n v="1"/>
    <n v="144.97"/>
    <n v="9.18"/>
    <s v="voucher"/>
    <n v="2"/>
    <x v="1"/>
    <x v="2"/>
    <s v="Sao Paulo"/>
  </r>
  <r>
    <s v="7c92284adbec8033d160303d83065dbf"/>
    <s v="2018-07-17"/>
    <x v="20"/>
    <x v="1"/>
    <x v="19"/>
    <n v="3"/>
    <n v="9.18"/>
    <n v="54.69"/>
    <s v="credit_card"/>
    <n v="9"/>
    <x v="1"/>
    <x v="1"/>
    <s v="Rio Grande do Sul"/>
  </r>
  <r>
    <s v="81fffc4a57c371d20f822517c9e4f9ae"/>
    <s v="2018-07-17"/>
    <x v="20"/>
    <x v="7"/>
    <x v="12"/>
    <n v="1"/>
    <n v="29.99"/>
    <n v="22.14"/>
    <s v="boleto"/>
    <n v="7"/>
    <x v="1"/>
    <x v="2"/>
    <s v="Minas Gerais"/>
  </r>
  <r>
    <s v="715b8576b74d53796bcbb107a201eb55"/>
    <s v="2018-07-18"/>
    <x v="20"/>
    <x v="3"/>
    <x v="58"/>
    <n v="1"/>
    <n v="228"/>
    <n v="26.58"/>
    <s v="credit_card"/>
    <n v="3"/>
    <x v="1"/>
    <x v="2"/>
    <s v="Sao Paulo"/>
  </r>
  <r>
    <s v="af249ad76f0a378300eb8de655b82166"/>
    <s v="2018-07-18"/>
    <x v="20"/>
    <x v="6"/>
    <x v="22"/>
    <n v="1"/>
    <n v="516.9"/>
    <n v="23.89"/>
    <s v="credit_card"/>
    <n v="7"/>
    <x v="1"/>
    <x v="2"/>
    <s v="Pernambuco"/>
  </r>
  <r>
    <s v="af8f5e473ef8dd20e4357b3bddf1accd"/>
    <s v="2018-07-18"/>
    <x v="20"/>
    <x v="14"/>
    <x v="14"/>
    <n v="1"/>
    <n v="126"/>
    <n v="15.98"/>
    <s v="credit_card"/>
    <n v="7"/>
    <x v="1"/>
    <x v="3"/>
    <s v="Mato Grosso do Sul"/>
  </r>
  <r>
    <s v="2c313debfbfb2b44f91ae0431823ccb4"/>
    <s v="2018-07-18"/>
    <x v="20"/>
    <x v="3"/>
    <x v="19"/>
    <n v="1"/>
    <n v="141.38"/>
    <n v="14.57"/>
    <s v="credit_card"/>
    <n v="4"/>
    <x v="1"/>
    <x v="2"/>
    <s v="Sao Paulo"/>
  </r>
  <r>
    <s v="54a05520cf3e089ebf5dd8575f9ac38a"/>
    <s v="2018-07-18"/>
    <x v="20"/>
    <x v="4"/>
    <x v="4"/>
    <n v="1"/>
    <n v="20"/>
    <n v="14.44"/>
    <s v="credit_card"/>
    <n v="6"/>
    <x v="1"/>
    <x v="2"/>
    <s v="Rio de Janeiro"/>
  </r>
  <r>
    <s v="8c2189f32103647dde2d19e9045c2a76"/>
    <s v="2018-07-18"/>
    <x v="20"/>
    <x v="3"/>
    <x v="14"/>
    <n v="2"/>
    <n v="35.799999999999997"/>
    <n v="25.58"/>
    <s v="credit_card"/>
    <n v="5"/>
    <x v="1"/>
    <x v="1"/>
    <s v="Sao Paulo"/>
  </r>
  <r>
    <s v="fb9e94685fede37314f883d0bb0c2561"/>
    <s v="2018-07-18"/>
    <x v="20"/>
    <x v="3"/>
    <x v="19"/>
    <n v="1"/>
    <n v="24.49"/>
    <n v="64.8"/>
    <s v="credit_card"/>
    <n v="6"/>
    <x v="1"/>
    <x v="2"/>
    <s v="Sao Paulo"/>
  </r>
  <r>
    <s v="31932da1b041c8391eb82c14213e73fb"/>
    <s v="2018-07-18"/>
    <x v="20"/>
    <x v="20"/>
    <x v="14"/>
    <n v="1"/>
    <n v="80.8"/>
    <n v="37.479999999999997"/>
    <s v="credit_card"/>
    <n v="13"/>
    <x v="1"/>
    <x v="2"/>
    <s v="Tocantins"/>
  </r>
  <r>
    <s v="ee08d8ee1e91201837b8d764336db291"/>
    <s v="2018-07-18"/>
    <x v="20"/>
    <x v="2"/>
    <x v="19"/>
    <n v="1"/>
    <n v="37.9"/>
    <n v="15.37"/>
    <s v="voucher"/>
    <n v="12"/>
    <x v="1"/>
    <x v="1"/>
    <s v="Goias"/>
  </r>
  <r>
    <s v="45904bc2f27b4b3d71f27fc638080399"/>
    <s v="2018-07-18"/>
    <x v="20"/>
    <x v="3"/>
    <x v="9"/>
    <n v="1"/>
    <n v="110.32"/>
    <n v="8.0299999999999994"/>
    <s v="debit_card"/>
    <n v="6"/>
    <x v="1"/>
    <x v="2"/>
    <s v="Sao Paulo"/>
  </r>
  <r>
    <s v="8ec29b681fd22a8225b16acff79330a0"/>
    <s v="2018-07-18"/>
    <x v="20"/>
    <x v="18"/>
    <x v="0"/>
    <n v="1"/>
    <n v="129.9"/>
    <n v="63.19"/>
    <s v="boleto"/>
    <n v="11"/>
    <x v="1"/>
    <x v="2"/>
    <s v="Distrito Federal"/>
  </r>
  <r>
    <s v="45cac4320420da8cf4dac44accae079a"/>
    <s v="2018-07-18"/>
    <x v="20"/>
    <x v="1"/>
    <x v="14"/>
    <n v="1"/>
    <n v="50"/>
    <n v="19.54"/>
    <s v="debit_card"/>
    <n v="13"/>
    <x v="1"/>
    <x v="2"/>
    <s v="Rio Grande do Sul"/>
  </r>
  <r>
    <s v="c3297de5d87bdb1364601547517e83b0"/>
    <s v="2018-07-18"/>
    <x v="20"/>
    <x v="3"/>
    <x v="14"/>
    <n v="1"/>
    <n v="19.899999999999999"/>
    <n v="15.24"/>
    <s v="credit_card"/>
    <n v="5"/>
    <x v="1"/>
    <x v="2"/>
    <s v="Sao Paulo"/>
  </r>
  <r>
    <s v="ff5afb773cc74f8424fc4e5c2f57570a"/>
    <s v="2018-07-18"/>
    <x v="20"/>
    <x v="5"/>
    <x v="0"/>
    <n v="1"/>
    <n v="179.9"/>
    <n v="19.309999999999999"/>
    <s v="credit_card"/>
    <n v="11"/>
    <x v="1"/>
    <x v="3"/>
    <s v="Parana"/>
  </r>
  <r>
    <s v="109e7f07a4c739fb54edf836bb9ef576"/>
    <s v="2018-07-19"/>
    <x v="20"/>
    <x v="13"/>
    <x v="4"/>
    <n v="1"/>
    <n v="197.5"/>
    <n v="21.65"/>
    <s v="credit_card"/>
    <n v="11"/>
    <x v="1"/>
    <x v="3"/>
    <s v="Maranhao"/>
  </r>
  <r>
    <s v="14f71e03c472d2b37384b55708ac8354"/>
    <s v="2018-07-19"/>
    <x v="20"/>
    <x v="3"/>
    <x v="14"/>
    <n v="1"/>
    <n v="99.77"/>
    <n v="19.89"/>
    <s v="boleto"/>
    <n v="6"/>
    <x v="1"/>
    <x v="0"/>
    <s v="Sao Paulo"/>
  </r>
  <r>
    <s v="c96bee3fe3caeb224420da7bc815b0fe"/>
    <s v="2018-07-19"/>
    <x v="20"/>
    <x v="4"/>
    <x v="28"/>
    <n v="1"/>
    <n v="159.97999999999999"/>
    <n v="49.49"/>
    <s v="boleto"/>
    <n v="22"/>
    <x v="1"/>
    <x v="0"/>
    <s v="Rio de Janeiro"/>
  </r>
  <r>
    <s v="d0e7875fcf8fa009f5295ad397fc7e18"/>
    <s v="2018-07-19"/>
    <x v="20"/>
    <x v="3"/>
    <x v="9"/>
    <n v="1"/>
    <n v="100.99"/>
    <n v="15.02"/>
    <s v="credit_card"/>
    <n v="5"/>
    <x v="1"/>
    <x v="2"/>
    <s v="Sao Paulo"/>
  </r>
  <r>
    <s v="aa5fb4d316102d9a70eaf75e6f19d181"/>
    <s v="2018-07-19"/>
    <x v="20"/>
    <x v="4"/>
    <x v="14"/>
    <n v="1"/>
    <n v="19.899999999999999"/>
    <n v="18.239999999999998"/>
    <s v="boleto"/>
    <n v="7"/>
    <x v="1"/>
    <x v="2"/>
    <s v="Rio de Janeiro"/>
  </r>
  <r>
    <s v="b7b1f2843edf05e98877ad7a739b2da1"/>
    <s v="2018-07-19"/>
    <x v="20"/>
    <x v="3"/>
    <x v="46"/>
    <n v="1"/>
    <n v="29.7"/>
    <n v="16.399999999999999"/>
    <s v="boleto"/>
    <n v="9"/>
    <x v="1"/>
    <x v="2"/>
    <s v="Sao Paulo"/>
  </r>
  <r>
    <s v="9949f7af3885f27e84044841513de26e"/>
    <s v="2018-07-19"/>
    <x v="20"/>
    <x v="4"/>
    <x v="4"/>
    <n v="1"/>
    <n v="110.81"/>
    <n v="19.989999999999998"/>
    <s v="credit_card"/>
    <n v="14"/>
    <x v="1"/>
    <x v="2"/>
    <s v="Rio de Janeiro"/>
  </r>
  <r>
    <s v="7ba54c67fabcf8bc22e2023e8d81dd84"/>
    <s v="2018-07-19"/>
    <x v="20"/>
    <x v="3"/>
    <x v="17"/>
    <n v="1"/>
    <n v="18.899999999999999"/>
    <n v="13.47"/>
    <s v="credit_card"/>
    <n v="7"/>
    <x v="1"/>
    <x v="1"/>
    <s v="Sao Paulo"/>
  </r>
  <r>
    <s v="dc5542aeff4f9a938c0de66cd4384080"/>
    <s v="2018-07-19"/>
    <x v="20"/>
    <x v="1"/>
    <x v="5"/>
    <n v="1"/>
    <n v="336"/>
    <n v="20.45"/>
    <s v="credit_card"/>
    <n v="8"/>
    <x v="1"/>
    <x v="2"/>
    <s v="Rio Grande do Sul"/>
  </r>
  <r>
    <s v="40ccf6af09b0aadbf3e2710fb2f17715"/>
    <s v="2018-07-19"/>
    <x v="20"/>
    <x v="21"/>
    <x v="12"/>
    <n v="1"/>
    <n v="298.8"/>
    <n v="25.24"/>
    <s v="credit_card"/>
    <n v="14"/>
    <x v="1"/>
    <x v="2"/>
    <s v="Bahia"/>
  </r>
  <r>
    <s v="c82e3eb519fbd1983966e7c8bff4d6cc"/>
    <s v="2018-07-19"/>
    <x v="20"/>
    <x v="3"/>
    <x v="13"/>
    <n v="1"/>
    <n v="309"/>
    <n v="27.67"/>
    <s v="credit_card"/>
    <n v="8"/>
    <x v="1"/>
    <x v="2"/>
    <s v="Sao Paulo"/>
  </r>
  <r>
    <s v="1cf95378918960ac4f215e2a436dc18c"/>
    <s v="2018-07-19"/>
    <x v="20"/>
    <x v="3"/>
    <x v="19"/>
    <n v="1"/>
    <n v="189.9"/>
    <n v="13.99"/>
    <s v="credit_card"/>
    <n v="7"/>
    <x v="1"/>
    <x v="2"/>
    <s v="Sao Paulo"/>
  </r>
  <r>
    <s v="9a7d7672806f5cfd6bc9cbd5a060806f"/>
    <s v="2018-07-19"/>
    <x v="20"/>
    <x v="7"/>
    <x v="9"/>
    <n v="1"/>
    <n v="519.9"/>
    <n v="25.57"/>
    <s v="credit_card"/>
    <n v="12"/>
    <x v="1"/>
    <x v="0"/>
    <s v="Minas Gerais"/>
  </r>
  <r>
    <s v="d9bf43027ddbeee4ced772f175c2dc40"/>
    <s v="2018-07-20"/>
    <x v="20"/>
    <x v="3"/>
    <x v="12"/>
    <n v="1"/>
    <n v="49.9"/>
    <n v="13.01"/>
    <s v="credit_card"/>
    <n v="7"/>
    <x v="1"/>
    <x v="2"/>
    <s v="Sao Paulo"/>
  </r>
  <r>
    <s v="9d8ad56c218b4b9bd6ece578c91c2321"/>
    <s v="2018-07-20"/>
    <x v="20"/>
    <x v="3"/>
    <x v="11"/>
    <n v="1"/>
    <n v="22"/>
    <n v="7.41"/>
    <s v="credit_card"/>
    <n v="5"/>
    <x v="1"/>
    <x v="2"/>
    <s v="Sao Paulo"/>
  </r>
  <r>
    <s v="878b914d30233eb8a3e4ff4465a4ef49"/>
    <s v="2018-07-20"/>
    <x v="20"/>
    <x v="5"/>
    <x v="34"/>
    <n v="1"/>
    <n v="999.9"/>
    <n v="27.61"/>
    <s v="credit_card"/>
    <n v="10"/>
    <x v="1"/>
    <x v="2"/>
    <s v="Parana"/>
  </r>
  <r>
    <s v="82be2384f5d2751770574b84da68f2c1"/>
    <s v="2018-07-20"/>
    <x v="20"/>
    <x v="3"/>
    <x v="22"/>
    <n v="1"/>
    <n v="315.89999999999998"/>
    <n v="9.4700000000000006"/>
    <s v="credit_card"/>
    <n v="4"/>
    <x v="1"/>
    <x v="1"/>
    <s v="Sao Paulo"/>
  </r>
  <r>
    <s v="00a57dfbb049fbaae10763e2cf15f797"/>
    <s v="2018-07-20"/>
    <x v="20"/>
    <x v="14"/>
    <x v="4"/>
    <n v="3"/>
    <n v="269.7"/>
    <n v="67.679999999999993"/>
    <s v="boleto"/>
    <n v="10"/>
    <x v="1"/>
    <x v="2"/>
    <s v="Mato Grosso do Sul"/>
  </r>
  <r>
    <s v="e66c28c44f4a12382611f0de3e522478"/>
    <s v="2018-07-20"/>
    <x v="20"/>
    <x v="3"/>
    <x v="22"/>
    <n v="1"/>
    <n v="139.9"/>
    <n v="16.079999999999998"/>
    <s v="credit_card"/>
    <n v="7"/>
    <x v="1"/>
    <x v="0"/>
    <s v="Sao Paulo"/>
  </r>
  <r>
    <s v="c0e11158f60abbb6f96d74228e67d44c"/>
    <s v="2018-07-20"/>
    <x v="20"/>
    <x v="2"/>
    <x v="20"/>
    <n v="1"/>
    <n v="249.99"/>
    <n v="28.05"/>
    <s v="credit_card"/>
    <n v="11"/>
    <x v="1"/>
    <x v="2"/>
    <s v="Goias"/>
  </r>
  <r>
    <s v="133d08a542c28f4400480b9483517c32"/>
    <s v="2018-07-21"/>
    <x v="20"/>
    <x v="11"/>
    <x v="12"/>
    <n v="1"/>
    <n v="62.99"/>
    <n v="22.72"/>
    <s v="credit_card"/>
    <n v="16"/>
    <x v="1"/>
    <x v="3"/>
    <s v="Para"/>
  </r>
  <r>
    <s v="9e47bdda0d32604c18e587c151278314"/>
    <s v="2018-07-21"/>
    <x v="20"/>
    <x v="3"/>
    <x v="36"/>
    <n v="1"/>
    <n v="26.9"/>
    <n v="12.85"/>
    <s v="credit_card"/>
    <n v="4"/>
    <x v="1"/>
    <x v="2"/>
    <s v="Sao Paulo"/>
  </r>
  <r>
    <s v="c533856d03996a6114c8fa9a876181d4"/>
    <s v="2018-07-21"/>
    <x v="20"/>
    <x v="4"/>
    <x v="17"/>
    <n v="1"/>
    <n v="139.9"/>
    <n v="30.78"/>
    <s v="credit_card"/>
    <n v="9"/>
    <x v="1"/>
    <x v="2"/>
    <s v="Rio de Janeiro"/>
  </r>
  <r>
    <s v="6048533001f5fce8b89fa52898d99047"/>
    <s v="2018-07-21"/>
    <x v="20"/>
    <x v="24"/>
    <x v="4"/>
    <n v="1"/>
    <n v="49.9"/>
    <n v="51.07"/>
    <s v="credit_card"/>
    <n v="17"/>
    <x v="1"/>
    <x v="2"/>
    <s v="Alagoas"/>
  </r>
  <r>
    <s v="906aea7f9a8bbd2b625400e22531469e"/>
    <s v="2018-07-21"/>
    <x v="20"/>
    <x v="3"/>
    <x v="19"/>
    <n v="1"/>
    <n v="40.99"/>
    <n v="14.6"/>
    <s v="credit_card"/>
    <n v="4"/>
    <x v="1"/>
    <x v="2"/>
    <s v="Sao Paulo"/>
  </r>
  <r>
    <s v="7e00454e2e8b8b2e12e9a580ec77f00c"/>
    <s v="2018-07-21"/>
    <x v="20"/>
    <x v="3"/>
    <x v="3"/>
    <n v="1"/>
    <n v="40"/>
    <n v="18.38"/>
    <s v="credit_card"/>
    <n v="5"/>
    <x v="1"/>
    <x v="2"/>
    <s v="Sao Paulo"/>
  </r>
  <r>
    <s v="4f209a7c48b44a32ff3196ddbfb4d67e"/>
    <s v="2018-07-21"/>
    <x v="20"/>
    <x v="3"/>
    <x v="9"/>
    <n v="1"/>
    <n v="143.28"/>
    <n v="13.66"/>
    <s v="credit_card"/>
    <n v="6"/>
    <x v="1"/>
    <x v="2"/>
    <s v="Sao Paulo"/>
  </r>
  <r>
    <s v="6bbafe0017bf2f1c7dd4331a9a742023"/>
    <s v="2018-07-21"/>
    <x v="20"/>
    <x v="3"/>
    <x v="0"/>
    <n v="1"/>
    <n v="45"/>
    <n v="11.34"/>
    <s v="credit_card"/>
    <n v="5"/>
    <x v="1"/>
    <x v="2"/>
    <s v="Sao Paulo"/>
  </r>
  <r>
    <s v="e681b9d741ce6a1913e86b6351105a55"/>
    <s v="2018-07-21"/>
    <x v="20"/>
    <x v="1"/>
    <x v="25"/>
    <n v="2"/>
    <n v="99.8"/>
    <n v="49.4"/>
    <s v="credit_card"/>
    <n v="19"/>
    <x v="1"/>
    <x v="2"/>
    <s v="Rio Grande do Sul"/>
  </r>
  <r>
    <s v="4a2c053de460d64372361385b38bdb24"/>
    <s v="2018-07-21"/>
    <x v="20"/>
    <x v="14"/>
    <x v="54"/>
    <n v="2"/>
    <n v="199.75"/>
    <n v="43.39"/>
    <s v="credit_card"/>
    <n v="25"/>
    <x v="1"/>
    <x v="1"/>
    <s v="Mato Grosso do Sul"/>
  </r>
  <r>
    <s v="15d849612f479d808dc030e4e1ba39d6"/>
    <s v="2018-07-22"/>
    <x v="20"/>
    <x v="7"/>
    <x v="21"/>
    <n v="1"/>
    <n v="129.9"/>
    <n v="22.66"/>
    <s v="credit_card"/>
    <n v="8"/>
    <x v="1"/>
    <x v="2"/>
    <s v="Minas Gerais"/>
  </r>
  <r>
    <s v="3d85885db63d8328e4dbaa59804ad1ee"/>
    <s v="2018-07-22"/>
    <x v="20"/>
    <x v="15"/>
    <x v="19"/>
    <n v="1"/>
    <n v="159.9"/>
    <n v="48.17"/>
    <s v="boleto"/>
    <n v="12"/>
    <x v="1"/>
    <x v="2"/>
    <s v="Mato Grosso"/>
  </r>
  <r>
    <s v="279a3bc53e370f1614e3205bf4946041"/>
    <s v="2018-07-22"/>
    <x v="20"/>
    <x v="14"/>
    <x v="22"/>
    <n v="1"/>
    <n v="148.9"/>
    <n v="16.14"/>
    <s v="credit_card"/>
    <n v="10"/>
    <x v="1"/>
    <x v="2"/>
    <s v="Mato Grosso do Sul"/>
  </r>
  <r>
    <s v="4ac122e6ce71a07175e5bf2551f02c40"/>
    <s v="2018-07-22"/>
    <x v="20"/>
    <x v="3"/>
    <x v="1"/>
    <n v="1"/>
    <n v="85.9"/>
    <n v="11.62"/>
    <s v="credit_card"/>
    <n v="3"/>
    <x v="1"/>
    <x v="2"/>
    <s v="Sao Paulo"/>
  </r>
  <r>
    <s v="6153dde2f6f01bdd93c35be85fed898d"/>
    <s v="2018-07-22"/>
    <x v="20"/>
    <x v="3"/>
    <x v="17"/>
    <n v="1"/>
    <n v="49.99"/>
    <n v="7.61"/>
    <s v="credit_card"/>
    <n v="6"/>
    <x v="1"/>
    <x v="3"/>
    <s v="Sao Paulo"/>
  </r>
  <r>
    <s v="97aeae7e7b1d8a32cf3f26c3946eab1d"/>
    <s v="2018-07-22"/>
    <x v="20"/>
    <x v="1"/>
    <x v="22"/>
    <n v="1"/>
    <n v="178.99"/>
    <n v="19.350000000000001"/>
    <s v="credit_card"/>
    <n v="12"/>
    <x v="1"/>
    <x v="5"/>
    <s v="Rio Grande do Sul"/>
  </r>
  <r>
    <s v="1bf96d65e405802ae7b8a8e176b0b3e6"/>
    <s v="2018-07-22"/>
    <x v="20"/>
    <x v="4"/>
    <x v="22"/>
    <n v="1"/>
    <n v="35"/>
    <n v="15.35"/>
    <s v="boleto"/>
    <n v="8"/>
    <x v="1"/>
    <x v="0"/>
    <s v="Rio de Janeiro"/>
  </r>
  <r>
    <s v="5a8c964d59cf60933991dc8ebb88bfa2"/>
    <s v="2018-07-22"/>
    <x v="20"/>
    <x v="21"/>
    <x v="0"/>
    <n v="1"/>
    <n v="44.99"/>
    <n v="22.25"/>
    <s v="credit_card"/>
    <n v="7"/>
    <x v="1"/>
    <x v="2"/>
    <s v="Bahia"/>
  </r>
  <r>
    <s v="9acc2273b31b949190b1e828d326a926"/>
    <s v="2018-07-23"/>
    <x v="20"/>
    <x v="7"/>
    <x v="4"/>
    <n v="1"/>
    <n v="15.99"/>
    <n v="18.23"/>
    <s v="credit_card"/>
    <n v="6"/>
    <x v="1"/>
    <x v="2"/>
    <s v="Minas Gerais"/>
  </r>
  <r>
    <s v="db115077a7bd949a515922eb40aea6c3"/>
    <s v="2018-07-23"/>
    <x v="20"/>
    <x v="7"/>
    <x v="58"/>
    <n v="2"/>
    <n v="318"/>
    <n v="124.52"/>
    <s v="credit_card"/>
    <n v="7"/>
    <x v="1"/>
    <x v="3"/>
    <s v="Minas Gerais"/>
  </r>
  <r>
    <s v="303eb5cb4d788bba757d3b0a2aa5f270"/>
    <s v="2018-07-23"/>
    <x v="20"/>
    <x v="1"/>
    <x v="36"/>
    <n v="1"/>
    <n v="29.9"/>
    <n v="18.309999999999999"/>
    <s v="boleto"/>
    <n v="13"/>
    <x v="1"/>
    <x v="2"/>
    <s v="Rio Grande do Sul"/>
  </r>
  <r>
    <s v="ad7957c1cde1dae009b1fc01e3e02758"/>
    <s v="2018-07-23"/>
    <x v="20"/>
    <x v="13"/>
    <x v="9"/>
    <n v="1"/>
    <n v="79.900000000000006"/>
    <n v="51.28"/>
    <s v="credit_card"/>
    <n v="13"/>
    <x v="1"/>
    <x v="2"/>
    <s v="Maranhao"/>
  </r>
  <r>
    <s v="e26def18967c8f7038476bbfd3256f43"/>
    <s v="2018-07-23"/>
    <x v="20"/>
    <x v="11"/>
    <x v="22"/>
    <n v="1"/>
    <n v="728.9"/>
    <n v="25.37"/>
    <s v="credit_card"/>
    <n v="14"/>
    <x v="1"/>
    <x v="2"/>
    <s v="Para"/>
  </r>
  <r>
    <s v="13a45e2e8407ebdf8c1e8fb6e1dba4fd"/>
    <s v="2018-07-23"/>
    <x v="20"/>
    <x v="3"/>
    <x v="0"/>
    <n v="1"/>
    <n v="99.9"/>
    <n v="9.4499999999999993"/>
    <s v="credit_card"/>
    <n v="2"/>
    <x v="1"/>
    <x v="2"/>
    <s v="Sao Paulo"/>
  </r>
  <r>
    <s v="84d1b2c4bcd6e1ea29456bedb6b6530b"/>
    <s v="2018-07-23"/>
    <x v="20"/>
    <x v="3"/>
    <x v="9"/>
    <n v="1"/>
    <n v="110.32"/>
    <n v="8.0299999999999994"/>
    <s v="credit_card"/>
    <n v="4"/>
    <x v="1"/>
    <x v="2"/>
    <s v="Sao Paulo"/>
  </r>
  <r>
    <s v="31f1be86be8795e41ef55b592873ae37"/>
    <s v="2018-07-23"/>
    <x v="20"/>
    <x v="1"/>
    <x v="1"/>
    <n v="1"/>
    <n v="175"/>
    <n v="59.31"/>
    <s v="credit_card"/>
    <n v="6"/>
    <x v="1"/>
    <x v="2"/>
    <s v="Rio Grande do Sul"/>
  </r>
  <r>
    <s v="1e849e4a2805bfa9c4db43379e52d046"/>
    <s v="2018-07-23"/>
    <x v="20"/>
    <x v="3"/>
    <x v="27"/>
    <n v="1"/>
    <n v="120"/>
    <n v="17.03"/>
    <s v="credit_card"/>
    <n v="7"/>
    <x v="1"/>
    <x v="2"/>
    <s v="Sao Paulo"/>
  </r>
  <r>
    <s v="e9583867c3868714af8937a417c1adc5"/>
    <s v="2018-07-23"/>
    <x v="20"/>
    <x v="1"/>
    <x v="2"/>
    <n v="1"/>
    <n v="45.2"/>
    <n v="19.510000000000002"/>
    <s v="credit_card"/>
    <n v="8"/>
    <x v="1"/>
    <x v="2"/>
    <s v="Rio Grande do Sul"/>
  </r>
  <r>
    <s v="1d767ef13195f2cb3337b6b077e1f752"/>
    <s v="2018-07-23"/>
    <x v="20"/>
    <x v="4"/>
    <x v="2"/>
    <n v="1"/>
    <n v="139.99"/>
    <n v="17.170000000000002"/>
    <s v="credit_card"/>
    <n v="7"/>
    <x v="1"/>
    <x v="2"/>
    <s v="Rio de Janeiro"/>
  </r>
  <r>
    <s v="332cccabf2107750bda6430e1696198d"/>
    <s v="2018-07-23"/>
    <x v="20"/>
    <x v="8"/>
    <x v="22"/>
    <n v="1"/>
    <n v="78"/>
    <n v="18.649999999999999"/>
    <s v="credit_card"/>
    <n v="6"/>
    <x v="1"/>
    <x v="3"/>
    <s v="Santa Catarina"/>
  </r>
  <r>
    <s v="d8d281c1a1398a1e835fdc4adfb81e2a"/>
    <s v="2018-07-23"/>
    <x v="20"/>
    <x v="3"/>
    <x v="7"/>
    <n v="1"/>
    <n v="664"/>
    <n v="38.409999999999997"/>
    <s v="credit_card"/>
    <n v="3"/>
    <x v="1"/>
    <x v="0"/>
    <s v="Sao Paulo"/>
  </r>
  <r>
    <s v="dbd51aaa65a18413d5c1a97a0bc41bf4"/>
    <s v="2018-07-23"/>
    <x v="20"/>
    <x v="1"/>
    <x v="14"/>
    <n v="1"/>
    <n v="88"/>
    <n v="23.42"/>
    <s v="credit_card"/>
    <n v="6"/>
    <x v="1"/>
    <x v="2"/>
    <s v="Rio Grande do Sul"/>
  </r>
  <r>
    <s v="3d61e9970cfb1669c490645d74bf7405"/>
    <s v="2018-07-23"/>
    <x v="20"/>
    <x v="7"/>
    <x v="22"/>
    <n v="1"/>
    <n v="154.9"/>
    <n v="19.18"/>
    <s v="credit_card"/>
    <n v="3"/>
    <x v="1"/>
    <x v="2"/>
    <s v="Minas Gerais"/>
  </r>
  <r>
    <s v="fc608ec5eadbd9c3b59babdc1f7ebca9"/>
    <s v="2018-07-23"/>
    <x v="20"/>
    <x v="3"/>
    <x v="3"/>
    <n v="1"/>
    <n v="140"/>
    <n v="64.8"/>
    <s v="credit_card"/>
    <n v="4"/>
    <x v="1"/>
    <x v="2"/>
    <s v="Sao Paulo"/>
  </r>
  <r>
    <s v="b4501b36d5c7558b4364a961168f8bfd"/>
    <s v="2018-07-23"/>
    <x v="20"/>
    <x v="1"/>
    <x v="22"/>
    <n v="2"/>
    <n v="78"/>
    <n v="36.74"/>
    <s v="boleto"/>
    <n v="7"/>
    <x v="1"/>
    <x v="2"/>
    <s v="Rio Grande do Sul"/>
  </r>
  <r>
    <s v="329262a8ce814ac8ed283f9ae66ebee2"/>
    <s v="2018-07-23"/>
    <x v="20"/>
    <x v="2"/>
    <x v="22"/>
    <n v="1"/>
    <n v="78"/>
    <n v="15.65"/>
    <s v="credit_card"/>
    <n v="14"/>
    <x v="1"/>
    <x v="2"/>
    <s v="Goias"/>
  </r>
  <r>
    <s v="da28a815dd7996590e84c9e51dec1ff4"/>
    <s v="2018-07-23"/>
    <x v="20"/>
    <x v="3"/>
    <x v="14"/>
    <n v="1"/>
    <n v="107.5"/>
    <n v="17.88"/>
    <s v="credit_card"/>
    <n v="4"/>
    <x v="1"/>
    <x v="3"/>
    <s v="Sao Paulo"/>
  </r>
  <r>
    <s v="8ceb7c40345d31112e63e0f4624e39b0"/>
    <s v="2018-07-23"/>
    <x v="20"/>
    <x v="3"/>
    <x v="19"/>
    <n v="3"/>
    <n v="188.7"/>
    <n v="34.380000000000003"/>
    <s v="credit_card"/>
    <n v="2"/>
    <x v="1"/>
    <x v="1"/>
    <s v="Sao Paulo"/>
  </r>
  <r>
    <s v="6f21ad30200f041d3f19995a8718cd11"/>
    <s v="2018-07-23"/>
    <x v="20"/>
    <x v="3"/>
    <x v="6"/>
    <n v="1"/>
    <n v="45.95"/>
    <n v="7.58"/>
    <s v="boleto"/>
    <n v="2"/>
    <x v="1"/>
    <x v="2"/>
    <s v="Sao Paulo"/>
  </r>
  <r>
    <s v="407fe646704ea7828e324c8ef7e7e616"/>
    <s v="2018-07-23"/>
    <x v="20"/>
    <x v="5"/>
    <x v="1"/>
    <n v="3"/>
    <n v="357.13"/>
    <n v="88.07"/>
    <s v="boleto"/>
    <n v="8"/>
    <x v="1"/>
    <x v="2"/>
    <s v="Parana"/>
  </r>
  <r>
    <s v="2e0900f25a11a9802bc76d2613b1144c"/>
    <s v="2018-07-24"/>
    <x v="20"/>
    <x v="20"/>
    <x v="1"/>
    <n v="2"/>
    <n v="178.98"/>
    <n v="75.08"/>
    <s v="boleto"/>
    <n v="13"/>
    <x v="1"/>
    <x v="2"/>
    <s v="Tocantins"/>
  </r>
  <r>
    <s v="bb4eb3e71b30365a580e5a718bd8d1ae"/>
    <s v="2018-07-24"/>
    <x v="20"/>
    <x v="11"/>
    <x v="9"/>
    <n v="1"/>
    <n v="151.72"/>
    <n v="23.34"/>
    <s v="credit_card"/>
    <n v="38"/>
    <x v="2"/>
    <x v="0"/>
    <s v="Para"/>
  </r>
  <r>
    <s v="67e5683ee43c8f5d4c0b46f7f8932ac8"/>
    <s v="2018-07-24"/>
    <x v="20"/>
    <x v="5"/>
    <x v="13"/>
    <n v="1"/>
    <n v="93.97"/>
    <n v="18.760000000000002"/>
    <s v="credit_card"/>
    <n v="7"/>
    <x v="1"/>
    <x v="2"/>
    <s v="Parana"/>
  </r>
  <r>
    <s v="92f53cdbef0f16b315c62faa337c4672"/>
    <s v="2018-07-24"/>
    <x v="20"/>
    <x v="22"/>
    <x v="54"/>
    <n v="1"/>
    <n v="150"/>
    <n v="28.03"/>
    <s v="credit_card"/>
    <n v="6"/>
    <x v="1"/>
    <x v="2"/>
    <s v="Espirito Santo"/>
  </r>
  <r>
    <s v="3304b73bf1a8b2f1e44d5cd320476582"/>
    <s v="2018-07-24"/>
    <x v="20"/>
    <x v="3"/>
    <x v="29"/>
    <n v="1"/>
    <n v="74.5"/>
    <n v="21.16"/>
    <s v="credit_card"/>
    <n v="3"/>
    <x v="1"/>
    <x v="2"/>
    <s v="Sao Paulo"/>
  </r>
  <r>
    <s v="a908872306574c9405b29a838aee5521"/>
    <s v="2018-07-24"/>
    <x v="20"/>
    <x v="3"/>
    <x v="14"/>
    <n v="3"/>
    <n v="143.69999999999999"/>
    <n v="54.33"/>
    <s v="credit_card"/>
    <n v="3"/>
    <x v="1"/>
    <x v="5"/>
    <s v="Sao Paulo"/>
  </r>
  <r>
    <s v="3f9666fbcb3490ff8c1f0d2b826c32db"/>
    <s v="2018-07-24"/>
    <x v="20"/>
    <x v="3"/>
    <x v="5"/>
    <n v="1"/>
    <n v="279.89999999999998"/>
    <n v="20.059999999999999"/>
    <s v="credit_card"/>
    <n v="6"/>
    <x v="1"/>
    <x v="2"/>
    <s v="Sao Paulo"/>
  </r>
  <r>
    <s v="079034c04662f3d7dce287df9e4e5489"/>
    <s v="2018-07-24"/>
    <x v="20"/>
    <x v="23"/>
    <x v="4"/>
    <n v="1"/>
    <n v="24.99"/>
    <n v="22.9"/>
    <s v="credit_card"/>
    <n v="9"/>
    <x v="1"/>
    <x v="2"/>
    <s v="Rio Grande do Norte"/>
  </r>
  <r>
    <s v="8d10435d438f4f2582d83a8cb0f007ad"/>
    <s v="2018-07-24"/>
    <x v="20"/>
    <x v="20"/>
    <x v="54"/>
    <n v="1"/>
    <n v="79.900000000000006"/>
    <n v="38.83"/>
    <s v="boleto"/>
    <n v="22"/>
    <x v="1"/>
    <x v="2"/>
    <s v="Tocantins"/>
  </r>
  <r>
    <s v="1248580ae351357ac7a36fc314df5268"/>
    <s v="2018-07-24"/>
    <x v="20"/>
    <x v="6"/>
    <x v="32"/>
    <n v="1"/>
    <n v="319.99"/>
    <n v="24.52"/>
    <s v="credit_card"/>
    <n v="7"/>
    <x v="1"/>
    <x v="2"/>
    <s v="Pernambuco"/>
  </r>
  <r>
    <s v="581ca172b817d8c5626a66b8cbfe11e7"/>
    <s v="2018-07-24"/>
    <x v="20"/>
    <x v="1"/>
    <x v="28"/>
    <n v="1"/>
    <n v="119.98"/>
    <n v="58.92"/>
    <s v="boleto"/>
    <n v="21"/>
    <x v="1"/>
    <x v="2"/>
    <s v="Rio Grande do Sul"/>
  </r>
  <r>
    <s v="6e11f5b6972e1b602699867fc1d5b6c9"/>
    <s v="2018-07-24"/>
    <x v="20"/>
    <x v="12"/>
    <x v="0"/>
    <n v="1"/>
    <n v="59.9"/>
    <n v="20.69"/>
    <s v="boleto"/>
    <n v="13"/>
    <x v="1"/>
    <x v="2"/>
    <s v="Ceara"/>
  </r>
  <r>
    <s v="45381c01fd8a0e60c741a9cf4736ebbb"/>
    <s v="2018-07-24"/>
    <x v="20"/>
    <x v="5"/>
    <x v="19"/>
    <n v="1"/>
    <n v="24.9"/>
    <n v="18.27"/>
    <s v="credit_card"/>
    <n v="16"/>
    <x v="1"/>
    <x v="2"/>
    <s v="Parana"/>
  </r>
  <r>
    <s v="5b3eecddd7b10744360abfff7a6a74a4"/>
    <s v="2018-07-25"/>
    <x v="20"/>
    <x v="3"/>
    <x v="4"/>
    <n v="1"/>
    <n v="112.99"/>
    <n v="15.18"/>
    <s v="boleto"/>
    <n v="6"/>
    <x v="1"/>
    <x v="2"/>
    <s v="Sao Paulo"/>
  </r>
  <r>
    <s v="18d2e92302e58abca7cd07fc8ff2ffa3"/>
    <s v="2018-07-25"/>
    <x v="20"/>
    <x v="22"/>
    <x v="1"/>
    <n v="1"/>
    <n v="89.9"/>
    <n v="18.43"/>
    <s v="boleto"/>
    <n v="6"/>
    <x v="1"/>
    <x v="2"/>
    <s v="Espirito Santo"/>
  </r>
  <r>
    <s v="fa9149f35155659eb319081d8e6f74af"/>
    <s v="2018-07-25"/>
    <x v="20"/>
    <x v="1"/>
    <x v="29"/>
    <n v="2"/>
    <n v="176.42"/>
    <n v="33.619999999999997"/>
    <s v="credit_card"/>
    <n v="12"/>
    <x v="1"/>
    <x v="2"/>
    <s v="Rio Grande do Sul"/>
  </r>
  <r>
    <s v="e439b72b2d1f22819e11acbbc8102216"/>
    <s v="2018-07-25"/>
    <x v="20"/>
    <x v="5"/>
    <x v="0"/>
    <n v="1"/>
    <n v="70"/>
    <n v="18.54"/>
    <s v="credit_card"/>
    <n v="6"/>
    <x v="1"/>
    <x v="1"/>
    <s v="Parana"/>
  </r>
  <r>
    <s v="ebb615f4359b27e961316b3959532f6c"/>
    <s v="2018-07-25"/>
    <x v="20"/>
    <x v="7"/>
    <x v="13"/>
    <n v="1"/>
    <n v="24.99"/>
    <n v="18.28"/>
    <s v="credit_card"/>
    <n v="6"/>
    <x v="1"/>
    <x v="2"/>
    <s v="Minas Gerais"/>
  </r>
  <r>
    <s v="9e76ee631c399b238d8407c2f437613d"/>
    <s v="2018-07-25"/>
    <x v="20"/>
    <x v="7"/>
    <x v="22"/>
    <n v="1"/>
    <n v="49"/>
    <n v="15.44"/>
    <s v="credit_card"/>
    <n v="5"/>
    <x v="1"/>
    <x v="0"/>
    <s v="Minas Gerais"/>
  </r>
  <r>
    <s v="2b1db95ad7cf165f885e51c1abfed43c"/>
    <s v="2018-07-25"/>
    <x v="20"/>
    <x v="3"/>
    <x v="22"/>
    <n v="1"/>
    <n v="119.9"/>
    <n v="13.5"/>
    <s v="boleto"/>
    <n v="6"/>
    <x v="1"/>
    <x v="2"/>
    <s v="Sao Paulo"/>
  </r>
  <r>
    <s v="31f6c998a06ef0003c3355f042b8488a"/>
    <s v="2018-07-25"/>
    <x v="20"/>
    <x v="22"/>
    <x v="22"/>
    <n v="1"/>
    <n v="95"/>
    <n v="18.77"/>
    <s v="credit_card"/>
    <n v="6"/>
    <x v="1"/>
    <x v="3"/>
    <s v="Espirito Santo"/>
  </r>
  <r>
    <s v="fefacc66af859508bf1a7934eab1e97f"/>
    <s v="2018-07-25"/>
    <x v="20"/>
    <x v="22"/>
    <x v="53"/>
    <n v="1"/>
    <n v="6729"/>
    <n v="193.21"/>
    <s v="boleto"/>
    <n v="20"/>
    <x v="2"/>
    <x v="4"/>
    <s v="Espirito Santo"/>
  </r>
  <r>
    <s v="7ad517358a6ed9836dacf1bd7cc9dab2"/>
    <s v="2018-07-25"/>
    <x v="20"/>
    <x v="3"/>
    <x v="1"/>
    <n v="1"/>
    <n v="95"/>
    <n v="23.47"/>
    <s v="credit_card"/>
    <n v="5"/>
    <x v="1"/>
    <x v="2"/>
    <s v="Sao Paulo"/>
  </r>
  <r>
    <s v="f25fb554c12314110c2c14a22b7eba65"/>
    <s v="2018-07-25"/>
    <x v="20"/>
    <x v="3"/>
    <x v="7"/>
    <n v="1"/>
    <n v="49.9"/>
    <n v="20.99"/>
    <s v="credit_card"/>
    <n v="5"/>
    <x v="1"/>
    <x v="1"/>
    <s v="Sao Paulo"/>
  </r>
  <r>
    <s v="bf605ab91479a9fb68eadab4406c8064"/>
    <s v="2018-07-25"/>
    <x v="20"/>
    <x v="3"/>
    <x v="7"/>
    <n v="1"/>
    <n v="49.9"/>
    <n v="20.99"/>
    <s v="credit_card"/>
    <n v="5"/>
    <x v="1"/>
    <x v="2"/>
    <s v="Sao Paulo"/>
  </r>
  <r>
    <s v="c7dc7be67e857a6c64557d42383dec8c"/>
    <s v="2018-07-25"/>
    <x v="20"/>
    <x v="3"/>
    <x v="1"/>
    <n v="1"/>
    <n v="99.9"/>
    <n v="9.4499999999999993"/>
    <s v="credit_card"/>
    <n v="3"/>
    <x v="1"/>
    <x v="2"/>
    <s v="Sao Paulo"/>
  </r>
  <r>
    <s v="0c70293ae727a4e81099ec24e6190342"/>
    <s v="2018-07-26"/>
    <x v="20"/>
    <x v="18"/>
    <x v="22"/>
    <n v="1"/>
    <n v="59"/>
    <n v="15.51"/>
    <s v="credit_card"/>
    <n v="7"/>
    <x v="1"/>
    <x v="1"/>
    <s v="Distrito Federal"/>
  </r>
  <r>
    <s v="9964c2007bb66c44ebc2d0c803f78408"/>
    <s v="2018-07-26"/>
    <x v="20"/>
    <x v="6"/>
    <x v="2"/>
    <n v="1"/>
    <n v="329.9"/>
    <n v="65.87"/>
    <s v="credit_card"/>
    <n v="15"/>
    <x v="1"/>
    <x v="2"/>
    <s v="Pernambuco"/>
  </r>
  <r>
    <s v="6c18e8919d8c368f2074946445b35dce"/>
    <s v="2018-07-26"/>
    <x v="20"/>
    <x v="3"/>
    <x v="29"/>
    <n v="1"/>
    <n v="42"/>
    <n v="8.4499999999999993"/>
    <s v="credit_card"/>
    <n v="1"/>
    <x v="1"/>
    <x v="2"/>
    <s v="Sao Paulo"/>
  </r>
  <r>
    <s v="a068798f50f86a588b2bd22dd16c6fc1"/>
    <s v="2018-07-26"/>
    <x v="20"/>
    <x v="3"/>
    <x v="1"/>
    <n v="1"/>
    <n v="240"/>
    <n v="13.98"/>
    <s v="credit_card"/>
    <n v="5"/>
    <x v="1"/>
    <x v="3"/>
    <s v="Sao Paulo"/>
  </r>
  <r>
    <s v="9bdf0443f07f3b2fcff74937bf1df6d2"/>
    <s v="2018-07-26"/>
    <x v="20"/>
    <x v="3"/>
    <x v="19"/>
    <n v="1"/>
    <n v="125.4"/>
    <n v="24.96"/>
    <s v="credit_card"/>
    <n v="11"/>
    <x v="1"/>
    <x v="3"/>
    <s v="Sao Paulo"/>
  </r>
  <r>
    <s v="994ed29211f61708b9c3c72ee898ce09"/>
    <s v="2018-07-26"/>
    <x v="20"/>
    <x v="3"/>
    <x v="41"/>
    <n v="1"/>
    <n v="139.99"/>
    <n v="34.74"/>
    <s v="boleto"/>
    <n v="4"/>
    <x v="1"/>
    <x v="2"/>
    <s v="Sao Paulo"/>
  </r>
  <r>
    <s v="30d7af26cb5f8577b5c6a0164dc814c5"/>
    <s v="2018-07-26"/>
    <x v="20"/>
    <x v="3"/>
    <x v="66"/>
    <n v="1"/>
    <n v="28.8"/>
    <n v="11.22"/>
    <s v="credit_card"/>
    <m/>
    <x v="0"/>
    <x v="0"/>
    <s v="Sao Paulo"/>
  </r>
  <r>
    <s v="1ba5b9882a75bc185bc0c7fbb909b697"/>
    <s v="2018-07-26"/>
    <x v="20"/>
    <x v="4"/>
    <x v="13"/>
    <n v="1"/>
    <n v="19.899999999999999"/>
    <n v="18.239999999999998"/>
    <s v="debit_card"/>
    <n v="11"/>
    <x v="1"/>
    <x v="2"/>
    <s v="Rio de Janeiro"/>
  </r>
  <r>
    <s v="bedcad246f8051ae66375615a3824588"/>
    <s v="2018-07-26"/>
    <x v="20"/>
    <x v="4"/>
    <x v="14"/>
    <n v="1"/>
    <n v="93"/>
    <n v="19.84"/>
    <s v="boleto"/>
    <n v="7"/>
    <x v="1"/>
    <x v="2"/>
    <s v="Rio de Janeiro"/>
  </r>
  <r>
    <s v="66d560d1c77317086f3332a6715ac1c1"/>
    <s v="2018-07-26"/>
    <x v="20"/>
    <x v="9"/>
    <x v="19"/>
    <n v="1"/>
    <n v="180"/>
    <n v="28.03"/>
    <s v="credit_card"/>
    <n v="8"/>
    <x v="1"/>
    <x v="2"/>
    <s v="Sergipe"/>
  </r>
  <r>
    <s v="c69eeadb2be025a8483b632013bb0788"/>
    <s v="2018-07-26"/>
    <x v="20"/>
    <x v="21"/>
    <x v="22"/>
    <n v="1"/>
    <n v="44"/>
    <n v="22.24"/>
    <s v="boleto"/>
    <n v="14"/>
    <x v="1"/>
    <x v="1"/>
    <s v="Bahia"/>
  </r>
  <r>
    <s v="f04f967baf2c83fce14f95f9edabe296"/>
    <s v="2018-07-26"/>
    <x v="20"/>
    <x v="3"/>
    <x v="1"/>
    <n v="1"/>
    <n v="43"/>
    <n v="8.0399999999999991"/>
    <s v="boleto"/>
    <n v="5"/>
    <x v="1"/>
    <x v="2"/>
    <s v="Sao Paulo"/>
  </r>
  <r>
    <s v="921708bd83981df87fcf8cca7936ece1"/>
    <s v="2018-07-27"/>
    <x v="20"/>
    <x v="7"/>
    <x v="13"/>
    <n v="1"/>
    <n v="199"/>
    <n v="52.26"/>
    <s v="boleto"/>
    <n v="10"/>
    <x v="1"/>
    <x v="2"/>
    <s v="Minas Gerais"/>
  </r>
  <r>
    <s v="9d9cff01f6fdf54921c214e893355fb1"/>
    <s v="2018-07-27"/>
    <x v="20"/>
    <x v="7"/>
    <x v="2"/>
    <n v="1"/>
    <n v="113.1"/>
    <n v="18.89"/>
    <s v="credit_card"/>
    <n v="7"/>
    <x v="1"/>
    <x v="2"/>
    <s v="Minas Gerais"/>
  </r>
  <r>
    <s v="b0fc04e9a0f041eda1412e119b4046b4"/>
    <s v="2018-07-27"/>
    <x v="20"/>
    <x v="5"/>
    <x v="9"/>
    <n v="1"/>
    <n v="78.900000000000006"/>
    <n v="19.739999999999998"/>
    <s v="boleto"/>
    <n v="11"/>
    <x v="1"/>
    <x v="3"/>
    <s v="Parana"/>
  </r>
  <r>
    <s v="89c880f756709e7f7825b4ae6fe7a2f9"/>
    <s v="2018-07-27"/>
    <x v="20"/>
    <x v="8"/>
    <x v="4"/>
    <n v="2"/>
    <n v="79.8"/>
    <n v="38.94"/>
    <s v="boleto"/>
    <n v="11"/>
    <x v="1"/>
    <x v="1"/>
    <s v="Santa Catarina"/>
  </r>
  <r>
    <s v="b9b862b71dd3a13f37bbb72f2addc949"/>
    <s v="2018-07-27"/>
    <x v="20"/>
    <x v="4"/>
    <x v="4"/>
    <n v="1"/>
    <n v="54.9"/>
    <n v="22.31"/>
    <s v="credit_card"/>
    <n v="20"/>
    <x v="1"/>
    <x v="1"/>
    <s v="Rio de Janeiro"/>
  </r>
  <r>
    <s v="6b3c0661b32905af6722a962d2fac779"/>
    <s v="2018-07-27"/>
    <x v="20"/>
    <x v="3"/>
    <x v="2"/>
    <n v="1"/>
    <n v="79.989999999999995"/>
    <n v="16.75"/>
    <s v="credit_card"/>
    <n v="4"/>
    <x v="1"/>
    <x v="2"/>
    <s v="Sao Paulo"/>
  </r>
  <r>
    <s v="fb44e4ed3e78403652d50fcf506de1ba"/>
    <s v="2018-07-27"/>
    <x v="20"/>
    <x v="3"/>
    <x v="12"/>
    <n v="1"/>
    <n v="80"/>
    <n v="23.28"/>
    <s v="credit_card"/>
    <n v="16"/>
    <x v="1"/>
    <x v="5"/>
    <s v="Sao Paulo"/>
  </r>
  <r>
    <s v="6f54e5fd939df1228bb8df39c2f1341e"/>
    <s v="2018-07-27"/>
    <x v="20"/>
    <x v="17"/>
    <x v="32"/>
    <n v="1"/>
    <n v="749.9"/>
    <n v="27.97"/>
    <s v="credit_card"/>
    <n v="10"/>
    <x v="1"/>
    <x v="2"/>
    <s v="Rondonia"/>
  </r>
  <r>
    <s v="9bb1e0c9520585d21de5e8246f1663da"/>
    <s v="2018-07-27"/>
    <x v="20"/>
    <x v="3"/>
    <x v="6"/>
    <n v="1"/>
    <n v="39.99"/>
    <n v="12.94"/>
    <s v="credit_card"/>
    <n v="6"/>
    <x v="1"/>
    <x v="2"/>
    <s v="Sao Paulo"/>
  </r>
  <r>
    <s v="df719e82188cc47552d259703d5413f0"/>
    <s v="2018-07-28"/>
    <x v="20"/>
    <x v="18"/>
    <x v="19"/>
    <n v="1"/>
    <n v="149.97"/>
    <n v="18.850000000000001"/>
    <s v="credit_card"/>
    <n v="4"/>
    <x v="1"/>
    <x v="3"/>
    <s v="Distrito Federal"/>
  </r>
  <r>
    <s v="df51cdd0d48077d8cd198c5033b8dff6"/>
    <s v="2018-07-28"/>
    <x v="20"/>
    <x v="3"/>
    <x v="19"/>
    <n v="1"/>
    <n v="32"/>
    <n v="13.8"/>
    <s v="credit_card"/>
    <n v="5"/>
    <x v="1"/>
    <x v="2"/>
    <s v="Sao Paulo"/>
  </r>
  <r>
    <s v="1a8fc490b877717c9f69454713bd778c"/>
    <s v="2018-07-28"/>
    <x v="20"/>
    <x v="3"/>
    <x v="4"/>
    <n v="1"/>
    <n v="19.989999999999998"/>
    <n v="7.4"/>
    <s v="credit_card"/>
    <n v="3"/>
    <x v="1"/>
    <x v="2"/>
    <s v="Sao Paulo"/>
  </r>
  <r>
    <s v="43b1a006a45825d17b170589b587f07c"/>
    <s v="2018-07-28"/>
    <x v="20"/>
    <x v="3"/>
    <x v="36"/>
    <n v="1"/>
    <n v="29.9"/>
    <n v="7.95"/>
    <s v="credit_card"/>
    <n v="4"/>
    <x v="1"/>
    <x v="2"/>
    <s v="Sao Paulo"/>
  </r>
  <r>
    <s v="ec5a2741ddf2c8ff2c0b076c8743dd19"/>
    <s v="2018-07-28"/>
    <x v="20"/>
    <x v="6"/>
    <x v="9"/>
    <n v="1"/>
    <n v="69.5"/>
    <n v="37.4"/>
    <s v="credit_card"/>
    <n v="8"/>
    <x v="1"/>
    <x v="5"/>
    <s v="Pernambuco"/>
  </r>
  <r>
    <s v="6f954a919130aa1e8def4ed1b9fca432"/>
    <s v="2018-07-28"/>
    <x v="20"/>
    <x v="3"/>
    <x v="13"/>
    <n v="1"/>
    <n v="13.3"/>
    <n v="8.8800000000000008"/>
    <s v="boleto"/>
    <n v="4"/>
    <x v="1"/>
    <x v="2"/>
    <s v="Sao Paulo"/>
  </r>
  <r>
    <s v="b89d417b1ba9f8e416b9e333ffa01a93"/>
    <s v="2018-07-28"/>
    <x v="20"/>
    <x v="3"/>
    <x v="22"/>
    <n v="1"/>
    <n v="112"/>
    <n v="13.44"/>
    <s v="credit_card"/>
    <n v="6"/>
    <x v="1"/>
    <x v="2"/>
    <s v="Sao Paulo"/>
  </r>
  <r>
    <s v="882abff9de7349a0ba8503f90af0a5b5"/>
    <s v="2018-07-28"/>
    <x v="20"/>
    <x v="18"/>
    <x v="6"/>
    <n v="1"/>
    <n v="170"/>
    <n v="21.46"/>
    <s v="credit_card"/>
    <n v="10"/>
    <x v="1"/>
    <x v="3"/>
    <s v="Distrito Federal"/>
  </r>
  <r>
    <s v="f38bba7355a2382087be5ad984cd1f40"/>
    <s v="2018-07-29"/>
    <x v="20"/>
    <x v="18"/>
    <x v="1"/>
    <n v="1"/>
    <n v="109.9"/>
    <n v="18.57"/>
    <s v="debit_card"/>
    <n v="8"/>
    <x v="1"/>
    <x v="2"/>
    <s v="Distrito Federal"/>
  </r>
  <r>
    <s v="fe0b65896fefa5e3ed76059830c2e49c"/>
    <s v="2018-07-29"/>
    <x v="20"/>
    <x v="12"/>
    <x v="30"/>
    <n v="1"/>
    <n v="99"/>
    <n v="39.99"/>
    <s v="credit_card"/>
    <n v="8"/>
    <x v="1"/>
    <x v="2"/>
    <s v="Ceara"/>
  </r>
  <r>
    <s v="c005c973843746a08a6ea826af4ce0c0"/>
    <s v="2018-07-29"/>
    <x v="20"/>
    <x v="6"/>
    <x v="0"/>
    <n v="1"/>
    <n v="64.900000000000006"/>
    <n v="19.36"/>
    <s v="credit_card"/>
    <n v="46"/>
    <x v="2"/>
    <x v="0"/>
    <s v="Pernambuco"/>
  </r>
  <r>
    <s v="b744841b6a754e51042b8abcab208ffe"/>
    <s v="2018-07-29"/>
    <x v="20"/>
    <x v="7"/>
    <x v="19"/>
    <n v="1"/>
    <n v="118.13"/>
    <n v="15.13"/>
    <s v="credit_card"/>
    <n v="3"/>
    <x v="1"/>
    <x v="3"/>
    <s v="Minas Gerais"/>
  </r>
  <r>
    <s v="96a5fb2398277bfb8d2854443ac8bd26"/>
    <s v="2018-07-29"/>
    <x v="20"/>
    <x v="3"/>
    <x v="12"/>
    <n v="1"/>
    <n v="136.9"/>
    <n v="18.989999999999998"/>
    <s v="credit_card"/>
    <n v="3"/>
    <x v="1"/>
    <x v="2"/>
    <s v="Sao Paulo"/>
  </r>
  <r>
    <s v="a5474c0071dd5d1074e12d417078bbd0"/>
    <s v="2018-07-30"/>
    <x v="20"/>
    <x v="3"/>
    <x v="9"/>
    <n v="1"/>
    <n v="13.99"/>
    <n v="7.39"/>
    <s v="boleto"/>
    <n v="3"/>
    <x v="2"/>
    <x v="2"/>
    <s v="Sao Paulo"/>
  </r>
  <r>
    <s v="81cedc4d2132eb6f512354166e51b187"/>
    <s v="2018-07-30"/>
    <x v="20"/>
    <x v="3"/>
    <x v="17"/>
    <n v="1"/>
    <n v="17.489999999999998"/>
    <n v="12.79"/>
    <s v="credit_card"/>
    <n v="7"/>
    <x v="1"/>
    <x v="0"/>
    <s v="Sao Paulo"/>
  </r>
  <r>
    <s v="bda3c40c66117ac3211d4934f4a43ec6"/>
    <s v="2018-07-30"/>
    <x v="20"/>
    <x v="3"/>
    <x v="6"/>
    <n v="1"/>
    <n v="12.67"/>
    <n v="7.39"/>
    <s v="debit_card"/>
    <n v="11"/>
    <x v="2"/>
    <x v="3"/>
    <s v="Sao Paulo"/>
  </r>
  <r>
    <s v="0e947809a364825d9cd3af9fe3197074"/>
    <s v="2018-07-30"/>
    <x v="20"/>
    <x v="3"/>
    <x v="5"/>
    <n v="1"/>
    <n v="104.9"/>
    <n v="19.64"/>
    <s v="credit_card"/>
    <n v="7"/>
    <x v="1"/>
    <x v="2"/>
    <s v="Sao Paulo"/>
  </r>
  <r>
    <s v="d199e989bbb5f7b410c1a717d589499e"/>
    <s v="2018-07-30"/>
    <x v="20"/>
    <x v="3"/>
    <x v="1"/>
    <n v="2"/>
    <n v="72.789999999999992"/>
    <n v="15.04"/>
    <s v="credit_card"/>
    <n v="2"/>
    <x v="1"/>
    <x v="5"/>
    <s v="Sao Paulo"/>
  </r>
  <r>
    <s v="18bcbca4b2c948e7653345492627a1cc"/>
    <s v="2018-07-30"/>
    <x v="20"/>
    <x v="18"/>
    <x v="1"/>
    <n v="1"/>
    <n v="114.99"/>
    <n v="34.57"/>
    <s v="credit_card"/>
    <n v="4"/>
    <x v="1"/>
    <x v="1"/>
    <s v="Distrito Federal"/>
  </r>
  <r>
    <s v="fcb2af36166db4e5d7ac2491544cc1e9"/>
    <s v="2018-07-30"/>
    <x v="20"/>
    <x v="4"/>
    <x v="36"/>
    <n v="1"/>
    <n v="26"/>
    <n v="18.28"/>
    <s v="credit_card"/>
    <n v="7"/>
    <x v="1"/>
    <x v="2"/>
    <s v="Rio de Janeiro"/>
  </r>
  <r>
    <s v="96b947c986b42f213c9e6b8ccccedb89"/>
    <s v="2018-07-30"/>
    <x v="20"/>
    <x v="4"/>
    <x v="28"/>
    <n v="1"/>
    <n v="380"/>
    <n v="79.63"/>
    <s v="boleto"/>
    <m/>
    <x v="0"/>
    <x v="1"/>
    <s v="Rio de Janeiro"/>
  </r>
  <r>
    <s v="ba45595538a13176b4850483d5f787e3"/>
    <s v="2018-07-30"/>
    <x v="20"/>
    <x v="5"/>
    <x v="12"/>
    <n v="1"/>
    <n v="95.99"/>
    <n v="23.47"/>
    <s v="voucher"/>
    <n v="8"/>
    <x v="1"/>
    <x v="3"/>
    <s v="Parana"/>
  </r>
  <r>
    <s v="c67afe8b6c6b9dbbcfbccb18ae4b5556"/>
    <s v="2018-07-30"/>
    <x v="20"/>
    <x v="3"/>
    <x v="4"/>
    <n v="1"/>
    <n v="8.99"/>
    <n v="7.39"/>
    <s v="credit_card"/>
    <n v="1"/>
    <x v="1"/>
    <x v="2"/>
    <s v="Sao Paulo"/>
  </r>
  <r>
    <s v="ef3d3d6bac50c7e2e1cc25ba953e11f6"/>
    <s v="2018-07-30"/>
    <x v="20"/>
    <x v="4"/>
    <x v="30"/>
    <n v="1"/>
    <n v="29.9"/>
    <n v="22.14"/>
    <s v="credit_card"/>
    <n v="10"/>
    <x v="1"/>
    <x v="2"/>
    <s v="Rio de Janeiro"/>
  </r>
  <r>
    <s v="1b4ef3bdad72cad23a9bd4b06f87ab7b"/>
    <s v="2018-07-30"/>
    <x v="20"/>
    <x v="21"/>
    <x v="1"/>
    <n v="1"/>
    <n v="76"/>
    <n v="22.46"/>
    <s v="boleto"/>
    <n v="14"/>
    <x v="1"/>
    <x v="2"/>
    <s v="Bahia"/>
  </r>
  <r>
    <s v="62dedcd31d4b3c43f9adbab2d7fd84d4"/>
    <s v="2018-07-30"/>
    <x v="20"/>
    <x v="8"/>
    <x v="9"/>
    <n v="1"/>
    <n v="38.9"/>
    <n v="18.37"/>
    <s v="credit_card"/>
    <n v="3"/>
    <x v="1"/>
    <x v="2"/>
    <s v="Santa Catarina"/>
  </r>
  <r>
    <s v="5e9f1a71f53f74f8c4e829ffbb4b52e9"/>
    <s v="2018-07-30"/>
    <x v="20"/>
    <x v="1"/>
    <x v="4"/>
    <n v="3"/>
    <n v="150.6"/>
    <n v="55.35"/>
    <s v="credit_card"/>
    <n v="20"/>
    <x v="1"/>
    <x v="2"/>
    <s v="Rio Grande do Sul"/>
  </r>
  <r>
    <s v="ee987bbabed0cc87dc5354eb2b661740"/>
    <s v="2018-07-30"/>
    <x v="20"/>
    <x v="7"/>
    <x v="11"/>
    <n v="1"/>
    <n v="549.9"/>
    <n v="50.93"/>
    <s v="boleto"/>
    <m/>
    <x v="0"/>
    <x v="0"/>
    <s v="Minas Gerais"/>
  </r>
  <r>
    <s v="278e7730f7062014d198fbf20451b935"/>
    <s v="2018-07-30"/>
    <x v="20"/>
    <x v="4"/>
    <x v="2"/>
    <n v="1"/>
    <n v="113.1"/>
    <n v="8.2100000000000009"/>
    <s v="credit_card"/>
    <n v="3"/>
    <x v="2"/>
    <x v="2"/>
    <s v="Rio de Janeiro"/>
  </r>
  <r>
    <s v="b2997e1d7061605e9285496c581d1fbd"/>
    <s v="2018-07-30"/>
    <x v="20"/>
    <x v="7"/>
    <x v="0"/>
    <n v="1"/>
    <n v="70"/>
    <n v="31.36"/>
    <s v="credit_card"/>
    <n v="63"/>
    <x v="2"/>
    <x v="2"/>
    <s v="Minas Gerais"/>
  </r>
  <r>
    <s v="ddd9c425db13b8b55a6dc676634ea208"/>
    <s v="2018-07-30"/>
    <x v="20"/>
    <x v="3"/>
    <x v="4"/>
    <n v="2"/>
    <n v="131.80000000000001"/>
    <n v="27.6"/>
    <s v="boleto"/>
    <n v="15"/>
    <x v="1"/>
    <x v="2"/>
    <s v="Sao Paulo"/>
  </r>
  <r>
    <s v="d8d875126ddbeec8b736ffd7f0b1a4c0"/>
    <s v="2018-07-30"/>
    <x v="20"/>
    <x v="21"/>
    <x v="6"/>
    <n v="1"/>
    <n v="29.99"/>
    <n v="17.14"/>
    <s v="voucher"/>
    <n v="15"/>
    <x v="1"/>
    <x v="2"/>
    <s v="Bahia"/>
  </r>
  <r>
    <s v="60320e541a6e9dc0cb5919399543f905"/>
    <s v="2018-07-30"/>
    <x v="20"/>
    <x v="3"/>
    <x v="14"/>
    <n v="1"/>
    <n v="29.97"/>
    <n v="18.309999999999999"/>
    <s v="boleto"/>
    <n v="5"/>
    <x v="1"/>
    <x v="3"/>
    <s v="Sao Paulo"/>
  </r>
  <r>
    <s v="3788e0af9e212034588d6d24fa1b7fd1"/>
    <s v="2018-07-30"/>
    <x v="20"/>
    <x v="14"/>
    <x v="2"/>
    <n v="1"/>
    <n v="39.9"/>
    <n v="23.08"/>
    <s v="credit_card"/>
    <n v="7"/>
    <x v="1"/>
    <x v="3"/>
    <s v="Mato Grosso do Sul"/>
  </r>
  <r>
    <s v="d796fb3fcd8046bf2eedc21bcb2e407a"/>
    <s v="2018-07-31"/>
    <x v="20"/>
    <x v="3"/>
    <x v="7"/>
    <n v="1"/>
    <n v="32"/>
    <n v="20.49"/>
    <s v="credit_card"/>
    <n v="7"/>
    <x v="1"/>
    <x v="2"/>
    <s v="Sao Paulo"/>
  </r>
  <r>
    <s v="daa1c13dd8df972cbc97ca351c67f32b"/>
    <s v="2018-07-31"/>
    <x v="20"/>
    <x v="15"/>
    <x v="6"/>
    <n v="2"/>
    <n v="340"/>
    <n v="51.08"/>
    <s v="credit_card"/>
    <n v="24"/>
    <x v="1"/>
    <x v="0"/>
    <s v="Mato Grosso"/>
  </r>
  <r>
    <s v="aa7c4f87e8a4651e709bb23f0aee94c9"/>
    <s v="2018-07-31"/>
    <x v="20"/>
    <x v="3"/>
    <x v="19"/>
    <n v="1"/>
    <n v="69.900000000000006"/>
    <n v="19.68"/>
    <s v="debit_card"/>
    <n v="6"/>
    <x v="1"/>
    <x v="3"/>
    <s v="Sao Paulo"/>
  </r>
  <r>
    <s v="3b1f8d68684710eac0cad28d412dcaf8"/>
    <s v="2018-07-31"/>
    <x v="20"/>
    <x v="4"/>
    <x v="4"/>
    <n v="1"/>
    <n v="65.900000000000006"/>
    <n v="22.39"/>
    <s v="credit_card"/>
    <n v="15"/>
    <x v="1"/>
    <x v="2"/>
    <s v="Rio de Janeiro"/>
  </r>
  <r>
    <s v="3d352a1e37d7eabd08d9104244fa0e21"/>
    <s v="2018-07-31"/>
    <x v="20"/>
    <x v="4"/>
    <x v="4"/>
    <n v="1"/>
    <n v="135"/>
    <n v="17.88"/>
    <s v="boleto"/>
    <n v="6"/>
    <x v="1"/>
    <x v="2"/>
    <s v="Rio de Janeiro"/>
  </r>
  <r>
    <s v="0decb14beb4de8d3b4e37103e81f119b"/>
    <s v="2018-07-31"/>
    <x v="20"/>
    <x v="4"/>
    <x v="1"/>
    <n v="1"/>
    <n v="34.9"/>
    <n v="17.170000000000002"/>
    <s v="voucher"/>
    <n v="8"/>
    <x v="1"/>
    <x v="2"/>
    <s v="Rio de Janeiro"/>
  </r>
  <r>
    <s v="7fc163ae2a200d57c1118812221bcf8e"/>
    <s v="2018-07-31"/>
    <x v="20"/>
    <x v="3"/>
    <x v="2"/>
    <n v="1"/>
    <n v="29.99"/>
    <n v="8.9600000000000009"/>
    <s v="credit_card"/>
    <n v="9"/>
    <x v="2"/>
    <x v="2"/>
    <s v="Sao Paulo"/>
  </r>
  <r>
    <s v="18995b654ef8f346243a4a9e0b278164"/>
    <s v="2018-07-31"/>
    <x v="20"/>
    <x v="3"/>
    <x v="21"/>
    <n v="1"/>
    <n v="115.99"/>
    <n v="22.11"/>
    <s v="credit_card"/>
    <n v="4"/>
    <x v="1"/>
    <x v="2"/>
    <s v="Sao Paulo"/>
  </r>
  <r>
    <s v="aec0f45f4c980472a8293f2213d49a19"/>
    <s v="2018-07-31"/>
    <x v="20"/>
    <x v="3"/>
    <x v="4"/>
    <n v="1"/>
    <n v="22.32"/>
    <n v="15.26"/>
    <s v="credit_card"/>
    <n v="15"/>
    <x v="2"/>
    <x v="1"/>
    <s v="Sao Paulo"/>
  </r>
  <r>
    <s v="dc67745e87e769607de677683ab1fd08"/>
    <s v="2018-07-31"/>
    <x v="20"/>
    <x v="3"/>
    <x v="22"/>
    <n v="1"/>
    <n v="149"/>
    <n v="9.7899999999999991"/>
    <s v="credit_card"/>
    <n v="2"/>
    <x v="2"/>
    <x v="2"/>
    <s v="Sao Paulo"/>
  </r>
  <r>
    <s v="06b7229726fb71407516395c69b6172a"/>
    <s v="2018-07-31"/>
    <x v="20"/>
    <x v="4"/>
    <x v="4"/>
    <n v="1"/>
    <n v="65.900000000000006"/>
    <n v="22.39"/>
    <s v="credit_card"/>
    <n v="14"/>
    <x v="1"/>
    <x v="0"/>
    <s v="Rio de Janeiro"/>
  </r>
  <r>
    <s v="fa4c59a94711decb9c0410a0e7f878bc"/>
    <s v="2018-07-31"/>
    <x v="20"/>
    <x v="3"/>
    <x v="0"/>
    <n v="1"/>
    <n v="19.2"/>
    <n v="13.47"/>
    <s v="credit_card"/>
    <m/>
    <x v="0"/>
    <x v="0"/>
    <s v="Sao Paulo"/>
  </r>
  <r>
    <s v="1ecfa320a6763da8b71ad1fbd4df6550"/>
    <s v="2018-07-31"/>
    <x v="20"/>
    <x v="2"/>
    <x v="19"/>
    <n v="1"/>
    <n v="24.9"/>
    <n v="17.97"/>
    <s v="boleto"/>
    <n v="6"/>
    <x v="1"/>
    <x v="2"/>
    <s v="Goias"/>
  </r>
  <r>
    <s v="22d03f81f36cfd05e90af56d5dc63e74"/>
    <s v="2018-07-31"/>
    <x v="20"/>
    <x v="14"/>
    <x v="22"/>
    <n v="1"/>
    <n v="45"/>
    <n v="18.420000000000002"/>
    <s v="credit_card"/>
    <n v="16"/>
    <x v="1"/>
    <x v="3"/>
    <s v="Mato Grosso do Sul"/>
  </r>
  <r>
    <s v="fae8533726bd31cbcb92d9bdcaf5e92f"/>
    <s v="2018-08-01"/>
    <x v="21"/>
    <x v="7"/>
    <x v="4"/>
    <n v="1"/>
    <n v="54.9"/>
    <n v="22.31"/>
    <s v="boleto"/>
    <n v="19"/>
    <x v="1"/>
    <x v="0"/>
    <s v="Minas Gerais"/>
  </r>
  <r>
    <s v="4969634a191db1f7ef36954434938327"/>
    <s v="2018-08-01"/>
    <x v="21"/>
    <x v="4"/>
    <x v="20"/>
    <n v="1"/>
    <n v="34.9"/>
    <n v="7.66"/>
    <s v="credit_card"/>
    <n v="6"/>
    <x v="2"/>
    <x v="3"/>
    <s v="Rio de Janeiro"/>
  </r>
  <r>
    <s v="c99f547e83c25761f4c58fd7f41cd337"/>
    <s v="2018-08-01"/>
    <x v="21"/>
    <x v="5"/>
    <x v="9"/>
    <n v="1"/>
    <n v="23.99"/>
    <n v="18.27"/>
    <s v="credit_card"/>
    <n v="12"/>
    <x v="1"/>
    <x v="2"/>
    <s v="Parana"/>
  </r>
  <r>
    <s v="61c136fddac571834516a52d2e03458d"/>
    <s v="2018-08-01"/>
    <x v="21"/>
    <x v="3"/>
    <x v="14"/>
    <n v="1"/>
    <n v="41.99"/>
    <n v="13.87"/>
    <s v="credit_card"/>
    <n v="13"/>
    <x v="2"/>
    <x v="1"/>
    <s v="Sao Paulo"/>
  </r>
  <r>
    <s v="5a5cbced9c57dbafd90dd9b04594b2d7"/>
    <s v="2018-08-01"/>
    <x v="21"/>
    <x v="5"/>
    <x v="13"/>
    <n v="1"/>
    <n v="121.99"/>
    <n v="45.97"/>
    <s v="credit_card"/>
    <n v="7"/>
    <x v="1"/>
    <x v="2"/>
    <s v="Parana"/>
  </r>
  <r>
    <s v="be80ccb8f620862ee6fec40409d35aee"/>
    <s v="2018-08-01"/>
    <x v="21"/>
    <x v="3"/>
    <x v="57"/>
    <n v="1"/>
    <n v="28"/>
    <n v="12.86"/>
    <s v="credit_card"/>
    <n v="7"/>
    <x v="1"/>
    <x v="2"/>
    <s v="Sao Paulo"/>
  </r>
  <r>
    <s v="28b6917cb6d7f6fe0540986342ec6866"/>
    <s v="2018-08-01"/>
    <x v="21"/>
    <x v="22"/>
    <x v="6"/>
    <n v="1"/>
    <n v="37.99"/>
    <n v="18.37"/>
    <s v="credit_card"/>
    <n v="6"/>
    <x v="1"/>
    <x v="2"/>
    <s v="Espirito Santo"/>
  </r>
  <r>
    <s v="d640892cc6e635047b062a06b5f9ce32"/>
    <s v="2018-08-01"/>
    <x v="21"/>
    <x v="3"/>
    <x v="25"/>
    <n v="1"/>
    <n v="34.9"/>
    <n v="12.9"/>
    <s v="boleto"/>
    <n v="9"/>
    <x v="1"/>
    <x v="2"/>
    <s v="Sao Paulo"/>
  </r>
  <r>
    <s v="1126e8ce51fcc395870c8fabcf7de709"/>
    <s v="2018-08-01"/>
    <x v="21"/>
    <x v="3"/>
    <x v="0"/>
    <n v="1"/>
    <n v="42.99"/>
    <n v="11.32"/>
    <s v="boleto"/>
    <n v="6"/>
    <x v="2"/>
    <x v="1"/>
    <s v="Sao Paulo"/>
  </r>
  <r>
    <s v="d23bc376aeb971eadf9129860f03c047"/>
    <s v="2018-08-01"/>
    <x v="21"/>
    <x v="22"/>
    <x v="7"/>
    <n v="1"/>
    <n v="229.9"/>
    <n v="28.59"/>
    <s v="credit_card"/>
    <n v="9"/>
    <x v="1"/>
    <x v="2"/>
    <s v="Espirito Santo"/>
  </r>
  <r>
    <s v="23936c5f77c03f7cbd20d185732c60d9"/>
    <s v="2018-08-01"/>
    <x v="21"/>
    <x v="3"/>
    <x v="4"/>
    <n v="1"/>
    <n v="50.2"/>
    <n v="13.69"/>
    <s v="credit_card"/>
    <n v="20"/>
    <x v="1"/>
    <x v="2"/>
    <s v="Sao Paulo"/>
  </r>
  <r>
    <s v="e71783fc8cd92f708d13542f6d17ff7f"/>
    <s v="2018-08-01"/>
    <x v="21"/>
    <x v="7"/>
    <x v="32"/>
    <n v="1"/>
    <n v="61.1"/>
    <n v="23.23"/>
    <s v="boleto"/>
    <n v="15"/>
    <x v="1"/>
    <x v="3"/>
    <s v="Minas Gerais"/>
  </r>
  <r>
    <s v="edc07d2563b2d10bdf1a0376f65b8f76"/>
    <s v="2018-08-01"/>
    <x v="21"/>
    <x v="7"/>
    <x v="19"/>
    <n v="1"/>
    <n v="10"/>
    <n v="18.23"/>
    <s v="boleto"/>
    <n v="7"/>
    <x v="1"/>
    <x v="2"/>
    <s v="Minas Gerais"/>
  </r>
  <r>
    <s v="07e74b39ce62a7c6f7063b3168748191"/>
    <s v="2018-08-01"/>
    <x v="21"/>
    <x v="3"/>
    <x v="9"/>
    <n v="2"/>
    <n v="113.8"/>
    <n v="22.84"/>
    <s v="voucher"/>
    <n v="5"/>
    <x v="2"/>
    <x v="4"/>
    <s v="Sao Paulo"/>
  </r>
  <r>
    <s v="fe98cb0615a7611265d8955be5ca9497"/>
    <s v="2018-08-01"/>
    <x v="21"/>
    <x v="2"/>
    <x v="0"/>
    <n v="1"/>
    <n v="37.9"/>
    <n v="16.46"/>
    <s v="credit_card"/>
    <n v="9"/>
    <x v="1"/>
    <x v="2"/>
    <s v="Goias"/>
  </r>
  <r>
    <s v="aa240e84341dc3a58a69fdaa1c0b927c"/>
    <s v="2018-08-02"/>
    <x v="21"/>
    <x v="3"/>
    <x v="22"/>
    <n v="1"/>
    <n v="78"/>
    <n v="7.81"/>
    <s v="credit_card"/>
    <n v="1"/>
    <x v="1"/>
    <x v="2"/>
    <s v="Sao Paulo"/>
  </r>
  <r>
    <s v="3300cd5468b45a06dd47487a0d936212"/>
    <s v="2018-08-02"/>
    <x v="21"/>
    <x v="8"/>
    <x v="2"/>
    <n v="1"/>
    <n v="121.75"/>
    <n v="23.65"/>
    <s v="credit_card"/>
    <n v="6"/>
    <x v="1"/>
    <x v="2"/>
    <s v="Santa Catarina"/>
  </r>
  <r>
    <s v="d8a38160525fa277b48b3502ad5ae5cf"/>
    <s v="2018-08-02"/>
    <x v="21"/>
    <x v="8"/>
    <x v="32"/>
    <n v="1"/>
    <n v="45.97"/>
    <n v="19.510000000000002"/>
    <s v="credit_card"/>
    <n v="7"/>
    <x v="1"/>
    <x v="2"/>
    <s v="Santa Catarina"/>
  </r>
  <r>
    <s v="5295a4f70cac6082f1f9051409e69010"/>
    <s v="2018-08-02"/>
    <x v="21"/>
    <x v="3"/>
    <x v="14"/>
    <n v="1"/>
    <n v="52.9"/>
    <n v="14.68"/>
    <s v="credit_card"/>
    <n v="11"/>
    <x v="2"/>
    <x v="1"/>
    <s v="Sao Paulo"/>
  </r>
  <r>
    <s v="4c1b702493f9e6a8e7ab024bd34ba0d4"/>
    <s v="2018-08-02"/>
    <x v="21"/>
    <x v="3"/>
    <x v="32"/>
    <n v="1"/>
    <n v="148"/>
    <n v="23.84"/>
    <s v="credit_card"/>
    <n v="6"/>
    <x v="1"/>
    <x v="3"/>
    <s v="Sao Paulo"/>
  </r>
  <r>
    <s v="3828ca6e6450e317619b87f49eca6492"/>
    <s v="2018-08-02"/>
    <x v="21"/>
    <x v="3"/>
    <x v="19"/>
    <n v="1"/>
    <n v="13.5"/>
    <n v="7.39"/>
    <s v="debit_card"/>
    <n v="7"/>
    <x v="2"/>
    <x v="1"/>
    <s v="Sao Paulo"/>
  </r>
  <r>
    <s v="6826d5740591909e368433e2a5ec75fb"/>
    <s v="2018-08-02"/>
    <x v="21"/>
    <x v="5"/>
    <x v="64"/>
    <n v="1"/>
    <n v="9.8800000000000008"/>
    <n v="13.47"/>
    <s v="credit_card"/>
    <n v="5"/>
    <x v="1"/>
    <x v="2"/>
    <s v="Parana"/>
  </r>
  <r>
    <s v="2dd5f6a66c1d82ee0b8c864ddf9833f2"/>
    <s v="2018-08-02"/>
    <x v="21"/>
    <x v="3"/>
    <x v="9"/>
    <n v="1"/>
    <n v="527.9"/>
    <n v="21.8"/>
    <s v="boleto"/>
    <n v="32"/>
    <x v="2"/>
    <x v="0"/>
    <s v="Sao Paulo"/>
  </r>
  <r>
    <s v="8458b41c26bf20ba9b4ad514cacd4b2a"/>
    <s v="2018-08-02"/>
    <x v="21"/>
    <x v="20"/>
    <x v="3"/>
    <n v="1"/>
    <n v="171.9"/>
    <n v="28.48"/>
    <s v="voucher"/>
    <n v="13"/>
    <x v="1"/>
    <x v="2"/>
    <s v="Tocantins"/>
  </r>
  <r>
    <s v="3eec01b486a4d08de50a38ef2fb87b79"/>
    <s v="2018-08-02"/>
    <x v="21"/>
    <x v="3"/>
    <x v="7"/>
    <n v="1"/>
    <n v="35"/>
    <n v="14.56"/>
    <s v="credit_card"/>
    <n v="6"/>
    <x v="1"/>
    <x v="5"/>
    <s v="Sao Paulo"/>
  </r>
  <r>
    <s v="032d90128bd4c1c63e317ab45ddc2879"/>
    <s v="2018-08-02"/>
    <x v="21"/>
    <x v="7"/>
    <x v="55"/>
    <n v="1"/>
    <n v="144.9"/>
    <n v="21.65"/>
    <s v="credit_card"/>
    <n v="5"/>
    <x v="1"/>
    <x v="2"/>
    <s v="Minas Gerais"/>
  </r>
  <r>
    <s v="1f9ed60661469689dae5955276ef81a5"/>
    <s v="2018-08-02"/>
    <x v="21"/>
    <x v="3"/>
    <x v="26"/>
    <n v="1"/>
    <n v="56.9"/>
    <n v="13.98"/>
    <s v="credit_card"/>
    <n v="7"/>
    <x v="1"/>
    <x v="3"/>
    <s v="Sao Paulo"/>
  </r>
  <r>
    <s v="b300e160f5892169bafa006e670a43f5"/>
    <s v="2018-08-02"/>
    <x v="21"/>
    <x v="3"/>
    <x v="14"/>
    <n v="1"/>
    <n v="52.9"/>
    <n v="14.68"/>
    <s v="credit_card"/>
    <n v="11"/>
    <x v="2"/>
    <x v="2"/>
    <s v="Sao Paulo"/>
  </r>
  <r>
    <s v="5ab34a3449b54e0fff6d7ba20781a655"/>
    <s v="2018-08-03"/>
    <x v="21"/>
    <x v="3"/>
    <x v="1"/>
    <n v="1"/>
    <n v="89.9"/>
    <n v="23.43"/>
    <s v="credit_card"/>
    <n v="10"/>
    <x v="1"/>
    <x v="2"/>
    <s v="Sao Paulo"/>
  </r>
  <r>
    <s v="49e46b4388f4b9ea96901467bd26eb6d"/>
    <s v="2018-08-03"/>
    <x v="21"/>
    <x v="5"/>
    <x v="0"/>
    <n v="1"/>
    <n v="49"/>
    <n v="13.68"/>
    <s v="credit_card"/>
    <n v="9"/>
    <x v="1"/>
    <x v="2"/>
    <s v="Parana"/>
  </r>
  <r>
    <s v="64f25972cba1c6faca4f32c7ac90e3c2"/>
    <s v="2018-08-03"/>
    <x v="21"/>
    <x v="3"/>
    <x v="4"/>
    <n v="1"/>
    <n v="139"/>
    <n v="19.07"/>
    <s v="credit_card"/>
    <n v="11"/>
    <x v="1"/>
    <x v="2"/>
    <s v="Sao Paulo"/>
  </r>
  <r>
    <s v="de11314f84cd5578a36ab8312ab5b5df"/>
    <s v="2018-08-03"/>
    <x v="21"/>
    <x v="21"/>
    <x v="6"/>
    <n v="1"/>
    <n v="170"/>
    <n v="10.32"/>
    <s v="credit_card"/>
    <m/>
    <x v="0"/>
    <x v="3"/>
    <s v="Bahia"/>
  </r>
  <r>
    <s v="3d5c01d5bef96b82a7ae8684f1665c31"/>
    <s v="2018-08-03"/>
    <x v="21"/>
    <x v="3"/>
    <x v="9"/>
    <n v="1"/>
    <n v="109.22"/>
    <n v="9.52"/>
    <s v="credit_card"/>
    <n v="3"/>
    <x v="1"/>
    <x v="2"/>
    <s v="Sao Paulo"/>
  </r>
  <r>
    <s v="a274d2bbfcca25b8c47ee2467583e81e"/>
    <s v="2018-08-03"/>
    <x v="21"/>
    <x v="7"/>
    <x v="9"/>
    <n v="1"/>
    <n v="199.9"/>
    <n v="24.2"/>
    <s v="credit_card"/>
    <n v="7"/>
    <x v="1"/>
    <x v="2"/>
    <s v="Minas Gerais"/>
  </r>
  <r>
    <s v="283bf5d2f306422175c079231da015f7"/>
    <s v="2018-08-03"/>
    <x v="21"/>
    <x v="3"/>
    <x v="5"/>
    <n v="1"/>
    <n v="114.08"/>
    <n v="13.46"/>
    <s v="credit_card"/>
    <n v="9"/>
    <x v="1"/>
    <x v="2"/>
    <s v="Sao Paulo"/>
  </r>
  <r>
    <s v="8f31b05b300b9648b988906d899b97e1"/>
    <s v="2018-08-03"/>
    <x v="21"/>
    <x v="3"/>
    <x v="9"/>
    <n v="1"/>
    <n v="109.22"/>
    <n v="9.52"/>
    <s v="credit_card"/>
    <n v="4"/>
    <x v="1"/>
    <x v="2"/>
    <s v="Sao Paulo"/>
  </r>
  <r>
    <s v="913ed16681197337e68e936fc28b8370"/>
    <s v="2018-08-03"/>
    <x v="21"/>
    <x v="3"/>
    <x v="22"/>
    <n v="1"/>
    <n v="58"/>
    <n v="13.07"/>
    <s v="credit_card"/>
    <n v="5"/>
    <x v="1"/>
    <x v="3"/>
    <s v="Sao Paulo"/>
  </r>
  <r>
    <s v="0f213d7015dad47737aecd4d7403f919"/>
    <s v="2018-08-03"/>
    <x v="21"/>
    <x v="14"/>
    <x v="9"/>
    <n v="1"/>
    <n v="175.06"/>
    <n v="19.03"/>
    <s v="credit_card"/>
    <n v="21"/>
    <x v="2"/>
    <x v="0"/>
    <s v="Mato Grosso do Sul"/>
  </r>
  <r>
    <s v="01c156f67900e1f33d1234ce92cb18d9"/>
    <s v="2018-08-03"/>
    <x v="21"/>
    <x v="1"/>
    <x v="6"/>
    <n v="1"/>
    <n v="13.47"/>
    <n v="18.23"/>
    <s v="credit_card"/>
    <n v="13"/>
    <x v="1"/>
    <x v="2"/>
    <s v="Rio Grande do Sul"/>
  </r>
  <r>
    <s v="ee05ea68d27584f43ac19ad104738fea"/>
    <s v="2018-08-03"/>
    <x v="21"/>
    <x v="3"/>
    <x v="22"/>
    <n v="1"/>
    <n v="78"/>
    <n v="13.21"/>
    <s v="credit_card"/>
    <n v="5"/>
    <x v="1"/>
    <x v="2"/>
    <s v="Sao Paulo"/>
  </r>
  <r>
    <s v="003a94f778ef8cfd50247c8c1b582257"/>
    <s v="2018-08-03"/>
    <x v="21"/>
    <x v="14"/>
    <x v="32"/>
    <n v="1"/>
    <n v="39.9"/>
    <n v="18.079999999999998"/>
    <s v="credit_card"/>
    <n v="20"/>
    <x v="2"/>
    <x v="0"/>
    <s v="Mato Grosso do Sul"/>
  </r>
  <r>
    <s v="fa6e801a54147fb8ada766a1f407a80f"/>
    <s v="2018-08-03"/>
    <x v="21"/>
    <x v="5"/>
    <x v="1"/>
    <n v="1"/>
    <n v="43"/>
    <n v="18.399999999999999"/>
    <s v="credit_card"/>
    <n v="4"/>
    <x v="1"/>
    <x v="3"/>
    <s v="Parana"/>
  </r>
  <r>
    <s v="405b7a0bffb459dbc7646665024a2665"/>
    <s v="2018-08-03"/>
    <x v="21"/>
    <x v="11"/>
    <x v="19"/>
    <n v="1"/>
    <n v="180"/>
    <n v="43.54"/>
    <s v="credit_card"/>
    <n v="12"/>
    <x v="1"/>
    <x v="2"/>
    <s v="Para"/>
  </r>
  <r>
    <s v="120b19c8ebbbe34df59e157f3dd1f0c9"/>
    <s v="2018-08-03"/>
    <x v="21"/>
    <x v="7"/>
    <x v="1"/>
    <n v="1"/>
    <n v="28.9"/>
    <n v="23.35"/>
    <s v="boleto"/>
    <n v="12"/>
    <x v="2"/>
    <x v="2"/>
    <s v="Minas Gerais"/>
  </r>
  <r>
    <s v="136a3da67b93100ec6fc05442613bcec"/>
    <s v="2018-08-03"/>
    <x v="21"/>
    <x v="7"/>
    <x v="4"/>
    <n v="1"/>
    <n v="189"/>
    <n v="19.420000000000002"/>
    <s v="boleto"/>
    <n v="7"/>
    <x v="1"/>
    <x v="2"/>
    <s v="Minas Gerais"/>
  </r>
  <r>
    <s v="19c12787aa9334d1ccac97bfab56e576"/>
    <s v="2018-08-04"/>
    <x v="21"/>
    <x v="7"/>
    <x v="19"/>
    <n v="1"/>
    <n v="59.99"/>
    <n v="21.72"/>
    <s v="boleto"/>
    <n v="16"/>
    <x v="1"/>
    <x v="3"/>
    <s v="Minas Gerais"/>
  </r>
  <r>
    <s v="fab137488ea6654792ec4cac3000cee8"/>
    <s v="2018-08-04"/>
    <x v="21"/>
    <x v="3"/>
    <x v="29"/>
    <n v="1"/>
    <n v="29"/>
    <n v="7.46"/>
    <s v="credit_card"/>
    <n v="17"/>
    <x v="2"/>
    <x v="3"/>
    <s v="Sao Paulo"/>
  </r>
  <r>
    <s v="db70f8a5634ca9a20586be3dec6ad653"/>
    <s v="2018-08-04"/>
    <x v="21"/>
    <x v="3"/>
    <x v="4"/>
    <n v="1"/>
    <n v="82"/>
    <n v="13.87"/>
    <s v="credit_card"/>
    <n v="9"/>
    <x v="2"/>
    <x v="5"/>
    <s v="Sao Paulo"/>
  </r>
  <r>
    <s v="6fe3cca762774a4e0e4e75467b4651e6"/>
    <s v="2018-08-04"/>
    <x v="21"/>
    <x v="3"/>
    <x v="13"/>
    <n v="1"/>
    <n v="30"/>
    <n v="8.9600000000000009"/>
    <s v="boleto"/>
    <n v="10"/>
    <x v="2"/>
    <x v="2"/>
    <s v="Sao Paulo"/>
  </r>
  <r>
    <s v="edf195e14f83b9753f2cf2f7263f279e"/>
    <s v="2018-08-04"/>
    <x v="21"/>
    <x v="8"/>
    <x v="6"/>
    <n v="1"/>
    <n v="170"/>
    <n v="53.54"/>
    <s v="voucher"/>
    <n v="16"/>
    <x v="1"/>
    <x v="2"/>
    <s v="Santa Catarina"/>
  </r>
  <r>
    <s v="359dfdef7cf4ed1003c2a0463eb431ba"/>
    <s v="2018-08-04"/>
    <x v="21"/>
    <x v="3"/>
    <x v="1"/>
    <n v="1"/>
    <n v="53.49"/>
    <n v="7.63"/>
    <s v="credit_card"/>
    <n v="3"/>
    <x v="1"/>
    <x v="2"/>
    <s v="Sao Paulo"/>
  </r>
  <r>
    <s v="3c74e538974fb013e938fbdd7d83675c"/>
    <s v="2018-08-04"/>
    <x v="21"/>
    <x v="3"/>
    <x v="4"/>
    <n v="1"/>
    <n v="61.4"/>
    <n v="13.77"/>
    <s v="voucher"/>
    <n v="12"/>
    <x v="1"/>
    <x v="2"/>
    <s v="Sao Paulo"/>
  </r>
  <r>
    <s v="d6cd9d63e25452e0278cb6eeed08de6b"/>
    <s v="2018-08-04"/>
    <x v="21"/>
    <x v="12"/>
    <x v="0"/>
    <n v="2"/>
    <n v="174.89"/>
    <n v="46.9"/>
    <s v="credit_card"/>
    <n v="16"/>
    <x v="1"/>
    <x v="1"/>
    <s v="Ceara"/>
  </r>
  <r>
    <s v="6a9ea3a6a0a791f6c34b8145d6cbd42a"/>
    <s v="2018-08-04"/>
    <x v="21"/>
    <x v="3"/>
    <x v="9"/>
    <n v="1"/>
    <n v="310"/>
    <n v="9.43"/>
    <s v="debit_card"/>
    <n v="4"/>
    <x v="1"/>
    <x v="2"/>
    <s v="Sao Paulo"/>
  </r>
  <r>
    <s v="8ea8033700913a32e94988adbe26d5aa"/>
    <s v="2018-08-04"/>
    <x v="21"/>
    <x v="3"/>
    <x v="12"/>
    <n v="1"/>
    <n v="134.9"/>
    <n v="9.69"/>
    <s v="credit_card"/>
    <n v="3"/>
    <x v="1"/>
    <x v="2"/>
    <s v="Sao Paulo"/>
  </r>
  <r>
    <s v="afaa845a7a044d65051e77109d5b6ac2"/>
    <s v="2018-08-04"/>
    <x v="21"/>
    <x v="7"/>
    <x v="18"/>
    <n v="1"/>
    <n v="69"/>
    <n v="18.579999999999998"/>
    <s v="credit_card"/>
    <n v="6"/>
    <x v="1"/>
    <x v="2"/>
    <s v="Minas Gerais"/>
  </r>
  <r>
    <s v="300542e713279c59c9741f77d049f567"/>
    <s v="2018-08-04"/>
    <x v="21"/>
    <x v="3"/>
    <x v="12"/>
    <n v="1"/>
    <n v="97.1"/>
    <n v="8.84"/>
    <s v="credit_card"/>
    <n v="9"/>
    <x v="2"/>
    <x v="0"/>
    <s v="Sao Paulo"/>
  </r>
  <r>
    <s v="51e5e08365469f68d9f281c619b2354f"/>
    <s v="2018-08-04"/>
    <x v="21"/>
    <x v="13"/>
    <x v="19"/>
    <n v="1"/>
    <n v="25.99"/>
    <n v="37.090000000000003"/>
    <s v="boleto"/>
    <n v="9"/>
    <x v="1"/>
    <x v="2"/>
    <s v="Maranhao"/>
  </r>
  <r>
    <s v="69f0148dd6fd1fd804e48c202c93ad0b"/>
    <s v="2018-08-05"/>
    <x v="21"/>
    <x v="3"/>
    <x v="17"/>
    <n v="1"/>
    <n v="24.5"/>
    <n v="7.43"/>
    <s v="credit_card"/>
    <n v="3"/>
    <x v="1"/>
    <x v="2"/>
    <s v="Sao Paulo"/>
  </r>
  <r>
    <s v="a8e595153c8bec02b29e66399b21e1ae"/>
    <s v="2018-08-05"/>
    <x v="21"/>
    <x v="7"/>
    <x v="13"/>
    <n v="1"/>
    <n v="28.99"/>
    <n v="18.3"/>
    <s v="credit_card"/>
    <n v="7"/>
    <x v="1"/>
    <x v="2"/>
    <s v="Minas Gerais"/>
  </r>
  <r>
    <s v="c6f64ddfd9a519815891070106aa9543"/>
    <s v="2018-08-05"/>
    <x v="21"/>
    <x v="3"/>
    <x v="54"/>
    <n v="1"/>
    <n v="155.99"/>
    <n v="13.75"/>
    <s v="credit_card"/>
    <n v="5"/>
    <x v="1"/>
    <x v="3"/>
    <s v="Sao Paulo"/>
  </r>
  <r>
    <s v="80b201a88f23aa35799eac75fa4cdf99"/>
    <s v="2018-08-05"/>
    <x v="21"/>
    <x v="3"/>
    <x v="9"/>
    <n v="1"/>
    <n v="29.9"/>
    <n v="7.47"/>
    <s v="debit_card"/>
    <n v="9"/>
    <x v="2"/>
    <x v="2"/>
    <s v="Sao Paulo"/>
  </r>
  <r>
    <s v="87bad43228f375c518a80fd2cdec8e17"/>
    <s v="2018-08-05"/>
    <x v="21"/>
    <x v="3"/>
    <x v="4"/>
    <n v="1"/>
    <n v="74.989999999999995"/>
    <n v="8.69"/>
    <s v="boleto"/>
    <n v="3"/>
    <x v="1"/>
    <x v="2"/>
    <s v="Sao Paulo"/>
  </r>
  <r>
    <s v="95a79263ff4f759875074b9c5024edba"/>
    <s v="2018-08-05"/>
    <x v="21"/>
    <x v="3"/>
    <x v="3"/>
    <n v="1"/>
    <n v="69.989999999999995"/>
    <n v="18.59"/>
    <s v="voucher"/>
    <n v="4"/>
    <x v="1"/>
    <x v="1"/>
    <s v="Sao Paulo"/>
  </r>
  <r>
    <s v="c3aa0764f72af0672f23966336a8fd0c"/>
    <s v="2018-08-05"/>
    <x v="21"/>
    <x v="5"/>
    <x v="20"/>
    <n v="2"/>
    <n v="250"/>
    <n v="28.44"/>
    <s v="credit_card"/>
    <n v="15"/>
    <x v="2"/>
    <x v="3"/>
    <s v="Parana"/>
  </r>
  <r>
    <s v="c9d520a482f52b364a05d0252cd45852"/>
    <s v="2018-08-05"/>
    <x v="21"/>
    <x v="3"/>
    <x v="4"/>
    <n v="1"/>
    <n v="105"/>
    <n v="14.32"/>
    <s v="credit_card"/>
    <n v="7"/>
    <x v="1"/>
    <x v="1"/>
    <s v="Sao Paulo"/>
  </r>
  <r>
    <s v="5494b2ddfe11df2c043ab5a56a2832bd"/>
    <s v="2018-08-05"/>
    <x v="21"/>
    <x v="3"/>
    <x v="13"/>
    <n v="1"/>
    <n v="69.989999999999995"/>
    <n v="18.59"/>
    <s v="credit_card"/>
    <n v="4"/>
    <x v="1"/>
    <x v="3"/>
    <s v="Sao Paulo"/>
  </r>
  <r>
    <s v="a016702972f9a03256db6aecb30ba538"/>
    <s v="2018-08-05"/>
    <x v="21"/>
    <x v="3"/>
    <x v="0"/>
    <n v="3"/>
    <n v="225"/>
    <n v="63.510000000000012"/>
    <s v="boleto"/>
    <n v="9"/>
    <x v="1"/>
    <x v="2"/>
    <s v="Sao Paulo"/>
  </r>
  <r>
    <s v="69cfaf72cc14e5d3ade9e5f121f74c19"/>
    <s v="2018-08-05"/>
    <x v="21"/>
    <x v="4"/>
    <x v="29"/>
    <n v="1"/>
    <n v="129.9"/>
    <n v="27.89"/>
    <s v="credit_card"/>
    <n v="2"/>
    <x v="1"/>
    <x v="2"/>
    <s v="Rio de Janeiro"/>
  </r>
  <r>
    <s v="51520d3bdef580c2ffd3b8fea209172a"/>
    <s v="2018-08-06"/>
    <x v="21"/>
    <x v="3"/>
    <x v="18"/>
    <n v="1"/>
    <n v="49"/>
    <n v="7.6"/>
    <s v="debit_card"/>
    <n v="3"/>
    <x v="2"/>
    <x v="2"/>
    <s v="Sao Paulo"/>
  </r>
  <r>
    <s v="2d141367a3c00a99a25764eced13ef4e"/>
    <s v="2018-08-06"/>
    <x v="21"/>
    <x v="3"/>
    <x v="1"/>
    <n v="1"/>
    <n v="59"/>
    <n v="7.67"/>
    <s v="credit_card"/>
    <n v="1"/>
    <x v="1"/>
    <x v="2"/>
    <s v="Sao Paulo"/>
  </r>
  <r>
    <s v="4044c5fad995d07177b0c09ff2b0b7f6"/>
    <s v="2018-08-06"/>
    <x v="21"/>
    <x v="20"/>
    <x v="0"/>
    <n v="3"/>
    <n v="874"/>
    <n v="251.36"/>
    <s v="credit_card"/>
    <n v="8"/>
    <x v="1"/>
    <x v="2"/>
    <s v="Tocantins"/>
  </r>
  <r>
    <s v="64eda3241f07453a9d8aeb85428c18c5"/>
    <s v="2018-08-06"/>
    <x v="21"/>
    <x v="3"/>
    <x v="18"/>
    <n v="1"/>
    <n v="29.9"/>
    <n v="15.31"/>
    <s v="credit_card"/>
    <n v="7"/>
    <x v="1"/>
    <x v="2"/>
    <s v="Sao Paulo"/>
  </r>
  <r>
    <s v="9a503487f2a2141cfc220d61e43bd938"/>
    <s v="2018-08-06"/>
    <x v="21"/>
    <x v="3"/>
    <x v="9"/>
    <n v="1"/>
    <n v="99.9"/>
    <n v="17.829999999999998"/>
    <s v="boleto"/>
    <n v="8"/>
    <x v="2"/>
    <x v="2"/>
    <s v="Sao Paulo"/>
  </r>
  <r>
    <s v="7e72ec73eb316f40183f574d738eb99e"/>
    <s v="2018-08-06"/>
    <x v="21"/>
    <x v="3"/>
    <x v="58"/>
    <n v="1"/>
    <n v="240"/>
    <n v="15.99"/>
    <s v="credit_card"/>
    <n v="4"/>
    <x v="1"/>
    <x v="3"/>
    <s v="Sao Paulo"/>
  </r>
  <r>
    <s v="52550cee1dda83b2c06260891897dc60"/>
    <s v="2018-08-06"/>
    <x v="21"/>
    <x v="3"/>
    <x v="9"/>
    <n v="1"/>
    <n v="527.9"/>
    <n v="21.8"/>
    <s v="credit_card"/>
    <n v="28"/>
    <x v="2"/>
    <x v="5"/>
    <s v="Sao Paulo"/>
  </r>
  <r>
    <s v="3f090361c1e3266bf3dda7a00df3c0ec"/>
    <s v="2018-08-06"/>
    <x v="21"/>
    <x v="3"/>
    <x v="13"/>
    <n v="1"/>
    <n v="19.989999999999998"/>
    <n v="8.89"/>
    <s v="credit_card"/>
    <n v="5"/>
    <x v="1"/>
    <x v="3"/>
    <s v="Sao Paulo"/>
  </r>
  <r>
    <s v="375aac0ed45f117fefb4e511189306d4"/>
    <s v="2018-08-06"/>
    <x v="21"/>
    <x v="3"/>
    <x v="32"/>
    <n v="1"/>
    <n v="85.5"/>
    <n v="19.79"/>
    <s v="credit_card"/>
    <n v="9"/>
    <x v="1"/>
    <x v="3"/>
    <s v="Sao Paulo"/>
  </r>
  <r>
    <s v="035c01a45e289b155db4e47cf39b29d3"/>
    <s v="2018-08-06"/>
    <x v="21"/>
    <x v="3"/>
    <x v="4"/>
    <n v="1"/>
    <n v="79.900000000000006"/>
    <n v="13.9"/>
    <s v="boleto"/>
    <n v="16"/>
    <x v="1"/>
    <x v="2"/>
    <s v="Sao Paulo"/>
  </r>
  <r>
    <s v="c8035c255b0c345f46e7ed85cbaf1a79"/>
    <s v="2018-08-06"/>
    <x v="21"/>
    <x v="3"/>
    <x v="14"/>
    <n v="1"/>
    <n v="58.67"/>
    <n v="8.57"/>
    <s v="credit_card"/>
    <n v="10"/>
    <x v="1"/>
    <x v="2"/>
    <s v="Sao Paulo"/>
  </r>
  <r>
    <s v="d802b8adcfb2cc03772c0645c9257a4a"/>
    <s v="2018-08-06"/>
    <x v="21"/>
    <x v="2"/>
    <x v="11"/>
    <n v="1"/>
    <n v="109.9"/>
    <n v="51.06"/>
    <s v="credit_card"/>
    <n v="10"/>
    <x v="1"/>
    <x v="2"/>
    <s v="Goias"/>
  </r>
  <r>
    <s v="991dc90330a54fbf3461dec5bf8226ec"/>
    <s v="2018-08-06"/>
    <x v="21"/>
    <x v="22"/>
    <x v="2"/>
    <n v="1"/>
    <n v="113.1"/>
    <n v="18.89"/>
    <s v="credit_card"/>
    <m/>
    <x v="0"/>
    <x v="0"/>
    <s v="Espirito Santo"/>
  </r>
  <r>
    <s v="2ce205c58fef8abc5963b6da38e4b2fe"/>
    <s v="2018-08-06"/>
    <x v="21"/>
    <x v="4"/>
    <x v="4"/>
    <n v="1"/>
    <n v="169.9"/>
    <n v="14.4"/>
    <s v="credit_card"/>
    <n v="7"/>
    <x v="1"/>
    <x v="2"/>
    <s v="Rio de Janeiro"/>
  </r>
  <r>
    <s v="f98480aef384f1cb8d5b1e0e4816fd89"/>
    <s v="2018-08-06"/>
    <x v="21"/>
    <x v="4"/>
    <x v="23"/>
    <n v="1"/>
    <n v="65.900000000000006"/>
    <n v="14.62"/>
    <s v="credit_card"/>
    <n v="3"/>
    <x v="1"/>
    <x v="2"/>
    <s v="Rio de Janeiro"/>
  </r>
  <r>
    <s v="57c38272c5be87d337e47ad5f1d88343"/>
    <s v="2018-08-06"/>
    <x v="21"/>
    <x v="8"/>
    <x v="1"/>
    <n v="1"/>
    <n v="190"/>
    <n v="24.13"/>
    <s v="credit_card"/>
    <n v="4"/>
    <x v="1"/>
    <x v="3"/>
    <s v="Santa Catarina"/>
  </r>
  <r>
    <s v="847e04c1fabd29748790e74c1430c603"/>
    <s v="2018-08-06"/>
    <x v="21"/>
    <x v="4"/>
    <x v="9"/>
    <n v="1"/>
    <n v="39.9"/>
    <n v="9.2100000000000009"/>
    <s v="voucher"/>
    <m/>
    <x v="0"/>
    <x v="0"/>
    <s v="Rio de Janeiro"/>
  </r>
  <r>
    <s v="aabd0a7ecf741520be60dc59fc6002ee"/>
    <s v="2018-08-06"/>
    <x v="21"/>
    <x v="3"/>
    <x v="13"/>
    <n v="1"/>
    <n v="46.99"/>
    <n v="9.08"/>
    <s v="credit_card"/>
    <n v="3"/>
    <x v="2"/>
    <x v="2"/>
    <s v="Sao Paulo"/>
  </r>
  <r>
    <s v="494dfa139a38449b378d01cca4c0a6a0"/>
    <s v="2018-08-06"/>
    <x v="21"/>
    <x v="4"/>
    <x v="32"/>
    <n v="1"/>
    <n v="91.6"/>
    <n v="59.87"/>
    <s v="boleto"/>
    <n v="7"/>
    <x v="1"/>
    <x v="2"/>
    <s v="Rio de Janeiro"/>
  </r>
  <r>
    <s v="f709f3fec102226ab1dce1018209b7ff"/>
    <s v="2018-08-06"/>
    <x v="21"/>
    <x v="4"/>
    <x v="6"/>
    <n v="1"/>
    <n v="170"/>
    <n v="21.46"/>
    <s v="credit_card"/>
    <n v="8"/>
    <x v="1"/>
    <x v="3"/>
    <s v="Rio de Janeiro"/>
  </r>
  <r>
    <s v="d2deb9270ebda7fd5dc5ff3b9a499a58"/>
    <s v="2018-08-07"/>
    <x v="21"/>
    <x v="5"/>
    <x v="33"/>
    <n v="1"/>
    <n v="169.9"/>
    <n v="19.29"/>
    <s v="credit_card"/>
    <n v="14"/>
    <x v="1"/>
    <x v="2"/>
    <s v="Parana"/>
  </r>
  <r>
    <s v="bfc9f97fc7ddacf8a3c33c4b2bd15a93"/>
    <s v="2018-08-07"/>
    <x v="21"/>
    <x v="7"/>
    <x v="14"/>
    <n v="3"/>
    <n v="170.97"/>
    <n v="58.77"/>
    <s v="credit_card"/>
    <n v="6"/>
    <x v="1"/>
    <x v="0"/>
    <s v="Minas Gerais"/>
  </r>
  <r>
    <s v="8618c8cd264cece4218bfa403bdc4b14"/>
    <s v="2018-08-07"/>
    <x v="21"/>
    <x v="5"/>
    <x v="4"/>
    <n v="1"/>
    <n v="135"/>
    <n v="16.05"/>
    <s v="boleto"/>
    <n v="6"/>
    <x v="1"/>
    <x v="2"/>
    <s v="Parana"/>
  </r>
  <r>
    <s v="48f1b7e26f84f55846f1d003e3e6170c"/>
    <s v="2018-08-07"/>
    <x v="21"/>
    <x v="3"/>
    <x v="58"/>
    <n v="1"/>
    <n v="29.99"/>
    <n v="12.87"/>
    <s v="boleto"/>
    <n v="6"/>
    <x v="1"/>
    <x v="2"/>
    <s v="Sao Paulo"/>
  </r>
  <r>
    <s v="0dbd7242192102a62fc3677d4d42b5a1"/>
    <s v="2018-08-07"/>
    <x v="21"/>
    <x v="5"/>
    <x v="14"/>
    <n v="1"/>
    <n v="59.9"/>
    <n v="11.91"/>
    <s v="boleto"/>
    <n v="2"/>
    <x v="1"/>
    <x v="2"/>
    <s v="Parana"/>
  </r>
  <r>
    <s v="63b560062bb9ccde4a2b9e9d26b39486"/>
    <s v="2018-08-07"/>
    <x v="21"/>
    <x v="3"/>
    <x v="22"/>
    <n v="1"/>
    <n v="189"/>
    <n v="8.58"/>
    <s v="credit_card"/>
    <n v="5"/>
    <x v="2"/>
    <x v="3"/>
    <s v="Sao Paulo"/>
  </r>
  <r>
    <s v="63c3ce671d34493be2e342ac33a8249f"/>
    <s v="2018-08-07"/>
    <x v="21"/>
    <x v="7"/>
    <x v="13"/>
    <n v="1"/>
    <n v="98.7"/>
    <n v="18.79"/>
    <s v="credit_card"/>
    <n v="5"/>
    <x v="1"/>
    <x v="1"/>
    <s v="Minas Gerais"/>
  </r>
  <r>
    <s v="201164b89baf9300df72f328a6e5842e"/>
    <s v="2018-08-07"/>
    <x v="21"/>
    <x v="4"/>
    <x v="14"/>
    <n v="1"/>
    <n v="42.9"/>
    <n v="19.489999999999998"/>
    <s v="voucher"/>
    <n v="16"/>
    <x v="2"/>
    <x v="0"/>
    <s v="Rio de Janeiro"/>
  </r>
  <r>
    <s v="64d23ea3d34bfe1b619e41c2ffef4803"/>
    <s v="2018-08-07"/>
    <x v="21"/>
    <x v="14"/>
    <x v="14"/>
    <n v="1"/>
    <n v="19.899999999999999"/>
    <n v="18.239999999999998"/>
    <s v="boleto"/>
    <n v="21"/>
    <x v="2"/>
    <x v="2"/>
    <s v="Mato Grosso do Sul"/>
  </r>
  <r>
    <s v="22e93d4515387496e3bd3cf6e8eca396"/>
    <s v="2018-08-07"/>
    <x v="21"/>
    <x v="3"/>
    <x v="30"/>
    <n v="1"/>
    <n v="81.489999999999995"/>
    <n v="8.73"/>
    <s v="credit_card"/>
    <n v="7"/>
    <x v="2"/>
    <x v="2"/>
    <s v="Sao Paulo"/>
  </r>
  <r>
    <s v="93ae3d70a721582a8c0a1d28d804f947"/>
    <s v="2018-08-07"/>
    <x v="21"/>
    <x v="7"/>
    <x v="21"/>
    <n v="2"/>
    <n v="174.9"/>
    <n v="32.28"/>
    <s v="credit_card"/>
    <n v="2"/>
    <x v="1"/>
    <x v="5"/>
    <s v="Minas Gerais"/>
  </r>
  <r>
    <s v="5b4101f533b7c66611b649809ff634b1"/>
    <s v="2018-08-07"/>
    <x v="21"/>
    <x v="4"/>
    <x v="14"/>
    <n v="2"/>
    <n v="84"/>
    <n v="38.49"/>
    <s v="credit_card"/>
    <n v="6"/>
    <x v="1"/>
    <x v="0"/>
    <s v="Rio de Janeiro"/>
  </r>
  <r>
    <s v="6b9aa78b4ae64ba1d10964b1a15b5989"/>
    <s v="2018-08-07"/>
    <x v="21"/>
    <x v="3"/>
    <x v="18"/>
    <n v="1"/>
    <n v="96.8"/>
    <n v="14.98"/>
    <s v="boleto"/>
    <n v="8"/>
    <x v="1"/>
    <x v="2"/>
    <s v="Sao Paulo"/>
  </r>
  <r>
    <s v="ac046246a304e47bb50a9c923430aa55"/>
    <s v="2018-08-07"/>
    <x v="21"/>
    <x v="1"/>
    <x v="1"/>
    <n v="1"/>
    <n v="69.900000000000006"/>
    <n v="19.68"/>
    <s v="credit_card"/>
    <n v="8"/>
    <x v="1"/>
    <x v="2"/>
    <s v="Rio Grande do Sul"/>
  </r>
  <r>
    <s v="a8aa1455a58ed250938c0f20158244a8"/>
    <s v="2018-08-07"/>
    <x v="21"/>
    <x v="1"/>
    <x v="28"/>
    <n v="1"/>
    <n v="345.6"/>
    <n v="37.770000000000003"/>
    <s v="boleto"/>
    <n v="7"/>
    <x v="1"/>
    <x v="2"/>
    <s v="Rio Grande do Sul"/>
  </r>
  <r>
    <s v="6a0725621168540d5200cba214d6ebe7"/>
    <s v="2018-08-07"/>
    <x v="21"/>
    <x v="3"/>
    <x v="29"/>
    <n v="1"/>
    <n v="98.9"/>
    <n v="16.96"/>
    <s v="boleto"/>
    <n v="2"/>
    <x v="1"/>
    <x v="2"/>
    <s v="Sao Paulo"/>
  </r>
  <r>
    <s v="5ec17d5853c4bad3b18adb6778b3ac0d"/>
    <s v="2018-08-07"/>
    <x v="21"/>
    <x v="3"/>
    <x v="9"/>
    <n v="2"/>
    <n v="220.64"/>
    <n v="16.059999999999999"/>
    <s v="credit_card"/>
    <n v="8"/>
    <x v="2"/>
    <x v="2"/>
    <s v="Sao Paulo"/>
  </r>
  <r>
    <s v="e97c5fb2b1ca5b5fd19f2c910a274e33"/>
    <s v="2018-08-07"/>
    <x v="21"/>
    <x v="3"/>
    <x v="14"/>
    <n v="1"/>
    <n v="68.900000000000006"/>
    <n v="14.06"/>
    <s v="boleto"/>
    <n v="6"/>
    <x v="1"/>
    <x v="2"/>
    <s v="Sao Paulo"/>
  </r>
  <r>
    <s v="0eb9e3204a220fb573180f4e6cd1c63a"/>
    <s v="2018-08-08"/>
    <x v="21"/>
    <x v="18"/>
    <x v="7"/>
    <n v="1"/>
    <n v="13.99"/>
    <n v="18.23"/>
    <s v="credit_card"/>
    <n v="5"/>
    <x v="1"/>
    <x v="2"/>
    <s v="Distrito Federal"/>
  </r>
  <r>
    <s v="b55ed7407eb340d0db40dfb2759c756a"/>
    <s v="2018-08-08"/>
    <x v="21"/>
    <x v="7"/>
    <x v="54"/>
    <n v="1"/>
    <n v="21.7"/>
    <n v="19.34"/>
    <s v="credit_card"/>
    <n v="6"/>
    <x v="1"/>
    <x v="2"/>
    <s v="Minas Gerais"/>
  </r>
  <r>
    <s v="91681be83015c5760383644518e80ec6"/>
    <s v="2018-08-08"/>
    <x v="21"/>
    <x v="26"/>
    <x v="6"/>
    <n v="1"/>
    <n v="219"/>
    <n v="18.46"/>
    <s v="credit_card"/>
    <n v="19"/>
    <x v="1"/>
    <x v="5"/>
    <s v="Paraiba"/>
  </r>
  <r>
    <s v="2f9615837f509124f0c936dbd93855ac"/>
    <s v="2018-08-08"/>
    <x v="21"/>
    <x v="3"/>
    <x v="14"/>
    <n v="1"/>
    <n v="69"/>
    <n v="14.79"/>
    <s v="credit_card"/>
    <n v="5"/>
    <x v="1"/>
    <x v="2"/>
    <s v="Sao Paulo"/>
  </r>
  <r>
    <s v="63cb9481eda48b82bb600b4e38026b91"/>
    <s v="2018-08-08"/>
    <x v="21"/>
    <x v="3"/>
    <x v="58"/>
    <n v="1"/>
    <n v="119"/>
    <n v="15.14"/>
    <s v="credit_card"/>
    <n v="5"/>
    <x v="1"/>
    <x v="2"/>
    <s v="Sao Paulo"/>
  </r>
  <r>
    <s v="b4e819d2c22097406ce41f19df19d9a1"/>
    <s v="2018-08-08"/>
    <x v="21"/>
    <x v="21"/>
    <x v="19"/>
    <n v="1"/>
    <n v="71.400000000000006"/>
    <n v="22.43"/>
    <s v="debit_card"/>
    <n v="8"/>
    <x v="1"/>
    <x v="3"/>
    <s v="Bahia"/>
  </r>
  <r>
    <s v="0e1ab5408ec0c9ece6adcbb661b3a901"/>
    <s v="2018-08-08"/>
    <x v="21"/>
    <x v="3"/>
    <x v="0"/>
    <n v="1"/>
    <n v="189"/>
    <n v="53.67"/>
    <s v="credit_card"/>
    <n v="9"/>
    <x v="1"/>
    <x v="1"/>
    <s v="Sao Paulo"/>
  </r>
  <r>
    <s v="0616b1a248556f0f4c5aea97beb0729a"/>
    <s v="2018-08-08"/>
    <x v="21"/>
    <x v="3"/>
    <x v="9"/>
    <n v="1"/>
    <n v="149.65"/>
    <n v="18.989999999999998"/>
    <s v="credit_card"/>
    <n v="11"/>
    <x v="1"/>
    <x v="2"/>
    <s v="Sao Paulo"/>
  </r>
  <r>
    <s v="c8519a6f2d214cfedb5803e64f8dab15"/>
    <s v="2018-08-08"/>
    <x v="21"/>
    <x v="3"/>
    <x v="19"/>
    <n v="1"/>
    <n v="199"/>
    <n v="45.38"/>
    <s v="boleto"/>
    <n v="7"/>
    <x v="1"/>
    <x v="2"/>
    <s v="Sao Paulo"/>
  </r>
  <r>
    <s v="e23b204f4817055fedf12a5a5c27b360"/>
    <s v="2018-08-08"/>
    <x v="21"/>
    <x v="3"/>
    <x v="25"/>
    <n v="1"/>
    <n v="42.99"/>
    <n v="13.88"/>
    <s v="credit_card"/>
    <n v="4"/>
    <x v="1"/>
    <x v="3"/>
    <s v="Sao Paulo"/>
  </r>
  <r>
    <s v="20fc41b5546587400e8ef6a97936ed06"/>
    <s v="2018-08-08"/>
    <x v="21"/>
    <x v="3"/>
    <x v="4"/>
    <n v="1"/>
    <n v="149.9"/>
    <n v="23.77"/>
    <s v="boleto"/>
    <n v="5"/>
    <x v="1"/>
    <x v="2"/>
    <s v="Sao Paulo"/>
  </r>
  <r>
    <s v="5c097b2906957e90e5958008194041ba"/>
    <s v="2018-08-08"/>
    <x v="21"/>
    <x v="3"/>
    <x v="14"/>
    <n v="1"/>
    <n v="69.900000000000006"/>
    <n v="18.29"/>
    <s v="boleto"/>
    <n v="8"/>
    <x v="1"/>
    <x v="2"/>
    <s v="Sao Paulo"/>
  </r>
  <r>
    <s v="f060d1eeb07c0294f897df1ff19d4b99"/>
    <s v="2018-08-08"/>
    <x v="21"/>
    <x v="21"/>
    <x v="25"/>
    <n v="1"/>
    <n v="94.9"/>
    <n v="23.81"/>
    <s v="credit_card"/>
    <n v="13"/>
    <x v="1"/>
    <x v="2"/>
    <s v="Bahia"/>
  </r>
  <r>
    <s v="dcb97cff5ad47d9a584ac61d5b857f41"/>
    <s v="2018-08-08"/>
    <x v="21"/>
    <x v="3"/>
    <x v="14"/>
    <n v="2"/>
    <n v="133.1"/>
    <n v="29.56"/>
    <s v="credit_card"/>
    <n v="12"/>
    <x v="2"/>
    <x v="2"/>
    <s v="Sao Paulo"/>
  </r>
  <r>
    <s v="9146c78cd5cb5e53ee985a7feb72e76f"/>
    <s v="2018-08-08"/>
    <x v="21"/>
    <x v="3"/>
    <x v="14"/>
    <n v="1"/>
    <n v="114.9"/>
    <n v="15.11"/>
    <s v="credit_card"/>
    <n v="6"/>
    <x v="1"/>
    <x v="2"/>
    <s v="Sao Paulo"/>
  </r>
  <r>
    <s v="659abef602b62c08e71dbc6892a5cffd"/>
    <s v="2018-08-08"/>
    <x v="21"/>
    <x v="3"/>
    <x v="3"/>
    <n v="1"/>
    <n v="75"/>
    <n v="13.19"/>
    <s v="boleto"/>
    <n v="8"/>
    <x v="1"/>
    <x v="3"/>
    <s v="Sao Paulo"/>
  </r>
  <r>
    <s v="1124e4ebba42a10ac32ef40dd8dd6475"/>
    <s v="2018-08-08"/>
    <x v="21"/>
    <x v="3"/>
    <x v="14"/>
    <n v="1"/>
    <n v="39"/>
    <n v="13.85"/>
    <s v="credit_card"/>
    <n v="6"/>
    <x v="1"/>
    <x v="2"/>
    <s v="Sao Paulo"/>
  </r>
  <r>
    <s v="ad1c343f53639ad550761c2653c191b0"/>
    <s v="2018-08-08"/>
    <x v="21"/>
    <x v="7"/>
    <x v="54"/>
    <n v="1"/>
    <n v="150"/>
    <n v="42.03"/>
    <s v="credit_card"/>
    <n v="14"/>
    <x v="1"/>
    <x v="2"/>
    <s v="Minas Gerais"/>
  </r>
  <r>
    <s v="c82a457d646f77c8f151e12a3e517ed2"/>
    <s v="2018-08-08"/>
    <x v="21"/>
    <x v="3"/>
    <x v="5"/>
    <n v="1"/>
    <n v="136.78"/>
    <n v="8.2200000000000006"/>
    <s v="credit_card"/>
    <n v="6"/>
    <x v="2"/>
    <x v="2"/>
    <s v="Sao Paulo"/>
  </r>
  <r>
    <s v="bd9437912c7f33aee54e576b86b3a276"/>
    <s v="2018-08-08"/>
    <x v="21"/>
    <x v="3"/>
    <x v="44"/>
    <n v="1"/>
    <n v="795"/>
    <n v="63.65"/>
    <s v="credit_card"/>
    <n v="9"/>
    <x v="1"/>
    <x v="0"/>
    <s v="Sao Paulo"/>
  </r>
  <r>
    <s v="82ee69216f11b23e2d21d2796e079366"/>
    <s v="2018-08-08"/>
    <x v="21"/>
    <x v="21"/>
    <x v="53"/>
    <n v="1"/>
    <n v="650"/>
    <n v="42.94"/>
    <s v="credit_card"/>
    <n v="9"/>
    <x v="1"/>
    <x v="2"/>
    <s v="Bahia"/>
  </r>
  <r>
    <s v="bd4408025e544757842c962993ff7104"/>
    <s v="2018-08-08"/>
    <x v="21"/>
    <x v="22"/>
    <x v="5"/>
    <n v="1"/>
    <n v="179.9"/>
    <n v="16.36"/>
    <s v="credit_card"/>
    <n v="7"/>
    <x v="1"/>
    <x v="2"/>
    <s v="Espirito Santo"/>
  </r>
  <r>
    <s v="428964e746cbd974ac94be994a5c17c6"/>
    <s v="2018-08-09"/>
    <x v="21"/>
    <x v="18"/>
    <x v="1"/>
    <n v="1"/>
    <n v="49.9"/>
    <n v="15.45"/>
    <s v="credit_card"/>
    <n v="11"/>
    <x v="1"/>
    <x v="2"/>
    <s v="Distrito Federal"/>
  </r>
  <r>
    <s v="8d6f70397db05604f0f4ccca7e376f12"/>
    <s v="2018-08-09"/>
    <x v="21"/>
    <x v="3"/>
    <x v="4"/>
    <n v="1"/>
    <n v="6.5"/>
    <n v="7.39"/>
    <s v="credit_card"/>
    <n v="4"/>
    <x v="1"/>
    <x v="0"/>
    <s v="Sao Paulo"/>
  </r>
  <r>
    <s v="830c7606efcb798e1bacdc56247dc134"/>
    <s v="2018-08-09"/>
    <x v="21"/>
    <x v="3"/>
    <x v="26"/>
    <n v="2"/>
    <n v="84.89"/>
    <n v="32.9"/>
    <s v="boleto"/>
    <n v="4"/>
    <x v="1"/>
    <x v="2"/>
    <s v="Sao Paulo"/>
  </r>
  <r>
    <s v="079c9f53e6c3253320db701a645b0b9a"/>
    <s v="2018-08-09"/>
    <x v="21"/>
    <x v="7"/>
    <x v="9"/>
    <n v="1"/>
    <n v="84.3"/>
    <n v="13.93"/>
    <s v="credit_card"/>
    <n v="6"/>
    <x v="1"/>
    <x v="2"/>
    <s v="Minas Gerais"/>
  </r>
  <r>
    <s v="226e0396e8ace4776eaf471b2d6abf89"/>
    <s v="2018-08-09"/>
    <x v="21"/>
    <x v="4"/>
    <x v="56"/>
    <n v="1"/>
    <n v="34"/>
    <n v="19.43"/>
    <s v="credit_card"/>
    <n v="7"/>
    <x v="1"/>
    <x v="3"/>
    <s v="Rio de Janeiro"/>
  </r>
  <r>
    <s v="2421e957dc390d2f987c986a1683a757"/>
    <s v="2018-08-09"/>
    <x v="21"/>
    <x v="4"/>
    <x v="1"/>
    <n v="1"/>
    <n v="109"/>
    <n v="19.95"/>
    <s v="debit_card"/>
    <n v="8"/>
    <x v="1"/>
    <x v="2"/>
    <s v="Rio de Janeiro"/>
  </r>
  <r>
    <s v="90e3ed5bc7c3104c5d7012e809f4b399"/>
    <s v="2018-08-09"/>
    <x v="21"/>
    <x v="1"/>
    <x v="20"/>
    <n v="1"/>
    <n v="95.9"/>
    <n v="18.77"/>
    <s v="credit_card"/>
    <n v="20"/>
    <x v="1"/>
    <x v="2"/>
    <s v="Rio Grande do Sul"/>
  </r>
  <r>
    <s v="c9b08bd33d449366d3b89454a3071b98"/>
    <s v="2018-08-09"/>
    <x v="21"/>
    <x v="8"/>
    <x v="54"/>
    <n v="1"/>
    <n v="150"/>
    <n v="42.03"/>
    <s v="credit_card"/>
    <n v="6"/>
    <x v="1"/>
    <x v="3"/>
    <s v="Santa Catarina"/>
  </r>
  <r>
    <s v="84e18dccfd5aad7f91ef778c2aa0b959"/>
    <s v="2018-08-09"/>
    <x v="21"/>
    <x v="3"/>
    <x v="1"/>
    <n v="1"/>
    <n v="28.9"/>
    <n v="12.86"/>
    <s v="credit_card"/>
    <n v="6"/>
    <x v="1"/>
    <x v="3"/>
    <s v="Sao Paulo"/>
  </r>
  <r>
    <s v="b198ccd6b70f2462922861e8c5a571cf"/>
    <s v="2018-08-10"/>
    <x v="21"/>
    <x v="7"/>
    <x v="14"/>
    <n v="1"/>
    <n v="432.3"/>
    <n v="69.62"/>
    <s v="credit_card"/>
    <n v="7"/>
    <x v="1"/>
    <x v="2"/>
    <s v="Minas Gerais"/>
  </r>
  <r>
    <s v="bfdc35e6060f9b6cd2227b660dfc3b70"/>
    <s v="2018-08-10"/>
    <x v="21"/>
    <x v="3"/>
    <x v="20"/>
    <n v="1"/>
    <n v="190"/>
    <n v="13.99"/>
    <s v="boleto"/>
    <n v="5"/>
    <x v="1"/>
    <x v="2"/>
    <s v="Sao Paulo"/>
  </r>
  <r>
    <s v="6be749c0e984143242faa174d084889f"/>
    <s v="2018-08-10"/>
    <x v="21"/>
    <x v="6"/>
    <x v="6"/>
    <n v="1"/>
    <n v="199"/>
    <n v="24.54"/>
    <s v="credit_card"/>
    <n v="10"/>
    <x v="1"/>
    <x v="2"/>
    <s v="Pernambuco"/>
  </r>
  <r>
    <s v="4ed418ef4e45eb8f9b22aee4366e9541"/>
    <s v="2018-08-10"/>
    <x v="21"/>
    <x v="18"/>
    <x v="14"/>
    <n v="1"/>
    <n v="48.9"/>
    <n v="16.53"/>
    <s v="voucher"/>
    <n v="10"/>
    <x v="1"/>
    <x v="0"/>
    <s v="Distrito Federal"/>
  </r>
  <r>
    <s v="27caeec16809f9eba603825998e884a0"/>
    <s v="2018-08-10"/>
    <x v="21"/>
    <x v="3"/>
    <x v="29"/>
    <n v="1"/>
    <n v="119"/>
    <n v="22.65"/>
    <s v="credit_card"/>
    <n v="10"/>
    <x v="1"/>
    <x v="2"/>
    <s v="Sao Paulo"/>
  </r>
  <r>
    <s v="ffdd767d77c3322d78b286b6e8ecaf15"/>
    <s v="2018-08-10"/>
    <x v="21"/>
    <x v="3"/>
    <x v="1"/>
    <n v="1"/>
    <n v="49.9"/>
    <n v="13.01"/>
    <s v="credit_card"/>
    <n v="7"/>
    <x v="1"/>
    <x v="2"/>
    <s v="Sao Paulo"/>
  </r>
  <r>
    <s v="818fffaae89ab44e0f2254ab0a2b560d"/>
    <s v="2018-08-10"/>
    <x v="21"/>
    <x v="7"/>
    <x v="1"/>
    <n v="1"/>
    <n v="11.2"/>
    <n v="22.06"/>
    <s v="credit_card"/>
    <n v="10"/>
    <x v="1"/>
    <x v="1"/>
    <s v="Minas Gerais"/>
  </r>
  <r>
    <s v="7a485479dbdf94502e471dbd3329a4e4"/>
    <s v="2018-08-10"/>
    <x v="21"/>
    <x v="7"/>
    <x v="9"/>
    <n v="2"/>
    <n v="278"/>
    <n v="38.14"/>
    <s v="credit_card"/>
    <n v="17"/>
    <x v="1"/>
    <x v="5"/>
    <s v="Minas Gerais"/>
  </r>
  <r>
    <s v="2b9f8967c6489ea04357a9fc58740ae5"/>
    <s v="2018-08-10"/>
    <x v="21"/>
    <x v="4"/>
    <x v="4"/>
    <n v="1"/>
    <n v="196"/>
    <n v="16.47"/>
    <s v="credit_card"/>
    <n v="17"/>
    <x v="1"/>
    <x v="1"/>
    <s v="Rio de Janeiro"/>
  </r>
  <r>
    <s v="3c18b2ddaa9cdf16188ac0ca3ad8dee4"/>
    <s v="2018-08-10"/>
    <x v="21"/>
    <x v="3"/>
    <x v="25"/>
    <n v="1"/>
    <n v="129.99"/>
    <n v="14.55"/>
    <s v="boleto"/>
    <n v="7"/>
    <x v="1"/>
    <x v="2"/>
    <s v="Sao Paulo"/>
  </r>
  <r>
    <s v="477749bcfe4bc5261ca38dd7fad8859b"/>
    <s v="2018-08-10"/>
    <x v="21"/>
    <x v="4"/>
    <x v="14"/>
    <n v="1"/>
    <n v="79"/>
    <n v="27.5"/>
    <s v="boleto"/>
    <n v="7"/>
    <x v="1"/>
    <x v="1"/>
    <s v="Rio de Janeiro"/>
  </r>
  <r>
    <s v="ae68c99e963e1694453bacc5db91513d"/>
    <s v="2018-08-10"/>
    <x v="21"/>
    <x v="1"/>
    <x v="0"/>
    <n v="1"/>
    <n v="49"/>
    <n v="15.44"/>
    <s v="boleto"/>
    <n v="10"/>
    <x v="1"/>
    <x v="2"/>
    <s v="Rio Grande do Sul"/>
  </r>
  <r>
    <s v="a77696c7b42da1121205a92ddae7b5c7"/>
    <s v="2018-08-10"/>
    <x v="21"/>
    <x v="3"/>
    <x v="17"/>
    <n v="1"/>
    <n v="32.9"/>
    <n v="7.45"/>
    <s v="credit_card"/>
    <n v="4"/>
    <x v="1"/>
    <x v="1"/>
    <s v="Sao Paulo"/>
  </r>
  <r>
    <s v="397cda88cf14fa47dd00f8ce20346f25"/>
    <s v="2018-08-10"/>
    <x v="21"/>
    <x v="3"/>
    <x v="53"/>
    <n v="1"/>
    <n v="899"/>
    <n v="33.54"/>
    <s v="boleto"/>
    <n v="6"/>
    <x v="2"/>
    <x v="3"/>
    <s v="Sao Paulo"/>
  </r>
  <r>
    <s v="f4929b75acb29f2ae641fdf4848b8ec2"/>
    <s v="2018-08-10"/>
    <x v="21"/>
    <x v="3"/>
    <x v="19"/>
    <n v="1"/>
    <n v="399.9"/>
    <n v="93.61"/>
    <s v="credit_card"/>
    <n v="4"/>
    <x v="1"/>
    <x v="0"/>
    <s v="Sao Paulo"/>
  </r>
  <r>
    <s v="ab34db6c283d8f91f11773a52711c317"/>
    <s v="2018-08-10"/>
    <x v="21"/>
    <x v="4"/>
    <x v="25"/>
    <n v="1"/>
    <n v="168.99"/>
    <n v="8.6"/>
    <s v="credit_card"/>
    <n v="6"/>
    <x v="1"/>
    <x v="2"/>
    <s v="Rio de Janeiro"/>
  </r>
  <r>
    <s v="41cb41ef29a6cd8f633cac105998332f"/>
    <s v="2018-08-10"/>
    <x v="21"/>
    <x v="6"/>
    <x v="13"/>
    <n v="1"/>
    <n v="159"/>
    <n v="27.77"/>
    <s v="boleto"/>
    <n v="13"/>
    <x v="1"/>
    <x v="3"/>
    <s v="Pernambuco"/>
  </r>
  <r>
    <s v="35bc592a16d6706d14d29f07ed1d13c1"/>
    <s v="2018-08-11"/>
    <x v="21"/>
    <x v="4"/>
    <x v="9"/>
    <n v="1"/>
    <n v="639"/>
    <n v="21.4"/>
    <s v="credit_card"/>
    <n v="11"/>
    <x v="1"/>
    <x v="2"/>
    <s v="Rio de Janeiro"/>
  </r>
  <r>
    <s v="c88935c0144ef18368420018e18f177a"/>
    <s v="2018-08-11"/>
    <x v="21"/>
    <x v="6"/>
    <x v="22"/>
    <n v="1"/>
    <n v="29"/>
    <n v="19.11"/>
    <s v="credit_card"/>
    <n v="15"/>
    <x v="1"/>
    <x v="1"/>
    <s v="Pernambuco"/>
  </r>
  <r>
    <s v="30bf87367ed2e63f68bfb5aacdae279b"/>
    <s v="2018-08-11"/>
    <x v="21"/>
    <x v="3"/>
    <x v="14"/>
    <n v="1"/>
    <n v="47.9"/>
    <n v="9.09"/>
    <s v="credit_card"/>
    <n v="3"/>
    <x v="1"/>
    <x v="2"/>
    <s v="Sao Paulo"/>
  </r>
  <r>
    <s v="4568a2bce4050c7579e898eca38f8833"/>
    <s v="2018-08-11"/>
    <x v="21"/>
    <x v="1"/>
    <x v="29"/>
    <n v="1"/>
    <n v="39.9"/>
    <n v="15.38"/>
    <s v="credit_card"/>
    <n v="17"/>
    <x v="1"/>
    <x v="2"/>
    <s v="Rio Grande do Sul"/>
  </r>
  <r>
    <s v="5b944386c869819d045c1388bb686124"/>
    <s v="2018-08-11"/>
    <x v="21"/>
    <x v="3"/>
    <x v="6"/>
    <n v="1"/>
    <n v="24.99"/>
    <n v="7.44"/>
    <s v="credit_card"/>
    <n v="3"/>
    <x v="1"/>
    <x v="3"/>
    <s v="Sao Paulo"/>
  </r>
  <r>
    <s v="da737ef3ec9b9835b98345f6c155cdef"/>
    <s v="2018-08-11"/>
    <x v="21"/>
    <x v="3"/>
    <x v="22"/>
    <n v="3"/>
    <n v="159"/>
    <n v="22.89"/>
    <s v="credit_card"/>
    <n v="2"/>
    <x v="1"/>
    <x v="1"/>
    <s v="Sao Paulo"/>
  </r>
  <r>
    <s v="9b961b894e797f63622137ff7eb1c1af"/>
    <s v="2018-08-11"/>
    <x v="21"/>
    <x v="7"/>
    <x v="25"/>
    <n v="1"/>
    <n v="1107"/>
    <n v="148.71"/>
    <s v="credit_card"/>
    <n v="9"/>
    <x v="1"/>
    <x v="2"/>
    <s v="Minas Gerais"/>
  </r>
  <r>
    <s v="248c46bb0e95b62198fe84442400b7f4"/>
    <s v="2018-08-11"/>
    <x v="21"/>
    <x v="4"/>
    <x v="9"/>
    <n v="1"/>
    <n v="150"/>
    <n v="18.850000000000001"/>
    <s v="credit_card"/>
    <n v="5"/>
    <x v="1"/>
    <x v="3"/>
    <s v="Rio de Janeiro"/>
  </r>
  <r>
    <s v="b89638c45bf1b7dcf3e47420ac9c9066"/>
    <s v="2018-08-11"/>
    <x v="21"/>
    <x v="20"/>
    <x v="22"/>
    <n v="1"/>
    <n v="126.9"/>
    <n v="51.61"/>
    <s v="credit_card"/>
    <n v="8"/>
    <x v="1"/>
    <x v="1"/>
    <s v="Tocantins"/>
  </r>
  <r>
    <s v="db0bd04c3beff2d041d364ce8d96b2f0"/>
    <s v="2018-08-12"/>
    <x v="21"/>
    <x v="7"/>
    <x v="5"/>
    <n v="1"/>
    <n v="455.88"/>
    <n v="26.34"/>
    <s v="credit_card"/>
    <n v="11"/>
    <x v="1"/>
    <x v="2"/>
    <s v="Minas Gerais"/>
  </r>
  <r>
    <s v="a91e629d7c60ee83c467d41250528cc5"/>
    <s v="2018-08-12"/>
    <x v="21"/>
    <x v="2"/>
    <x v="22"/>
    <n v="1"/>
    <n v="1623.9"/>
    <n v="30.56"/>
    <s v="credit_card"/>
    <n v="10"/>
    <x v="1"/>
    <x v="5"/>
    <s v="Goias"/>
  </r>
  <r>
    <s v="f2d6c25c24dec1cb1f8eeba2203634b5"/>
    <s v="2018-08-12"/>
    <x v="21"/>
    <x v="26"/>
    <x v="13"/>
    <n v="1"/>
    <n v="495"/>
    <n v="101.56"/>
    <s v="credit_card"/>
    <n v="11"/>
    <x v="1"/>
    <x v="3"/>
    <s v="Paraiba"/>
  </r>
  <r>
    <s v="2c1ac2ae4cb9b2b35618143ca66d8f74"/>
    <s v="2018-08-12"/>
    <x v="21"/>
    <x v="4"/>
    <x v="11"/>
    <n v="1"/>
    <n v="34.9"/>
    <n v="19.43"/>
    <s v="credit_card"/>
    <n v="4"/>
    <x v="1"/>
    <x v="3"/>
    <s v="Rio de Janeiro"/>
  </r>
  <r>
    <s v="750fac445e827530d79e0a2050dbcd9c"/>
    <s v="2018-08-12"/>
    <x v="21"/>
    <x v="3"/>
    <x v="13"/>
    <n v="1"/>
    <n v="7.99"/>
    <n v="7.39"/>
    <s v="boleto"/>
    <m/>
    <x v="0"/>
    <x v="0"/>
    <s v="Sao Paulo"/>
  </r>
  <r>
    <s v="4822b9a2b5589396deb0956b2b844afa"/>
    <s v="2018-08-12"/>
    <x v="21"/>
    <x v="21"/>
    <x v="9"/>
    <n v="2"/>
    <n v="111.8"/>
    <n v="44.64"/>
    <s v="credit_card"/>
    <n v="12"/>
    <x v="1"/>
    <x v="3"/>
    <s v="Bahia"/>
  </r>
  <r>
    <s v="a9d1327838b1c183fc288f0d2bf23d32"/>
    <s v="2018-08-12"/>
    <x v="21"/>
    <x v="7"/>
    <x v="21"/>
    <n v="1"/>
    <n v="149"/>
    <n v="24.73"/>
    <s v="credit_card"/>
    <n v="2"/>
    <x v="1"/>
    <x v="3"/>
    <s v="Minas Gerais"/>
  </r>
  <r>
    <s v="53de6ea93af62b738a4db248255fd504"/>
    <s v="2018-08-12"/>
    <x v="21"/>
    <x v="3"/>
    <x v="19"/>
    <n v="1"/>
    <n v="32"/>
    <n v="8.9700000000000006"/>
    <s v="credit_card"/>
    <n v="1"/>
    <x v="1"/>
    <x v="2"/>
    <s v="Sao Paulo"/>
  </r>
  <r>
    <s v="71c22e96648b3b4f4c78e6e4de6bdc0a"/>
    <s v="2018-08-12"/>
    <x v="21"/>
    <x v="2"/>
    <x v="9"/>
    <n v="1"/>
    <n v="145.49"/>
    <n v="18.82"/>
    <s v="credit_card"/>
    <n v="4"/>
    <x v="1"/>
    <x v="2"/>
    <s v="Goias"/>
  </r>
  <r>
    <s v="73ef343c9dbf2f6d45362c9bc150f4b7"/>
    <s v="2018-08-12"/>
    <x v="21"/>
    <x v="3"/>
    <x v="22"/>
    <n v="1"/>
    <n v="2150"/>
    <n v="33.15"/>
    <s v="credit_card"/>
    <m/>
    <x v="0"/>
    <x v="3"/>
    <s v="Sao Paulo"/>
  </r>
  <r>
    <s v="bcaa7f7240deb32b0410ee6cc085d9b4"/>
    <s v="2018-08-12"/>
    <x v="21"/>
    <x v="3"/>
    <x v="25"/>
    <n v="1"/>
    <n v="128"/>
    <n v="8.16"/>
    <s v="credit_card"/>
    <n v="2"/>
    <x v="1"/>
    <x v="3"/>
    <s v="Sao Paulo"/>
  </r>
  <r>
    <s v="d441cd7f8afccef29e5a0c8e3021d0de"/>
    <s v="2018-08-12"/>
    <x v="21"/>
    <x v="3"/>
    <x v="0"/>
    <n v="2"/>
    <n v="70"/>
    <n v="27.66"/>
    <s v="credit_card"/>
    <n v="4"/>
    <x v="1"/>
    <x v="2"/>
    <s v="Sao Paulo"/>
  </r>
  <r>
    <s v="55484b30fbc70a655031929c9a7acff9"/>
    <s v="2018-08-13"/>
    <x v="21"/>
    <x v="3"/>
    <x v="13"/>
    <n v="1"/>
    <n v="134"/>
    <n v="9.1"/>
    <s v="credit_card"/>
    <n v="1"/>
    <x v="1"/>
    <x v="2"/>
    <s v="Sao Paulo"/>
  </r>
  <r>
    <s v="5c38655d217f80fb8ad2c39a7c0a816b"/>
    <s v="2018-08-13"/>
    <x v="21"/>
    <x v="7"/>
    <x v="0"/>
    <n v="1"/>
    <n v="78.8"/>
    <n v="18.649999999999999"/>
    <s v="credit_card"/>
    <n v="4"/>
    <x v="1"/>
    <x v="3"/>
    <s v="Minas Gerais"/>
  </r>
  <r>
    <s v="e27b496ee62de9d46e3f1ed56c2c49c3"/>
    <s v="2018-08-13"/>
    <x v="21"/>
    <x v="8"/>
    <x v="20"/>
    <n v="1"/>
    <n v="85.99"/>
    <n v="23.4"/>
    <s v="credit_card"/>
    <n v="7"/>
    <x v="1"/>
    <x v="1"/>
    <s v="Santa Catarina"/>
  </r>
  <r>
    <s v="bb5247b3ad417db4b026c3d57e458a46"/>
    <s v="2018-08-13"/>
    <x v="21"/>
    <x v="23"/>
    <x v="9"/>
    <n v="1"/>
    <n v="199.9"/>
    <n v="52.12"/>
    <s v="credit_card"/>
    <n v="9"/>
    <x v="1"/>
    <x v="3"/>
    <s v="Rio Grande do Norte"/>
  </r>
  <r>
    <s v="125f493c9aa37e5e79a34e7b602da0a4"/>
    <s v="2018-08-13"/>
    <x v="21"/>
    <x v="21"/>
    <x v="4"/>
    <n v="1"/>
    <n v="179.9"/>
    <n v="38.17"/>
    <s v="credit_card"/>
    <n v="10"/>
    <x v="1"/>
    <x v="3"/>
    <s v="Bahia"/>
  </r>
  <r>
    <s v="3410526e055530279c894ab7542c827f"/>
    <s v="2018-08-13"/>
    <x v="21"/>
    <x v="7"/>
    <x v="0"/>
    <n v="1"/>
    <n v="257"/>
    <n v="20.99"/>
    <s v="credit_card"/>
    <n v="9"/>
    <x v="1"/>
    <x v="2"/>
    <s v="Minas Gerais"/>
  </r>
  <r>
    <s v="4e6bffb5dac92c9750467794c5964bff"/>
    <s v="2018-08-13"/>
    <x v="21"/>
    <x v="3"/>
    <x v="19"/>
    <n v="1"/>
    <n v="51.9"/>
    <n v="15.46"/>
    <s v="credit_card"/>
    <n v="4"/>
    <x v="1"/>
    <x v="2"/>
    <s v="Sao Paulo"/>
  </r>
  <r>
    <s v="aa9ad84c2fa033010c9cadc5ff22d939"/>
    <s v="2018-08-13"/>
    <x v="21"/>
    <x v="3"/>
    <x v="22"/>
    <n v="1"/>
    <n v="169"/>
    <n v="8.44"/>
    <s v="credit_card"/>
    <n v="1"/>
    <x v="1"/>
    <x v="1"/>
    <s v="Sao Paulo"/>
  </r>
  <r>
    <s v="62b66f90376b7b00fb2586ad81320f82"/>
    <s v="2018-08-13"/>
    <x v="21"/>
    <x v="3"/>
    <x v="14"/>
    <n v="1"/>
    <n v="56.99"/>
    <n v="13.98"/>
    <s v="boleto"/>
    <n v="8"/>
    <x v="1"/>
    <x v="2"/>
    <s v="Sao Paulo"/>
  </r>
  <r>
    <s v="e06507fb1e1f48c1cc59d40e02b82f16"/>
    <s v="2018-08-13"/>
    <x v="21"/>
    <x v="3"/>
    <x v="12"/>
    <n v="1"/>
    <n v="169.9"/>
    <n v="53.54"/>
    <s v="debit_card"/>
    <n v="14"/>
    <x v="1"/>
    <x v="2"/>
    <s v="Sao Paulo"/>
  </r>
  <r>
    <s v="4034b68eda61d53e7c3b417c10e8b252"/>
    <s v="2018-08-13"/>
    <x v="21"/>
    <x v="7"/>
    <x v="59"/>
    <n v="1"/>
    <n v="155.9"/>
    <n v="19.190000000000001"/>
    <s v="credit_card"/>
    <n v="8"/>
    <x v="1"/>
    <x v="2"/>
    <s v="Minas Gerais"/>
  </r>
  <r>
    <s v="b04e44e92fbc14e258bb48695b8ee7ca"/>
    <s v="2018-08-13"/>
    <x v="21"/>
    <x v="4"/>
    <x v="19"/>
    <n v="2"/>
    <n v="39.799999999999997"/>
    <n v="15.12"/>
    <s v="credit_card"/>
    <n v="2"/>
    <x v="1"/>
    <x v="2"/>
    <s v="Rio de Janeiro"/>
  </r>
  <r>
    <s v="f6ad54b5be9c3a496973acd1b1c8b714"/>
    <s v="2018-08-13"/>
    <x v="21"/>
    <x v="7"/>
    <x v="13"/>
    <n v="1"/>
    <n v="139"/>
    <n v="31.91"/>
    <s v="boleto"/>
    <n v="8"/>
    <x v="1"/>
    <x v="2"/>
    <s v="Minas Gerais"/>
  </r>
  <r>
    <s v="e1042f4c3705d9c1f9ec8d96a1771a58"/>
    <s v="2018-08-13"/>
    <x v="21"/>
    <x v="3"/>
    <x v="12"/>
    <n v="1"/>
    <n v="29.99"/>
    <n v="14.51"/>
    <s v="credit_card"/>
    <n v="3"/>
    <x v="1"/>
    <x v="3"/>
    <s v="Sao Paulo"/>
  </r>
  <r>
    <s v="4efe746bf89c1976abde13a381aa452c"/>
    <s v="2018-08-13"/>
    <x v="21"/>
    <x v="18"/>
    <x v="9"/>
    <n v="1"/>
    <n v="23.99"/>
    <n v="15.27"/>
    <s v="credit_card"/>
    <n v="3"/>
    <x v="1"/>
    <x v="2"/>
    <s v="Distrito Federal"/>
  </r>
  <r>
    <s v="e90d8a867960fe909ecb460cb3a9e4d1"/>
    <s v="2018-08-13"/>
    <x v="21"/>
    <x v="3"/>
    <x v="19"/>
    <n v="1"/>
    <n v="64.900000000000006"/>
    <n v="23.25"/>
    <s v="credit_card"/>
    <n v="7"/>
    <x v="1"/>
    <x v="2"/>
    <s v="Sao Paulo"/>
  </r>
  <r>
    <s v="11531b318e176d53a632286789eae9c8"/>
    <s v="2018-08-14"/>
    <x v="21"/>
    <x v="3"/>
    <x v="17"/>
    <n v="1"/>
    <n v="22.8"/>
    <n v="8.32"/>
    <s v="credit_card"/>
    <n v="3"/>
    <x v="1"/>
    <x v="2"/>
    <s v="Sao Paulo"/>
  </r>
  <r>
    <s v="a471834c9ff33eaa1ba3b5aa8d6d0180"/>
    <s v="2018-08-14"/>
    <x v="21"/>
    <x v="3"/>
    <x v="14"/>
    <n v="1"/>
    <n v="55"/>
    <n v="14.7"/>
    <s v="credit_card"/>
    <n v="7"/>
    <x v="1"/>
    <x v="2"/>
    <s v="Sao Paulo"/>
  </r>
  <r>
    <s v="ec6904db8d96bfec75b3e99ffe8221a5"/>
    <s v="2018-08-14"/>
    <x v="21"/>
    <x v="3"/>
    <x v="9"/>
    <n v="1"/>
    <n v="29.9"/>
    <n v="7.47"/>
    <s v="credit_card"/>
    <n v="2"/>
    <x v="1"/>
    <x v="3"/>
    <s v="Sao Paulo"/>
  </r>
  <r>
    <s v="35642e42741af129914f2cd0ab468289"/>
    <s v="2018-08-14"/>
    <x v="21"/>
    <x v="8"/>
    <x v="22"/>
    <n v="1"/>
    <n v="117"/>
    <n v="18.920000000000002"/>
    <s v="boleto"/>
    <n v="13"/>
    <x v="1"/>
    <x v="0"/>
    <s v="Santa Catarina"/>
  </r>
  <r>
    <s v="d2651bbfae1f2a0814488eea7ff6165d"/>
    <s v="2018-08-14"/>
    <x v="21"/>
    <x v="4"/>
    <x v="13"/>
    <n v="1"/>
    <n v="166.9"/>
    <n v="27.47"/>
    <s v="credit_card"/>
    <n v="8"/>
    <x v="1"/>
    <x v="3"/>
    <s v="Rio de Janeiro"/>
  </r>
  <r>
    <s v="33b4b136d93aba3984987dc2c213713e"/>
    <s v="2018-08-14"/>
    <x v="21"/>
    <x v="3"/>
    <x v="13"/>
    <n v="1"/>
    <n v="250"/>
    <n v="9.01"/>
    <s v="credit_card"/>
    <n v="1"/>
    <x v="1"/>
    <x v="2"/>
    <s v="Sao Paulo"/>
  </r>
  <r>
    <s v="addd750cdd1e291d03ffa31e89eec86e"/>
    <s v="2018-08-14"/>
    <x v="21"/>
    <x v="4"/>
    <x v="9"/>
    <n v="1"/>
    <n v="119.99"/>
    <n v="63.09"/>
    <s v="credit_card"/>
    <n v="8"/>
    <x v="1"/>
    <x v="1"/>
    <s v="Rio de Janeiro"/>
  </r>
  <r>
    <s v="bf65b4dfd8ce84479e31f38c67b18312"/>
    <s v="2018-08-14"/>
    <x v="21"/>
    <x v="5"/>
    <x v="6"/>
    <n v="1"/>
    <n v="14.9"/>
    <n v="15.23"/>
    <s v="credit_card"/>
    <n v="8"/>
    <x v="1"/>
    <x v="3"/>
    <s v="Parana"/>
  </r>
  <r>
    <s v="ae28255c7b837ba319c9cbf1dfeeea0d"/>
    <s v="2018-08-14"/>
    <x v="21"/>
    <x v="3"/>
    <x v="4"/>
    <n v="1"/>
    <n v="59.9"/>
    <n v="17.350000000000001"/>
    <s v="credit_card"/>
    <n v="5"/>
    <x v="1"/>
    <x v="3"/>
    <s v="Sao Paulo"/>
  </r>
  <r>
    <s v="7621ddb8114cb72e4ac4673daf869f93"/>
    <s v="2018-08-14"/>
    <x v="21"/>
    <x v="3"/>
    <x v="29"/>
    <n v="1"/>
    <n v="135.9"/>
    <n v="16.05"/>
    <s v="credit_card"/>
    <n v="4"/>
    <x v="1"/>
    <x v="3"/>
    <s v="Sao Paulo"/>
  </r>
  <r>
    <s v="f7b736bf93ccc535ded543a109635e28"/>
    <s v="2018-08-14"/>
    <x v="21"/>
    <x v="7"/>
    <x v="7"/>
    <n v="1"/>
    <n v="34.99"/>
    <n v="14.55"/>
    <s v="credit_card"/>
    <n v="2"/>
    <x v="1"/>
    <x v="2"/>
    <s v="Minas Gerais"/>
  </r>
  <r>
    <s v="e1da670d323874bc4ab65a65fd87eb05"/>
    <s v="2018-08-14"/>
    <x v="21"/>
    <x v="3"/>
    <x v="13"/>
    <n v="1"/>
    <n v="795.95"/>
    <n v="26.21"/>
    <s v="debit_card"/>
    <n v="9"/>
    <x v="1"/>
    <x v="2"/>
    <s v="Sao Paulo"/>
  </r>
  <r>
    <s v="69c6be5f48a1dd84aa79f4ed149dbb30"/>
    <s v="2018-08-14"/>
    <x v="21"/>
    <x v="4"/>
    <x v="14"/>
    <n v="1"/>
    <n v="76"/>
    <n v="23.33"/>
    <s v="credit_card"/>
    <n v="5"/>
    <x v="1"/>
    <x v="1"/>
    <s v="Rio de Janeiro"/>
  </r>
  <r>
    <s v="fdf8b612a318d48e808e069e22f8222d"/>
    <s v="2018-08-14"/>
    <x v="21"/>
    <x v="8"/>
    <x v="25"/>
    <n v="1"/>
    <n v="105"/>
    <n v="27.69"/>
    <s v="boleto"/>
    <n v="13"/>
    <x v="1"/>
    <x v="3"/>
    <s v="Santa Catarina"/>
  </r>
  <r>
    <s v="08bd4784e35a8be0fa12c4f4f91799ac"/>
    <s v="2018-08-14"/>
    <x v="21"/>
    <x v="18"/>
    <x v="9"/>
    <n v="1"/>
    <n v="66.989999999999995"/>
    <n v="23.19"/>
    <s v="credit_card"/>
    <n v="13"/>
    <x v="1"/>
    <x v="3"/>
    <s v="Distrito Federal"/>
  </r>
  <r>
    <s v="fe166f25e5b4e549094b37531b20cd19"/>
    <s v="2018-08-15"/>
    <x v="21"/>
    <x v="3"/>
    <x v="9"/>
    <n v="1"/>
    <n v="118.99"/>
    <n v="8.09"/>
    <s v="credit_card"/>
    <n v="6"/>
    <x v="1"/>
    <x v="2"/>
    <s v="Sao Paulo"/>
  </r>
  <r>
    <s v="593608ed6695aef889973ce8a45506b4"/>
    <s v="2018-08-15"/>
    <x v="21"/>
    <x v="7"/>
    <x v="5"/>
    <n v="1"/>
    <n v="64"/>
    <n v="18.55"/>
    <s v="credit_card"/>
    <n v="5"/>
    <x v="1"/>
    <x v="2"/>
    <s v="Minas Gerais"/>
  </r>
  <r>
    <s v="243fd4d4dbddf371c229a0122ac3e661"/>
    <s v="2018-08-15"/>
    <x v="21"/>
    <x v="4"/>
    <x v="14"/>
    <n v="1"/>
    <n v="109.9"/>
    <n v="23.57"/>
    <s v="boleto"/>
    <n v="7"/>
    <x v="1"/>
    <x v="3"/>
    <s v="Rio de Janeiro"/>
  </r>
  <r>
    <s v="61920c076c4c9bd3f5e1cd9d42309139"/>
    <s v="2018-08-15"/>
    <x v="21"/>
    <x v="5"/>
    <x v="14"/>
    <n v="1"/>
    <n v="69"/>
    <n v="23.28"/>
    <s v="credit_card"/>
    <n v="9"/>
    <x v="1"/>
    <x v="4"/>
    <s v="Parana"/>
  </r>
  <r>
    <s v="cf2a9fcfac08206bae42b3118368c9d1"/>
    <s v="2018-08-15"/>
    <x v="21"/>
    <x v="7"/>
    <x v="6"/>
    <n v="1"/>
    <n v="39.9"/>
    <n v="15.38"/>
    <s v="credit_card"/>
    <n v="5"/>
    <x v="1"/>
    <x v="4"/>
    <s v="Minas Gerais"/>
  </r>
  <r>
    <s v="5750d60517669a97d14de871a5f11798"/>
    <s v="2018-08-15"/>
    <x v="21"/>
    <x v="5"/>
    <x v="9"/>
    <n v="1"/>
    <n v="149.65"/>
    <n v="19.149999999999999"/>
    <s v="boleto"/>
    <n v="6"/>
    <x v="1"/>
    <x v="2"/>
    <s v="Parana"/>
  </r>
  <r>
    <s v="fab4815807a6e4f6e958e70eda5608bd"/>
    <s v="2018-08-15"/>
    <x v="21"/>
    <x v="3"/>
    <x v="1"/>
    <n v="1"/>
    <n v="43"/>
    <n v="8.0399999999999991"/>
    <s v="boleto"/>
    <n v="5"/>
    <x v="1"/>
    <x v="2"/>
    <s v="Sao Paulo"/>
  </r>
  <r>
    <s v="80bef000a2d88b3b23fab45c546c67ff"/>
    <s v="2018-08-15"/>
    <x v="21"/>
    <x v="3"/>
    <x v="19"/>
    <n v="1"/>
    <n v="89.9"/>
    <n v="17.760000000000002"/>
    <s v="credit_card"/>
    <n v="8"/>
    <x v="1"/>
    <x v="2"/>
    <s v="Sao Paulo"/>
  </r>
  <r>
    <s v="d34e950d8952f0edfb48e7be2634ff91"/>
    <s v="2018-08-15"/>
    <x v="21"/>
    <x v="1"/>
    <x v="0"/>
    <n v="1"/>
    <n v="55"/>
    <n v="19.579999999999998"/>
    <s v="credit_card"/>
    <n v="15"/>
    <x v="1"/>
    <x v="2"/>
    <s v="Rio Grande do Sul"/>
  </r>
  <r>
    <s v="94fca82966c05ba707f4e7dc0c50aa3c"/>
    <s v="2018-08-15"/>
    <x v="21"/>
    <x v="7"/>
    <x v="1"/>
    <n v="1"/>
    <n v="3099"/>
    <n v="252.35"/>
    <s v="credit_card"/>
    <n v="5"/>
    <x v="1"/>
    <x v="3"/>
    <s v="Minas Gerais"/>
  </r>
  <r>
    <s v="076291ccc60bbd19ff77babbb78324d5"/>
    <s v="2018-08-15"/>
    <x v="21"/>
    <x v="3"/>
    <x v="12"/>
    <n v="1"/>
    <n v="232.9"/>
    <n v="37.71"/>
    <s v="credit_card"/>
    <n v="7"/>
    <x v="1"/>
    <x v="3"/>
    <s v="Sao Paulo"/>
  </r>
  <r>
    <s v="5c4b6f896e003ca0b2a00ac3d1124822"/>
    <s v="2018-08-15"/>
    <x v="21"/>
    <x v="3"/>
    <x v="21"/>
    <n v="1"/>
    <n v="60"/>
    <n v="9.17"/>
    <s v="credit_card"/>
    <n v="5"/>
    <x v="2"/>
    <x v="3"/>
    <s v="Sao Paulo"/>
  </r>
  <r>
    <s v="a5543e119a631f1be4191fbc2c5e1e07"/>
    <s v="2018-08-15"/>
    <x v="21"/>
    <x v="6"/>
    <x v="22"/>
    <n v="1"/>
    <n v="49"/>
    <n v="19.25"/>
    <s v="boleto"/>
    <n v="7"/>
    <x v="1"/>
    <x v="2"/>
    <s v="Pernambuco"/>
  </r>
  <r>
    <s v="0f090dd2d83a9d755108584313c8208d"/>
    <s v="2018-08-15"/>
    <x v="21"/>
    <x v="3"/>
    <x v="19"/>
    <n v="2"/>
    <n v="11.7"/>
    <n v="36.46"/>
    <s v="credit_card"/>
    <n v="5"/>
    <x v="1"/>
    <x v="1"/>
    <s v="Sao Paulo"/>
  </r>
  <r>
    <s v="3f50f62b343cd447c0fd8af4196bdc33"/>
    <s v="2018-08-15"/>
    <x v="21"/>
    <x v="3"/>
    <x v="9"/>
    <n v="1"/>
    <n v="55"/>
    <n v="8.5500000000000007"/>
    <s v="credit_card"/>
    <n v="2"/>
    <x v="1"/>
    <x v="2"/>
    <s v="Sao Paulo"/>
  </r>
  <r>
    <s v="c7c1820a74542b67b30b740697e55d01"/>
    <s v="2018-08-15"/>
    <x v="21"/>
    <x v="3"/>
    <x v="22"/>
    <n v="1"/>
    <n v="44"/>
    <n v="12.97"/>
    <s v="boleto"/>
    <n v="8"/>
    <x v="1"/>
    <x v="2"/>
    <s v="Sao Paulo"/>
  </r>
  <r>
    <s v="970a49012cfe41d81bfd4593b83ce4a5"/>
    <s v="2018-08-15"/>
    <x v="21"/>
    <x v="8"/>
    <x v="29"/>
    <n v="1"/>
    <n v="24.9"/>
    <n v="18.32"/>
    <s v="boleto"/>
    <n v="13"/>
    <x v="1"/>
    <x v="2"/>
    <s v="Santa Catarina"/>
  </r>
  <r>
    <s v="dc9f4cd231c11babfef316d35486eff4"/>
    <s v="2018-08-15"/>
    <x v="21"/>
    <x v="6"/>
    <x v="59"/>
    <n v="1"/>
    <n v="396.18"/>
    <n v="84.15"/>
    <s v="boleto"/>
    <n v="12"/>
    <x v="1"/>
    <x v="1"/>
    <s v="Pernambuco"/>
  </r>
  <r>
    <s v="59566b390f9e3f2182830b3a0b1022d0"/>
    <s v="2018-08-15"/>
    <x v="21"/>
    <x v="22"/>
    <x v="6"/>
    <n v="1"/>
    <n v="94.99"/>
    <n v="15.77"/>
    <s v="credit_card"/>
    <n v="8"/>
    <x v="1"/>
    <x v="2"/>
    <s v="Espirito Santo"/>
  </r>
  <r>
    <s v="f92e273af7fd8aa4c0b40388cf80be75"/>
    <s v="2018-08-15"/>
    <x v="21"/>
    <x v="22"/>
    <x v="7"/>
    <n v="1"/>
    <n v="85"/>
    <n v="38.869999999999997"/>
    <s v="credit_card"/>
    <n v="12"/>
    <x v="1"/>
    <x v="2"/>
    <s v="Espirito Santo"/>
  </r>
  <r>
    <s v="6bd0fc624485f2d1ad4aad6df1569d1a"/>
    <s v="2018-08-15"/>
    <x v="21"/>
    <x v="5"/>
    <x v="17"/>
    <n v="1"/>
    <n v="399"/>
    <n v="29.74"/>
    <s v="boleto"/>
    <n v="8"/>
    <x v="1"/>
    <x v="3"/>
    <s v="Parana"/>
  </r>
  <r>
    <s v="631bf0797fc3480d6eae9757b0c816b4"/>
    <s v="2018-08-16"/>
    <x v="21"/>
    <x v="7"/>
    <x v="13"/>
    <n v="1"/>
    <n v="498.9"/>
    <n v="29.79"/>
    <s v="credit_card"/>
    <n v="10"/>
    <x v="1"/>
    <x v="3"/>
    <s v="Minas Gerais"/>
  </r>
  <r>
    <s v="bc68edad1573b158a94188df0cd960c0"/>
    <s v="2018-08-16"/>
    <x v="21"/>
    <x v="3"/>
    <x v="13"/>
    <n v="1"/>
    <n v="32.99"/>
    <n v="7.49"/>
    <s v="credit_card"/>
    <n v="1"/>
    <x v="1"/>
    <x v="2"/>
    <s v="Sao Paulo"/>
  </r>
  <r>
    <s v="87a19a09b512b6691a4a97ea5748c501"/>
    <s v="2018-08-16"/>
    <x v="21"/>
    <x v="21"/>
    <x v="4"/>
    <n v="1"/>
    <n v="120"/>
    <n v="37.75"/>
    <s v="credit_card"/>
    <n v="9"/>
    <x v="1"/>
    <x v="3"/>
    <s v="Bahia"/>
  </r>
  <r>
    <s v="c40611b989a9c073bcf8cee7d16e2473"/>
    <s v="2018-08-16"/>
    <x v="21"/>
    <x v="7"/>
    <x v="17"/>
    <n v="1"/>
    <n v="15"/>
    <n v="16.32"/>
    <s v="boleto"/>
    <n v="6"/>
    <x v="1"/>
    <x v="2"/>
    <s v="Minas Gerais"/>
  </r>
  <r>
    <s v="8431f97a257ec43f34fd13b183d362b9"/>
    <s v="2018-08-16"/>
    <x v="21"/>
    <x v="23"/>
    <x v="0"/>
    <n v="1"/>
    <n v="44.99"/>
    <n v="51.04"/>
    <s v="boleto"/>
    <n v="8"/>
    <x v="1"/>
    <x v="2"/>
    <s v="Rio Grande do Norte"/>
  </r>
  <r>
    <s v="109dfb5756c526e783783356f4384b4e"/>
    <s v="2018-08-16"/>
    <x v="21"/>
    <x v="3"/>
    <x v="55"/>
    <n v="1"/>
    <n v="128"/>
    <n v="19.07"/>
    <s v="credit_card"/>
    <n v="5"/>
    <x v="2"/>
    <x v="2"/>
    <s v="Sao Paulo"/>
  </r>
  <r>
    <s v="afc091f97bfa9985b6ab413ad1a9891b"/>
    <s v="2018-08-16"/>
    <x v="21"/>
    <x v="3"/>
    <x v="0"/>
    <n v="3"/>
    <n v="179.7"/>
    <n v="27.51"/>
    <s v="voucher"/>
    <n v="7"/>
    <x v="1"/>
    <x v="2"/>
    <s v="Sao Paulo"/>
  </r>
  <r>
    <s v="0ec20feeac30045e916578f17c2085e2"/>
    <s v="2018-08-16"/>
    <x v="21"/>
    <x v="3"/>
    <x v="14"/>
    <n v="6"/>
    <n v="411"/>
    <n v="39"/>
    <s v="credit_card"/>
    <n v="7"/>
    <x v="1"/>
    <x v="0"/>
    <s v="Sao Paulo"/>
  </r>
  <r>
    <s v="d831255ebb12ef3a8d6dddb6fb54b5c8"/>
    <s v="2018-08-16"/>
    <x v="21"/>
    <x v="17"/>
    <x v="41"/>
    <n v="1"/>
    <n v="229"/>
    <n v="28.37"/>
    <s v="boleto"/>
    <n v="11"/>
    <x v="1"/>
    <x v="2"/>
    <s v="Rondonia"/>
  </r>
  <r>
    <s v="c27bfc90d25a350821474bf11c8a00b6"/>
    <s v="2018-08-17"/>
    <x v="21"/>
    <x v="26"/>
    <x v="22"/>
    <n v="1"/>
    <n v="49"/>
    <n v="51.06"/>
    <s v="credit_card"/>
    <n v="12"/>
    <x v="1"/>
    <x v="2"/>
    <s v="Paraiba"/>
  </r>
  <r>
    <s v="7feef5128350d0b84c9b26309b475e8c"/>
    <s v="2018-08-17"/>
    <x v="21"/>
    <x v="3"/>
    <x v="14"/>
    <n v="1"/>
    <n v="129.9"/>
    <n v="15.22"/>
    <s v="debit_card"/>
    <n v="7"/>
    <x v="1"/>
    <x v="3"/>
    <s v="Sao Paulo"/>
  </r>
  <r>
    <s v="cf0fcb02e2f9b6dcfd6aac8d664b663a"/>
    <s v="2018-08-17"/>
    <x v="21"/>
    <x v="3"/>
    <x v="18"/>
    <n v="1"/>
    <n v="11.9"/>
    <n v="7.39"/>
    <s v="voucher"/>
    <n v="7"/>
    <x v="1"/>
    <x v="2"/>
    <s v="Sao Paulo"/>
  </r>
  <r>
    <s v="5bebe0296b65287e94b489cd279782cc"/>
    <s v="2018-08-17"/>
    <x v="21"/>
    <x v="3"/>
    <x v="5"/>
    <n v="1"/>
    <n v="682.98"/>
    <n v="20.079999999999998"/>
    <s v="credit_card"/>
    <n v="5"/>
    <x v="1"/>
    <x v="2"/>
    <s v="Sao Paulo"/>
  </r>
  <r>
    <s v="1ce796ffd3b96e287899e429b44c0e3a"/>
    <s v="2018-08-17"/>
    <x v="21"/>
    <x v="4"/>
    <x v="46"/>
    <n v="1"/>
    <n v="44.06"/>
    <n v="18.11"/>
    <s v="credit_card"/>
    <n v="7"/>
    <x v="1"/>
    <x v="3"/>
    <s v="Rio de Janeiro"/>
  </r>
  <r>
    <s v="50782cd44ddec8134f7d93043ebfd333"/>
    <s v="2018-08-17"/>
    <x v="21"/>
    <x v="3"/>
    <x v="5"/>
    <n v="1"/>
    <n v="39"/>
    <n v="12.93"/>
    <s v="credit_card"/>
    <n v="5"/>
    <x v="1"/>
    <x v="2"/>
    <s v="Sao Paulo"/>
  </r>
  <r>
    <s v="720232d7a3eab2caa5238117e5ab2ee1"/>
    <s v="2018-08-17"/>
    <x v="21"/>
    <x v="5"/>
    <x v="25"/>
    <n v="1"/>
    <n v="15"/>
    <n v="15.23"/>
    <s v="credit_card"/>
    <n v="5"/>
    <x v="1"/>
    <x v="3"/>
    <s v="Parana"/>
  </r>
  <r>
    <s v="8e1b263d5e8ddea4e42b96cc5fb0edc2"/>
    <s v="2018-08-17"/>
    <x v="21"/>
    <x v="4"/>
    <x v="9"/>
    <n v="2"/>
    <n v="144"/>
    <n v="20"/>
    <s v="credit_card"/>
    <n v="11"/>
    <x v="1"/>
    <x v="2"/>
    <s v="Rio de Janeiro"/>
  </r>
  <r>
    <s v="993da8482e658ec7f1d0c6d955604936"/>
    <s v="2018-08-17"/>
    <x v="21"/>
    <x v="3"/>
    <x v="11"/>
    <n v="1"/>
    <n v="220"/>
    <n v="38.67"/>
    <s v="debit_card"/>
    <n v="6"/>
    <x v="1"/>
    <x v="0"/>
    <s v="Sao Paulo"/>
  </r>
  <r>
    <s v="bf59031b111d726792fe47666cc55ed6"/>
    <s v="2018-08-17"/>
    <x v="21"/>
    <x v="5"/>
    <x v="13"/>
    <n v="1"/>
    <n v="29.99"/>
    <n v="18.309999999999999"/>
    <s v="credit_card"/>
    <n v="10"/>
    <x v="1"/>
    <x v="2"/>
    <s v="Parana"/>
  </r>
  <r>
    <s v="90b1834032530ed03e7bbb0f6f2d7125"/>
    <s v="2018-08-17"/>
    <x v="21"/>
    <x v="3"/>
    <x v="12"/>
    <n v="1"/>
    <n v="127.9"/>
    <n v="18.03"/>
    <s v="voucher"/>
    <n v="9"/>
    <x v="1"/>
    <x v="1"/>
    <s v="Sao Paulo"/>
  </r>
  <r>
    <s v="bba30fab08220779d809343f597e9a46"/>
    <s v="2018-08-17"/>
    <x v="21"/>
    <x v="3"/>
    <x v="13"/>
    <n v="1"/>
    <n v="39.9"/>
    <n v="7.54"/>
    <s v="boleto"/>
    <n v="5"/>
    <x v="1"/>
    <x v="2"/>
    <s v="Sao Paulo"/>
  </r>
  <r>
    <s v="62eb11cfc9c20c567f4581e0e66725c1"/>
    <s v="2018-08-17"/>
    <x v="21"/>
    <x v="23"/>
    <x v="14"/>
    <n v="1"/>
    <n v="29.9"/>
    <n v="27.49"/>
    <s v="boleto"/>
    <n v="12"/>
    <x v="1"/>
    <x v="1"/>
    <s v="Rio Grande do Norte"/>
  </r>
  <r>
    <s v="a46e7e8e02915adecb392ad065121a51"/>
    <s v="2018-08-17"/>
    <x v="21"/>
    <x v="8"/>
    <x v="13"/>
    <n v="1"/>
    <n v="1788"/>
    <n v="110.61"/>
    <s v="credit_card"/>
    <n v="12"/>
    <x v="1"/>
    <x v="4"/>
    <s v="Santa Catarina"/>
  </r>
  <r>
    <s v="c1cf3cb3cf9e48ca06d7eb08d8b9dc0a"/>
    <s v="2018-08-17"/>
    <x v="21"/>
    <x v="8"/>
    <x v="9"/>
    <n v="1"/>
    <n v="66.989999999999995"/>
    <n v="27.75"/>
    <s v="credit_card"/>
    <n v="6"/>
    <x v="1"/>
    <x v="0"/>
    <s v="Santa Catarina"/>
  </r>
  <r>
    <s v="6b52fde341db3472b2e4c787887abc7e"/>
    <s v="2018-08-17"/>
    <x v="21"/>
    <x v="5"/>
    <x v="36"/>
    <n v="1"/>
    <n v="32"/>
    <n v="19.41"/>
    <s v="credit_card"/>
    <n v="10"/>
    <x v="1"/>
    <x v="2"/>
    <s v="Parana"/>
  </r>
  <r>
    <s v="d6f49f5dff3052a0ecf30c9493a975f3"/>
    <s v="2018-08-17"/>
    <x v="21"/>
    <x v="8"/>
    <x v="14"/>
    <n v="1"/>
    <n v="57.99"/>
    <n v="9.7200000000000006"/>
    <s v="credit_card"/>
    <n v="5"/>
    <x v="2"/>
    <x v="2"/>
    <s v="Santa Catarina"/>
  </r>
  <r>
    <s v="c4ec84506bc793d3c774db9b0736d2c7"/>
    <s v="2018-08-18"/>
    <x v="21"/>
    <x v="1"/>
    <x v="13"/>
    <n v="1"/>
    <n v="108.9"/>
    <n v="23.56"/>
    <s v="boleto"/>
    <n v="10"/>
    <x v="1"/>
    <x v="2"/>
    <s v="Rio Grande do Sul"/>
  </r>
  <r>
    <s v="fe9a0726757d598dc0a613f04d33cf03"/>
    <s v="2018-08-18"/>
    <x v="21"/>
    <x v="5"/>
    <x v="2"/>
    <n v="1"/>
    <n v="79.900000000000006"/>
    <n v="15.66"/>
    <s v="credit_card"/>
    <n v="4"/>
    <x v="1"/>
    <x v="2"/>
    <s v="Parana"/>
  </r>
  <r>
    <s v="69f8ac735b4a0bbbcdbe4a87e9041a21"/>
    <s v="2018-08-18"/>
    <x v="21"/>
    <x v="3"/>
    <x v="19"/>
    <n v="1"/>
    <n v="49.9"/>
    <n v="13.01"/>
    <s v="credit_card"/>
    <n v="4"/>
    <x v="1"/>
    <x v="2"/>
    <s v="Sao Paulo"/>
  </r>
  <r>
    <s v="b489f7ae130ba3fd26b0a20f8cc81c61"/>
    <s v="2018-08-18"/>
    <x v="21"/>
    <x v="1"/>
    <x v="14"/>
    <n v="1"/>
    <n v="129.9"/>
    <n v="23.71"/>
    <s v="credit_card"/>
    <n v="8"/>
    <x v="1"/>
    <x v="2"/>
    <s v="Rio Grande do Sul"/>
  </r>
  <r>
    <s v="b644b094c23f3320d4d8386f40e092b2"/>
    <s v="2018-08-18"/>
    <x v="21"/>
    <x v="5"/>
    <x v="19"/>
    <n v="1"/>
    <n v="27.8"/>
    <n v="15.3"/>
    <s v="credit_card"/>
    <n v="5"/>
    <x v="1"/>
    <x v="2"/>
    <s v="Parana"/>
  </r>
  <r>
    <s v="299e8d399d78b7abc915b3d059a6c712"/>
    <s v="2018-08-18"/>
    <x v="21"/>
    <x v="8"/>
    <x v="14"/>
    <n v="2"/>
    <n v="133.80000000000001"/>
    <n v="46.54"/>
    <s v="credit_card"/>
    <n v="8"/>
    <x v="1"/>
    <x v="1"/>
    <s v="Santa Catarina"/>
  </r>
  <r>
    <s v="62d4c5d34949afc8d73f2be9043e5ad4"/>
    <s v="2018-08-18"/>
    <x v="21"/>
    <x v="3"/>
    <x v="17"/>
    <n v="1"/>
    <n v="64.989999999999995"/>
    <n v="18.559999999999999"/>
    <s v="credit_card"/>
    <n v="5"/>
    <x v="1"/>
    <x v="2"/>
    <s v="Sao Paulo"/>
  </r>
  <r>
    <s v="dc2152f56d388bfc5f358fd79d3e6bdc"/>
    <s v="2018-08-19"/>
    <x v="21"/>
    <x v="14"/>
    <x v="12"/>
    <n v="2"/>
    <n v="146.88999999999999"/>
    <n v="23.98"/>
    <s v="credit_card"/>
    <n v="10"/>
    <x v="1"/>
    <x v="2"/>
    <s v="Mato Grosso do Sul"/>
  </r>
  <r>
    <s v="ca207209c40b29d76714f77acf8189e5"/>
    <s v="2018-08-19"/>
    <x v="21"/>
    <x v="3"/>
    <x v="14"/>
    <n v="1"/>
    <n v="32.99"/>
    <n v="12.89"/>
    <s v="credit_card"/>
    <n v="8"/>
    <x v="1"/>
    <x v="2"/>
    <s v="Sao Paulo"/>
  </r>
  <r>
    <s v="a0ecc11c21cacf6dc957678e792102c1"/>
    <s v="2018-08-19"/>
    <x v="21"/>
    <x v="22"/>
    <x v="14"/>
    <n v="1"/>
    <n v="119.9"/>
    <n v="60.07"/>
    <s v="credit_card"/>
    <n v="9"/>
    <x v="1"/>
    <x v="2"/>
    <s v="Espirito Santo"/>
  </r>
  <r>
    <s v="30f6b446907427d28df6c87fe5ef5947"/>
    <s v="2018-08-19"/>
    <x v="21"/>
    <x v="21"/>
    <x v="14"/>
    <n v="1"/>
    <n v="69"/>
    <n v="27.43"/>
    <s v="credit_card"/>
    <n v="9"/>
    <x v="1"/>
    <x v="3"/>
    <s v="Bahia"/>
  </r>
  <r>
    <s v="9f4dd20e89f7d039db0a8eb572042c1c"/>
    <s v="2018-08-19"/>
    <x v="21"/>
    <x v="3"/>
    <x v="18"/>
    <n v="1"/>
    <n v="24.99"/>
    <n v="12.84"/>
    <s v="credit_card"/>
    <n v="8"/>
    <x v="1"/>
    <x v="2"/>
    <s v="Sao Paulo"/>
  </r>
  <r>
    <s v="edf5259d2b67344bab205bdd705eb9f8"/>
    <s v="2018-08-19"/>
    <x v="21"/>
    <x v="18"/>
    <x v="19"/>
    <n v="1"/>
    <n v="68.88"/>
    <n v="44.28"/>
    <s v="credit_card"/>
    <n v="7"/>
    <x v="1"/>
    <x v="2"/>
    <s v="Distrito Federal"/>
  </r>
  <r>
    <s v="370098d35ccd8a2af86b57c81ac7d24f"/>
    <s v="2018-08-19"/>
    <x v="21"/>
    <x v="3"/>
    <x v="1"/>
    <n v="2"/>
    <n v="209.9"/>
    <n v="31.67"/>
    <s v="credit_card"/>
    <n v="3"/>
    <x v="1"/>
    <x v="2"/>
    <s v="Sao Paulo"/>
  </r>
  <r>
    <s v="1f88908218a0ba8238b5260fe399ea69"/>
    <s v="2018-08-19"/>
    <x v="21"/>
    <x v="3"/>
    <x v="14"/>
    <n v="1"/>
    <n v="55.99"/>
    <n v="14.7"/>
    <s v="credit_card"/>
    <n v="8"/>
    <x v="1"/>
    <x v="1"/>
    <s v="Sao Paulo"/>
  </r>
  <r>
    <s v="eb4a0e0fa996c4a0815f6ac1347235d0"/>
    <s v="2018-08-19"/>
    <x v="21"/>
    <x v="7"/>
    <x v="1"/>
    <n v="1"/>
    <n v="49.9"/>
    <n v="18.149999999999999"/>
    <s v="boleto"/>
    <n v="6"/>
    <x v="1"/>
    <x v="1"/>
    <s v="Minas Gerais"/>
  </r>
  <r>
    <s v="99902f632e0a578e6995f6291e0e6cb8"/>
    <s v="2018-08-19"/>
    <x v="21"/>
    <x v="8"/>
    <x v="19"/>
    <n v="1"/>
    <n v="64.900000000000006"/>
    <n v="19.64"/>
    <s v="credit_card"/>
    <n v="8"/>
    <x v="1"/>
    <x v="2"/>
    <s v="Santa Catarina"/>
  </r>
  <r>
    <s v="f89d1880421bd1f3c80d406a826903a0"/>
    <s v="2018-08-19"/>
    <x v="21"/>
    <x v="3"/>
    <x v="13"/>
    <n v="1"/>
    <n v="169.9"/>
    <n v="13.92"/>
    <s v="credit_card"/>
    <n v="8"/>
    <x v="2"/>
    <x v="2"/>
    <s v="Sao Paulo"/>
  </r>
  <r>
    <s v="e5c543adb388da035a48a7b7fd057f5a"/>
    <s v="2018-08-19"/>
    <x v="21"/>
    <x v="8"/>
    <x v="19"/>
    <n v="1"/>
    <n v="114.99"/>
    <n v="15.11"/>
    <s v="credit_card"/>
    <n v="9"/>
    <x v="1"/>
    <x v="2"/>
    <s v="Santa Catarina"/>
  </r>
  <r>
    <s v="a833e4af2b4c893929b9f3adce3ecbeb"/>
    <s v="2018-08-19"/>
    <x v="21"/>
    <x v="7"/>
    <x v="0"/>
    <n v="2"/>
    <n v="198"/>
    <n v="63.27"/>
    <s v="credit_card"/>
    <n v="10"/>
    <x v="1"/>
    <x v="3"/>
    <s v="Minas Gerais"/>
  </r>
  <r>
    <s v="a97b999bd1190a8e2cfdd7c54b9f76a8"/>
    <s v="2018-08-20"/>
    <x v="21"/>
    <x v="3"/>
    <x v="5"/>
    <n v="1"/>
    <n v="116.9"/>
    <n v="15.92"/>
    <s v="credit_card"/>
    <n v="4"/>
    <x v="1"/>
    <x v="2"/>
    <s v="Sao Paulo"/>
  </r>
  <r>
    <s v="7514404922bc617c41f9b47f003a3350"/>
    <s v="2018-08-20"/>
    <x v="21"/>
    <x v="3"/>
    <x v="5"/>
    <n v="1"/>
    <n v="172.5"/>
    <n v="9.3699999999999992"/>
    <s v="credit_card"/>
    <n v="4"/>
    <x v="1"/>
    <x v="2"/>
    <s v="Sao Paulo"/>
  </r>
  <r>
    <s v="3298e7053c95993e6eb284ef3d254b49"/>
    <s v="2018-08-20"/>
    <x v="21"/>
    <x v="15"/>
    <x v="33"/>
    <n v="1"/>
    <n v="59.9"/>
    <n v="37.79"/>
    <s v="credit_card"/>
    <n v="9"/>
    <x v="1"/>
    <x v="2"/>
    <s v="Mato Grosso"/>
  </r>
  <r>
    <s v="3c7aa341aa20519a2530c8ea5763f265"/>
    <s v="2018-08-20"/>
    <x v="21"/>
    <x v="3"/>
    <x v="1"/>
    <n v="1"/>
    <n v="27.9"/>
    <n v="12.86"/>
    <s v="voucher"/>
    <n v="4"/>
    <x v="1"/>
    <x v="2"/>
    <s v="Sao Paulo"/>
  </r>
  <r>
    <s v="3b3e0d7f5d77e227da21f19fd5e20c47"/>
    <s v="2018-08-20"/>
    <x v="21"/>
    <x v="3"/>
    <x v="22"/>
    <n v="1"/>
    <n v="77"/>
    <n v="7.8"/>
    <s v="credit_card"/>
    <n v="7"/>
    <x v="2"/>
    <x v="1"/>
    <s v="Sao Paulo"/>
  </r>
  <r>
    <s v="e17b66e5337dee2de3d676c5698fa71f"/>
    <s v="2018-08-20"/>
    <x v="21"/>
    <x v="7"/>
    <x v="7"/>
    <n v="1"/>
    <n v="99.99"/>
    <n v="23.69"/>
    <s v="credit_card"/>
    <n v="7"/>
    <x v="1"/>
    <x v="2"/>
    <s v="Minas Gerais"/>
  </r>
  <r>
    <s v="db033c99784b0da2569c40df1e7001d7"/>
    <s v="2018-08-20"/>
    <x v="21"/>
    <x v="7"/>
    <x v="14"/>
    <n v="1"/>
    <n v="72.12"/>
    <n v="18.61"/>
    <s v="boleto"/>
    <n v="7"/>
    <x v="1"/>
    <x v="2"/>
    <s v="Minas Gerais"/>
  </r>
  <r>
    <s v="36cd1ce42b6013f372ceb0a80b2a1b7c"/>
    <s v="2018-08-20"/>
    <x v="21"/>
    <x v="3"/>
    <x v="0"/>
    <n v="1"/>
    <n v="295"/>
    <n v="34.549999999999997"/>
    <s v="credit_card"/>
    <n v="8"/>
    <x v="1"/>
    <x v="3"/>
    <s v="Sao Paulo"/>
  </r>
  <r>
    <s v="73651881d63f2630709963bab45d7525"/>
    <s v="2018-08-20"/>
    <x v="21"/>
    <x v="3"/>
    <x v="9"/>
    <n v="2"/>
    <n v="38.979999999999997"/>
    <n v="14.8"/>
    <s v="credit_card"/>
    <n v="3"/>
    <x v="1"/>
    <x v="2"/>
    <s v="Sao Paulo"/>
  </r>
  <r>
    <s v="6bf033a604dd601317705db318a6095d"/>
    <s v="2018-08-20"/>
    <x v="21"/>
    <x v="3"/>
    <x v="9"/>
    <n v="1"/>
    <n v="89.9"/>
    <n v="15.7"/>
    <s v="credit_card"/>
    <n v="4"/>
    <x v="1"/>
    <x v="2"/>
    <s v="Sao Paulo"/>
  </r>
  <r>
    <s v="35a1f77503821f43673d975ffe0bb7b4"/>
    <s v="2018-08-21"/>
    <x v="21"/>
    <x v="4"/>
    <x v="31"/>
    <n v="1"/>
    <n v="289.89999999999998"/>
    <n v="45.83"/>
    <s v="credit_card"/>
    <n v="7"/>
    <x v="1"/>
    <x v="3"/>
    <s v="Rio de Janeiro"/>
  </r>
  <r>
    <s v="ba84f6aec57aa48ee3eb1b97964354e5"/>
    <s v="2018-08-21"/>
    <x v="21"/>
    <x v="3"/>
    <x v="19"/>
    <n v="2"/>
    <n v="69.8"/>
    <n v="36.020000000000003"/>
    <s v="credit_card"/>
    <n v="2"/>
    <x v="1"/>
    <x v="2"/>
    <s v="Sao Paulo"/>
  </r>
  <r>
    <s v="2d6e19c8b83e0333696e259829801f17"/>
    <s v="2018-08-21"/>
    <x v="21"/>
    <x v="4"/>
    <x v="13"/>
    <n v="1"/>
    <n v="120"/>
    <n v="27.14"/>
    <s v="credit_card"/>
    <n v="7"/>
    <x v="1"/>
    <x v="2"/>
    <s v="Rio de Janeiro"/>
  </r>
  <r>
    <s v="a2e0ceb6d71b7658cd40852920066f75"/>
    <s v="2018-08-21"/>
    <x v="21"/>
    <x v="3"/>
    <x v="22"/>
    <n v="1"/>
    <n v="152.9"/>
    <n v="13.73"/>
    <s v="credit_card"/>
    <n v="7"/>
    <x v="1"/>
    <x v="2"/>
    <s v="Sao Paulo"/>
  </r>
  <r>
    <s v="62019f35fab0f9f60e1f25a8b17de426"/>
    <s v="2018-08-21"/>
    <x v="21"/>
    <x v="4"/>
    <x v="18"/>
    <n v="1"/>
    <n v="84"/>
    <n v="22.52"/>
    <s v="credit_card"/>
    <n v="6"/>
    <x v="1"/>
    <x v="3"/>
    <s v="Rio de Janeiro"/>
  </r>
  <r>
    <s v="a7b3d17383515918f57cc831f29bc8dd"/>
    <s v="2018-08-21"/>
    <x v="21"/>
    <x v="3"/>
    <x v="9"/>
    <n v="1"/>
    <n v="31.95"/>
    <n v="12.88"/>
    <s v="credit_card"/>
    <n v="5"/>
    <x v="1"/>
    <x v="2"/>
    <s v="Sao Paulo"/>
  </r>
  <r>
    <s v="f4829d4aec1e7ce6d1f88c4eb8086c3e"/>
    <s v="2018-08-21"/>
    <x v="21"/>
    <x v="7"/>
    <x v="9"/>
    <n v="1"/>
    <n v="330"/>
    <n v="19.989999999999998"/>
    <s v="boleto"/>
    <n v="6"/>
    <x v="1"/>
    <x v="2"/>
    <s v="Minas Gerais"/>
  </r>
  <r>
    <s v="f94b0a3a81bf5b4de22a8c2a90df7263"/>
    <s v="2018-08-21"/>
    <x v="21"/>
    <x v="5"/>
    <x v="1"/>
    <n v="1"/>
    <n v="59.9"/>
    <n v="14.72"/>
    <s v="credit_card"/>
    <n v="5"/>
    <x v="1"/>
    <x v="3"/>
    <s v="Parana"/>
  </r>
  <r>
    <s v="f01221bdbf37c9c792b4cc3e78dc5dc8"/>
    <s v="2018-08-21"/>
    <x v="21"/>
    <x v="7"/>
    <x v="9"/>
    <n v="1"/>
    <n v="330"/>
    <n v="20.41"/>
    <s v="credit_card"/>
    <n v="6"/>
    <x v="1"/>
    <x v="3"/>
    <s v="Minas Gerais"/>
  </r>
  <r>
    <s v="03ad48120321b06697272dfa53deff2b"/>
    <s v="2018-08-22"/>
    <x v="21"/>
    <x v="3"/>
    <x v="19"/>
    <n v="1"/>
    <n v="69.900000000000006"/>
    <n v="21.13"/>
    <s v="credit_card"/>
    <n v="7"/>
    <x v="1"/>
    <x v="2"/>
    <s v="Sao Paulo"/>
  </r>
  <r>
    <s v="9cea6943c0d2ab67dc7bde8ab9b03f32"/>
    <s v="2018-08-22"/>
    <x v="21"/>
    <x v="7"/>
    <x v="12"/>
    <n v="1"/>
    <n v="149.9"/>
    <n v="27.35"/>
    <s v="credit_card"/>
    <n v="7"/>
    <x v="1"/>
    <x v="0"/>
    <s v="Minas Gerais"/>
  </r>
  <r>
    <s v="76cc0d927131093087a3d392008d9796"/>
    <s v="2018-08-22"/>
    <x v="21"/>
    <x v="5"/>
    <x v="9"/>
    <n v="1"/>
    <n v="19.489999999999998"/>
    <n v="18.239999999999998"/>
    <s v="credit_card"/>
    <n v="8"/>
    <x v="1"/>
    <x v="2"/>
    <s v="Parana"/>
  </r>
  <r>
    <s v="38c9169c58d74d3447a3ffed8962ce34"/>
    <s v="2018-08-22"/>
    <x v="21"/>
    <x v="3"/>
    <x v="19"/>
    <n v="2"/>
    <n v="25"/>
    <n v="14.78"/>
    <s v="credit_card"/>
    <n v="2"/>
    <x v="1"/>
    <x v="2"/>
    <s v="Sao Paulo"/>
  </r>
  <r>
    <s v="5e754503796f05f2ad0541feb16a6a85"/>
    <s v="2018-08-22"/>
    <x v="21"/>
    <x v="8"/>
    <x v="9"/>
    <n v="1"/>
    <n v="38"/>
    <n v="18.37"/>
    <s v="boleto"/>
    <n v="6"/>
    <x v="1"/>
    <x v="2"/>
    <s v="Santa Catarina"/>
  </r>
  <r>
    <s v="f3f19665e7205700de2a40ff56bf2d28"/>
    <s v="2018-08-22"/>
    <x v="21"/>
    <x v="3"/>
    <x v="0"/>
    <n v="3"/>
    <n v="51"/>
    <n v="40.29"/>
    <s v="credit_card"/>
    <n v="3"/>
    <x v="1"/>
    <x v="2"/>
    <s v="Sao Paulo"/>
  </r>
  <r>
    <s v="05cb96d379b1a3df48333ecaa572bf26"/>
    <s v="2018-08-22"/>
    <x v="21"/>
    <x v="3"/>
    <x v="32"/>
    <n v="1"/>
    <n v="55.9"/>
    <n v="8.5500000000000007"/>
    <s v="credit_card"/>
    <n v="5"/>
    <x v="2"/>
    <x v="3"/>
    <s v="Sao Paulo"/>
  </r>
  <r>
    <s v="28cee6e32da30679cbfe3da21d2608e1"/>
    <s v="2018-08-22"/>
    <x v="21"/>
    <x v="7"/>
    <x v="30"/>
    <n v="1"/>
    <n v="47.5"/>
    <n v="18.43"/>
    <s v="credit_card"/>
    <n v="6"/>
    <x v="1"/>
    <x v="2"/>
    <s v="Minas Gerais"/>
  </r>
  <r>
    <s v="985680a4287cdd85e885a79a6c24b023"/>
    <s v="2018-08-22"/>
    <x v="21"/>
    <x v="3"/>
    <x v="32"/>
    <n v="1"/>
    <n v="157"/>
    <n v="16.399999999999999"/>
    <s v="credit_card"/>
    <n v="2"/>
    <x v="1"/>
    <x v="1"/>
    <s v="Sao Paulo"/>
  </r>
  <r>
    <s v="c75be4dbb0444f5234b73d0e700bc425"/>
    <s v="2018-08-22"/>
    <x v="21"/>
    <x v="3"/>
    <x v="5"/>
    <n v="1"/>
    <n v="96.99"/>
    <n v="7.94"/>
    <s v="credit_card"/>
    <n v="5"/>
    <x v="1"/>
    <x v="0"/>
    <s v="Sao Paulo"/>
  </r>
  <r>
    <s v="529a65336debb1c3e3327d7d67dc733d"/>
    <s v="2018-08-22"/>
    <x v="21"/>
    <x v="8"/>
    <x v="22"/>
    <n v="1"/>
    <n v="77"/>
    <n v="18.64"/>
    <s v="credit_card"/>
    <n v="8"/>
    <x v="1"/>
    <x v="2"/>
    <s v="Santa Catarina"/>
  </r>
  <r>
    <s v="0feb8ce954124d3e3d8338c573a9c523"/>
    <s v="2018-08-23"/>
    <x v="21"/>
    <x v="3"/>
    <x v="22"/>
    <n v="2"/>
    <n v="100"/>
    <n v="15.23"/>
    <s v="credit_card"/>
    <n v="4"/>
    <x v="1"/>
    <x v="2"/>
    <s v="Sao Paulo"/>
  </r>
  <r>
    <s v="2ae01dafe3790417726f148d9f1a90a4"/>
    <s v="2018-08-23"/>
    <x v="21"/>
    <x v="3"/>
    <x v="13"/>
    <n v="1"/>
    <n v="107.9"/>
    <n v="15.07"/>
    <s v="boleto"/>
    <n v="6"/>
    <x v="1"/>
    <x v="2"/>
    <s v="Sao Paulo"/>
  </r>
  <r>
    <s v="0097aafe2a01dd54e39888976160c377"/>
    <s v="2018-08-23"/>
    <x v="21"/>
    <x v="3"/>
    <x v="4"/>
    <n v="1"/>
    <n v="62"/>
    <n v="8.59"/>
    <s v="boleto"/>
    <n v="5"/>
    <x v="1"/>
    <x v="3"/>
    <s v="Sao Paulo"/>
  </r>
  <r>
    <s v="f83a0ce66c457dfdf564dafa364ae1d4"/>
    <s v="2018-08-23"/>
    <x v="21"/>
    <x v="4"/>
    <x v="42"/>
    <n v="2"/>
    <n v="29.8"/>
    <n v="36.46"/>
    <s v="credit_card"/>
    <n v="6"/>
    <x v="1"/>
    <x v="1"/>
    <s v="Rio de Janeiro"/>
  </r>
  <r>
    <s v="2fd573eea535b447eea60a9b4aa2603d"/>
    <s v="2018-08-23"/>
    <x v="21"/>
    <x v="7"/>
    <x v="9"/>
    <n v="1"/>
    <n v="217.9"/>
    <n v="25.61"/>
    <s v="credit_card"/>
    <n v="5"/>
    <x v="1"/>
    <x v="2"/>
    <s v="Minas Gerais"/>
  </r>
  <r>
    <s v="8118e88205b0cd1342e85368ed6c0bcf"/>
    <s v="2018-08-24"/>
    <x v="21"/>
    <x v="3"/>
    <x v="9"/>
    <n v="1"/>
    <n v="179"/>
    <n v="9.41"/>
    <s v="credit_card"/>
    <n v="4"/>
    <x v="1"/>
    <x v="2"/>
    <s v="Sao Paulo"/>
  </r>
  <r>
    <s v="876152d8704a9cb49112a5def3cce455"/>
    <s v="2018-08-24"/>
    <x v="21"/>
    <x v="3"/>
    <x v="32"/>
    <n v="1"/>
    <n v="29.9"/>
    <n v="7.47"/>
    <s v="credit_card"/>
    <n v="3"/>
    <x v="1"/>
    <x v="2"/>
    <s v="Sao Paulo"/>
  </r>
  <r>
    <s v="c7e9244a9fdf9ae33fd94f55e7e24741"/>
    <s v="2018-08-24"/>
    <x v="21"/>
    <x v="7"/>
    <x v="32"/>
    <n v="1"/>
    <n v="219"/>
    <n v="45.33"/>
    <s v="boleto"/>
    <n v="6"/>
    <x v="1"/>
    <x v="2"/>
    <s v="Minas Gerais"/>
  </r>
  <r>
    <s v="421deffec215845f8632fb3543789f86"/>
    <s v="2018-08-24"/>
    <x v="21"/>
    <x v="8"/>
    <x v="4"/>
    <n v="1"/>
    <n v="84.99"/>
    <n v="18.7"/>
    <s v="credit_card"/>
    <n v="6"/>
    <x v="1"/>
    <x v="2"/>
    <s v="Santa Catarina"/>
  </r>
  <r>
    <s v="a4d7caf7570d02134caf5b8425c515d8"/>
    <s v="2018-08-25"/>
    <x v="21"/>
    <x v="3"/>
    <x v="4"/>
    <n v="1"/>
    <n v="88.89"/>
    <n v="7.88"/>
    <s v="credit_card"/>
    <n v="4"/>
    <x v="1"/>
    <x v="3"/>
    <s v="Sao Paulo"/>
  </r>
  <r>
    <s v="1ed30df5fa6886743c4509f8bd1a3241"/>
    <s v="2018-08-25"/>
    <x v="21"/>
    <x v="4"/>
    <x v="19"/>
    <n v="1"/>
    <n v="23.8"/>
    <n v="18.27"/>
    <s v="credit_card"/>
    <n v="5"/>
    <x v="1"/>
    <x v="2"/>
    <s v="Rio de Janeiro"/>
  </r>
  <r>
    <s v="c94edffab2f10ec24645c62b40881e88"/>
    <s v="2018-08-25"/>
    <x v="21"/>
    <x v="4"/>
    <x v="5"/>
    <n v="2"/>
    <n v="233.8"/>
    <n v="31.84"/>
    <s v="credit_card"/>
    <n v="3"/>
    <x v="1"/>
    <x v="1"/>
    <s v="Rio de Janeiro"/>
  </r>
  <r>
    <s v="3676b8a38151270ac285f2fa3c564772"/>
    <s v="2018-08-25"/>
    <x v="21"/>
    <x v="3"/>
    <x v="52"/>
    <n v="2"/>
    <n v="31.8"/>
    <n v="14.78"/>
    <s v="boleto"/>
    <n v="3"/>
    <x v="1"/>
    <x v="2"/>
    <s v="Sao Paulo"/>
  </r>
  <r>
    <s v="675bc8cd15e6b9225582b9161288670f"/>
    <s v="2018-08-25"/>
    <x v="21"/>
    <x v="3"/>
    <x v="22"/>
    <n v="1"/>
    <n v="249"/>
    <n v="9.9"/>
    <s v="credit_card"/>
    <n v="2"/>
    <x v="1"/>
    <x v="0"/>
    <s v="Sao Paulo"/>
  </r>
  <r>
    <s v="12fb8b575f3f6d58ccbafba1294177e5"/>
    <s v="2018-08-25"/>
    <x v="21"/>
    <x v="3"/>
    <x v="4"/>
    <n v="1"/>
    <n v="12.99"/>
    <n v="7.39"/>
    <s v="boleto"/>
    <n v="4"/>
    <x v="1"/>
    <x v="2"/>
    <s v="Sao Paulo"/>
  </r>
  <r>
    <s v="a37c35b30b6e6d6e5a62c846cb093a32"/>
    <s v="2018-08-26"/>
    <x v="21"/>
    <x v="3"/>
    <x v="4"/>
    <n v="1"/>
    <n v="20.9"/>
    <n v="12.81"/>
    <s v="credit_card"/>
    <n v="3"/>
    <x v="1"/>
    <x v="2"/>
    <s v="Sao Paulo"/>
  </r>
  <r>
    <s v="56610fa87188c93ee5993a5e98a7b092"/>
    <s v="2018-08-27"/>
    <x v="21"/>
    <x v="3"/>
    <x v="13"/>
    <n v="1"/>
    <n v="38.99"/>
    <n v="7.53"/>
    <s v="credit_card"/>
    <n v="3"/>
    <x v="2"/>
    <x v="1"/>
    <s v="Sao Paulo"/>
  </r>
  <r>
    <s v="f27cc61c27c26b63dd0b279bb9c29ed6"/>
    <s v="2018-08-27"/>
    <x v="21"/>
    <x v="3"/>
    <x v="14"/>
    <n v="1"/>
    <n v="57.9"/>
    <n v="11.43"/>
    <s v="credit_card"/>
    <n v="2"/>
    <x v="1"/>
    <x v="2"/>
    <s v="Sao Paulo"/>
  </r>
  <r>
    <s v="68dd7c23e8b6c1e5f3ad16be5dd4bdf6"/>
    <s v="2018-08-27"/>
    <x v="21"/>
    <x v="3"/>
    <x v="1"/>
    <n v="1"/>
    <n v="42"/>
    <n v="8.4499999999999993"/>
    <s v="credit_card"/>
    <n v="1"/>
    <x v="1"/>
    <x v="2"/>
    <s v="Sao Paulo"/>
  </r>
  <r>
    <s v="46c123d65d1a90feca91b6c4cf104633"/>
    <s v="2018-08-27"/>
    <x v="21"/>
    <x v="3"/>
    <x v="5"/>
    <n v="1"/>
    <n v="79.8"/>
    <n v="7.82"/>
    <s v="credit_card"/>
    <n v="3"/>
    <x v="1"/>
    <x v="2"/>
    <s v="Sao Paulo"/>
  </r>
  <r>
    <s v="168626408cb32af0ffaf76711caae1dc"/>
    <s v="2018-08-29"/>
    <x v="21"/>
    <x v="7"/>
    <x v="9"/>
    <n v="1"/>
    <n v="45.9"/>
    <n v="15.39"/>
    <s v="voucher"/>
    <n v="1"/>
    <x v="1"/>
    <x v="2"/>
    <s v="Minas Gerais"/>
  </r>
  <r>
    <s v="912859fef5a0bd5059b6d48fa79d121a"/>
    <s v="2018-08-29"/>
    <x v="21"/>
    <x v="3"/>
    <x v="22"/>
    <n v="1"/>
    <n v="169.8"/>
    <n v="8.4499999999999993"/>
    <s v="credit_card"/>
    <n v="1"/>
    <x v="1"/>
    <x v="2"/>
    <s v="Sao Paulo"/>
  </r>
  <r>
    <s v="52018484704db3661b98ce838612b507"/>
    <s v="2018-08-29"/>
    <x v="21"/>
    <x v="3"/>
    <x v="2"/>
    <n v="1"/>
    <n v="63.9"/>
    <n v="9.1999999999999993"/>
    <s v="credit_card"/>
    <n v="1"/>
    <x v="1"/>
    <x v="0"/>
    <s v="Sao Paul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D0F36-1420-459B-ACA2-F6B5930F8B3F}" name="Pivot_Delive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8" firstHeaderRow="1" firstDataRow="2" firstDataCol="1"/>
  <pivotFields count="13">
    <pivotField dataField="1" showAll="0"/>
    <pivotField showAll="0"/>
    <pivotField showAll="0"/>
    <pivotField showAll="0">
      <items count="28">
        <item x="19"/>
        <item x="24"/>
        <item x="16"/>
        <item x="25"/>
        <item x="21"/>
        <item x="12"/>
        <item x="18"/>
        <item x="22"/>
        <item x="2"/>
        <item x="13"/>
        <item x="7"/>
        <item x="14"/>
        <item x="15"/>
        <item x="11"/>
        <item x="26"/>
        <item x="6"/>
        <item x="10"/>
        <item x="5"/>
        <item x="4"/>
        <item x="23"/>
        <item x="17"/>
        <item x="0"/>
        <item x="1"/>
        <item x="8"/>
        <item x="9"/>
        <item x="3"/>
        <item x="20"/>
        <item t="default"/>
      </items>
    </pivotField>
    <pivotField showAll="0"/>
    <pivotField showAll="0"/>
    <pivotField showAll="0"/>
    <pivotField showAll="0"/>
    <pivotField showAll="0"/>
    <pivotField showAll="0"/>
    <pivotField axis="axisRow" showAll="0">
      <items count="4">
        <item x="2"/>
        <item x="0"/>
        <item x="1"/>
        <item t="default"/>
      </items>
    </pivotField>
    <pivotField axis="axisCol" showAll="0">
      <items count="9">
        <item x="0"/>
        <item x="5"/>
        <item x="1"/>
        <item x="6"/>
        <item x="3"/>
        <item x="7"/>
        <item x="2"/>
        <item x="4"/>
        <item t="default"/>
      </items>
    </pivotField>
    <pivotField showAll="0"/>
  </pivotFields>
  <rowFields count="1">
    <field x="10"/>
  </rowFields>
  <rowItems count="4">
    <i>
      <x/>
    </i>
    <i>
      <x v="1"/>
    </i>
    <i>
      <x v="2"/>
    </i>
    <i t="grand">
      <x/>
    </i>
  </rowItems>
  <colFields count="1">
    <field x="11"/>
  </colFields>
  <colItems count="9">
    <i>
      <x/>
    </i>
    <i>
      <x v="1"/>
    </i>
    <i>
      <x v="2"/>
    </i>
    <i>
      <x v="3"/>
    </i>
    <i>
      <x v="4"/>
    </i>
    <i>
      <x v="5"/>
    </i>
    <i>
      <x v="6"/>
    </i>
    <i>
      <x v="7"/>
    </i>
    <i t="grand">
      <x/>
    </i>
  </colItems>
  <dataFields count="1">
    <dataField name="Share of orders" fld="0" subtotal="count" showDataAs="percentOfRow"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DFD905-D76F-43C8-9EE7-CA4DF33DDC8B}" name="Pivot_Catego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1" firstHeaderRow="0" firstDataRow="1" firstDataCol="1"/>
  <pivotFields count="13">
    <pivotField showAll="0"/>
    <pivotField showAll="0"/>
    <pivotField showAll="0"/>
    <pivotField showAll="0">
      <items count="28">
        <item x="19"/>
        <item x="24"/>
        <item x="16"/>
        <item x="25"/>
        <item x="21"/>
        <item x="12"/>
        <item x="18"/>
        <item x="22"/>
        <item x="2"/>
        <item x="13"/>
        <item x="7"/>
        <item x="14"/>
        <item x="15"/>
        <item x="11"/>
        <item x="26"/>
        <item x="6"/>
        <item x="10"/>
        <item x="5"/>
        <item x="4"/>
        <item x="23"/>
        <item x="17"/>
        <item x="0"/>
        <item x="1"/>
        <item x="8"/>
        <item x="9"/>
        <item x="3"/>
        <item x="20"/>
        <item t="default"/>
      </items>
    </pivotField>
    <pivotField axis="axisRow" showAll="0" sortType="descending">
      <items count="68">
        <item x="27"/>
        <item x="31"/>
        <item x="62"/>
        <item x="42"/>
        <item x="13"/>
        <item x="12"/>
        <item x="14"/>
        <item x="23"/>
        <item x="49"/>
        <item x="57"/>
        <item x="47"/>
        <item x="51"/>
        <item x="52"/>
        <item x="53"/>
        <item x="4"/>
        <item x="3"/>
        <item x="32"/>
        <item x="58"/>
        <item x="59"/>
        <item x="20"/>
        <item x="55"/>
        <item x="64"/>
        <item x="66"/>
        <item x="56"/>
        <item x="35"/>
        <item x="17"/>
        <item x="18"/>
        <item x="43"/>
        <item x="16"/>
        <item x="15"/>
        <item x="60"/>
        <item x="48"/>
        <item x="45"/>
        <item x="30"/>
        <item x="46"/>
        <item x="39"/>
        <item x="0"/>
        <item x="24"/>
        <item x="61"/>
        <item x="7"/>
        <item x="9"/>
        <item x="36"/>
        <item x="44"/>
        <item x="38"/>
        <item x="41"/>
        <item x="54"/>
        <item x="19"/>
        <item x="8"/>
        <item x="34"/>
        <item x="50"/>
        <item x="21"/>
        <item x="40"/>
        <item x="10"/>
        <item x="33"/>
        <item x="28"/>
        <item x="5"/>
        <item x="25"/>
        <item x="65"/>
        <item x="11"/>
        <item x="63"/>
        <item x="1"/>
        <item x="29"/>
        <item x="37"/>
        <item x="6"/>
        <item x="2"/>
        <item x="26"/>
        <item x="2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dataField="1" showAll="0"/>
    <pivotField showAll="0"/>
  </pivotFields>
  <rowFields count="1">
    <field x="4"/>
  </rowFields>
  <rowItems count="68">
    <i>
      <x v="66"/>
    </i>
    <i>
      <x v="40"/>
    </i>
    <i>
      <x v="60"/>
    </i>
    <i>
      <x v="14"/>
    </i>
    <i>
      <x v="6"/>
    </i>
    <i>
      <x v="19"/>
    </i>
    <i>
      <x v="36"/>
    </i>
    <i>
      <x v="4"/>
    </i>
    <i>
      <x v="46"/>
    </i>
    <i>
      <x v="39"/>
    </i>
    <i>
      <x v="64"/>
    </i>
    <i>
      <x v="55"/>
    </i>
    <i>
      <x v="5"/>
    </i>
    <i>
      <x v="13"/>
    </i>
    <i>
      <x v="63"/>
    </i>
    <i>
      <x v="54"/>
    </i>
    <i>
      <x v="32"/>
    </i>
    <i>
      <x v="61"/>
    </i>
    <i>
      <x v="65"/>
    </i>
    <i>
      <x v="53"/>
    </i>
    <i>
      <x v="56"/>
    </i>
    <i>
      <x v="26"/>
    </i>
    <i>
      <x v="58"/>
    </i>
    <i>
      <x v="50"/>
    </i>
    <i>
      <x v="15"/>
    </i>
    <i>
      <x v="25"/>
    </i>
    <i>
      <x v="16"/>
    </i>
    <i>
      <x v="42"/>
    </i>
    <i>
      <x v="41"/>
    </i>
    <i>
      <x v="48"/>
    </i>
    <i>
      <x v="1"/>
    </i>
    <i>
      <x v="37"/>
    </i>
    <i>
      <x/>
    </i>
    <i>
      <x v="44"/>
    </i>
    <i>
      <x v="59"/>
    </i>
    <i>
      <x v="47"/>
    </i>
    <i>
      <x v="45"/>
    </i>
    <i>
      <x v="17"/>
    </i>
    <i>
      <x v="24"/>
    </i>
    <i>
      <x v="7"/>
    </i>
    <i>
      <x v="29"/>
    </i>
    <i>
      <x v="33"/>
    </i>
    <i>
      <x v="3"/>
    </i>
    <i>
      <x v="51"/>
    </i>
    <i>
      <x v="34"/>
    </i>
    <i>
      <x v="35"/>
    </i>
    <i>
      <x v="9"/>
    </i>
    <i>
      <x v="23"/>
    </i>
    <i>
      <x v="20"/>
    </i>
    <i>
      <x v="2"/>
    </i>
    <i>
      <x v="21"/>
    </i>
    <i>
      <x v="31"/>
    </i>
    <i>
      <x v="18"/>
    </i>
    <i>
      <x v="57"/>
    </i>
    <i>
      <x v="28"/>
    </i>
    <i>
      <x v="12"/>
    </i>
    <i>
      <x v="62"/>
    </i>
    <i>
      <x v="38"/>
    </i>
    <i>
      <x v="11"/>
    </i>
    <i>
      <x v="8"/>
    </i>
    <i>
      <x v="49"/>
    </i>
    <i>
      <x v="27"/>
    </i>
    <i>
      <x v="22"/>
    </i>
    <i>
      <x v="30"/>
    </i>
    <i>
      <x v="10"/>
    </i>
    <i>
      <x v="52"/>
    </i>
    <i>
      <x v="43"/>
    </i>
    <i t="grand">
      <x/>
    </i>
  </rowItems>
  <colFields count="1">
    <field x="-2"/>
  </colFields>
  <colItems count="2">
    <i>
      <x/>
    </i>
    <i i="1">
      <x v="1"/>
    </i>
  </colItems>
  <dataFields count="2">
    <dataField name="Revenue" fld="6" baseField="0" baseItem="0" numFmtId="3"/>
    <dataField name="Avg review"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695826-489A-46FC-AAB4-60DF96765A73}" name="Pivot_Monthl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6" firstHeaderRow="0" firstDataRow="1" firstDataCol="1"/>
  <pivotFields count="13">
    <pivotField dataField="1" showAll="0"/>
    <pivotField showAll="0"/>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items count="28">
        <item x="19"/>
        <item x="24"/>
        <item x="16"/>
        <item x="25"/>
        <item x="21"/>
        <item x="12"/>
        <item x="18"/>
        <item x="22"/>
        <item x="2"/>
        <item x="13"/>
        <item x="7"/>
        <item x="14"/>
        <item x="15"/>
        <item x="11"/>
        <item x="26"/>
        <item x="6"/>
        <item x="10"/>
        <item x="5"/>
        <item x="4"/>
        <item x="23"/>
        <item x="17"/>
        <item x="0"/>
        <item x="1"/>
        <item x="8"/>
        <item x="9"/>
        <item x="3"/>
        <item x="20"/>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Revenue" fld="6" baseField="0" baseItem="0" numFmtId="3"/>
    <dataField name="Orders" fld="0" subtotal="count"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e" xr10:uid="{9E66D690-630A-4BED-9A3D-EBD8598CFF57}" sourceName="customer_state">
  <pivotTables>
    <pivotTable tabId="4" name="Pivot_Monthly"/>
    <pivotTable tabId="5" name="Pivot_Category"/>
    <pivotTable tabId="6" name="Pivot_Delivery"/>
  </pivotTables>
  <data>
    <tabular pivotCacheId="1977413188">
      <items count="27">
        <i x="19" s="1"/>
        <i x="24" s="1"/>
        <i x="16" s="1"/>
        <i x="25" s="1"/>
        <i x="21" s="1"/>
        <i x="12" s="1"/>
        <i x="18" s="1"/>
        <i x="22" s="1"/>
        <i x="2" s="1"/>
        <i x="13" s="1"/>
        <i x="7" s="1"/>
        <i x="14" s="1"/>
        <i x="15" s="1"/>
        <i x="11" s="1"/>
        <i x="26" s="1"/>
        <i x="6" s="1"/>
        <i x="10" s="1"/>
        <i x="5" s="1"/>
        <i x="4" s="1"/>
        <i x="23" s="1"/>
        <i x="17" s="1"/>
        <i x="0" s="1"/>
        <i x="1" s="1"/>
        <i x="8" s="1"/>
        <i x="9" s="1"/>
        <i x="3"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tate" xr10:uid="{FFF2A792-F958-499B-8FCA-333551057026}" cache="Slicer_customer_state" caption="customer_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1F75-7D85-4F28-855A-D7B2D4BE1CA1}">
  <dimension ref="A3:J8"/>
  <sheetViews>
    <sheetView workbookViewId="0"/>
  </sheetViews>
  <sheetFormatPr defaultRowHeight="14.25" x14ac:dyDescent="0.45"/>
  <cols>
    <col min="1" max="1" width="13.265625" bestFit="1" customWidth="1"/>
    <col min="2" max="2" width="14.73046875" bestFit="1" customWidth="1"/>
    <col min="3" max="3" width="4.6640625" bestFit="1" customWidth="1"/>
    <col min="4" max="4" width="5.59765625" bestFit="1" customWidth="1"/>
    <col min="5" max="5" width="4.6640625" bestFit="1" customWidth="1"/>
    <col min="6" max="6" width="5.6640625" bestFit="1" customWidth="1"/>
    <col min="7" max="7" width="4.6640625" bestFit="1" customWidth="1"/>
    <col min="8" max="8" width="5.6640625" bestFit="1" customWidth="1"/>
    <col min="9" max="9" width="6.3984375" bestFit="1" customWidth="1"/>
    <col min="10" max="10" width="10.19921875" bestFit="1" customWidth="1"/>
  </cols>
  <sheetData>
    <row r="3" spans="1:10" x14ac:dyDescent="0.45">
      <c r="A3" s="8" t="s">
        <v>5784</v>
      </c>
      <c r="B3" s="8" t="s">
        <v>5782</v>
      </c>
    </row>
    <row r="4" spans="1:10" x14ac:dyDescent="0.45">
      <c r="A4" s="8" t="s">
        <v>5780</v>
      </c>
      <c r="B4">
        <v>1</v>
      </c>
      <c r="C4">
        <v>2</v>
      </c>
      <c r="D4">
        <v>3</v>
      </c>
      <c r="E4">
        <v>3.5</v>
      </c>
      <c r="F4">
        <v>4</v>
      </c>
      <c r="G4">
        <v>4.5</v>
      </c>
      <c r="H4">
        <v>5</v>
      </c>
      <c r="I4" t="s">
        <v>5783</v>
      </c>
      <c r="J4" t="s">
        <v>5781</v>
      </c>
    </row>
    <row r="5" spans="1:10" x14ac:dyDescent="0.45">
      <c r="A5" s="9" t="s">
        <v>143</v>
      </c>
      <c r="B5" s="10">
        <v>0.47</v>
      </c>
      <c r="C5" s="10">
        <v>0.06</v>
      </c>
      <c r="D5" s="10">
        <v>0.13500000000000001</v>
      </c>
      <c r="E5" s="10">
        <v>0</v>
      </c>
      <c r="F5" s="10">
        <v>0.12</v>
      </c>
      <c r="G5" s="10">
        <v>0</v>
      </c>
      <c r="H5" s="10">
        <v>0.1875</v>
      </c>
      <c r="I5" s="10">
        <v>2.75E-2</v>
      </c>
      <c r="J5" s="10">
        <v>1</v>
      </c>
    </row>
    <row r="6" spans="1:10" x14ac:dyDescent="0.45">
      <c r="A6" s="9" t="s">
        <v>45</v>
      </c>
      <c r="B6" s="10">
        <v>0.66666666666666663</v>
      </c>
      <c r="C6" s="10">
        <v>8.3333333333333329E-2</v>
      </c>
      <c r="D6" s="10">
        <v>6.25E-2</v>
      </c>
      <c r="E6" s="10">
        <v>0</v>
      </c>
      <c r="F6" s="10">
        <v>5.2083333333333336E-2</v>
      </c>
      <c r="G6" s="10">
        <v>0</v>
      </c>
      <c r="H6" s="10">
        <v>5.2083333333333336E-2</v>
      </c>
      <c r="I6" s="10">
        <v>8.3333333333333329E-2</v>
      </c>
      <c r="J6" s="10">
        <v>1</v>
      </c>
    </row>
    <row r="7" spans="1:10" x14ac:dyDescent="0.45">
      <c r="A7" s="9" t="s">
        <v>51</v>
      </c>
      <c r="B7" s="10">
        <v>6.5053285968028424E-2</v>
      </c>
      <c r="C7" s="10">
        <v>2.4644760213143872E-2</v>
      </c>
      <c r="D7" s="10">
        <v>8.0595026642984013E-2</v>
      </c>
      <c r="E7" s="10">
        <v>2.2202486678507994E-4</v>
      </c>
      <c r="F7" s="10">
        <v>0.19382770870337479</v>
      </c>
      <c r="G7" s="10">
        <v>4.4404973357015987E-4</v>
      </c>
      <c r="H7" s="10">
        <v>0.62966252220248664</v>
      </c>
      <c r="I7" s="10">
        <v>5.5506216696269983E-3</v>
      </c>
      <c r="J7" s="10">
        <v>1</v>
      </c>
    </row>
    <row r="8" spans="1:10" x14ac:dyDescent="0.45">
      <c r="A8" s="9" t="s">
        <v>5781</v>
      </c>
      <c r="B8" s="10">
        <v>0.109</v>
      </c>
      <c r="C8" s="10">
        <v>2.86E-2</v>
      </c>
      <c r="D8" s="10">
        <v>8.4599999999999995E-2</v>
      </c>
      <c r="E8" s="10">
        <v>2.0000000000000001E-4</v>
      </c>
      <c r="F8" s="10">
        <v>0.1852</v>
      </c>
      <c r="G8" s="10">
        <v>4.0000000000000002E-4</v>
      </c>
      <c r="H8" s="10">
        <v>0.58320000000000005</v>
      </c>
      <c r="I8" s="10">
        <v>8.8000000000000005E-3</v>
      </c>
      <c r="J8" s="1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DDC9-4ADE-4C18-8DF0-6BAD549C42F0}">
  <dimension ref="A3:C71"/>
  <sheetViews>
    <sheetView workbookViewId="0"/>
  </sheetViews>
  <sheetFormatPr defaultRowHeight="14.25" x14ac:dyDescent="0.45"/>
  <cols>
    <col min="1" max="1" width="34.265625" bestFit="1" customWidth="1"/>
    <col min="2" max="2" width="7.86328125" bestFit="1" customWidth="1"/>
    <col min="3" max="3" width="9.796875" bestFit="1" customWidth="1"/>
  </cols>
  <sheetData>
    <row r="3" spans="1:3" x14ac:dyDescent="0.45">
      <c r="A3" s="8" t="s">
        <v>5780</v>
      </c>
      <c r="B3" t="s">
        <v>12</v>
      </c>
      <c r="C3" t="s">
        <v>15</v>
      </c>
    </row>
    <row r="4" spans="1:3" x14ac:dyDescent="0.45">
      <c r="A4" s="9" t="s">
        <v>157</v>
      </c>
      <c r="B4" s="2">
        <v>62277.930000000058</v>
      </c>
      <c r="C4" s="6">
        <v>4.0361010830324906</v>
      </c>
    </row>
    <row r="5" spans="1:3" x14ac:dyDescent="0.45">
      <c r="A5" s="9" t="s">
        <v>79</v>
      </c>
      <c r="B5" s="2">
        <v>57682.610000000124</v>
      </c>
      <c r="C5" s="6">
        <v>4.1775700934579438</v>
      </c>
    </row>
    <row r="6" spans="1:3" x14ac:dyDescent="0.45">
      <c r="A6" s="9" t="s">
        <v>49</v>
      </c>
      <c r="B6" s="2">
        <v>56562.990000000085</v>
      </c>
      <c r="C6" s="6">
        <v>4.2105263157894735</v>
      </c>
    </row>
    <row r="7" spans="1:3" x14ac:dyDescent="0.45">
      <c r="A7" s="9" t="s">
        <v>61</v>
      </c>
      <c r="B7" s="2">
        <v>54486.870000000083</v>
      </c>
      <c r="C7" s="6">
        <v>4.0854700854700852</v>
      </c>
    </row>
    <row r="8" spans="1:3" x14ac:dyDescent="0.45">
      <c r="A8" s="9" t="s">
        <v>110</v>
      </c>
      <c r="B8" s="2">
        <v>52471.470000000212</v>
      </c>
      <c r="C8" s="6">
        <v>3.926595744680851</v>
      </c>
    </row>
    <row r="9" spans="1:3" x14ac:dyDescent="0.45">
      <c r="A9" s="9" t="s">
        <v>148</v>
      </c>
      <c r="B9" s="2">
        <v>34677.000000000073</v>
      </c>
      <c r="C9" s="6">
        <v>4.129032258064516</v>
      </c>
    </row>
    <row r="10" spans="1:3" x14ac:dyDescent="0.45">
      <c r="A10" s="9" t="s">
        <v>43</v>
      </c>
      <c r="B10" s="2">
        <v>33294.320000000051</v>
      </c>
      <c r="C10" s="6">
        <v>4.1019736842105265</v>
      </c>
    </row>
    <row r="11" spans="1:3" x14ac:dyDescent="0.45">
      <c r="A11" s="9" t="s">
        <v>107</v>
      </c>
      <c r="B11" s="2">
        <v>32574.810000000056</v>
      </c>
      <c r="C11" s="6">
        <v>4.0999999999999996</v>
      </c>
    </row>
    <row r="12" spans="1:3" x14ac:dyDescent="0.45">
      <c r="A12" s="9" t="s">
        <v>142</v>
      </c>
      <c r="B12" s="2">
        <v>28486.430000000062</v>
      </c>
      <c r="C12" s="6">
        <v>4.1512027491408938</v>
      </c>
    </row>
    <row r="13" spans="1:3" x14ac:dyDescent="0.45">
      <c r="A13" s="9" t="s">
        <v>69</v>
      </c>
      <c r="B13" s="2">
        <v>23726.550000000025</v>
      </c>
      <c r="C13" s="6">
        <v>4.2415730337078648</v>
      </c>
    </row>
    <row r="14" spans="1:3" x14ac:dyDescent="0.45">
      <c r="A14" s="9" t="s">
        <v>53</v>
      </c>
      <c r="B14" s="2">
        <v>23671.470000000045</v>
      </c>
      <c r="C14" s="6">
        <v>4.1621621621621623</v>
      </c>
    </row>
    <row r="15" spans="1:3" x14ac:dyDescent="0.45">
      <c r="A15" s="9" t="s">
        <v>64</v>
      </c>
      <c r="B15" s="2">
        <v>20736.049999999988</v>
      </c>
      <c r="C15" s="6">
        <v>4.2893081761006293</v>
      </c>
    </row>
    <row r="16" spans="1:3" x14ac:dyDescent="0.45">
      <c r="A16" s="9" t="s">
        <v>103</v>
      </c>
      <c r="B16" s="2">
        <v>19253.230000000021</v>
      </c>
      <c r="C16" s="6">
        <v>3.9816176470588234</v>
      </c>
    </row>
    <row r="17" spans="1:3" x14ac:dyDescent="0.45">
      <c r="A17" s="9" t="s">
        <v>1650</v>
      </c>
      <c r="B17" s="2">
        <v>15688.99</v>
      </c>
      <c r="C17" s="6">
        <v>4.8571428571428568</v>
      </c>
    </row>
    <row r="18" spans="1:3" x14ac:dyDescent="0.45">
      <c r="A18" s="9" t="s">
        <v>66</v>
      </c>
      <c r="B18" s="2">
        <v>15241.269999999971</v>
      </c>
      <c r="C18" s="6">
        <v>3.8930232558139535</v>
      </c>
    </row>
    <row r="19" spans="1:3" x14ac:dyDescent="0.45">
      <c r="A19" s="9" t="s">
        <v>220</v>
      </c>
      <c r="B19" s="2">
        <v>14589.439999999991</v>
      </c>
      <c r="C19" s="6">
        <v>3.7058823529411766</v>
      </c>
    </row>
    <row r="20" spans="1:3" x14ac:dyDescent="0.45">
      <c r="A20" s="9" t="s">
        <v>1031</v>
      </c>
      <c r="B20" s="2">
        <v>13939.859999999999</v>
      </c>
      <c r="C20" s="6">
        <v>3.625</v>
      </c>
    </row>
    <row r="21" spans="1:3" x14ac:dyDescent="0.45">
      <c r="A21" s="9" t="s">
        <v>244</v>
      </c>
      <c r="B21" s="2">
        <v>12610.959999999992</v>
      </c>
      <c r="C21" s="6">
        <v>4.3148148148148149</v>
      </c>
    </row>
    <row r="22" spans="1:3" x14ac:dyDescent="0.45">
      <c r="A22" s="9" t="s">
        <v>199</v>
      </c>
      <c r="B22" s="2">
        <v>11949.189999999993</v>
      </c>
      <c r="C22" s="6">
        <v>3.8904109589041096</v>
      </c>
    </row>
    <row r="23" spans="1:3" x14ac:dyDescent="0.45">
      <c r="A23" s="9" t="s">
        <v>302</v>
      </c>
      <c r="B23" s="2">
        <v>9484.39</v>
      </c>
      <c r="C23" s="6">
        <v>4.1212121212121211</v>
      </c>
    </row>
    <row r="24" spans="1:3" x14ac:dyDescent="0.45">
      <c r="A24" s="9" t="s">
        <v>192</v>
      </c>
      <c r="B24" s="2">
        <v>9012.5999999999913</v>
      </c>
      <c r="C24" s="6">
        <v>4.2771084337349397</v>
      </c>
    </row>
    <row r="25" spans="1:3" x14ac:dyDescent="0.45">
      <c r="A25" s="9" t="s">
        <v>132</v>
      </c>
      <c r="B25" s="2">
        <v>8467.4099999999944</v>
      </c>
      <c r="C25" s="6">
        <v>4.32</v>
      </c>
    </row>
    <row r="26" spans="1:3" x14ac:dyDescent="0.45">
      <c r="A26" s="9" t="s">
        <v>100</v>
      </c>
      <c r="B26" s="2">
        <v>8061.2099999999982</v>
      </c>
      <c r="C26" s="6">
        <v>4</v>
      </c>
    </row>
    <row r="27" spans="1:3" x14ac:dyDescent="0.45">
      <c r="A27" s="9" t="s">
        <v>152</v>
      </c>
      <c r="B27" s="2">
        <v>8055.2299999999959</v>
      </c>
      <c r="C27" s="6">
        <v>4.5373134328358207</v>
      </c>
    </row>
    <row r="28" spans="1:3" x14ac:dyDescent="0.45">
      <c r="A28" s="9" t="s">
        <v>58</v>
      </c>
      <c r="B28" s="2">
        <v>7698.5000000000009</v>
      </c>
      <c r="C28" s="6">
        <v>4.0491803278688527</v>
      </c>
    </row>
    <row r="29" spans="1:3" x14ac:dyDescent="0.45">
      <c r="A29" s="9" t="s">
        <v>125</v>
      </c>
      <c r="B29" s="2">
        <v>6892.6899999999923</v>
      </c>
      <c r="C29" s="6">
        <v>3.9097222222222223</v>
      </c>
    </row>
    <row r="30" spans="1:3" x14ac:dyDescent="0.45">
      <c r="A30" s="9" t="s">
        <v>269</v>
      </c>
      <c r="B30" s="2">
        <v>5916.8799999999983</v>
      </c>
      <c r="C30" s="6">
        <v>4.243243243243243</v>
      </c>
    </row>
    <row r="31" spans="1:3" x14ac:dyDescent="0.45">
      <c r="A31" s="9" t="s">
        <v>950</v>
      </c>
      <c r="B31" s="2">
        <v>5199.17</v>
      </c>
      <c r="C31" s="6">
        <v>3.5833333333333335</v>
      </c>
    </row>
    <row r="32" spans="1:3" x14ac:dyDescent="0.45">
      <c r="A32" s="9" t="s">
        <v>366</v>
      </c>
      <c r="B32" s="2">
        <v>4471.5199999999986</v>
      </c>
      <c r="C32" s="6">
        <v>4.2027027027027026</v>
      </c>
    </row>
    <row r="33" spans="1:3" x14ac:dyDescent="0.45">
      <c r="A33" s="9" t="s">
        <v>340</v>
      </c>
      <c r="B33" s="2">
        <v>4297</v>
      </c>
      <c r="C33" s="6">
        <v>3.6923076923076925</v>
      </c>
    </row>
    <row r="34" spans="1:3" x14ac:dyDescent="0.45">
      <c r="A34" s="9" t="s">
        <v>267</v>
      </c>
      <c r="B34" s="2">
        <v>3920.35</v>
      </c>
      <c r="C34" s="6">
        <v>4.1428571428571432</v>
      </c>
    </row>
    <row r="35" spans="1:3" x14ac:dyDescent="0.45">
      <c r="A35" s="9" t="s">
        <v>186</v>
      </c>
      <c r="B35" s="2">
        <v>3591.92</v>
      </c>
      <c r="C35" s="6">
        <v>4.2380952380952381</v>
      </c>
    </row>
    <row r="36" spans="1:3" x14ac:dyDescent="0.45">
      <c r="A36" s="9" t="s">
        <v>204</v>
      </c>
      <c r="B36" s="2">
        <v>3526.17</v>
      </c>
      <c r="C36" s="6">
        <v>4.8181818181818183</v>
      </c>
    </row>
    <row r="37" spans="1:3" x14ac:dyDescent="0.45">
      <c r="A37" s="9" t="s">
        <v>662</v>
      </c>
      <c r="B37" s="2">
        <v>3480.8700000000008</v>
      </c>
      <c r="C37" s="6">
        <v>4</v>
      </c>
    </row>
    <row r="38" spans="1:3" x14ac:dyDescent="0.45">
      <c r="A38" s="9" t="s">
        <v>3316</v>
      </c>
      <c r="B38" s="2">
        <v>3432.8</v>
      </c>
      <c r="C38" s="6">
        <v>4.5</v>
      </c>
    </row>
    <row r="39" spans="1:3" x14ac:dyDescent="0.45">
      <c r="A39" s="9" t="s">
        <v>76</v>
      </c>
      <c r="B39" s="2">
        <v>3393.48</v>
      </c>
      <c r="C39" s="6">
        <v>4.8666666666666663</v>
      </c>
    </row>
    <row r="40" spans="1:3" x14ac:dyDescent="0.45">
      <c r="A40" s="9" t="s">
        <v>1839</v>
      </c>
      <c r="B40" s="2">
        <v>3181.67</v>
      </c>
      <c r="C40" s="6">
        <v>3.5238095238095237</v>
      </c>
    </row>
    <row r="41" spans="1:3" x14ac:dyDescent="0.45">
      <c r="A41" s="9" t="s">
        <v>2079</v>
      </c>
      <c r="B41" s="2">
        <v>2278.7799999999997</v>
      </c>
      <c r="C41" s="6">
        <v>4.333333333333333</v>
      </c>
    </row>
    <row r="42" spans="1:3" x14ac:dyDescent="0.45">
      <c r="A42" s="9" t="s">
        <v>361</v>
      </c>
      <c r="B42" s="2">
        <v>1458.7</v>
      </c>
      <c r="C42" s="6">
        <v>5</v>
      </c>
    </row>
    <row r="43" spans="1:3" x14ac:dyDescent="0.45">
      <c r="A43" s="9" t="s">
        <v>173</v>
      </c>
      <c r="B43" s="2">
        <v>1365.9700000000003</v>
      </c>
      <c r="C43" s="6">
        <v>4.4761904761904763</v>
      </c>
    </row>
    <row r="44" spans="1:3" x14ac:dyDescent="0.45">
      <c r="A44" s="9" t="s">
        <v>118</v>
      </c>
      <c r="B44" s="2">
        <v>1355.2</v>
      </c>
      <c r="C44" s="6">
        <v>4.333333333333333</v>
      </c>
    </row>
    <row r="45" spans="1:3" x14ac:dyDescent="0.45">
      <c r="A45" s="9" t="s">
        <v>260</v>
      </c>
      <c r="B45" s="2">
        <v>1230.2300000000002</v>
      </c>
      <c r="C45" s="6">
        <v>4.5714285714285712</v>
      </c>
    </row>
    <row r="46" spans="1:3" x14ac:dyDescent="0.45">
      <c r="A46" s="9" t="s">
        <v>668</v>
      </c>
      <c r="B46" s="2">
        <v>1164.1000000000001</v>
      </c>
      <c r="C46" s="6">
        <v>3.6666666666666665</v>
      </c>
    </row>
    <row r="47" spans="1:3" x14ac:dyDescent="0.45">
      <c r="A47" s="9" t="s">
        <v>598</v>
      </c>
      <c r="B47" s="2">
        <v>1144.3000000000002</v>
      </c>
      <c r="C47" s="6">
        <v>3.7272727272727271</v>
      </c>
    </row>
    <row r="48" spans="1:3" x14ac:dyDescent="0.45">
      <c r="A48" s="9" t="s">
        <v>1056</v>
      </c>
      <c r="B48" s="2">
        <v>1106.19</v>
      </c>
      <c r="C48" s="6">
        <v>4.333333333333333</v>
      </c>
    </row>
    <row r="49" spans="1:3" x14ac:dyDescent="0.45">
      <c r="A49" s="9" t="s">
        <v>537</v>
      </c>
      <c r="B49" s="2">
        <v>1054.99</v>
      </c>
      <c r="C49" s="6">
        <v>3.8</v>
      </c>
    </row>
    <row r="50" spans="1:3" x14ac:dyDescent="0.45">
      <c r="A50" s="9" t="s">
        <v>1935</v>
      </c>
      <c r="B50" s="2">
        <v>1005.6200000000001</v>
      </c>
      <c r="C50" s="6">
        <v>4.2666666666666666</v>
      </c>
    </row>
    <row r="51" spans="1:3" x14ac:dyDescent="0.45">
      <c r="A51" s="9" t="s">
        <v>1903</v>
      </c>
      <c r="B51" s="2">
        <v>1003.21</v>
      </c>
      <c r="C51" s="6">
        <v>4.4705882352941178</v>
      </c>
    </row>
    <row r="52" spans="1:3" x14ac:dyDescent="0.45">
      <c r="A52" s="9" t="s">
        <v>1900</v>
      </c>
      <c r="B52" s="2">
        <v>995.69999999999993</v>
      </c>
      <c r="C52" s="6">
        <v>4.8571428571428568</v>
      </c>
    </row>
    <row r="53" spans="1:3" x14ac:dyDescent="0.45">
      <c r="A53" s="9" t="s">
        <v>3021</v>
      </c>
      <c r="B53" s="2">
        <v>988.84</v>
      </c>
      <c r="C53" s="6">
        <v>4.75</v>
      </c>
    </row>
    <row r="54" spans="1:3" x14ac:dyDescent="0.45">
      <c r="A54" s="9" t="s">
        <v>3470</v>
      </c>
      <c r="B54" s="2">
        <v>848.68</v>
      </c>
      <c r="C54" s="6">
        <v>5</v>
      </c>
    </row>
    <row r="55" spans="1:3" x14ac:dyDescent="0.45">
      <c r="A55" s="9" t="s">
        <v>1250</v>
      </c>
      <c r="B55" s="2">
        <v>787.59999999999991</v>
      </c>
      <c r="C55" s="6">
        <v>4.166666666666667</v>
      </c>
    </row>
    <row r="56" spans="1:3" x14ac:dyDescent="0.45">
      <c r="A56" s="9" t="s">
        <v>2467</v>
      </c>
      <c r="B56" s="2">
        <v>777.81999999999994</v>
      </c>
      <c r="C56" s="6">
        <v>3.3333333333333335</v>
      </c>
    </row>
    <row r="57" spans="1:3" x14ac:dyDescent="0.45">
      <c r="A57" s="9" t="s">
        <v>3816</v>
      </c>
      <c r="B57" s="2">
        <v>701.33999999999992</v>
      </c>
      <c r="C57" s="6">
        <v>4.5</v>
      </c>
    </row>
    <row r="58" spans="1:3" x14ac:dyDescent="0.45">
      <c r="A58" s="9" t="s">
        <v>123</v>
      </c>
      <c r="B58" s="2">
        <v>641.9</v>
      </c>
      <c r="C58" s="6">
        <v>5</v>
      </c>
    </row>
    <row r="59" spans="1:3" x14ac:dyDescent="0.45">
      <c r="A59" s="9" t="s">
        <v>1648</v>
      </c>
      <c r="B59" s="2">
        <v>593.2399999999999</v>
      </c>
      <c r="C59" s="6">
        <v>4.8571428571428568</v>
      </c>
    </row>
    <row r="60" spans="1:3" x14ac:dyDescent="0.45">
      <c r="A60" s="9" t="s">
        <v>481</v>
      </c>
      <c r="B60" s="2">
        <v>459.48</v>
      </c>
      <c r="C60" s="6">
        <v>4.333333333333333</v>
      </c>
    </row>
    <row r="61" spans="1:3" x14ac:dyDescent="0.45">
      <c r="A61" s="9" t="s">
        <v>2926</v>
      </c>
      <c r="B61" s="2">
        <v>399</v>
      </c>
      <c r="C61" s="6">
        <v>3.3333333333333335</v>
      </c>
    </row>
    <row r="62" spans="1:3" x14ac:dyDescent="0.45">
      <c r="A62" s="9" t="s">
        <v>1637</v>
      </c>
      <c r="B62" s="2">
        <v>325.89999999999998</v>
      </c>
      <c r="C62" s="6">
        <v>4.5999999999999996</v>
      </c>
    </row>
    <row r="63" spans="1:3" x14ac:dyDescent="0.45">
      <c r="A63" s="9" t="s">
        <v>1448</v>
      </c>
      <c r="B63" s="2">
        <v>311</v>
      </c>
      <c r="C63" s="6">
        <v>5</v>
      </c>
    </row>
    <row r="64" spans="1:3" x14ac:dyDescent="0.45">
      <c r="A64" s="9" t="s">
        <v>1499</v>
      </c>
      <c r="B64" s="2">
        <v>139</v>
      </c>
      <c r="C64" s="6">
        <v>5</v>
      </c>
    </row>
    <row r="65" spans="1:3" x14ac:dyDescent="0.45">
      <c r="A65" s="9" t="s">
        <v>748</v>
      </c>
      <c r="B65" s="2">
        <v>110</v>
      </c>
      <c r="C65" s="6">
        <v>5</v>
      </c>
    </row>
    <row r="66" spans="1:3" x14ac:dyDescent="0.45">
      <c r="A66" s="9" t="s">
        <v>4329</v>
      </c>
      <c r="B66" s="2">
        <v>73.8</v>
      </c>
      <c r="C66" s="6">
        <v>3</v>
      </c>
    </row>
    <row r="67" spans="1:3" x14ac:dyDescent="0.45">
      <c r="A67" s="9" t="s">
        <v>2798</v>
      </c>
      <c r="B67" s="2">
        <v>59.9</v>
      </c>
      <c r="C67" s="6">
        <v>5</v>
      </c>
    </row>
    <row r="68" spans="1:3" x14ac:dyDescent="0.45">
      <c r="A68" s="9" t="s">
        <v>1241</v>
      </c>
      <c r="B68" s="2">
        <v>45</v>
      </c>
      <c r="C68" s="6">
        <v>4</v>
      </c>
    </row>
    <row r="69" spans="1:3" x14ac:dyDescent="0.45">
      <c r="A69" s="9" t="s">
        <v>87</v>
      </c>
      <c r="B69" s="2">
        <v>34.869999999999997</v>
      </c>
      <c r="C69" s="6">
        <v>5</v>
      </c>
    </row>
    <row r="70" spans="1:3" x14ac:dyDescent="0.45">
      <c r="A70" s="9" t="s">
        <v>504</v>
      </c>
      <c r="B70" s="2">
        <v>12.9</v>
      </c>
      <c r="C70" s="6">
        <v>5</v>
      </c>
    </row>
    <row r="71" spans="1:3" x14ac:dyDescent="0.45">
      <c r="A71" s="9" t="s">
        <v>5781</v>
      </c>
      <c r="B71" s="2">
        <v>708478.56000001228</v>
      </c>
      <c r="C71" s="6">
        <v>4.1155165456012917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CB51-621B-4687-B8D3-8C7C50FCDE02}">
  <dimension ref="A3:C26"/>
  <sheetViews>
    <sheetView workbookViewId="0"/>
  </sheetViews>
  <sheetFormatPr defaultRowHeight="14.25" x14ac:dyDescent="0.45"/>
  <cols>
    <col min="1" max="1" width="12.06640625" bestFit="1" customWidth="1"/>
    <col min="2" max="2" width="7.86328125" bestFit="1" customWidth="1"/>
    <col min="3" max="3" width="6.265625" bestFit="1" customWidth="1"/>
  </cols>
  <sheetData>
    <row r="3" spans="1:3" x14ac:dyDescent="0.45">
      <c r="A3" s="8" t="s">
        <v>5780</v>
      </c>
      <c r="B3" t="s">
        <v>12</v>
      </c>
      <c r="C3" t="s">
        <v>11</v>
      </c>
    </row>
    <row r="4" spans="1:3" x14ac:dyDescent="0.45">
      <c r="A4" s="9" t="s">
        <v>41</v>
      </c>
      <c r="B4" s="2">
        <v>72.89</v>
      </c>
      <c r="C4" s="2">
        <v>1</v>
      </c>
    </row>
    <row r="5" spans="1:3" x14ac:dyDescent="0.45">
      <c r="A5" s="9" t="s">
        <v>48</v>
      </c>
      <c r="B5" s="2">
        <v>3045.1500000000005</v>
      </c>
      <c r="C5" s="2">
        <v>16</v>
      </c>
    </row>
    <row r="6" spans="1:3" x14ac:dyDescent="0.45">
      <c r="A6" s="9" t="s">
        <v>86</v>
      </c>
      <c r="B6" s="2">
        <v>5249.4599999999982</v>
      </c>
      <c r="C6" s="2">
        <v>48</v>
      </c>
    </row>
    <row r="7" spans="1:3" x14ac:dyDescent="0.45">
      <c r="A7" s="9" t="s">
        <v>177</v>
      </c>
      <c r="B7" s="2">
        <v>15745.43999999999</v>
      </c>
      <c r="C7" s="2">
        <v>85</v>
      </c>
    </row>
    <row r="8" spans="1:3" x14ac:dyDescent="0.45">
      <c r="A8" s="9" t="s">
        <v>306</v>
      </c>
      <c r="B8" s="2">
        <v>20527.760000000006</v>
      </c>
      <c r="C8" s="2">
        <v>136</v>
      </c>
    </row>
    <row r="9" spans="1:3" x14ac:dyDescent="0.45">
      <c r="A9" s="9" t="s">
        <v>476</v>
      </c>
      <c r="B9" s="2">
        <v>23997.950000000044</v>
      </c>
      <c r="C9" s="2">
        <v>125</v>
      </c>
    </row>
    <row r="10" spans="1:3" x14ac:dyDescent="0.45">
      <c r="A10" s="9" t="s">
        <v>637</v>
      </c>
      <c r="B10" s="2">
        <v>24362.810000000034</v>
      </c>
      <c r="C10" s="2">
        <v>178</v>
      </c>
    </row>
    <row r="11" spans="1:3" x14ac:dyDescent="0.45">
      <c r="A11" s="9" t="s">
        <v>852</v>
      </c>
      <c r="B11" s="2">
        <v>21248.01000000002</v>
      </c>
      <c r="C11" s="2">
        <v>154</v>
      </c>
    </row>
    <row r="12" spans="1:3" x14ac:dyDescent="0.45">
      <c r="A12" s="9" t="s">
        <v>1039</v>
      </c>
      <c r="B12" s="2">
        <v>22834.42000000002</v>
      </c>
      <c r="C12" s="2">
        <v>197</v>
      </c>
    </row>
    <row r="13" spans="1:3" x14ac:dyDescent="0.45">
      <c r="A13" s="9" t="s">
        <v>1271</v>
      </c>
      <c r="B13" s="2">
        <v>28483.180000000058</v>
      </c>
      <c r="C13" s="2">
        <v>235</v>
      </c>
    </row>
    <row r="14" spans="1:3" x14ac:dyDescent="0.45">
      <c r="A14" s="9" t="s">
        <v>1539</v>
      </c>
      <c r="B14" s="2">
        <v>39166.190000000046</v>
      </c>
      <c r="C14" s="2">
        <v>199</v>
      </c>
    </row>
    <row r="15" spans="1:3" x14ac:dyDescent="0.45">
      <c r="A15" s="9" t="s">
        <v>1772</v>
      </c>
      <c r="B15" s="2">
        <v>37725.040000000059</v>
      </c>
      <c r="C15" s="2">
        <v>218</v>
      </c>
    </row>
    <row r="16" spans="1:3" x14ac:dyDescent="0.45">
      <c r="A16" s="9" t="s">
        <v>2026</v>
      </c>
      <c r="B16" s="2">
        <v>57079.040000000154</v>
      </c>
      <c r="C16" s="2">
        <v>428</v>
      </c>
    </row>
    <row r="17" spans="1:3" x14ac:dyDescent="0.45">
      <c r="A17" s="9" t="s">
        <v>2487</v>
      </c>
      <c r="B17" s="2">
        <v>32829.93000000008</v>
      </c>
      <c r="C17" s="2">
        <v>258</v>
      </c>
    </row>
    <row r="18" spans="1:3" x14ac:dyDescent="0.45">
      <c r="A18" s="9" t="s">
        <v>2777</v>
      </c>
      <c r="B18" s="2">
        <v>52285.300000000119</v>
      </c>
      <c r="C18" s="2">
        <v>394</v>
      </c>
    </row>
    <row r="19" spans="1:3" x14ac:dyDescent="0.45">
      <c r="A19" s="9" t="s">
        <v>3206</v>
      </c>
      <c r="B19" s="2">
        <v>47500.880000000121</v>
      </c>
      <c r="C19" s="2">
        <v>356</v>
      </c>
    </row>
    <row r="20" spans="1:3" x14ac:dyDescent="0.45">
      <c r="A20" s="9" t="s">
        <v>3593</v>
      </c>
      <c r="B20" s="2">
        <v>45095.230000000054</v>
      </c>
      <c r="C20" s="2">
        <v>357</v>
      </c>
    </row>
    <row r="21" spans="1:3" x14ac:dyDescent="0.45">
      <c r="A21" s="9" t="s">
        <v>3983</v>
      </c>
      <c r="B21" s="2">
        <v>41564.160000000076</v>
      </c>
      <c r="C21" s="2">
        <v>344</v>
      </c>
    </row>
    <row r="22" spans="1:3" x14ac:dyDescent="0.45">
      <c r="A22" s="9" t="s">
        <v>4359</v>
      </c>
      <c r="B22" s="2">
        <v>50137.06000000007</v>
      </c>
      <c r="C22" s="2">
        <v>309</v>
      </c>
    </row>
    <row r="23" spans="1:3" x14ac:dyDescent="0.45">
      <c r="A23" s="9" t="s">
        <v>4700</v>
      </c>
      <c r="B23" s="2">
        <v>41637.260000000097</v>
      </c>
      <c r="C23" s="2">
        <v>335</v>
      </c>
    </row>
    <row r="24" spans="1:3" x14ac:dyDescent="0.45">
      <c r="A24" s="9" t="s">
        <v>5066</v>
      </c>
      <c r="B24" s="2">
        <v>48720.040000000074</v>
      </c>
      <c r="C24" s="2">
        <v>300</v>
      </c>
    </row>
    <row r="25" spans="1:3" x14ac:dyDescent="0.45">
      <c r="A25" s="9" t="s">
        <v>5398</v>
      </c>
      <c r="B25" s="2">
        <v>49171.360000000081</v>
      </c>
      <c r="C25" s="2">
        <v>327</v>
      </c>
    </row>
    <row r="26" spans="1:3" x14ac:dyDescent="0.45">
      <c r="A26" s="9" t="s">
        <v>5781</v>
      </c>
      <c r="B26" s="2">
        <v>708478.56000001437</v>
      </c>
      <c r="C26" s="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workbookViewId="0"/>
  </sheetViews>
  <sheetFormatPr defaultRowHeight="14.25" x14ac:dyDescent="0.45"/>
  <cols>
    <col min="1" max="1" width="26" customWidth="1"/>
    <col min="2" max="2" width="22" customWidth="1"/>
    <col min="3" max="3" width="12" customWidth="1"/>
    <col min="4" max="4" width="16" customWidth="1"/>
    <col min="5" max="5" width="18" customWidth="1"/>
    <col min="6" max="6" width="12" customWidth="1"/>
    <col min="7" max="7" width="14" customWidth="1"/>
  </cols>
  <sheetData>
    <row r="1" spans="1:7" ht="18" x14ac:dyDescent="0.55000000000000004">
      <c r="A1" s="1" t="s">
        <v>0</v>
      </c>
    </row>
    <row r="3" spans="1:7" x14ac:dyDescent="0.45">
      <c r="A3" t="s">
        <v>1</v>
      </c>
      <c r="B3" s="2">
        <f>COUNTA(Orders!$A$2:$A$5001)</f>
        <v>5000</v>
      </c>
    </row>
    <row r="4" spans="1:7" x14ac:dyDescent="0.45">
      <c r="A4" t="s">
        <v>2</v>
      </c>
      <c r="B4" s="2">
        <f>SUM(Orders!$G$2:$G$5001)</f>
        <v>708478.56000001437</v>
      </c>
    </row>
    <row r="5" spans="1:7" x14ac:dyDescent="0.45">
      <c r="A5" t="s">
        <v>3</v>
      </c>
      <c r="B5" s="3">
        <f>AVERAGE(Orders!$G$2:$G$5001)</f>
        <v>141.69571200000289</v>
      </c>
    </row>
    <row r="6" spans="1:7" x14ac:dyDescent="0.45">
      <c r="A6" t="s">
        <v>4</v>
      </c>
      <c r="B6" s="4">
        <f>AVERAGE(Orders!$J$2:$J$5001)</f>
        <v>12.191068515497554</v>
      </c>
    </row>
    <row r="7" spans="1:7" x14ac:dyDescent="0.45">
      <c r="A7" t="s">
        <v>5</v>
      </c>
      <c r="B7" s="5">
        <f>COUNTIF(Orders!$K$2:$K$5001,"Late")/COUNTIF(Orders!$K$2:$K$5001,"&lt;&gt;Not Delivered")</f>
        <v>8.1566068515497553E-2</v>
      </c>
    </row>
    <row r="8" spans="1:7" x14ac:dyDescent="0.45">
      <c r="A8" t="s">
        <v>6</v>
      </c>
      <c r="B8" s="6">
        <f>AVERAGE(Orders!$L$2:$L$5001)</f>
        <v>4.1155165456012917</v>
      </c>
    </row>
    <row r="9" spans="1:7" x14ac:dyDescent="0.45">
      <c r="A9" t="s">
        <v>7</v>
      </c>
      <c r="B9" s="6">
        <f>AVERAGEIFS(Orders!$L$2:$L$5001,Orders!$K$2:$K$5001,"On Time")</f>
        <v>4.3064300066979238</v>
      </c>
    </row>
    <row r="10" spans="1:7" x14ac:dyDescent="0.45">
      <c r="A10" t="s">
        <v>8</v>
      </c>
      <c r="B10" s="6">
        <f>AVERAGEIFS(Orders!$L$2:$L$5001,Orders!$K$2:$K$5001,"Late")</f>
        <v>2.480719794344473</v>
      </c>
    </row>
    <row r="13" spans="1:7" x14ac:dyDescent="0.45">
      <c r="A13" s="7" t="s">
        <v>9</v>
      </c>
      <c r="B13" s="7" t="s">
        <v>10</v>
      </c>
      <c r="C13" s="7" t="s">
        <v>11</v>
      </c>
      <c r="D13" s="7" t="s">
        <v>12</v>
      </c>
      <c r="E13" s="7" t="s">
        <v>13</v>
      </c>
      <c r="F13" s="7" t="s">
        <v>14</v>
      </c>
      <c r="G13" s="7" t="s">
        <v>15</v>
      </c>
    </row>
    <row r="14" spans="1:7" x14ac:dyDescent="0.45">
      <c r="A14" t="s">
        <v>16</v>
      </c>
      <c r="B14" t="str">
        <f>VLOOKUP(A14,State_Lookup!$A$2:$B$28,2,FALSE)</f>
        <v>Sao Paulo</v>
      </c>
      <c r="C14">
        <f>COUNTIFS(Orders!$D$2:$D$5001,A14)</f>
        <v>2072</v>
      </c>
      <c r="D14" s="2">
        <f>SUMIFS(Orders!$G$2:$G$5001,Orders!$D$2:$D$5001,A14)</f>
        <v>268206.49999999703</v>
      </c>
      <c r="E14" s="2">
        <f t="shared" ref="E14:E23" si="0">IFERROR(D14/C14,0)</f>
        <v>129.44329150579009</v>
      </c>
      <c r="F14" s="5">
        <f>IFERROR(COUNTIFS(Orders!$D$2:$D$5001,A14,Orders!$K$2:$K$5001,"Late")/C14,0)</f>
        <v>6.0328185328185326E-2</v>
      </c>
      <c r="G14" s="6">
        <f>IFERROR(AVERAGEIFS(Orders!$L$2:$L$5001,Orders!$D$2:$D$5001,A14),0)</f>
        <v>4.2192214111922137</v>
      </c>
    </row>
    <row r="15" spans="1:7" x14ac:dyDescent="0.45">
      <c r="A15" t="s">
        <v>17</v>
      </c>
      <c r="B15" t="str">
        <f>VLOOKUP(A15,State_Lookup!$A$2:$B$28,2,FALSE)</f>
        <v>Rio de Janeiro</v>
      </c>
      <c r="C15">
        <f>COUNTIFS(Orders!$D$2:$D$5001,A15)</f>
        <v>661</v>
      </c>
      <c r="D15" s="2">
        <f>SUMIFS(Orders!$G$2:$G$5001,Orders!$D$2:$D$5001,A15)</f>
        <v>113982.92999999964</v>
      </c>
      <c r="E15" s="2">
        <f t="shared" si="0"/>
        <v>172.44013615733684</v>
      </c>
      <c r="F15" s="5">
        <f>IFERROR(COUNTIFS(Orders!$D$2:$D$5001,A15,Orders!$K$2:$K$5001,"Late")/C15,0)</f>
        <v>0.13313161875945537</v>
      </c>
      <c r="G15" s="6">
        <f>IFERROR(AVERAGEIFS(Orders!$L$2:$L$5001,Orders!$D$2:$D$5001,A15),0)</f>
        <v>3.899390243902439</v>
      </c>
    </row>
    <row r="16" spans="1:7" x14ac:dyDescent="0.45">
      <c r="A16" t="s">
        <v>18</v>
      </c>
      <c r="B16" t="str">
        <f>VLOOKUP(A16,State_Lookup!$A$2:$B$28,2,FALSE)</f>
        <v>Minas Gerais</v>
      </c>
      <c r="C16">
        <f>COUNTIFS(Orders!$D$2:$D$5001,A16)</f>
        <v>578</v>
      </c>
      <c r="D16" s="2">
        <f>SUMIFS(Orders!$G$2:$G$5001,Orders!$D$2:$D$5001,A16)</f>
        <v>79668.420000000071</v>
      </c>
      <c r="E16" s="2">
        <f t="shared" si="0"/>
        <v>137.83463667820081</v>
      </c>
      <c r="F16" s="5">
        <f>IFERROR(COUNTIFS(Orders!$D$2:$D$5001,A16,Orders!$K$2:$K$5001,"Late")/C16,0)</f>
        <v>5.3633217993079588E-2</v>
      </c>
      <c r="G16" s="6">
        <f>IFERROR(AVERAGEIFS(Orders!$L$2:$L$5001,Orders!$D$2:$D$5001,A16),0)</f>
        <v>4.1931818181818183</v>
      </c>
    </row>
    <row r="17" spans="1:7" x14ac:dyDescent="0.45">
      <c r="A17" t="s">
        <v>19</v>
      </c>
      <c r="B17" t="str">
        <f>VLOOKUP(A17,State_Lookup!$A$2:$B$28,2,FALSE)</f>
        <v>Rio Grande do Sul</v>
      </c>
      <c r="C17">
        <f>COUNTIFS(Orders!$D$2:$D$5001,A17)</f>
        <v>274</v>
      </c>
      <c r="D17" s="2">
        <f>SUMIFS(Orders!$G$2:$G$5001,Orders!$D$2:$D$5001,A17)</f>
        <v>38312.260000000046</v>
      </c>
      <c r="E17" s="2">
        <f t="shared" si="0"/>
        <v>139.82576642335783</v>
      </c>
      <c r="F17" s="5">
        <f>IFERROR(COUNTIFS(Orders!$D$2:$D$5001,A17,Orders!$K$2:$K$5001,"Late")/C17,0)</f>
        <v>5.4744525547445258E-2</v>
      </c>
      <c r="G17" s="6">
        <f>IFERROR(AVERAGEIFS(Orders!$L$2:$L$5001,Orders!$D$2:$D$5001,A17),0)</f>
        <v>4.1881918819188195</v>
      </c>
    </row>
    <row r="18" spans="1:7" x14ac:dyDescent="0.45">
      <c r="A18" t="s">
        <v>20</v>
      </c>
      <c r="B18" t="str">
        <f>VLOOKUP(A18,State_Lookup!$A$2:$B$28,2,FALSE)</f>
        <v>Parana</v>
      </c>
      <c r="C18">
        <f>COUNTIFS(Orders!$D$2:$D$5001,A18)</f>
        <v>275</v>
      </c>
      <c r="D18" s="2">
        <f>SUMIFS(Orders!$G$2:$G$5001,Orders!$D$2:$D$5001,A18)</f>
        <v>34689.790000000045</v>
      </c>
      <c r="E18" s="2">
        <f t="shared" si="0"/>
        <v>126.14469090909107</v>
      </c>
      <c r="F18" s="5">
        <f>IFERROR(COUNTIFS(Orders!$D$2:$D$5001,A18,Orders!$K$2:$K$5001,"Late")/C18,0)</f>
        <v>5.8181818181818182E-2</v>
      </c>
      <c r="G18" s="6">
        <f>IFERROR(AVERAGEIFS(Orders!$L$2:$L$5001,Orders!$D$2:$D$5001,A18),0)</f>
        <v>4.0512820512820511</v>
      </c>
    </row>
    <row r="19" spans="1:7" x14ac:dyDescent="0.45">
      <c r="A19" t="s">
        <v>21</v>
      </c>
      <c r="B19" t="str">
        <f>VLOOKUP(A19,State_Lookup!$A$2:$B$28,2,FALSE)</f>
        <v>Santa Catarina</v>
      </c>
      <c r="C19">
        <f>COUNTIFS(Orders!$D$2:$D$5001,A19)</f>
        <v>206</v>
      </c>
      <c r="D19" s="2">
        <f>SUMIFS(Orders!$G$2:$G$5001,Orders!$D$2:$D$5001,A19)</f>
        <v>26254.660000000029</v>
      </c>
      <c r="E19" s="2">
        <f t="shared" si="0"/>
        <v>127.44980582524286</v>
      </c>
      <c r="F19" s="5">
        <f>IFERROR(COUNTIFS(Orders!$D$2:$D$5001,A19,Orders!$K$2:$K$5001,"Late")/C19,0)</f>
        <v>8.7378640776699032E-2</v>
      </c>
      <c r="G19" s="6">
        <f>IFERROR(AVERAGEIFS(Orders!$L$2:$L$5001,Orders!$D$2:$D$5001,A19),0)</f>
        <v>4.0637254901960782</v>
      </c>
    </row>
    <row r="20" spans="1:7" x14ac:dyDescent="0.45">
      <c r="A20" t="s">
        <v>22</v>
      </c>
      <c r="B20" t="str">
        <f>VLOOKUP(A20,State_Lookup!$A$2:$B$28,2,FALSE)</f>
        <v>Bahia</v>
      </c>
      <c r="C20">
        <f>COUNTIFS(Orders!$D$2:$D$5001,A20)</f>
        <v>176</v>
      </c>
      <c r="D20" s="2">
        <f>SUMIFS(Orders!$G$2:$G$5001,Orders!$D$2:$D$5001,A20)</f>
        <v>25237.680000000026</v>
      </c>
      <c r="E20" s="2">
        <f t="shared" si="0"/>
        <v>143.39590909090924</v>
      </c>
      <c r="F20" s="5">
        <f>IFERROR(COUNTIFS(Orders!$D$2:$D$5001,A20,Orders!$K$2:$K$5001,"Late")/C20,0)</f>
        <v>0.14204545454545456</v>
      </c>
      <c r="G20" s="6">
        <f>IFERROR(AVERAGEIFS(Orders!$L$2:$L$5001,Orders!$D$2:$D$5001,A20),0)</f>
        <v>4.0402298850574709</v>
      </c>
    </row>
    <row r="21" spans="1:7" x14ac:dyDescent="0.45">
      <c r="A21" t="s">
        <v>23</v>
      </c>
      <c r="B21" t="str">
        <f>VLOOKUP(A21,State_Lookup!$A$2:$B$28,2,FALSE)</f>
        <v>Espirito Santo</v>
      </c>
      <c r="C21">
        <f>COUNTIFS(Orders!$D$2:$D$5001,A21)</f>
        <v>95</v>
      </c>
      <c r="D21" s="2">
        <f>SUMIFS(Orders!$G$2:$G$5001,Orders!$D$2:$D$5001,A21)</f>
        <v>17825.27</v>
      </c>
      <c r="E21" s="2">
        <f t="shared" si="0"/>
        <v>187.63442105263158</v>
      </c>
      <c r="F21" s="5">
        <f>IFERROR(COUNTIFS(Orders!$D$2:$D$5001,A21,Orders!$K$2:$K$5001,"Late")/C21,0)</f>
        <v>0.15789473684210525</v>
      </c>
      <c r="G21" s="6">
        <f>IFERROR(AVERAGEIFS(Orders!$L$2:$L$5001,Orders!$D$2:$D$5001,A21),0)</f>
        <v>3.7446808510638299</v>
      </c>
    </row>
    <row r="22" spans="1:7" x14ac:dyDescent="0.45">
      <c r="A22" t="s">
        <v>24</v>
      </c>
      <c r="B22" t="str">
        <f>VLOOKUP(A22,State_Lookup!$A$2:$B$28,2,FALSE)</f>
        <v>Distrito Federal</v>
      </c>
      <c r="C22">
        <f>COUNTIFS(Orders!$D$2:$D$5001,A22)</f>
        <v>105</v>
      </c>
      <c r="D22" s="2">
        <f>SUMIFS(Orders!$G$2:$G$5001,Orders!$D$2:$D$5001,A22)</f>
        <v>15968.269999999982</v>
      </c>
      <c r="E22" s="2">
        <f t="shared" si="0"/>
        <v>152.07876190476173</v>
      </c>
      <c r="F22" s="5">
        <f>IFERROR(COUNTIFS(Orders!$D$2:$D$5001,A22,Orders!$K$2:$K$5001,"Late")/C22,0)</f>
        <v>7.6190476190476197E-2</v>
      </c>
      <c r="G22" s="6">
        <f>IFERROR(AVERAGEIFS(Orders!$L$2:$L$5001,Orders!$D$2:$D$5001,A22),0)</f>
        <v>3.9047619047619047</v>
      </c>
    </row>
    <row r="23" spans="1:7" x14ac:dyDescent="0.45">
      <c r="A23" t="s">
        <v>25</v>
      </c>
      <c r="B23" t="str">
        <f>VLOOKUP(A23,State_Lookup!$A$2:$B$28,2,FALSE)</f>
        <v>Goias</v>
      </c>
      <c r="C23">
        <f>COUNTIFS(Orders!$D$2:$D$5001,A23)</f>
        <v>96</v>
      </c>
      <c r="D23" s="2">
        <f>SUMIFS(Orders!$G$2:$G$5001,Orders!$D$2:$D$5001,A23)</f>
        <v>14800.139999999989</v>
      </c>
      <c r="E23" s="2">
        <f t="shared" si="0"/>
        <v>154.16812499999989</v>
      </c>
      <c r="F23" s="5">
        <f>IFERROR(COUNTIFS(Orders!$D$2:$D$5001,A23,Orders!$K$2:$K$5001,"Late")/C23,0)</f>
        <v>8.3333333333333329E-2</v>
      </c>
      <c r="G23" s="6">
        <f>IFERROR(AVERAGEIFS(Orders!$L$2:$L$5001,Orders!$D$2:$D$5001,A23),0)</f>
        <v>4.140625</v>
      </c>
    </row>
  </sheetData>
  <conditionalFormatting sqref="D14:D23">
    <cfRule type="dataBar" priority="1">
      <dataBar>
        <cfvo type="min"/>
        <cfvo type="max"/>
        <color rgb="FF5B9BD5"/>
      </dataBar>
    </cfRule>
  </conditionalFormatting>
  <conditionalFormatting sqref="F14:F23">
    <cfRule type="colorScale" priority="2">
      <colorScale>
        <cfvo type="min"/>
        <cfvo type="max"/>
        <color rgb="FF63BE7B"/>
        <color rgb="FFF8696B"/>
      </colorScale>
    </cfRule>
  </conditionalFormatting>
  <conditionalFormatting sqref="G14:G23">
    <cfRule type="colorScale" priority="3">
      <colorScale>
        <cfvo type="min"/>
        <cfvo type="max"/>
        <color rgb="FFF8696B"/>
        <color rgb="FF63BE7B"/>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01"/>
  <sheetViews>
    <sheetView workbookViewId="0">
      <pane ySplit="1" topLeftCell="A2" activePane="bottomLeft" state="frozen"/>
      <selection pane="bottomLeft"/>
    </sheetView>
  </sheetViews>
  <sheetFormatPr defaultRowHeight="14.25" x14ac:dyDescent="0.45"/>
  <cols>
    <col min="1" max="13" width="18" customWidth="1"/>
  </cols>
  <sheetData>
    <row r="1" spans="1:13" x14ac:dyDescent="0.45">
      <c r="A1" s="7" t="s">
        <v>26</v>
      </c>
      <c r="B1" s="7" t="s">
        <v>27</v>
      </c>
      <c r="C1" s="7" t="s">
        <v>28</v>
      </c>
      <c r="D1" s="7" t="s">
        <v>29</v>
      </c>
      <c r="E1" s="7" t="s">
        <v>30</v>
      </c>
      <c r="F1" s="7" t="s">
        <v>31</v>
      </c>
      <c r="G1" s="7" t="s">
        <v>32</v>
      </c>
      <c r="H1" s="7" t="s">
        <v>33</v>
      </c>
      <c r="I1" s="7" t="s">
        <v>34</v>
      </c>
      <c r="J1" s="7" t="s">
        <v>35</v>
      </c>
      <c r="K1" s="7" t="s">
        <v>36</v>
      </c>
      <c r="L1" s="7" t="s">
        <v>37</v>
      </c>
      <c r="M1" s="7" t="s">
        <v>38</v>
      </c>
    </row>
    <row r="2" spans="1:13" x14ac:dyDescent="0.45">
      <c r="A2" t="s">
        <v>39</v>
      </c>
      <c r="B2" t="s">
        <v>40</v>
      </c>
      <c r="C2" t="s">
        <v>41</v>
      </c>
      <c r="D2" t="s">
        <v>42</v>
      </c>
      <c r="E2" t="s">
        <v>43</v>
      </c>
      <c r="F2">
        <v>2</v>
      </c>
      <c r="G2">
        <v>72.89</v>
      </c>
      <c r="H2">
        <v>63.34</v>
      </c>
      <c r="I2" t="s">
        <v>44</v>
      </c>
      <c r="K2" t="s">
        <v>45</v>
      </c>
      <c r="L2">
        <v>1</v>
      </c>
      <c r="M2" t="str">
        <f>VLOOKUP(D2,State_Lookup!$A$2:$B$28,2,FALSE)</f>
        <v>Roraima</v>
      </c>
    </row>
    <row r="3" spans="1:13" x14ac:dyDescent="0.45">
      <c r="A3" t="s">
        <v>46</v>
      </c>
      <c r="B3" t="s">
        <v>47</v>
      </c>
      <c r="C3" t="s">
        <v>48</v>
      </c>
      <c r="D3" t="s">
        <v>19</v>
      </c>
      <c r="E3" t="s">
        <v>49</v>
      </c>
      <c r="F3">
        <v>1</v>
      </c>
      <c r="G3">
        <v>36.49</v>
      </c>
      <c r="H3">
        <v>17.239999999999998</v>
      </c>
      <c r="I3" t="s">
        <v>50</v>
      </c>
      <c r="J3">
        <v>30</v>
      </c>
      <c r="K3" t="s">
        <v>51</v>
      </c>
      <c r="L3">
        <v>3</v>
      </c>
      <c r="M3" t="str">
        <f>VLOOKUP(D3,State_Lookup!$A$2:$B$28,2,FALSE)</f>
        <v>Rio Grande do Sul</v>
      </c>
    </row>
    <row r="4" spans="1:13" x14ac:dyDescent="0.45">
      <c r="A4" t="s">
        <v>52</v>
      </c>
      <c r="B4" t="s">
        <v>47</v>
      </c>
      <c r="C4" t="s">
        <v>48</v>
      </c>
      <c r="D4" t="s">
        <v>25</v>
      </c>
      <c r="E4" t="s">
        <v>53</v>
      </c>
      <c r="F4">
        <v>1</v>
      </c>
      <c r="G4">
        <v>128.9</v>
      </c>
      <c r="H4">
        <v>25.67</v>
      </c>
      <c r="I4" t="s">
        <v>44</v>
      </c>
      <c r="J4">
        <v>30</v>
      </c>
      <c r="K4" t="s">
        <v>51</v>
      </c>
      <c r="L4">
        <v>5</v>
      </c>
      <c r="M4" t="str">
        <f>VLOOKUP(D4,State_Lookup!$A$2:$B$28,2,FALSE)</f>
        <v>Goias</v>
      </c>
    </row>
    <row r="5" spans="1:13" x14ac:dyDescent="0.45">
      <c r="A5" t="s">
        <v>54</v>
      </c>
      <c r="B5" t="s">
        <v>55</v>
      </c>
      <c r="C5" t="s">
        <v>48</v>
      </c>
      <c r="D5" t="s">
        <v>16</v>
      </c>
      <c r="E5" t="s">
        <v>53</v>
      </c>
      <c r="F5">
        <v>1</v>
      </c>
      <c r="G5">
        <v>129.9</v>
      </c>
      <c r="H5">
        <v>12.44</v>
      </c>
      <c r="I5" t="s">
        <v>44</v>
      </c>
      <c r="K5" t="s">
        <v>45</v>
      </c>
      <c r="L5">
        <v>5</v>
      </c>
      <c r="M5" t="str">
        <f>VLOOKUP(D5,State_Lookup!$A$2:$B$28,2,FALSE)</f>
        <v>Sao Paulo</v>
      </c>
    </row>
    <row r="6" spans="1:13" x14ac:dyDescent="0.45">
      <c r="A6" t="s">
        <v>56</v>
      </c>
      <c r="B6" t="s">
        <v>55</v>
      </c>
      <c r="C6" t="s">
        <v>48</v>
      </c>
      <c r="D6" t="s">
        <v>16</v>
      </c>
      <c r="E6" t="s">
        <v>43</v>
      </c>
      <c r="F6">
        <v>1</v>
      </c>
      <c r="G6">
        <v>139.9</v>
      </c>
      <c r="H6">
        <v>21.34</v>
      </c>
      <c r="I6" t="s">
        <v>44</v>
      </c>
      <c r="J6">
        <v>8</v>
      </c>
      <c r="K6" t="s">
        <v>51</v>
      </c>
      <c r="L6">
        <v>5</v>
      </c>
      <c r="M6" t="str">
        <f>VLOOKUP(D6,State_Lookup!$A$2:$B$28,2,FALSE)</f>
        <v>Sao Paulo</v>
      </c>
    </row>
    <row r="7" spans="1:13" x14ac:dyDescent="0.45">
      <c r="A7" t="s">
        <v>57</v>
      </c>
      <c r="B7" t="s">
        <v>55</v>
      </c>
      <c r="C7" t="s">
        <v>48</v>
      </c>
      <c r="D7" t="s">
        <v>17</v>
      </c>
      <c r="E7" t="s">
        <v>58</v>
      </c>
      <c r="F7">
        <v>1</v>
      </c>
      <c r="G7">
        <v>949.99</v>
      </c>
      <c r="H7">
        <v>29.92</v>
      </c>
      <c r="I7" t="s">
        <v>44</v>
      </c>
      <c r="J7">
        <v>43</v>
      </c>
      <c r="K7" t="s">
        <v>51</v>
      </c>
      <c r="L7">
        <v>5</v>
      </c>
      <c r="M7" t="str">
        <f>VLOOKUP(D7,State_Lookup!$A$2:$B$28,2,FALSE)</f>
        <v>Rio de Janeiro</v>
      </c>
    </row>
    <row r="8" spans="1:13" x14ac:dyDescent="0.45">
      <c r="A8" t="s">
        <v>59</v>
      </c>
      <c r="B8" t="s">
        <v>60</v>
      </c>
      <c r="C8" t="s">
        <v>48</v>
      </c>
      <c r="D8" t="s">
        <v>20</v>
      </c>
      <c r="E8" t="s">
        <v>61</v>
      </c>
      <c r="F8">
        <v>1</v>
      </c>
      <c r="G8">
        <v>43.89</v>
      </c>
      <c r="H8">
        <v>14.52</v>
      </c>
      <c r="I8" t="s">
        <v>44</v>
      </c>
      <c r="J8">
        <v>12</v>
      </c>
      <c r="K8" t="s">
        <v>51</v>
      </c>
      <c r="L8">
        <v>5</v>
      </c>
      <c r="M8" t="str">
        <f>VLOOKUP(D8,State_Lookup!$A$2:$B$28,2,FALSE)</f>
        <v>Parana</v>
      </c>
    </row>
    <row r="9" spans="1:13" x14ac:dyDescent="0.45">
      <c r="A9" t="s">
        <v>62</v>
      </c>
      <c r="B9" t="s">
        <v>60</v>
      </c>
      <c r="C9" t="s">
        <v>48</v>
      </c>
      <c r="D9" t="s">
        <v>63</v>
      </c>
      <c r="E9" t="s">
        <v>64</v>
      </c>
      <c r="F9">
        <v>1</v>
      </c>
      <c r="G9">
        <v>249.9</v>
      </c>
      <c r="H9">
        <v>23.87</v>
      </c>
      <c r="I9" t="s">
        <v>44</v>
      </c>
      <c r="J9">
        <v>30</v>
      </c>
      <c r="K9" t="s">
        <v>51</v>
      </c>
      <c r="L9">
        <v>5</v>
      </c>
      <c r="M9" t="str">
        <f>VLOOKUP(D9,State_Lookup!$A$2:$B$28,2,FALSE)</f>
        <v>Pernambuco</v>
      </c>
    </row>
    <row r="10" spans="1:13" x14ac:dyDescent="0.45">
      <c r="A10" t="s">
        <v>65</v>
      </c>
      <c r="B10" t="s">
        <v>60</v>
      </c>
      <c r="C10" t="s">
        <v>48</v>
      </c>
      <c r="D10" t="s">
        <v>18</v>
      </c>
      <c r="E10" t="s">
        <v>66</v>
      </c>
      <c r="F10">
        <v>2</v>
      </c>
      <c r="G10">
        <v>79.8</v>
      </c>
      <c r="H10">
        <v>29.04</v>
      </c>
      <c r="I10" t="s">
        <v>44</v>
      </c>
      <c r="J10">
        <v>21</v>
      </c>
      <c r="K10" t="s">
        <v>51</v>
      </c>
      <c r="L10">
        <v>4</v>
      </c>
      <c r="M10" t="str">
        <f>VLOOKUP(D10,State_Lookup!$A$2:$B$28,2,FALSE)</f>
        <v>Minas Gerais</v>
      </c>
    </row>
    <row r="11" spans="1:13" x14ac:dyDescent="0.45">
      <c r="A11" t="s">
        <v>67</v>
      </c>
      <c r="B11" t="s">
        <v>68</v>
      </c>
      <c r="C11" t="s">
        <v>48</v>
      </c>
      <c r="D11" t="s">
        <v>20</v>
      </c>
      <c r="E11" t="s">
        <v>69</v>
      </c>
      <c r="F11">
        <v>1</v>
      </c>
      <c r="G11">
        <v>139.99</v>
      </c>
      <c r="H11">
        <v>16.23</v>
      </c>
      <c r="I11" t="s">
        <v>44</v>
      </c>
      <c r="J11">
        <v>7</v>
      </c>
      <c r="K11" t="s">
        <v>51</v>
      </c>
      <c r="L11">
        <v>5</v>
      </c>
      <c r="M11" t="str">
        <f>VLOOKUP(D11,State_Lookup!$A$2:$B$28,2,FALSE)</f>
        <v>Parana</v>
      </c>
    </row>
    <row r="12" spans="1:13" x14ac:dyDescent="0.45">
      <c r="A12" t="s">
        <v>70</v>
      </c>
      <c r="B12" t="s">
        <v>68</v>
      </c>
      <c r="C12" t="s">
        <v>48</v>
      </c>
      <c r="D12" t="s">
        <v>21</v>
      </c>
      <c r="E12" t="s">
        <v>43</v>
      </c>
      <c r="F12">
        <v>1</v>
      </c>
      <c r="G12">
        <v>59.9</v>
      </c>
      <c r="H12">
        <v>25.92</v>
      </c>
      <c r="I12" t="s">
        <v>44</v>
      </c>
      <c r="J12">
        <v>17</v>
      </c>
      <c r="K12" t="s">
        <v>51</v>
      </c>
      <c r="L12">
        <v>4</v>
      </c>
      <c r="M12" t="str">
        <f>VLOOKUP(D12,State_Lookup!$A$2:$B$28,2,FALSE)</f>
        <v>Santa Catarina</v>
      </c>
    </row>
    <row r="13" spans="1:13" x14ac:dyDescent="0.45">
      <c r="A13" t="s">
        <v>71</v>
      </c>
      <c r="B13" t="s">
        <v>68</v>
      </c>
      <c r="C13" t="s">
        <v>48</v>
      </c>
      <c r="D13" t="s">
        <v>20</v>
      </c>
      <c r="E13" t="s">
        <v>49</v>
      </c>
      <c r="F13">
        <v>1</v>
      </c>
      <c r="G13">
        <v>18.899999999999999</v>
      </c>
      <c r="H13">
        <v>14.52</v>
      </c>
      <c r="I13" t="s">
        <v>44</v>
      </c>
      <c r="J13">
        <v>17</v>
      </c>
      <c r="K13" t="s">
        <v>51</v>
      </c>
      <c r="L13">
        <v>4</v>
      </c>
      <c r="M13" t="str">
        <f>VLOOKUP(D13,State_Lookup!$A$2:$B$28,2,FALSE)</f>
        <v>Parana</v>
      </c>
    </row>
    <row r="14" spans="1:13" x14ac:dyDescent="0.45">
      <c r="A14" t="s">
        <v>72</v>
      </c>
      <c r="B14" t="s">
        <v>73</v>
      </c>
      <c r="C14" t="s">
        <v>48</v>
      </c>
      <c r="D14" t="s">
        <v>17</v>
      </c>
      <c r="E14" t="s">
        <v>64</v>
      </c>
      <c r="F14">
        <v>1</v>
      </c>
      <c r="G14">
        <v>249.9</v>
      </c>
      <c r="H14">
        <v>14.03</v>
      </c>
      <c r="I14" t="s">
        <v>44</v>
      </c>
      <c r="J14">
        <v>7</v>
      </c>
      <c r="K14" t="s">
        <v>51</v>
      </c>
      <c r="L14">
        <v>1</v>
      </c>
      <c r="M14" t="str">
        <f>VLOOKUP(D14,State_Lookup!$A$2:$B$28,2,FALSE)</f>
        <v>Rio de Janeiro</v>
      </c>
    </row>
    <row r="15" spans="1:13" x14ac:dyDescent="0.45">
      <c r="A15" t="s">
        <v>74</v>
      </c>
      <c r="B15" t="s">
        <v>75</v>
      </c>
      <c r="C15" t="s">
        <v>48</v>
      </c>
      <c r="D15" t="s">
        <v>16</v>
      </c>
      <c r="E15" t="s">
        <v>76</v>
      </c>
      <c r="F15">
        <v>2</v>
      </c>
      <c r="G15">
        <v>179.8</v>
      </c>
      <c r="H15">
        <v>27.42</v>
      </c>
      <c r="I15" t="s">
        <v>44</v>
      </c>
      <c r="J15">
        <v>12</v>
      </c>
      <c r="K15" t="s">
        <v>51</v>
      </c>
      <c r="L15">
        <v>4</v>
      </c>
      <c r="M15" t="str">
        <f>VLOOKUP(D15,State_Lookup!$A$2:$B$28,2,FALSE)</f>
        <v>Sao Paulo</v>
      </c>
    </row>
    <row r="16" spans="1:13" x14ac:dyDescent="0.45">
      <c r="A16" t="s">
        <v>77</v>
      </c>
      <c r="B16" t="s">
        <v>78</v>
      </c>
      <c r="C16" t="s">
        <v>48</v>
      </c>
      <c r="D16" t="s">
        <v>21</v>
      </c>
      <c r="E16" t="s">
        <v>79</v>
      </c>
      <c r="F16">
        <v>1</v>
      </c>
      <c r="G16">
        <v>29.9</v>
      </c>
      <c r="H16">
        <v>14.59</v>
      </c>
      <c r="I16" t="s">
        <v>44</v>
      </c>
      <c r="J16">
        <v>7</v>
      </c>
      <c r="K16" t="s">
        <v>51</v>
      </c>
      <c r="L16">
        <v>5</v>
      </c>
      <c r="M16" t="str">
        <f>VLOOKUP(D16,State_Lookup!$A$2:$B$28,2,FALSE)</f>
        <v>Santa Catarina</v>
      </c>
    </row>
    <row r="17" spans="1:13" x14ac:dyDescent="0.45">
      <c r="A17" t="s">
        <v>80</v>
      </c>
      <c r="B17" t="s">
        <v>78</v>
      </c>
      <c r="C17" t="s">
        <v>48</v>
      </c>
      <c r="D17" t="s">
        <v>16</v>
      </c>
      <c r="E17" t="s">
        <v>53</v>
      </c>
      <c r="F17">
        <v>1</v>
      </c>
      <c r="G17">
        <v>549.99</v>
      </c>
      <c r="H17">
        <v>63.79</v>
      </c>
      <c r="I17" t="s">
        <v>44</v>
      </c>
      <c r="J17">
        <v>9</v>
      </c>
      <c r="K17" t="s">
        <v>51</v>
      </c>
      <c r="L17">
        <v>4</v>
      </c>
      <c r="M17" t="str">
        <f>VLOOKUP(D17,State_Lookup!$A$2:$B$28,2,FALSE)</f>
        <v>Sao Paulo</v>
      </c>
    </row>
    <row r="18" spans="1:13" x14ac:dyDescent="0.45">
      <c r="A18" t="s">
        <v>81</v>
      </c>
      <c r="B18" t="s">
        <v>82</v>
      </c>
      <c r="C18" t="s">
        <v>48</v>
      </c>
      <c r="D18" t="s">
        <v>83</v>
      </c>
      <c r="E18" t="s">
        <v>58</v>
      </c>
      <c r="F18">
        <v>1</v>
      </c>
      <c r="G18">
        <v>58</v>
      </c>
      <c r="H18">
        <v>21.99</v>
      </c>
      <c r="I18" t="s">
        <v>50</v>
      </c>
      <c r="J18">
        <v>48</v>
      </c>
      <c r="K18" t="s">
        <v>51</v>
      </c>
      <c r="L18">
        <v>4</v>
      </c>
      <c r="M18" t="str">
        <f>VLOOKUP(D18,State_Lookup!$A$2:$B$28,2,FALSE)</f>
        <v>Sergipe</v>
      </c>
    </row>
    <row r="19" spans="1:13" x14ac:dyDescent="0.45">
      <c r="A19" t="s">
        <v>84</v>
      </c>
      <c r="B19" t="s">
        <v>85</v>
      </c>
      <c r="C19" t="s">
        <v>86</v>
      </c>
      <c r="D19" t="s">
        <v>20</v>
      </c>
      <c r="E19" t="s">
        <v>87</v>
      </c>
      <c r="F19">
        <v>1</v>
      </c>
      <c r="G19">
        <v>9.9</v>
      </c>
      <c r="H19">
        <v>8.7200000000000006</v>
      </c>
      <c r="I19" t="s">
        <v>50</v>
      </c>
      <c r="J19">
        <v>12</v>
      </c>
      <c r="K19" t="s">
        <v>51</v>
      </c>
      <c r="L19">
        <v>5</v>
      </c>
      <c r="M19" t="str">
        <f>VLOOKUP(D19,State_Lookup!$A$2:$B$28,2,FALSE)</f>
        <v>Parana</v>
      </c>
    </row>
    <row r="20" spans="1:13" x14ac:dyDescent="0.45">
      <c r="A20" t="s">
        <v>88</v>
      </c>
      <c r="B20" t="s">
        <v>89</v>
      </c>
      <c r="C20" t="s">
        <v>86</v>
      </c>
      <c r="D20" t="s">
        <v>16</v>
      </c>
      <c r="E20" t="s">
        <v>49</v>
      </c>
      <c r="F20">
        <v>1</v>
      </c>
      <c r="G20">
        <v>129</v>
      </c>
      <c r="H20">
        <v>22.37</v>
      </c>
      <c r="I20" t="s">
        <v>50</v>
      </c>
      <c r="J20">
        <v>8</v>
      </c>
      <c r="K20" t="s">
        <v>51</v>
      </c>
      <c r="L20">
        <v>1</v>
      </c>
      <c r="M20" t="str">
        <f>VLOOKUP(D20,State_Lookup!$A$2:$B$28,2,FALSE)</f>
        <v>Sao Paulo</v>
      </c>
    </row>
    <row r="21" spans="1:13" x14ac:dyDescent="0.45">
      <c r="A21" t="s">
        <v>90</v>
      </c>
      <c r="B21" t="s">
        <v>91</v>
      </c>
      <c r="C21" t="s">
        <v>86</v>
      </c>
      <c r="D21" t="s">
        <v>16</v>
      </c>
      <c r="E21" t="s">
        <v>79</v>
      </c>
      <c r="F21">
        <v>1</v>
      </c>
      <c r="G21">
        <v>54.9</v>
      </c>
      <c r="H21">
        <v>12.96</v>
      </c>
      <c r="I21" t="s">
        <v>44</v>
      </c>
      <c r="K21" t="s">
        <v>45</v>
      </c>
      <c r="M21" t="str">
        <f>VLOOKUP(D21,State_Lookup!$A$2:$B$28,2,FALSE)</f>
        <v>Sao Paulo</v>
      </c>
    </row>
    <row r="22" spans="1:13" x14ac:dyDescent="0.45">
      <c r="A22" t="s">
        <v>92</v>
      </c>
      <c r="B22" t="s">
        <v>93</v>
      </c>
      <c r="C22" t="s">
        <v>86</v>
      </c>
      <c r="D22" t="s">
        <v>17</v>
      </c>
      <c r="E22" t="s">
        <v>58</v>
      </c>
      <c r="F22">
        <v>1</v>
      </c>
      <c r="G22">
        <v>109.9</v>
      </c>
      <c r="H22">
        <v>14.94</v>
      </c>
      <c r="I22" t="s">
        <v>44</v>
      </c>
      <c r="J22">
        <v>19</v>
      </c>
      <c r="K22" t="s">
        <v>51</v>
      </c>
      <c r="L22">
        <v>4</v>
      </c>
      <c r="M22" t="str">
        <f>VLOOKUP(D22,State_Lookup!$A$2:$B$28,2,FALSE)</f>
        <v>Rio de Janeiro</v>
      </c>
    </row>
    <row r="23" spans="1:13" x14ac:dyDescent="0.45">
      <c r="A23" t="s">
        <v>94</v>
      </c>
      <c r="B23" t="s">
        <v>95</v>
      </c>
      <c r="C23" t="s">
        <v>86</v>
      </c>
      <c r="D23" t="s">
        <v>16</v>
      </c>
      <c r="E23" t="s">
        <v>53</v>
      </c>
      <c r="F23">
        <v>1</v>
      </c>
      <c r="G23">
        <v>159.9</v>
      </c>
      <c r="H23">
        <v>16.329999999999998</v>
      </c>
      <c r="I23" t="s">
        <v>44</v>
      </c>
      <c r="J23">
        <v>8</v>
      </c>
      <c r="K23" t="s">
        <v>51</v>
      </c>
      <c r="L23">
        <v>5</v>
      </c>
      <c r="M23" t="str">
        <f>VLOOKUP(D23,State_Lookup!$A$2:$B$28,2,FALSE)</f>
        <v>Sao Paulo</v>
      </c>
    </row>
    <row r="24" spans="1:13" x14ac:dyDescent="0.45">
      <c r="A24" t="s">
        <v>96</v>
      </c>
      <c r="B24" t="s">
        <v>97</v>
      </c>
      <c r="C24" t="s">
        <v>86</v>
      </c>
      <c r="D24" t="s">
        <v>18</v>
      </c>
      <c r="E24" t="s">
        <v>66</v>
      </c>
      <c r="F24">
        <v>1</v>
      </c>
      <c r="G24">
        <v>14.97</v>
      </c>
      <c r="H24">
        <v>14.52</v>
      </c>
      <c r="I24" t="s">
        <v>44</v>
      </c>
      <c r="J24">
        <v>6</v>
      </c>
      <c r="K24" t="s">
        <v>51</v>
      </c>
      <c r="L24">
        <v>5</v>
      </c>
      <c r="M24" t="str">
        <f>VLOOKUP(D24,State_Lookup!$A$2:$B$28,2,FALSE)</f>
        <v>Minas Gerais</v>
      </c>
    </row>
    <row r="25" spans="1:13" x14ac:dyDescent="0.45">
      <c r="A25" t="s">
        <v>98</v>
      </c>
      <c r="B25" t="s">
        <v>99</v>
      </c>
      <c r="C25" t="s">
        <v>86</v>
      </c>
      <c r="D25" t="s">
        <v>17</v>
      </c>
      <c r="E25" t="s">
        <v>100</v>
      </c>
      <c r="F25">
        <v>1</v>
      </c>
      <c r="G25">
        <v>37.9</v>
      </c>
      <c r="H25">
        <v>15.56</v>
      </c>
      <c r="I25" t="s">
        <v>44</v>
      </c>
      <c r="J25">
        <v>17</v>
      </c>
      <c r="K25" t="s">
        <v>51</v>
      </c>
      <c r="L25">
        <v>4</v>
      </c>
      <c r="M25" t="str">
        <f>VLOOKUP(D25,State_Lookup!$A$2:$B$28,2,FALSE)</f>
        <v>Rio de Janeiro</v>
      </c>
    </row>
    <row r="26" spans="1:13" x14ac:dyDescent="0.45">
      <c r="A26" t="s">
        <v>101</v>
      </c>
      <c r="B26" t="s">
        <v>102</v>
      </c>
      <c r="C26" t="s">
        <v>86</v>
      </c>
      <c r="D26" t="s">
        <v>63</v>
      </c>
      <c r="E26" t="s">
        <v>103</v>
      </c>
      <c r="F26">
        <v>1</v>
      </c>
      <c r="G26">
        <v>168</v>
      </c>
      <c r="H26">
        <v>27.44</v>
      </c>
      <c r="I26" t="s">
        <v>44</v>
      </c>
      <c r="J26">
        <v>13</v>
      </c>
      <c r="K26" t="s">
        <v>51</v>
      </c>
      <c r="L26">
        <v>5</v>
      </c>
      <c r="M26" t="str">
        <f>VLOOKUP(D26,State_Lookup!$A$2:$B$28,2,FALSE)</f>
        <v>Pernambuco</v>
      </c>
    </row>
    <row r="27" spans="1:13" x14ac:dyDescent="0.45">
      <c r="A27" t="s">
        <v>104</v>
      </c>
      <c r="B27" t="s">
        <v>105</v>
      </c>
      <c r="C27" t="s">
        <v>86</v>
      </c>
      <c r="D27" t="s">
        <v>16</v>
      </c>
      <c r="E27" t="s">
        <v>49</v>
      </c>
      <c r="F27">
        <v>1</v>
      </c>
      <c r="G27">
        <v>39.99</v>
      </c>
      <c r="H27">
        <v>14.52</v>
      </c>
      <c r="I27" t="s">
        <v>50</v>
      </c>
      <c r="J27">
        <v>11</v>
      </c>
      <c r="K27" t="s">
        <v>51</v>
      </c>
      <c r="L27">
        <v>4</v>
      </c>
      <c r="M27" t="str">
        <f>VLOOKUP(D27,State_Lookup!$A$2:$B$28,2,FALSE)</f>
        <v>Sao Paulo</v>
      </c>
    </row>
    <row r="28" spans="1:13" x14ac:dyDescent="0.45">
      <c r="A28" t="s">
        <v>106</v>
      </c>
      <c r="B28" t="s">
        <v>105</v>
      </c>
      <c r="C28" t="s">
        <v>86</v>
      </c>
      <c r="D28" t="s">
        <v>19</v>
      </c>
      <c r="E28" t="s">
        <v>107</v>
      </c>
      <c r="F28">
        <v>1</v>
      </c>
      <c r="G28">
        <v>87.9</v>
      </c>
      <c r="H28">
        <v>20.7</v>
      </c>
      <c r="I28" t="s">
        <v>108</v>
      </c>
      <c r="J28">
        <v>18</v>
      </c>
      <c r="K28" t="s">
        <v>51</v>
      </c>
      <c r="L28">
        <v>5</v>
      </c>
      <c r="M28" t="str">
        <f>VLOOKUP(D28,State_Lookup!$A$2:$B$28,2,FALSE)</f>
        <v>Rio Grande do Sul</v>
      </c>
    </row>
    <row r="29" spans="1:13" x14ac:dyDescent="0.45">
      <c r="A29" t="s">
        <v>109</v>
      </c>
      <c r="B29" t="s">
        <v>105</v>
      </c>
      <c r="C29" t="s">
        <v>86</v>
      </c>
      <c r="D29" t="s">
        <v>16</v>
      </c>
      <c r="E29" t="s">
        <v>110</v>
      </c>
      <c r="F29">
        <v>1</v>
      </c>
      <c r="G29">
        <v>149.9</v>
      </c>
      <c r="H29">
        <v>17.2</v>
      </c>
      <c r="I29" t="s">
        <v>44</v>
      </c>
      <c r="J29">
        <v>13</v>
      </c>
      <c r="K29" t="s">
        <v>51</v>
      </c>
      <c r="L29">
        <v>5</v>
      </c>
      <c r="M29" t="str">
        <f>VLOOKUP(D29,State_Lookup!$A$2:$B$28,2,FALSE)</f>
        <v>Sao Paulo</v>
      </c>
    </row>
    <row r="30" spans="1:13" x14ac:dyDescent="0.45">
      <c r="A30" t="s">
        <v>111</v>
      </c>
      <c r="B30" t="s">
        <v>112</v>
      </c>
      <c r="C30" t="s">
        <v>86</v>
      </c>
      <c r="D30" t="s">
        <v>113</v>
      </c>
      <c r="E30" t="s">
        <v>58</v>
      </c>
      <c r="F30">
        <v>1</v>
      </c>
      <c r="G30">
        <v>195.99</v>
      </c>
      <c r="H30">
        <v>25.86</v>
      </c>
      <c r="I30" t="s">
        <v>44</v>
      </c>
      <c r="J30">
        <v>17</v>
      </c>
      <c r="K30" t="s">
        <v>51</v>
      </c>
      <c r="L30">
        <v>5</v>
      </c>
      <c r="M30" t="str">
        <f>VLOOKUP(D30,State_Lookup!$A$2:$B$28,2,FALSE)</f>
        <v>Piaui</v>
      </c>
    </row>
    <row r="31" spans="1:13" x14ac:dyDescent="0.45">
      <c r="A31" t="s">
        <v>114</v>
      </c>
      <c r="B31" t="s">
        <v>112</v>
      </c>
      <c r="C31" t="s">
        <v>86</v>
      </c>
      <c r="D31" t="s">
        <v>16</v>
      </c>
      <c r="E31" t="s">
        <v>43</v>
      </c>
      <c r="F31">
        <v>1</v>
      </c>
      <c r="G31">
        <v>39.9</v>
      </c>
      <c r="H31">
        <v>11.74</v>
      </c>
      <c r="I31" t="s">
        <v>44</v>
      </c>
      <c r="J31">
        <v>9</v>
      </c>
      <c r="K31" t="s">
        <v>51</v>
      </c>
      <c r="L31">
        <v>4</v>
      </c>
      <c r="M31" t="str">
        <f>VLOOKUP(D31,State_Lookup!$A$2:$B$28,2,FALSE)</f>
        <v>Sao Paulo</v>
      </c>
    </row>
    <row r="32" spans="1:13" x14ac:dyDescent="0.45">
      <c r="A32" t="s">
        <v>115</v>
      </c>
      <c r="B32" t="s">
        <v>112</v>
      </c>
      <c r="C32" t="s">
        <v>86</v>
      </c>
      <c r="D32" t="s">
        <v>16</v>
      </c>
      <c r="E32" t="s">
        <v>43</v>
      </c>
      <c r="F32">
        <v>1</v>
      </c>
      <c r="G32">
        <v>47</v>
      </c>
      <c r="H32">
        <v>11.74</v>
      </c>
      <c r="I32" t="s">
        <v>44</v>
      </c>
      <c r="J32">
        <v>9</v>
      </c>
      <c r="K32" t="s">
        <v>51</v>
      </c>
      <c r="L32">
        <v>5</v>
      </c>
      <c r="M32" t="str">
        <f>VLOOKUP(D32,State_Lookup!$A$2:$B$28,2,FALSE)</f>
        <v>Sao Paulo</v>
      </c>
    </row>
    <row r="33" spans="1:13" x14ac:dyDescent="0.45">
      <c r="A33" t="s">
        <v>116</v>
      </c>
      <c r="B33" t="s">
        <v>112</v>
      </c>
      <c r="C33" t="s">
        <v>86</v>
      </c>
      <c r="D33" t="s">
        <v>16</v>
      </c>
      <c r="E33" t="s">
        <v>69</v>
      </c>
      <c r="F33">
        <v>1</v>
      </c>
      <c r="G33">
        <v>105.99</v>
      </c>
      <c r="H33">
        <v>15.85</v>
      </c>
      <c r="I33" t="s">
        <v>50</v>
      </c>
      <c r="J33">
        <v>9</v>
      </c>
      <c r="K33" t="s">
        <v>51</v>
      </c>
      <c r="L33">
        <v>5</v>
      </c>
      <c r="M33" t="str">
        <f>VLOOKUP(D33,State_Lookup!$A$2:$B$28,2,FALSE)</f>
        <v>Sao Paulo</v>
      </c>
    </row>
    <row r="34" spans="1:13" x14ac:dyDescent="0.45">
      <c r="A34" t="s">
        <v>117</v>
      </c>
      <c r="B34" t="s">
        <v>112</v>
      </c>
      <c r="C34" t="s">
        <v>86</v>
      </c>
      <c r="D34" t="s">
        <v>16</v>
      </c>
      <c r="E34" t="s">
        <v>118</v>
      </c>
      <c r="F34">
        <v>1</v>
      </c>
      <c r="G34">
        <v>34.9</v>
      </c>
      <c r="H34">
        <v>14.11</v>
      </c>
      <c r="I34" t="s">
        <v>44</v>
      </c>
      <c r="J34">
        <v>7</v>
      </c>
      <c r="K34" t="s">
        <v>51</v>
      </c>
      <c r="L34">
        <v>5</v>
      </c>
      <c r="M34" t="str">
        <f>VLOOKUP(D34,State_Lookup!$A$2:$B$28,2,FALSE)</f>
        <v>Sao Paulo</v>
      </c>
    </row>
    <row r="35" spans="1:13" x14ac:dyDescent="0.45">
      <c r="A35" t="s">
        <v>119</v>
      </c>
      <c r="B35" t="s">
        <v>120</v>
      </c>
      <c r="C35" t="s">
        <v>86</v>
      </c>
      <c r="D35" t="s">
        <v>21</v>
      </c>
      <c r="E35" t="s">
        <v>43</v>
      </c>
      <c r="F35">
        <v>1</v>
      </c>
      <c r="G35">
        <v>31.5</v>
      </c>
      <c r="H35">
        <v>14.52</v>
      </c>
      <c r="I35" t="s">
        <v>50</v>
      </c>
      <c r="J35">
        <v>16</v>
      </c>
      <c r="K35" t="s">
        <v>51</v>
      </c>
      <c r="L35">
        <v>4</v>
      </c>
      <c r="M35" t="str">
        <f>VLOOKUP(D35,State_Lookup!$A$2:$B$28,2,FALSE)</f>
        <v>Santa Catarina</v>
      </c>
    </row>
    <row r="36" spans="1:13" x14ac:dyDescent="0.45">
      <c r="A36" t="s">
        <v>121</v>
      </c>
      <c r="B36" t="s">
        <v>120</v>
      </c>
      <c r="C36" t="s">
        <v>86</v>
      </c>
      <c r="D36" t="s">
        <v>122</v>
      </c>
      <c r="E36" t="s">
        <v>123</v>
      </c>
      <c r="F36">
        <v>1</v>
      </c>
      <c r="G36">
        <v>126.9</v>
      </c>
      <c r="H36">
        <v>32.21</v>
      </c>
      <c r="I36" t="s">
        <v>44</v>
      </c>
      <c r="J36">
        <v>18</v>
      </c>
      <c r="K36" t="s">
        <v>51</v>
      </c>
      <c r="L36">
        <v>5</v>
      </c>
      <c r="M36" t="str">
        <f>VLOOKUP(D36,State_Lookup!$A$2:$B$28,2,FALSE)</f>
        <v>Para</v>
      </c>
    </row>
    <row r="37" spans="1:13" x14ac:dyDescent="0.45">
      <c r="A37" t="s">
        <v>124</v>
      </c>
      <c r="B37" t="s">
        <v>120</v>
      </c>
      <c r="C37" t="s">
        <v>86</v>
      </c>
      <c r="D37" t="s">
        <v>16</v>
      </c>
      <c r="E37" t="s">
        <v>125</v>
      </c>
      <c r="F37">
        <v>1</v>
      </c>
      <c r="G37">
        <v>11.5</v>
      </c>
      <c r="H37">
        <v>10.96</v>
      </c>
      <c r="I37" t="s">
        <v>44</v>
      </c>
      <c r="J37">
        <v>5</v>
      </c>
      <c r="K37" t="s">
        <v>51</v>
      </c>
      <c r="L37">
        <v>5</v>
      </c>
      <c r="M37" t="str">
        <f>VLOOKUP(D37,State_Lookup!$A$2:$B$28,2,FALSE)</f>
        <v>Sao Paulo</v>
      </c>
    </row>
    <row r="38" spans="1:13" x14ac:dyDescent="0.45">
      <c r="A38" t="s">
        <v>126</v>
      </c>
      <c r="B38" t="s">
        <v>127</v>
      </c>
      <c r="C38" t="s">
        <v>86</v>
      </c>
      <c r="D38" t="s">
        <v>128</v>
      </c>
      <c r="E38" t="s">
        <v>43</v>
      </c>
      <c r="F38">
        <v>1</v>
      </c>
      <c r="G38">
        <v>47</v>
      </c>
      <c r="H38">
        <v>26.61</v>
      </c>
      <c r="I38" t="s">
        <v>44</v>
      </c>
      <c r="J38">
        <v>14</v>
      </c>
      <c r="K38" t="s">
        <v>51</v>
      </c>
      <c r="L38">
        <v>3</v>
      </c>
      <c r="M38" t="str">
        <f>VLOOKUP(D38,State_Lookup!$A$2:$B$28,2,FALSE)</f>
        <v>Ceara</v>
      </c>
    </row>
    <row r="39" spans="1:13" x14ac:dyDescent="0.45">
      <c r="A39" t="s">
        <v>129</v>
      </c>
      <c r="B39" t="s">
        <v>127</v>
      </c>
      <c r="C39" t="s">
        <v>86</v>
      </c>
      <c r="D39" t="s">
        <v>16</v>
      </c>
      <c r="E39" t="s">
        <v>79</v>
      </c>
      <c r="F39">
        <v>1</v>
      </c>
      <c r="G39">
        <v>23.9</v>
      </c>
      <c r="H39">
        <v>8.7200000000000006</v>
      </c>
      <c r="I39" t="s">
        <v>50</v>
      </c>
      <c r="J39">
        <v>9</v>
      </c>
      <c r="K39" t="s">
        <v>51</v>
      </c>
      <c r="L39">
        <v>1</v>
      </c>
      <c r="M39" t="str">
        <f>VLOOKUP(D39,State_Lookup!$A$2:$B$28,2,FALSE)</f>
        <v>Sao Paulo</v>
      </c>
    </row>
    <row r="40" spans="1:13" x14ac:dyDescent="0.45">
      <c r="A40" t="s">
        <v>130</v>
      </c>
      <c r="B40" t="s">
        <v>131</v>
      </c>
      <c r="C40" t="s">
        <v>86</v>
      </c>
      <c r="D40" t="s">
        <v>122</v>
      </c>
      <c r="E40" t="s">
        <v>132</v>
      </c>
      <c r="F40">
        <v>1</v>
      </c>
      <c r="G40">
        <v>19.899999999999999</v>
      </c>
      <c r="H40">
        <v>24.84</v>
      </c>
      <c r="I40" t="s">
        <v>133</v>
      </c>
      <c r="J40">
        <v>14</v>
      </c>
      <c r="K40" t="s">
        <v>51</v>
      </c>
      <c r="L40">
        <v>5</v>
      </c>
      <c r="M40" t="str">
        <f>VLOOKUP(D40,State_Lookup!$A$2:$B$28,2,FALSE)</f>
        <v>Para</v>
      </c>
    </row>
    <row r="41" spans="1:13" x14ac:dyDescent="0.45">
      <c r="A41" t="s">
        <v>134</v>
      </c>
      <c r="B41" t="s">
        <v>131</v>
      </c>
      <c r="C41" t="s">
        <v>86</v>
      </c>
      <c r="D41" t="s">
        <v>18</v>
      </c>
      <c r="E41" t="s">
        <v>132</v>
      </c>
      <c r="F41">
        <v>2</v>
      </c>
      <c r="G41">
        <v>124.8</v>
      </c>
      <c r="H41">
        <v>22.13</v>
      </c>
      <c r="I41" t="s">
        <v>44</v>
      </c>
      <c r="J41">
        <v>4</v>
      </c>
      <c r="K41" t="s">
        <v>51</v>
      </c>
      <c r="L41">
        <v>4</v>
      </c>
      <c r="M41" t="str">
        <f>VLOOKUP(D41,State_Lookup!$A$2:$B$28,2,FALSE)</f>
        <v>Minas Gerais</v>
      </c>
    </row>
    <row r="42" spans="1:13" x14ac:dyDescent="0.45">
      <c r="A42" t="s">
        <v>135</v>
      </c>
      <c r="B42" t="s">
        <v>136</v>
      </c>
      <c r="C42" t="s">
        <v>86</v>
      </c>
      <c r="D42" t="s">
        <v>16</v>
      </c>
      <c r="E42" t="s">
        <v>103</v>
      </c>
      <c r="F42">
        <v>1</v>
      </c>
      <c r="G42">
        <v>36.9</v>
      </c>
      <c r="H42">
        <v>8.7200000000000006</v>
      </c>
      <c r="I42" t="s">
        <v>44</v>
      </c>
      <c r="J42">
        <v>5</v>
      </c>
      <c r="K42" t="s">
        <v>51</v>
      </c>
      <c r="L42">
        <v>5</v>
      </c>
      <c r="M42" t="str">
        <f>VLOOKUP(D42,State_Lookup!$A$2:$B$28,2,FALSE)</f>
        <v>Sao Paulo</v>
      </c>
    </row>
    <row r="43" spans="1:13" x14ac:dyDescent="0.45">
      <c r="A43" t="s">
        <v>137</v>
      </c>
      <c r="B43" t="s">
        <v>136</v>
      </c>
      <c r="C43" t="s">
        <v>86</v>
      </c>
      <c r="D43" t="s">
        <v>20</v>
      </c>
      <c r="E43" t="s">
        <v>79</v>
      </c>
      <c r="F43">
        <v>1</v>
      </c>
      <c r="G43">
        <v>23.9</v>
      </c>
      <c r="H43">
        <v>14.52</v>
      </c>
      <c r="I43" t="s">
        <v>50</v>
      </c>
      <c r="J43">
        <v>15</v>
      </c>
      <c r="K43" t="s">
        <v>51</v>
      </c>
      <c r="L43">
        <v>5</v>
      </c>
      <c r="M43" t="str">
        <f>VLOOKUP(D43,State_Lookup!$A$2:$B$28,2,FALSE)</f>
        <v>Parana</v>
      </c>
    </row>
    <row r="44" spans="1:13" x14ac:dyDescent="0.45">
      <c r="A44" t="s">
        <v>138</v>
      </c>
      <c r="B44" t="s">
        <v>139</v>
      </c>
      <c r="C44" t="s">
        <v>86</v>
      </c>
      <c r="D44" t="s">
        <v>16</v>
      </c>
      <c r="E44" t="s">
        <v>107</v>
      </c>
      <c r="F44">
        <v>1</v>
      </c>
      <c r="G44">
        <v>143.80000000000001</v>
      </c>
      <c r="H44">
        <v>18.3</v>
      </c>
      <c r="I44" t="s">
        <v>133</v>
      </c>
      <c r="J44">
        <v>5</v>
      </c>
      <c r="K44" t="s">
        <v>51</v>
      </c>
      <c r="L44">
        <v>5</v>
      </c>
      <c r="M44" t="str">
        <f>VLOOKUP(D44,State_Lookup!$A$2:$B$28,2,FALSE)</f>
        <v>Sao Paulo</v>
      </c>
    </row>
    <row r="45" spans="1:13" x14ac:dyDescent="0.45">
      <c r="A45" t="s">
        <v>140</v>
      </c>
      <c r="B45" t="s">
        <v>139</v>
      </c>
      <c r="C45" t="s">
        <v>86</v>
      </c>
      <c r="D45" t="s">
        <v>141</v>
      </c>
      <c r="E45" t="s">
        <v>142</v>
      </c>
      <c r="F45">
        <v>1</v>
      </c>
      <c r="G45">
        <v>63.9</v>
      </c>
      <c r="H45">
        <v>26.71</v>
      </c>
      <c r="I45" t="s">
        <v>44</v>
      </c>
      <c r="J45">
        <v>70</v>
      </c>
      <c r="K45" t="s">
        <v>143</v>
      </c>
      <c r="L45">
        <v>1</v>
      </c>
      <c r="M45" t="str">
        <f>VLOOKUP(D45,State_Lookup!$A$2:$B$28,2,FALSE)</f>
        <v>Maranhao</v>
      </c>
    </row>
    <row r="46" spans="1:13" x14ac:dyDescent="0.45">
      <c r="A46" t="s">
        <v>144</v>
      </c>
      <c r="B46" t="s">
        <v>139</v>
      </c>
      <c r="C46" t="s">
        <v>86</v>
      </c>
      <c r="D46" t="s">
        <v>20</v>
      </c>
      <c r="E46" t="s">
        <v>43</v>
      </c>
      <c r="F46">
        <v>1</v>
      </c>
      <c r="G46">
        <v>66.900000000000006</v>
      </c>
      <c r="H46">
        <v>14.64</v>
      </c>
      <c r="I46" t="s">
        <v>44</v>
      </c>
      <c r="J46">
        <v>4</v>
      </c>
      <c r="K46" t="s">
        <v>51</v>
      </c>
      <c r="L46">
        <v>5</v>
      </c>
      <c r="M46" t="str">
        <f>VLOOKUP(D46,State_Lookup!$A$2:$B$28,2,FALSE)</f>
        <v>Parana</v>
      </c>
    </row>
    <row r="47" spans="1:13" x14ac:dyDescent="0.45">
      <c r="A47" t="s">
        <v>145</v>
      </c>
      <c r="B47" t="s">
        <v>146</v>
      </c>
      <c r="C47" t="s">
        <v>86</v>
      </c>
      <c r="D47" t="s">
        <v>16</v>
      </c>
      <c r="E47" t="s">
        <v>61</v>
      </c>
      <c r="F47">
        <v>1</v>
      </c>
      <c r="G47">
        <v>48.9</v>
      </c>
      <c r="H47">
        <v>14.11</v>
      </c>
      <c r="I47" t="s">
        <v>50</v>
      </c>
      <c r="J47">
        <v>6</v>
      </c>
      <c r="K47" t="s">
        <v>51</v>
      </c>
      <c r="L47">
        <v>1</v>
      </c>
      <c r="M47" t="str">
        <f>VLOOKUP(D47,State_Lookup!$A$2:$B$28,2,FALSE)</f>
        <v>Sao Paulo</v>
      </c>
    </row>
    <row r="48" spans="1:13" x14ac:dyDescent="0.45">
      <c r="A48" t="s">
        <v>147</v>
      </c>
      <c r="B48" t="s">
        <v>146</v>
      </c>
      <c r="C48" t="s">
        <v>86</v>
      </c>
      <c r="D48" t="s">
        <v>16</v>
      </c>
      <c r="E48" t="s">
        <v>148</v>
      </c>
      <c r="F48">
        <v>1</v>
      </c>
      <c r="G48">
        <v>177</v>
      </c>
      <c r="H48">
        <v>18.53</v>
      </c>
      <c r="I48" t="s">
        <v>44</v>
      </c>
      <c r="J48">
        <v>10</v>
      </c>
      <c r="K48" t="s">
        <v>51</v>
      </c>
      <c r="L48">
        <v>5</v>
      </c>
      <c r="M48" t="str">
        <f>VLOOKUP(D48,State_Lookup!$A$2:$B$28,2,FALSE)</f>
        <v>Sao Paulo</v>
      </c>
    </row>
    <row r="49" spans="1:13" x14ac:dyDescent="0.45">
      <c r="A49" t="s">
        <v>149</v>
      </c>
      <c r="B49" t="s">
        <v>146</v>
      </c>
      <c r="C49" t="s">
        <v>86</v>
      </c>
      <c r="D49" t="s">
        <v>18</v>
      </c>
      <c r="E49" t="s">
        <v>103</v>
      </c>
      <c r="F49">
        <v>1</v>
      </c>
      <c r="G49">
        <v>127.9</v>
      </c>
      <c r="H49">
        <v>26.39</v>
      </c>
      <c r="I49" t="s">
        <v>44</v>
      </c>
      <c r="J49">
        <v>7</v>
      </c>
      <c r="K49" t="s">
        <v>51</v>
      </c>
      <c r="L49">
        <v>5</v>
      </c>
      <c r="M49" t="str">
        <f>VLOOKUP(D49,State_Lookup!$A$2:$B$28,2,FALSE)</f>
        <v>Minas Gerais</v>
      </c>
    </row>
    <row r="50" spans="1:13" x14ac:dyDescent="0.45">
      <c r="A50" t="s">
        <v>150</v>
      </c>
      <c r="B50" t="s">
        <v>146</v>
      </c>
      <c r="C50" t="s">
        <v>86</v>
      </c>
      <c r="D50" t="s">
        <v>17</v>
      </c>
      <c r="E50" t="s">
        <v>110</v>
      </c>
      <c r="F50">
        <v>2</v>
      </c>
      <c r="G50">
        <v>119</v>
      </c>
      <c r="H50">
        <v>34.32</v>
      </c>
      <c r="I50" t="s">
        <v>44</v>
      </c>
      <c r="J50">
        <v>18</v>
      </c>
      <c r="K50" t="s">
        <v>51</v>
      </c>
      <c r="L50">
        <v>3</v>
      </c>
      <c r="M50" t="str">
        <f>VLOOKUP(D50,State_Lookup!$A$2:$B$28,2,FALSE)</f>
        <v>Rio de Janeiro</v>
      </c>
    </row>
    <row r="51" spans="1:13" x14ac:dyDescent="0.45">
      <c r="A51" t="s">
        <v>151</v>
      </c>
      <c r="B51" t="s">
        <v>146</v>
      </c>
      <c r="C51" t="s">
        <v>86</v>
      </c>
      <c r="D51" t="s">
        <v>18</v>
      </c>
      <c r="E51" t="s">
        <v>152</v>
      </c>
      <c r="F51">
        <v>1</v>
      </c>
      <c r="G51">
        <v>54.9</v>
      </c>
      <c r="H51">
        <v>10.99</v>
      </c>
      <c r="I51" t="s">
        <v>44</v>
      </c>
      <c r="J51">
        <v>5</v>
      </c>
      <c r="K51" t="s">
        <v>51</v>
      </c>
      <c r="L51">
        <v>5</v>
      </c>
      <c r="M51" t="str">
        <f>VLOOKUP(D51,State_Lookup!$A$2:$B$28,2,FALSE)</f>
        <v>Minas Gerais</v>
      </c>
    </row>
    <row r="52" spans="1:13" x14ac:dyDescent="0.45">
      <c r="A52" t="s">
        <v>153</v>
      </c>
      <c r="B52" t="s">
        <v>154</v>
      </c>
      <c r="C52" t="s">
        <v>86</v>
      </c>
      <c r="D52" t="s">
        <v>16</v>
      </c>
      <c r="E52" t="s">
        <v>53</v>
      </c>
      <c r="F52">
        <v>1</v>
      </c>
      <c r="G52">
        <v>129.9</v>
      </c>
      <c r="H52">
        <v>18</v>
      </c>
      <c r="I52" t="s">
        <v>133</v>
      </c>
      <c r="J52">
        <v>7</v>
      </c>
      <c r="K52" t="s">
        <v>51</v>
      </c>
      <c r="L52">
        <v>4</v>
      </c>
      <c r="M52" t="str">
        <f>VLOOKUP(D52,State_Lookup!$A$2:$B$28,2,FALSE)</f>
        <v>Sao Paulo</v>
      </c>
    </row>
    <row r="53" spans="1:13" x14ac:dyDescent="0.45">
      <c r="A53" t="s">
        <v>155</v>
      </c>
      <c r="B53" t="s">
        <v>154</v>
      </c>
      <c r="C53" t="s">
        <v>86</v>
      </c>
      <c r="D53" t="s">
        <v>128</v>
      </c>
      <c r="E53" t="s">
        <v>43</v>
      </c>
      <c r="F53">
        <v>1</v>
      </c>
      <c r="G53">
        <v>79.900000000000006</v>
      </c>
      <c r="H53">
        <v>23</v>
      </c>
      <c r="I53" t="s">
        <v>44</v>
      </c>
      <c r="J53">
        <v>12</v>
      </c>
      <c r="K53" t="s">
        <v>51</v>
      </c>
      <c r="L53">
        <v>5</v>
      </c>
      <c r="M53" t="str">
        <f>VLOOKUP(D53,State_Lookup!$A$2:$B$28,2,FALSE)</f>
        <v>Ceara</v>
      </c>
    </row>
    <row r="54" spans="1:13" x14ac:dyDescent="0.45">
      <c r="A54" t="s">
        <v>156</v>
      </c>
      <c r="B54" t="s">
        <v>154</v>
      </c>
      <c r="C54" t="s">
        <v>86</v>
      </c>
      <c r="D54" t="s">
        <v>25</v>
      </c>
      <c r="E54" t="s">
        <v>157</v>
      </c>
      <c r="F54">
        <v>1</v>
      </c>
      <c r="G54">
        <v>1299</v>
      </c>
      <c r="H54">
        <v>27.79</v>
      </c>
      <c r="I54" t="s">
        <v>44</v>
      </c>
      <c r="J54">
        <v>11</v>
      </c>
      <c r="K54" t="s">
        <v>51</v>
      </c>
      <c r="L54">
        <v>4</v>
      </c>
      <c r="M54" t="str">
        <f>VLOOKUP(D54,State_Lookup!$A$2:$B$28,2,FALSE)</f>
        <v>Goias</v>
      </c>
    </row>
    <row r="55" spans="1:13" x14ac:dyDescent="0.45">
      <c r="A55" t="s">
        <v>158</v>
      </c>
      <c r="B55" t="s">
        <v>154</v>
      </c>
      <c r="C55" t="s">
        <v>86</v>
      </c>
      <c r="D55" t="s">
        <v>18</v>
      </c>
      <c r="E55" t="s">
        <v>110</v>
      </c>
      <c r="F55">
        <v>1</v>
      </c>
      <c r="G55">
        <v>119.99</v>
      </c>
      <c r="H55">
        <v>20.92</v>
      </c>
      <c r="I55" t="s">
        <v>50</v>
      </c>
      <c r="J55">
        <v>10</v>
      </c>
      <c r="K55" t="s">
        <v>51</v>
      </c>
      <c r="L55">
        <v>5</v>
      </c>
      <c r="M55" t="str">
        <f>VLOOKUP(D55,State_Lookup!$A$2:$B$28,2,FALSE)</f>
        <v>Minas Gerais</v>
      </c>
    </row>
    <row r="56" spans="1:13" x14ac:dyDescent="0.45">
      <c r="A56" t="s">
        <v>159</v>
      </c>
      <c r="B56" t="s">
        <v>154</v>
      </c>
      <c r="C56" t="s">
        <v>86</v>
      </c>
      <c r="D56" t="s">
        <v>16</v>
      </c>
      <c r="E56" t="s">
        <v>64</v>
      </c>
      <c r="F56">
        <v>1</v>
      </c>
      <c r="G56">
        <v>23.9</v>
      </c>
      <c r="H56">
        <v>18</v>
      </c>
      <c r="I56" t="s">
        <v>50</v>
      </c>
      <c r="J56">
        <v>10</v>
      </c>
      <c r="K56" t="s">
        <v>51</v>
      </c>
      <c r="L56">
        <v>4</v>
      </c>
      <c r="M56" t="str">
        <f>VLOOKUP(D56,State_Lookup!$A$2:$B$28,2,FALSE)</f>
        <v>Sao Paulo</v>
      </c>
    </row>
    <row r="57" spans="1:13" x14ac:dyDescent="0.45">
      <c r="A57" t="s">
        <v>160</v>
      </c>
      <c r="B57" t="s">
        <v>161</v>
      </c>
      <c r="C57" t="s">
        <v>86</v>
      </c>
      <c r="D57" t="s">
        <v>63</v>
      </c>
      <c r="E57" t="s">
        <v>125</v>
      </c>
      <c r="F57">
        <v>1</v>
      </c>
      <c r="G57">
        <v>59.9</v>
      </c>
      <c r="H57">
        <v>27</v>
      </c>
      <c r="I57" t="s">
        <v>50</v>
      </c>
      <c r="J57">
        <v>22</v>
      </c>
      <c r="K57" t="s">
        <v>51</v>
      </c>
      <c r="L57">
        <v>4</v>
      </c>
      <c r="M57" t="str">
        <f>VLOOKUP(D57,State_Lookup!$A$2:$B$28,2,FALSE)</f>
        <v>Pernambuco</v>
      </c>
    </row>
    <row r="58" spans="1:13" x14ac:dyDescent="0.45">
      <c r="A58" t="s">
        <v>162</v>
      </c>
      <c r="B58" t="s">
        <v>163</v>
      </c>
      <c r="C58" t="s">
        <v>86</v>
      </c>
      <c r="D58" t="s">
        <v>20</v>
      </c>
      <c r="E58" t="s">
        <v>110</v>
      </c>
      <c r="F58">
        <v>1</v>
      </c>
      <c r="G58">
        <v>69.900000000000006</v>
      </c>
      <c r="H58">
        <v>18</v>
      </c>
      <c r="I58" t="s">
        <v>108</v>
      </c>
      <c r="J58">
        <v>16</v>
      </c>
      <c r="K58" t="s">
        <v>51</v>
      </c>
      <c r="L58">
        <v>5</v>
      </c>
      <c r="M58" t="str">
        <f>VLOOKUP(D58,State_Lookup!$A$2:$B$28,2,FALSE)</f>
        <v>Parana</v>
      </c>
    </row>
    <row r="59" spans="1:13" x14ac:dyDescent="0.45">
      <c r="A59" t="s">
        <v>164</v>
      </c>
      <c r="B59" t="s">
        <v>165</v>
      </c>
      <c r="C59" t="s">
        <v>86</v>
      </c>
      <c r="D59" t="s">
        <v>18</v>
      </c>
      <c r="E59" t="s">
        <v>66</v>
      </c>
      <c r="F59">
        <v>2</v>
      </c>
      <c r="G59">
        <v>38.89</v>
      </c>
      <c r="H59">
        <v>50</v>
      </c>
      <c r="I59" t="s">
        <v>44</v>
      </c>
      <c r="J59">
        <v>11</v>
      </c>
      <c r="K59" t="s">
        <v>51</v>
      </c>
      <c r="L59">
        <v>3</v>
      </c>
      <c r="M59" t="str">
        <f>VLOOKUP(D59,State_Lookup!$A$2:$B$28,2,FALSE)</f>
        <v>Minas Gerais</v>
      </c>
    </row>
    <row r="60" spans="1:13" x14ac:dyDescent="0.45">
      <c r="A60" t="s">
        <v>166</v>
      </c>
      <c r="B60" t="s">
        <v>165</v>
      </c>
      <c r="C60" t="s">
        <v>86</v>
      </c>
      <c r="D60" t="s">
        <v>16</v>
      </c>
      <c r="E60" t="s">
        <v>79</v>
      </c>
      <c r="F60">
        <v>1</v>
      </c>
      <c r="G60">
        <v>129.9</v>
      </c>
      <c r="H60">
        <v>50</v>
      </c>
      <c r="I60" t="s">
        <v>133</v>
      </c>
      <c r="J60">
        <v>17</v>
      </c>
      <c r="K60" t="s">
        <v>51</v>
      </c>
      <c r="L60">
        <v>5</v>
      </c>
      <c r="M60" t="str">
        <f>VLOOKUP(D60,State_Lookup!$A$2:$B$28,2,FALSE)</f>
        <v>Sao Paulo</v>
      </c>
    </row>
    <row r="61" spans="1:13" x14ac:dyDescent="0.45">
      <c r="A61" t="s">
        <v>167</v>
      </c>
      <c r="B61" t="s">
        <v>165</v>
      </c>
      <c r="C61" t="s">
        <v>86</v>
      </c>
      <c r="D61" t="s">
        <v>122</v>
      </c>
      <c r="E61" t="s">
        <v>110</v>
      </c>
      <c r="F61">
        <v>1</v>
      </c>
      <c r="G61">
        <v>119.9</v>
      </c>
      <c r="H61">
        <v>26</v>
      </c>
      <c r="I61" t="s">
        <v>50</v>
      </c>
      <c r="J61">
        <v>15</v>
      </c>
      <c r="K61" t="s">
        <v>51</v>
      </c>
      <c r="L61">
        <v>1</v>
      </c>
      <c r="M61" t="str">
        <f>VLOOKUP(D61,State_Lookup!$A$2:$B$28,2,FALSE)</f>
        <v>Para</v>
      </c>
    </row>
    <row r="62" spans="1:13" x14ac:dyDescent="0.45">
      <c r="A62" t="s">
        <v>168</v>
      </c>
      <c r="B62" t="s">
        <v>165</v>
      </c>
      <c r="C62" t="s">
        <v>86</v>
      </c>
      <c r="D62" t="s">
        <v>113</v>
      </c>
      <c r="E62" t="s">
        <v>79</v>
      </c>
      <c r="F62">
        <v>1</v>
      </c>
      <c r="G62">
        <v>23.89</v>
      </c>
      <c r="H62">
        <v>20</v>
      </c>
      <c r="I62" t="s">
        <v>44</v>
      </c>
      <c r="J62">
        <v>3</v>
      </c>
      <c r="K62" t="s">
        <v>51</v>
      </c>
      <c r="L62">
        <v>5</v>
      </c>
      <c r="M62" t="str">
        <f>VLOOKUP(D62,State_Lookup!$A$2:$B$28,2,FALSE)</f>
        <v>Piaui</v>
      </c>
    </row>
    <row r="63" spans="1:13" x14ac:dyDescent="0.45">
      <c r="A63" t="s">
        <v>169</v>
      </c>
      <c r="B63" t="s">
        <v>165</v>
      </c>
      <c r="C63" t="s">
        <v>86</v>
      </c>
      <c r="D63" t="s">
        <v>16</v>
      </c>
      <c r="E63" t="s">
        <v>110</v>
      </c>
      <c r="F63">
        <v>1</v>
      </c>
      <c r="G63">
        <v>109.9</v>
      </c>
      <c r="H63">
        <v>18</v>
      </c>
      <c r="I63" t="s">
        <v>44</v>
      </c>
      <c r="J63">
        <v>7</v>
      </c>
      <c r="K63" t="s">
        <v>51</v>
      </c>
      <c r="L63">
        <v>3</v>
      </c>
      <c r="M63" t="str">
        <f>VLOOKUP(D63,State_Lookup!$A$2:$B$28,2,FALSE)</f>
        <v>Sao Paulo</v>
      </c>
    </row>
    <row r="64" spans="1:13" x14ac:dyDescent="0.45">
      <c r="A64" t="s">
        <v>170</v>
      </c>
      <c r="B64" t="s">
        <v>171</v>
      </c>
      <c r="C64" t="s">
        <v>86</v>
      </c>
      <c r="D64" t="s">
        <v>16</v>
      </c>
      <c r="E64" t="s">
        <v>148</v>
      </c>
      <c r="F64">
        <v>1</v>
      </c>
      <c r="G64">
        <v>76.05</v>
      </c>
      <c r="H64">
        <v>15.79</v>
      </c>
      <c r="I64" t="s">
        <v>44</v>
      </c>
      <c r="J64">
        <v>6</v>
      </c>
      <c r="K64" t="s">
        <v>51</v>
      </c>
      <c r="L64">
        <v>5</v>
      </c>
      <c r="M64" t="str">
        <f>VLOOKUP(D64,State_Lookup!$A$2:$B$28,2,FALSE)</f>
        <v>Sao Paulo</v>
      </c>
    </row>
    <row r="65" spans="1:13" x14ac:dyDescent="0.45">
      <c r="A65" t="s">
        <v>172</v>
      </c>
      <c r="B65" t="s">
        <v>171</v>
      </c>
      <c r="C65" t="s">
        <v>86</v>
      </c>
      <c r="D65" t="s">
        <v>16</v>
      </c>
      <c r="E65" t="s">
        <v>173</v>
      </c>
      <c r="F65">
        <v>1</v>
      </c>
      <c r="G65">
        <v>109.9</v>
      </c>
      <c r="H65">
        <v>17.510000000000002</v>
      </c>
      <c r="I65" t="s">
        <v>44</v>
      </c>
      <c r="J65">
        <v>6</v>
      </c>
      <c r="K65" t="s">
        <v>51</v>
      </c>
      <c r="L65">
        <v>5</v>
      </c>
      <c r="M65" t="str">
        <f>VLOOKUP(D65,State_Lookup!$A$2:$B$28,2,FALSE)</f>
        <v>Sao Paulo</v>
      </c>
    </row>
    <row r="66" spans="1:13" x14ac:dyDescent="0.45">
      <c r="A66" t="s">
        <v>174</v>
      </c>
      <c r="B66" t="s">
        <v>171</v>
      </c>
      <c r="C66" t="s">
        <v>86</v>
      </c>
      <c r="D66" t="s">
        <v>16</v>
      </c>
      <c r="E66" t="s">
        <v>58</v>
      </c>
      <c r="F66">
        <v>1</v>
      </c>
      <c r="G66">
        <v>223.9</v>
      </c>
      <c r="H66">
        <v>15.74</v>
      </c>
      <c r="I66" t="s">
        <v>50</v>
      </c>
      <c r="J66">
        <v>7</v>
      </c>
      <c r="K66" t="s">
        <v>51</v>
      </c>
      <c r="M66" t="str">
        <f>VLOOKUP(D66,State_Lookup!$A$2:$B$28,2,FALSE)</f>
        <v>Sao Paulo</v>
      </c>
    </row>
    <row r="67" spans="1:13" x14ac:dyDescent="0.45">
      <c r="A67" t="s">
        <v>175</v>
      </c>
      <c r="B67" t="s">
        <v>176</v>
      </c>
      <c r="C67" t="s">
        <v>177</v>
      </c>
      <c r="D67" t="s">
        <v>16</v>
      </c>
      <c r="E67" t="s">
        <v>43</v>
      </c>
      <c r="F67">
        <v>1</v>
      </c>
      <c r="G67">
        <v>6.57</v>
      </c>
      <c r="H67">
        <v>8.7200000000000006</v>
      </c>
      <c r="I67" t="s">
        <v>44</v>
      </c>
      <c r="J67">
        <v>5</v>
      </c>
      <c r="K67" t="s">
        <v>51</v>
      </c>
      <c r="L67">
        <v>5</v>
      </c>
      <c r="M67" t="str">
        <f>VLOOKUP(D67,State_Lookup!$A$2:$B$28,2,FALSE)</f>
        <v>Sao Paulo</v>
      </c>
    </row>
    <row r="68" spans="1:13" x14ac:dyDescent="0.45">
      <c r="A68" t="s">
        <v>178</v>
      </c>
      <c r="B68" t="s">
        <v>176</v>
      </c>
      <c r="C68" t="s">
        <v>177</v>
      </c>
      <c r="D68" t="s">
        <v>21</v>
      </c>
      <c r="E68" t="s">
        <v>49</v>
      </c>
      <c r="F68">
        <v>1</v>
      </c>
      <c r="G68">
        <v>29.9</v>
      </c>
      <c r="H68">
        <v>17.78</v>
      </c>
      <c r="I68" t="s">
        <v>44</v>
      </c>
      <c r="J68">
        <v>16</v>
      </c>
      <c r="K68" t="s">
        <v>51</v>
      </c>
      <c r="L68">
        <v>1</v>
      </c>
      <c r="M68" t="str">
        <f>VLOOKUP(D68,State_Lookup!$A$2:$B$28,2,FALSE)</f>
        <v>Santa Catarina</v>
      </c>
    </row>
    <row r="69" spans="1:13" x14ac:dyDescent="0.45">
      <c r="A69" t="s">
        <v>179</v>
      </c>
      <c r="B69" t="s">
        <v>176</v>
      </c>
      <c r="C69" t="s">
        <v>177</v>
      </c>
      <c r="D69" t="s">
        <v>16</v>
      </c>
      <c r="E69" t="s">
        <v>173</v>
      </c>
      <c r="F69">
        <v>1</v>
      </c>
      <c r="G69">
        <v>49.9</v>
      </c>
      <c r="H69">
        <v>15.56</v>
      </c>
      <c r="I69" t="s">
        <v>44</v>
      </c>
      <c r="J69">
        <v>7</v>
      </c>
      <c r="K69" t="s">
        <v>51</v>
      </c>
      <c r="L69">
        <v>5</v>
      </c>
      <c r="M69" t="str">
        <f>VLOOKUP(D69,State_Lookup!$A$2:$B$28,2,FALSE)</f>
        <v>Sao Paulo</v>
      </c>
    </row>
    <row r="70" spans="1:13" x14ac:dyDescent="0.45">
      <c r="A70" t="s">
        <v>180</v>
      </c>
      <c r="B70" t="s">
        <v>176</v>
      </c>
      <c r="C70" t="s">
        <v>177</v>
      </c>
      <c r="D70" t="s">
        <v>16</v>
      </c>
      <c r="E70" t="s">
        <v>79</v>
      </c>
      <c r="F70">
        <v>1</v>
      </c>
      <c r="G70">
        <v>9.5</v>
      </c>
      <c r="H70">
        <v>8.7200000000000006</v>
      </c>
      <c r="I70" t="s">
        <v>44</v>
      </c>
      <c r="J70">
        <v>4</v>
      </c>
      <c r="K70" t="s">
        <v>51</v>
      </c>
      <c r="L70">
        <v>5</v>
      </c>
      <c r="M70" t="str">
        <f>VLOOKUP(D70,State_Lookup!$A$2:$B$28,2,FALSE)</f>
        <v>Sao Paulo</v>
      </c>
    </row>
    <row r="71" spans="1:13" x14ac:dyDescent="0.45">
      <c r="A71" t="s">
        <v>181</v>
      </c>
      <c r="B71" t="s">
        <v>176</v>
      </c>
      <c r="C71" t="s">
        <v>177</v>
      </c>
      <c r="D71" t="s">
        <v>16</v>
      </c>
      <c r="E71" t="s">
        <v>64</v>
      </c>
      <c r="F71">
        <v>1</v>
      </c>
      <c r="G71">
        <v>23.9</v>
      </c>
      <c r="H71">
        <v>14.52</v>
      </c>
      <c r="I71" t="s">
        <v>44</v>
      </c>
      <c r="J71">
        <v>11</v>
      </c>
      <c r="K71" t="s">
        <v>51</v>
      </c>
      <c r="L71">
        <v>5</v>
      </c>
      <c r="M71" t="str">
        <f>VLOOKUP(D71,State_Lookup!$A$2:$B$28,2,FALSE)</f>
        <v>Sao Paulo</v>
      </c>
    </row>
    <row r="72" spans="1:13" x14ac:dyDescent="0.45">
      <c r="A72" t="s">
        <v>182</v>
      </c>
      <c r="B72" t="s">
        <v>176</v>
      </c>
      <c r="C72" t="s">
        <v>177</v>
      </c>
      <c r="D72" t="s">
        <v>17</v>
      </c>
      <c r="E72" t="s">
        <v>49</v>
      </c>
      <c r="F72">
        <v>1</v>
      </c>
      <c r="G72">
        <v>355</v>
      </c>
      <c r="H72">
        <v>57.12</v>
      </c>
      <c r="I72" t="s">
        <v>50</v>
      </c>
      <c r="J72">
        <v>12</v>
      </c>
      <c r="K72" t="s">
        <v>51</v>
      </c>
      <c r="L72">
        <v>5</v>
      </c>
      <c r="M72" t="str">
        <f>VLOOKUP(D72,State_Lookup!$A$2:$B$28,2,FALSE)</f>
        <v>Rio de Janeiro</v>
      </c>
    </row>
    <row r="73" spans="1:13" x14ac:dyDescent="0.45">
      <c r="A73" t="s">
        <v>183</v>
      </c>
      <c r="B73" t="s">
        <v>184</v>
      </c>
      <c r="C73" t="s">
        <v>177</v>
      </c>
      <c r="D73" t="s">
        <v>16</v>
      </c>
      <c r="E73" t="s">
        <v>79</v>
      </c>
      <c r="F73">
        <v>1</v>
      </c>
      <c r="G73">
        <v>38.99</v>
      </c>
      <c r="H73">
        <v>14.52</v>
      </c>
      <c r="I73" t="s">
        <v>50</v>
      </c>
      <c r="J73">
        <v>21</v>
      </c>
      <c r="K73" t="s">
        <v>51</v>
      </c>
      <c r="L73">
        <v>4</v>
      </c>
      <c r="M73" t="str">
        <f>VLOOKUP(D73,State_Lookup!$A$2:$B$28,2,FALSE)</f>
        <v>Sao Paulo</v>
      </c>
    </row>
    <row r="74" spans="1:13" x14ac:dyDescent="0.45">
      <c r="A74" t="s">
        <v>185</v>
      </c>
      <c r="B74" t="s">
        <v>184</v>
      </c>
      <c r="C74" t="s">
        <v>177</v>
      </c>
      <c r="D74" t="s">
        <v>17</v>
      </c>
      <c r="E74" t="s">
        <v>186</v>
      </c>
      <c r="F74">
        <v>1</v>
      </c>
      <c r="G74">
        <v>103.99</v>
      </c>
      <c r="H74">
        <v>37.24</v>
      </c>
      <c r="I74" t="s">
        <v>50</v>
      </c>
      <c r="K74" t="s">
        <v>45</v>
      </c>
      <c r="L74">
        <v>5</v>
      </c>
      <c r="M74" t="str">
        <f>VLOOKUP(D74,State_Lookup!$A$2:$B$28,2,FALSE)</f>
        <v>Rio de Janeiro</v>
      </c>
    </row>
    <row r="75" spans="1:13" x14ac:dyDescent="0.45">
      <c r="A75" t="s">
        <v>187</v>
      </c>
      <c r="B75" t="s">
        <v>188</v>
      </c>
      <c r="C75" t="s">
        <v>177</v>
      </c>
      <c r="D75" t="s">
        <v>21</v>
      </c>
      <c r="E75" t="s">
        <v>132</v>
      </c>
      <c r="F75">
        <v>2</v>
      </c>
      <c r="G75">
        <v>159.80000000000001</v>
      </c>
      <c r="H75">
        <v>35.979999999999997</v>
      </c>
      <c r="I75" t="s">
        <v>44</v>
      </c>
      <c r="J75">
        <v>16</v>
      </c>
      <c r="K75" t="s">
        <v>51</v>
      </c>
      <c r="L75">
        <v>3</v>
      </c>
      <c r="M75" t="str">
        <f>VLOOKUP(D75,State_Lookup!$A$2:$B$28,2,FALSE)</f>
        <v>Santa Catarina</v>
      </c>
    </row>
    <row r="76" spans="1:13" x14ac:dyDescent="0.45">
      <c r="A76" t="s">
        <v>189</v>
      </c>
      <c r="B76" t="s">
        <v>190</v>
      </c>
      <c r="C76" t="s">
        <v>177</v>
      </c>
      <c r="D76" t="s">
        <v>83</v>
      </c>
      <c r="E76" t="s">
        <v>186</v>
      </c>
      <c r="F76">
        <v>2</v>
      </c>
      <c r="G76">
        <v>796</v>
      </c>
      <c r="H76">
        <v>251.32</v>
      </c>
      <c r="I76" t="s">
        <v>44</v>
      </c>
      <c r="J76">
        <v>17</v>
      </c>
      <c r="K76" t="s">
        <v>51</v>
      </c>
      <c r="L76">
        <v>5</v>
      </c>
      <c r="M76" t="str">
        <f>VLOOKUP(D76,State_Lookup!$A$2:$B$28,2,FALSE)</f>
        <v>Sergipe</v>
      </c>
    </row>
    <row r="77" spans="1:13" x14ac:dyDescent="0.45">
      <c r="A77" t="s">
        <v>191</v>
      </c>
      <c r="B77" t="s">
        <v>190</v>
      </c>
      <c r="C77" t="s">
        <v>177</v>
      </c>
      <c r="D77" t="s">
        <v>16</v>
      </c>
      <c r="E77" t="s">
        <v>192</v>
      </c>
      <c r="F77">
        <v>2</v>
      </c>
      <c r="G77">
        <v>108.6</v>
      </c>
      <c r="H77">
        <v>20.51</v>
      </c>
      <c r="I77" t="s">
        <v>44</v>
      </c>
      <c r="J77">
        <v>5</v>
      </c>
      <c r="K77" t="s">
        <v>51</v>
      </c>
      <c r="L77">
        <v>2</v>
      </c>
      <c r="M77" t="str">
        <f>VLOOKUP(D77,State_Lookup!$A$2:$B$28,2,FALSE)</f>
        <v>Sao Paulo</v>
      </c>
    </row>
    <row r="78" spans="1:13" x14ac:dyDescent="0.45">
      <c r="A78" t="s">
        <v>193</v>
      </c>
      <c r="B78" t="s">
        <v>190</v>
      </c>
      <c r="C78" t="s">
        <v>177</v>
      </c>
      <c r="D78" t="s">
        <v>194</v>
      </c>
      <c r="E78" t="s">
        <v>61</v>
      </c>
      <c r="F78">
        <v>1</v>
      </c>
      <c r="G78">
        <v>49.99</v>
      </c>
      <c r="H78">
        <v>15.65</v>
      </c>
      <c r="I78" t="s">
        <v>44</v>
      </c>
      <c r="J78">
        <v>5</v>
      </c>
      <c r="K78" t="s">
        <v>51</v>
      </c>
      <c r="L78">
        <v>5</v>
      </c>
      <c r="M78" t="str">
        <f>VLOOKUP(D78,State_Lookup!$A$2:$B$28,2,FALSE)</f>
        <v>Mato Grosso do Sul</v>
      </c>
    </row>
    <row r="79" spans="1:13" x14ac:dyDescent="0.45">
      <c r="A79" t="s">
        <v>195</v>
      </c>
      <c r="B79" t="s">
        <v>190</v>
      </c>
      <c r="C79" t="s">
        <v>177</v>
      </c>
      <c r="D79" t="s">
        <v>17</v>
      </c>
      <c r="E79" t="s">
        <v>100</v>
      </c>
      <c r="F79">
        <v>1</v>
      </c>
      <c r="G79">
        <v>163.9</v>
      </c>
      <c r="H79">
        <v>43.61</v>
      </c>
      <c r="I79" t="s">
        <v>44</v>
      </c>
      <c r="J79">
        <v>9</v>
      </c>
      <c r="K79" t="s">
        <v>51</v>
      </c>
      <c r="L79">
        <v>1</v>
      </c>
      <c r="M79" t="str">
        <f>VLOOKUP(D79,State_Lookup!$A$2:$B$28,2,FALSE)</f>
        <v>Rio de Janeiro</v>
      </c>
    </row>
    <row r="80" spans="1:13" x14ac:dyDescent="0.45">
      <c r="A80" t="s">
        <v>196</v>
      </c>
      <c r="B80" t="s">
        <v>190</v>
      </c>
      <c r="C80" t="s">
        <v>177</v>
      </c>
      <c r="D80" t="s">
        <v>17</v>
      </c>
      <c r="E80" t="s">
        <v>43</v>
      </c>
      <c r="F80">
        <v>1</v>
      </c>
      <c r="G80">
        <v>249.9</v>
      </c>
      <c r="H80">
        <v>71.48</v>
      </c>
      <c r="I80" t="s">
        <v>44</v>
      </c>
      <c r="J80">
        <v>10</v>
      </c>
      <c r="K80" t="s">
        <v>51</v>
      </c>
      <c r="L80">
        <v>5</v>
      </c>
      <c r="M80" t="str">
        <f>VLOOKUP(D80,State_Lookup!$A$2:$B$28,2,FALSE)</f>
        <v>Rio de Janeiro</v>
      </c>
    </row>
    <row r="81" spans="1:13" x14ac:dyDescent="0.45">
      <c r="A81" t="s">
        <v>197</v>
      </c>
      <c r="B81" t="s">
        <v>198</v>
      </c>
      <c r="C81" t="s">
        <v>177</v>
      </c>
      <c r="D81" t="s">
        <v>17</v>
      </c>
      <c r="E81" t="s">
        <v>199</v>
      </c>
      <c r="F81">
        <v>1</v>
      </c>
      <c r="G81">
        <v>25</v>
      </c>
      <c r="H81">
        <v>12.93</v>
      </c>
      <c r="I81" t="s">
        <v>44</v>
      </c>
      <c r="J81">
        <v>10</v>
      </c>
      <c r="K81" t="s">
        <v>51</v>
      </c>
      <c r="L81">
        <v>1</v>
      </c>
      <c r="M81" t="str">
        <f>VLOOKUP(D81,State_Lookup!$A$2:$B$28,2,FALSE)</f>
        <v>Rio de Janeiro</v>
      </c>
    </row>
    <row r="82" spans="1:13" x14ac:dyDescent="0.45">
      <c r="A82" t="s">
        <v>200</v>
      </c>
      <c r="B82" t="s">
        <v>198</v>
      </c>
      <c r="C82" t="s">
        <v>177</v>
      </c>
      <c r="D82" t="s">
        <v>16</v>
      </c>
      <c r="E82" t="s">
        <v>152</v>
      </c>
      <c r="F82">
        <v>1</v>
      </c>
      <c r="G82">
        <v>55.9</v>
      </c>
      <c r="H82">
        <v>14.15</v>
      </c>
      <c r="I82" t="s">
        <v>44</v>
      </c>
      <c r="J82">
        <v>10</v>
      </c>
      <c r="K82" t="s">
        <v>51</v>
      </c>
      <c r="L82">
        <v>5</v>
      </c>
      <c r="M82" t="str">
        <f>VLOOKUP(D82,State_Lookup!$A$2:$B$28,2,FALSE)</f>
        <v>Sao Paulo</v>
      </c>
    </row>
    <row r="83" spans="1:13" x14ac:dyDescent="0.45">
      <c r="A83" t="s">
        <v>201</v>
      </c>
      <c r="B83" t="s">
        <v>198</v>
      </c>
      <c r="C83" t="s">
        <v>177</v>
      </c>
      <c r="D83" t="s">
        <v>122</v>
      </c>
      <c r="E83" t="s">
        <v>49</v>
      </c>
      <c r="F83">
        <v>1</v>
      </c>
      <c r="G83">
        <v>159</v>
      </c>
      <c r="H83">
        <v>47.61</v>
      </c>
      <c r="I83" t="s">
        <v>44</v>
      </c>
      <c r="J83">
        <v>10</v>
      </c>
      <c r="K83" t="s">
        <v>51</v>
      </c>
      <c r="L83">
        <v>5</v>
      </c>
      <c r="M83" t="str">
        <f>VLOOKUP(D83,State_Lookup!$A$2:$B$28,2,FALSE)</f>
        <v>Para</v>
      </c>
    </row>
    <row r="84" spans="1:13" x14ac:dyDescent="0.45">
      <c r="A84" t="s">
        <v>202</v>
      </c>
      <c r="B84" t="s">
        <v>198</v>
      </c>
      <c r="C84" t="s">
        <v>177</v>
      </c>
      <c r="D84" t="s">
        <v>16</v>
      </c>
      <c r="E84" t="s">
        <v>79</v>
      </c>
      <c r="F84">
        <v>1</v>
      </c>
      <c r="G84">
        <v>49.9</v>
      </c>
      <c r="H84">
        <v>12.93</v>
      </c>
      <c r="I84" t="s">
        <v>44</v>
      </c>
      <c r="J84">
        <v>10</v>
      </c>
      <c r="K84" t="s">
        <v>51</v>
      </c>
      <c r="L84">
        <v>5</v>
      </c>
      <c r="M84" t="str">
        <f>VLOOKUP(D84,State_Lookup!$A$2:$B$28,2,FALSE)</f>
        <v>Sao Paulo</v>
      </c>
    </row>
    <row r="85" spans="1:13" x14ac:dyDescent="0.45">
      <c r="A85" t="s">
        <v>203</v>
      </c>
      <c r="B85" t="s">
        <v>198</v>
      </c>
      <c r="C85" t="s">
        <v>177</v>
      </c>
      <c r="D85" t="s">
        <v>18</v>
      </c>
      <c r="E85" t="s">
        <v>204</v>
      </c>
      <c r="F85">
        <v>1</v>
      </c>
      <c r="G85">
        <v>21.99</v>
      </c>
      <c r="H85">
        <v>14.52</v>
      </c>
      <c r="I85" t="s">
        <v>44</v>
      </c>
      <c r="J85">
        <v>4</v>
      </c>
      <c r="K85" t="s">
        <v>51</v>
      </c>
      <c r="L85">
        <v>3</v>
      </c>
      <c r="M85" t="str">
        <f>VLOOKUP(D85,State_Lookup!$A$2:$B$28,2,FALSE)</f>
        <v>Minas Gerais</v>
      </c>
    </row>
    <row r="86" spans="1:13" x14ac:dyDescent="0.45">
      <c r="A86" t="s">
        <v>205</v>
      </c>
      <c r="B86" t="s">
        <v>206</v>
      </c>
      <c r="C86" t="s">
        <v>177</v>
      </c>
      <c r="D86" t="s">
        <v>17</v>
      </c>
      <c r="E86" t="s">
        <v>79</v>
      </c>
      <c r="F86">
        <v>1</v>
      </c>
      <c r="G86">
        <v>69.900000000000006</v>
      </c>
      <c r="H86">
        <v>15.25</v>
      </c>
      <c r="I86" t="s">
        <v>44</v>
      </c>
      <c r="J86">
        <v>6</v>
      </c>
      <c r="K86" t="s">
        <v>51</v>
      </c>
      <c r="L86">
        <v>4</v>
      </c>
      <c r="M86" t="str">
        <f>VLOOKUP(D86,State_Lookup!$A$2:$B$28,2,FALSE)</f>
        <v>Rio de Janeiro</v>
      </c>
    </row>
    <row r="87" spans="1:13" x14ac:dyDescent="0.45">
      <c r="A87" t="s">
        <v>207</v>
      </c>
      <c r="B87" t="s">
        <v>206</v>
      </c>
      <c r="C87" t="s">
        <v>177</v>
      </c>
      <c r="D87" t="s">
        <v>208</v>
      </c>
      <c r="E87" t="s">
        <v>148</v>
      </c>
      <c r="F87">
        <v>1</v>
      </c>
      <c r="G87">
        <v>239.99</v>
      </c>
      <c r="H87">
        <v>22.13</v>
      </c>
      <c r="I87" t="s">
        <v>44</v>
      </c>
      <c r="J87">
        <v>14</v>
      </c>
      <c r="K87" t="s">
        <v>51</v>
      </c>
      <c r="L87">
        <v>5</v>
      </c>
      <c r="M87" t="str">
        <f>VLOOKUP(D87,State_Lookup!$A$2:$B$28,2,FALSE)</f>
        <v>Mato Grosso</v>
      </c>
    </row>
    <row r="88" spans="1:13" x14ac:dyDescent="0.45">
      <c r="A88" t="s">
        <v>209</v>
      </c>
      <c r="B88" t="s">
        <v>206</v>
      </c>
      <c r="C88" t="s">
        <v>177</v>
      </c>
      <c r="D88" t="s">
        <v>210</v>
      </c>
      <c r="E88" t="s">
        <v>69</v>
      </c>
      <c r="F88">
        <v>1</v>
      </c>
      <c r="G88">
        <v>35</v>
      </c>
      <c r="H88">
        <v>24.35</v>
      </c>
      <c r="I88" t="s">
        <v>44</v>
      </c>
      <c r="J88">
        <v>11</v>
      </c>
      <c r="K88" t="s">
        <v>51</v>
      </c>
      <c r="L88">
        <v>5</v>
      </c>
      <c r="M88" t="str">
        <f>VLOOKUP(D88,State_Lookup!$A$2:$B$28,2,FALSE)</f>
        <v>Amazonas</v>
      </c>
    </row>
    <row r="89" spans="1:13" x14ac:dyDescent="0.45">
      <c r="A89" t="s">
        <v>211</v>
      </c>
      <c r="B89" t="s">
        <v>212</v>
      </c>
      <c r="C89" t="s">
        <v>177</v>
      </c>
      <c r="D89" t="s">
        <v>16</v>
      </c>
      <c r="E89" t="s">
        <v>49</v>
      </c>
      <c r="F89">
        <v>1</v>
      </c>
      <c r="G89">
        <v>44.99</v>
      </c>
      <c r="H89">
        <v>10.96</v>
      </c>
      <c r="I89" t="s">
        <v>44</v>
      </c>
      <c r="J89">
        <v>10</v>
      </c>
      <c r="K89" t="s">
        <v>51</v>
      </c>
      <c r="L89">
        <v>1</v>
      </c>
      <c r="M89" t="str">
        <f>VLOOKUP(D89,State_Lookup!$A$2:$B$28,2,FALSE)</f>
        <v>Sao Paulo</v>
      </c>
    </row>
    <row r="90" spans="1:13" x14ac:dyDescent="0.45">
      <c r="A90" t="s">
        <v>213</v>
      </c>
      <c r="B90" t="s">
        <v>212</v>
      </c>
      <c r="C90" t="s">
        <v>177</v>
      </c>
      <c r="D90" t="s">
        <v>16</v>
      </c>
      <c r="E90" t="s">
        <v>79</v>
      </c>
      <c r="F90">
        <v>1</v>
      </c>
      <c r="G90">
        <v>23.9</v>
      </c>
      <c r="H90">
        <v>8.7200000000000006</v>
      </c>
      <c r="I90" t="s">
        <v>44</v>
      </c>
      <c r="J90">
        <v>7</v>
      </c>
      <c r="K90" t="s">
        <v>51</v>
      </c>
      <c r="L90">
        <v>5</v>
      </c>
      <c r="M90" t="str">
        <f>VLOOKUP(D90,State_Lookup!$A$2:$B$28,2,FALSE)</f>
        <v>Sao Paulo</v>
      </c>
    </row>
    <row r="91" spans="1:13" x14ac:dyDescent="0.45">
      <c r="A91" t="s">
        <v>214</v>
      </c>
      <c r="B91" t="s">
        <v>212</v>
      </c>
      <c r="C91" t="s">
        <v>177</v>
      </c>
      <c r="D91" t="s">
        <v>194</v>
      </c>
      <c r="E91" t="s">
        <v>49</v>
      </c>
      <c r="F91">
        <v>1</v>
      </c>
      <c r="G91">
        <v>113</v>
      </c>
      <c r="H91">
        <v>19.38</v>
      </c>
      <c r="I91" t="s">
        <v>44</v>
      </c>
      <c r="J91">
        <v>16</v>
      </c>
      <c r="K91" t="s">
        <v>51</v>
      </c>
      <c r="L91">
        <v>5</v>
      </c>
      <c r="M91" t="str">
        <f>VLOOKUP(D91,State_Lookup!$A$2:$B$28,2,FALSE)</f>
        <v>Mato Grosso do Sul</v>
      </c>
    </row>
    <row r="92" spans="1:13" x14ac:dyDescent="0.45">
      <c r="A92" t="s">
        <v>215</v>
      </c>
      <c r="B92" t="s">
        <v>212</v>
      </c>
      <c r="C92" t="s">
        <v>177</v>
      </c>
      <c r="D92" t="s">
        <v>18</v>
      </c>
      <c r="E92" t="s">
        <v>152</v>
      </c>
      <c r="F92">
        <v>1</v>
      </c>
      <c r="G92">
        <v>55.9</v>
      </c>
      <c r="H92">
        <v>11</v>
      </c>
      <c r="I92" t="s">
        <v>133</v>
      </c>
      <c r="J92">
        <v>6</v>
      </c>
      <c r="K92" t="s">
        <v>51</v>
      </c>
      <c r="L92">
        <v>5</v>
      </c>
      <c r="M92" t="str">
        <f>VLOOKUP(D92,State_Lookup!$A$2:$B$28,2,FALSE)</f>
        <v>Minas Gerais</v>
      </c>
    </row>
    <row r="93" spans="1:13" x14ac:dyDescent="0.45">
      <c r="A93" t="s">
        <v>216</v>
      </c>
      <c r="B93" t="s">
        <v>212</v>
      </c>
      <c r="C93" t="s">
        <v>177</v>
      </c>
      <c r="D93" t="s">
        <v>18</v>
      </c>
      <c r="E93" t="s">
        <v>61</v>
      </c>
      <c r="F93">
        <v>1</v>
      </c>
      <c r="G93">
        <v>20.9</v>
      </c>
      <c r="H93">
        <v>10.96</v>
      </c>
      <c r="I93" t="s">
        <v>50</v>
      </c>
      <c r="J93">
        <v>13</v>
      </c>
      <c r="K93" t="s">
        <v>51</v>
      </c>
      <c r="L93">
        <v>1</v>
      </c>
      <c r="M93" t="str">
        <f>VLOOKUP(D93,State_Lookup!$A$2:$B$28,2,FALSE)</f>
        <v>Minas Gerais</v>
      </c>
    </row>
    <row r="94" spans="1:13" x14ac:dyDescent="0.45">
      <c r="A94" t="s">
        <v>217</v>
      </c>
      <c r="B94" t="s">
        <v>212</v>
      </c>
      <c r="C94" t="s">
        <v>177</v>
      </c>
      <c r="D94" t="s">
        <v>18</v>
      </c>
      <c r="E94" t="s">
        <v>43</v>
      </c>
      <c r="F94">
        <v>2</v>
      </c>
      <c r="G94">
        <v>198</v>
      </c>
      <c r="H94">
        <v>74.180000000000007</v>
      </c>
      <c r="I94" t="s">
        <v>44</v>
      </c>
      <c r="J94">
        <v>23</v>
      </c>
      <c r="K94" t="s">
        <v>51</v>
      </c>
      <c r="L94">
        <v>5</v>
      </c>
      <c r="M94" t="str">
        <f>VLOOKUP(D94,State_Lookup!$A$2:$B$28,2,FALSE)</f>
        <v>Minas Gerais</v>
      </c>
    </row>
    <row r="95" spans="1:13" x14ac:dyDescent="0.45">
      <c r="A95" t="s">
        <v>218</v>
      </c>
      <c r="B95" t="s">
        <v>212</v>
      </c>
      <c r="C95" t="s">
        <v>177</v>
      </c>
      <c r="D95" t="s">
        <v>219</v>
      </c>
      <c r="E95" t="s">
        <v>220</v>
      </c>
      <c r="F95">
        <v>1</v>
      </c>
      <c r="G95">
        <v>119.99</v>
      </c>
      <c r="H95">
        <v>50</v>
      </c>
      <c r="I95" t="s">
        <v>44</v>
      </c>
      <c r="J95">
        <v>15</v>
      </c>
      <c r="K95" t="s">
        <v>51</v>
      </c>
      <c r="L95">
        <v>5</v>
      </c>
      <c r="M95" t="str">
        <f>VLOOKUP(D95,State_Lookup!$A$2:$B$28,2,FALSE)</f>
        <v>Rondonia</v>
      </c>
    </row>
    <row r="96" spans="1:13" x14ac:dyDescent="0.45">
      <c r="A96" t="s">
        <v>221</v>
      </c>
      <c r="B96" t="s">
        <v>212</v>
      </c>
      <c r="C96" t="s">
        <v>177</v>
      </c>
      <c r="D96" t="s">
        <v>18</v>
      </c>
      <c r="E96" t="s">
        <v>66</v>
      </c>
      <c r="F96">
        <v>1</v>
      </c>
      <c r="G96">
        <v>142.99</v>
      </c>
      <c r="H96">
        <v>18.52</v>
      </c>
      <c r="I96" t="s">
        <v>44</v>
      </c>
      <c r="J96">
        <v>8</v>
      </c>
      <c r="K96" t="s">
        <v>51</v>
      </c>
      <c r="L96">
        <v>5</v>
      </c>
      <c r="M96" t="str">
        <f>VLOOKUP(D96,State_Lookup!$A$2:$B$28,2,FALSE)</f>
        <v>Minas Gerais</v>
      </c>
    </row>
    <row r="97" spans="1:13" x14ac:dyDescent="0.45">
      <c r="A97" t="s">
        <v>222</v>
      </c>
      <c r="B97" t="s">
        <v>212</v>
      </c>
      <c r="C97" t="s">
        <v>177</v>
      </c>
      <c r="D97" t="s">
        <v>18</v>
      </c>
      <c r="E97" t="s">
        <v>103</v>
      </c>
      <c r="F97">
        <v>1</v>
      </c>
      <c r="G97">
        <v>64.900000000000006</v>
      </c>
      <c r="H97">
        <v>14.62</v>
      </c>
      <c r="I97" t="s">
        <v>44</v>
      </c>
      <c r="J97">
        <v>9</v>
      </c>
      <c r="K97" t="s">
        <v>51</v>
      </c>
      <c r="L97">
        <v>4</v>
      </c>
      <c r="M97" t="str">
        <f>VLOOKUP(D97,State_Lookup!$A$2:$B$28,2,FALSE)</f>
        <v>Minas Gerais</v>
      </c>
    </row>
    <row r="98" spans="1:13" x14ac:dyDescent="0.45">
      <c r="A98" t="s">
        <v>223</v>
      </c>
      <c r="B98" t="s">
        <v>224</v>
      </c>
      <c r="C98" t="s">
        <v>177</v>
      </c>
      <c r="D98" t="s">
        <v>16</v>
      </c>
      <c r="E98" t="s">
        <v>79</v>
      </c>
      <c r="F98">
        <v>1</v>
      </c>
      <c r="G98">
        <v>19.989999999999998</v>
      </c>
      <c r="H98">
        <v>10.96</v>
      </c>
      <c r="I98" t="s">
        <v>50</v>
      </c>
      <c r="K98" t="s">
        <v>45</v>
      </c>
      <c r="L98">
        <v>1</v>
      </c>
      <c r="M98" t="str">
        <f>VLOOKUP(D98,State_Lookup!$A$2:$B$28,2,FALSE)</f>
        <v>Sao Paulo</v>
      </c>
    </row>
    <row r="99" spans="1:13" x14ac:dyDescent="0.45">
      <c r="A99" t="s">
        <v>225</v>
      </c>
      <c r="B99" t="s">
        <v>224</v>
      </c>
      <c r="C99" t="s">
        <v>177</v>
      </c>
      <c r="D99" t="s">
        <v>19</v>
      </c>
      <c r="E99" t="s">
        <v>79</v>
      </c>
      <c r="F99">
        <v>1</v>
      </c>
      <c r="G99">
        <v>69.989999999999995</v>
      </c>
      <c r="H99">
        <v>16.190000000000001</v>
      </c>
      <c r="I99" t="s">
        <v>44</v>
      </c>
      <c r="K99" t="s">
        <v>45</v>
      </c>
      <c r="L99">
        <v>2</v>
      </c>
      <c r="M99" t="str">
        <f>VLOOKUP(D99,State_Lookup!$A$2:$B$28,2,FALSE)</f>
        <v>Rio Grande do Sul</v>
      </c>
    </row>
    <row r="100" spans="1:13" x14ac:dyDescent="0.45">
      <c r="A100" t="s">
        <v>226</v>
      </c>
      <c r="B100" t="s">
        <v>224</v>
      </c>
      <c r="C100" t="s">
        <v>177</v>
      </c>
      <c r="D100" t="s">
        <v>20</v>
      </c>
      <c r="E100" t="s">
        <v>66</v>
      </c>
      <c r="F100">
        <v>1</v>
      </c>
      <c r="G100">
        <v>9.8800000000000008</v>
      </c>
      <c r="H100">
        <v>14.11</v>
      </c>
      <c r="I100" t="s">
        <v>44</v>
      </c>
      <c r="J100">
        <v>12</v>
      </c>
      <c r="K100" t="s">
        <v>51</v>
      </c>
      <c r="L100">
        <v>5</v>
      </c>
      <c r="M100" t="str">
        <f>VLOOKUP(D100,State_Lookup!$A$2:$B$28,2,FALSE)</f>
        <v>Parana</v>
      </c>
    </row>
    <row r="101" spans="1:13" x14ac:dyDescent="0.45">
      <c r="A101" t="s">
        <v>227</v>
      </c>
      <c r="B101" t="s">
        <v>224</v>
      </c>
      <c r="C101" t="s">
        <v>177</v>
      </c>
      <c r="D101" t="s">
        <v>17</v>
      </c>
      <c r="E101" t="s">
        <v>100</v>
      </c>
      <c r="F101">
        <v>1</v>
      </c>
      <c r="G101">
        <v>169.9</v>
      </c>
      <c r="H101">
        <v>31.93</v>
      </c>
      <c r="I101" t="s">
        <v>50</v>
      </c>
      <c r="J101">
        <v>12</v>
      </c>
      <c r="K101" t="s">
        <v>51</v>
      </c>
      <c r="L101">
        <v>5</v>
      </c>
      <c r="M101" t="str">
        <f>VLOOKUP(D101,State_Lookup!$A$2:$B$28,2,FALSE)</f>
        <v>Rio de Janeiro</v>
      </c>
    </row>
    <row r="102" spans="1:13" x14ac:dyDescent="0.45">
      <c r="A102" t="s">
        <v>228</v>
      </c>
      <c r="B102" t="s">
        <v>229</v>
      </c>
      <c r="C102" t="s">
        <v>177</v>
      </c>
      <c r="D102" t="s">
        <v>18</v>
      </c>
      <c r="E102" t="s">
        <v>69</v>
      </c>
      <c r="F102">
        <v>1</v>
      </c>
      <c r="G102">
        <v>157</v>
      </c>
      <c r="H102">
        <v>18.850000000000001</v>
      </c>
      <c r="I102" t="s">
        <v>44</v>
      </c>
      <c r="J102">
        <v>5</v>
      </c>
      <c r="K102" t="s">
        <v>51</v>
      </c>
      <c r="L102">
        <v>3</v>
      </c>
      <c r="M102" t="str">
        <f>VLOOKUP(D102,State_Lookup!$A$2:$B$28,2,FALSE)</f>
        <v>Minas Gerais</v>
      </c>
    </row>
    <row r="103" spans="1:13" x14ac:dyDescent="0.45">
      <c r="A103" t="s">
        <v>230</v>
      </c>
      <c r="B103" t="s">
        <v>229</v>
      </c>
      <c r="C103" t="s">
        <v>177</v>
      </c>
      <c r="D103" t="s">
        <v>16</v>
      </c>
      <c r="E103" t="s">
        <v>199</v>
      </c>
      <c r="F103">
        <v>1</v>
      </c>
      <c r="G103">
        <v>104.9</v>
      </c>
      <c r="H103">
        <v>15.94</v>
      </c>
      <c r="I103" t="s">
        <v>44</v>
      </c>
      <c r="J103">
        <v>3</v>
      </c>
      <c r="K103" t="s">
        <v>51</v>
      </c>
      <c r="L103">
        <v>4</v>
      </c>
      <c r="M103" t="str">
        <f>VLOOKUP(D103,State_Lookup!$A$2:$B$28,2,FALSE)</f>
        <v>Sao Paulo</v>
      </c>
    </row>
    <row r="104" spans="1:13" x14ac:dyDescent="0.45">
      <c r="A104" t="s">
        <v>231</v>
      </c>
      <c r="B104" t="s">
        <v>232</v>
      </c>
      <c r="C104" t="s">
        <v>177</v>
      </c>
      <c r="D104" t="s">
        <v>24</v>
      </c>
      <c r="E104" t="s">
        <v>61</v>
      </c>
      <c r="F104">
        <v>1</v>
      </c>
      <c r="G104">
        <v>3699.99</v>
      </c>
      <c r="H104">
        <v>36.229999999999997</v>
      </c>
      <c r="I104" t="s">
        <v>44</v>
      </c>
      <c r="J104">
        <v>12</v>
      </c>
      <c r="K104" t="s">
        <v>51</v>
      </c>
      <c r="L104">
        <v>4</v>
      </c>
      <c r="M104" t="str">
        <f>VLOOKUP(D104,State_Lookup!$A$2:$B$28,2,FALSE)</f>
        <v>Distrito Federal</v>
      </c>
    </row>
    <row r="105" spans="1:13" x14ac:dyDescent="0.45">
      <c r="A105" t="s">
        <v>233</v>
      </c>
      <c r="B105" t="s">
        <v>232</v>
      </c>
      <c r="C105" t="s">
        <v>177</v>
      </c>
      <c r="D105" t="s">
        <v>18</v>
      </c>
      <c r="E105" t="s">
        <v>220</v>
      </c>
      <c r="F105">
        <v>1</v>
      </c>
      <c r="G105">
        <v>119.99</v>
      </c>
      <c r="H105">
        <v>15.01</v>
      </c>
      <c r="I105" t="s">
        <v>44</v>
      </c>
      <c r="J105">
        <v>21</v>
      </c>
      <c r="K105" t="s">
        <v>51</v>
      </c>
      <c r="L105">
        <v>5</v>
      </c>
      <c r="M105" t="str">
        <f>VLOOKUP(D105,State_Lookup!$A$2:$B$28,2,FALSE)</f>
        <v>Minas Gerais</v>
      </c>
    </row>
    <row r="106" spans="1:13" x14ac:dyDescent="0.45">
      <c r="A106" t="s">
        <v>234</v>
      </c>
      <c r="B106" t="s">
        <v>232</v>
      </c>
      <c r="C106" t="s">
        <v>177</v>
      </c>
      <c r="D106" t="s">
        <v>235</v>
      </c>
      <c r="E106" t="s">
        <v>61</v>
      </c>
      <c r="F106">
        <v>1</v>
      </c>
      <c r="G106">
        <v>20.9</v>
      </c>
      <c r="H106">
        <v>24.35</v>
      </c>
      <c r="I106" t="s">
        <v>44</v>
      </c>
      <c r="J106">
        <v>27</v>
      </c>
      <c r="K106" t="s">
        <v>51</v>
      </c>
      <c r="L106">
        <v>5</v>
      </c>
      <c r="M106" t="str">
        <f>VLOOKUP(D106,State_Lookup!$A$2:$B$28,2,FALSE)</f>
        <v>Acre</v>
      </c>
    </row>
    <row r="107" spans="1:13" x14ac:dyDescent="0.45">
      <c r="A107" t="s">
        <v>236</v>
      </c>
      <c r="B107" t="s">
        <v>232</v>
      </c>
      <c r="C107" t="s">
        <v>177</v>
      </c>
      <c r="D107" t="s">
        <v>18</v>
      </c>
      <c r="E107" t="s">
        <v>110</v>
      </c>
      <c r="F107">
        <v>2</v>
      </c>
      <c r="G107">
        <v>419.8</v>
      </c>
      <c r="H107">
        <v>44.49</v>
      </c>
      <c r="I107" t="s">
        <v>44</v>
      </c>
      <c r="J107">
        <v>12</v>
      </c>
      <c r="K107" t="s">
        <v>51</v>
      </c>
      <c r="L107">
        <v>4</v>
      </c>
      <c r="M107" t="str">
        <f>VLOOKUP(D107,State_Lookup!$A$2:$B$28,2,FALSE)</f>
        <v>Minas Gerais</v>
      </c>
    </row>
    <row r="108" spans="1:13" x14ac:dyDescent="0.45">
      <c r="A108" t="s">
        <v>237</v>
      </c>
      <c r="B108" t="s">
        <v>232</v>
      </c>
      <c r="C108" t="s">
        <v>177</v>
      </c>
      <c r="D108" t="s">
        <v>16</v>
      </c>
      <c r="E108" t="s">
        <v>79</v>
      </c>
      <c r="F108">
        <v>1</v>
      </c>
      <c r="G108">
        <v>67.900000000000006</v>
      </c>
      <c r="H108">
        <v>11.09</v>
      </c>
      <c r="I108" t="s">
        <v>50</v>
      </c>
      <c r="J108">
        <v>9</v>
      </c>
      <c r="K108" t="s">
        <v>51</v>
      </c>
      <c r="L108">
        <v>5</v>
      </c>
      <c r="M108" t="str">
        <f>VLOOKUP(D108,State_Lookup!$A$2:$B$28,2,FALSE)</f>
        <v>Sao Paulo</v>
      </c>
    </row>
    <row r="109" spans="1:13" x14ac:dyDescent="0.45">
      <c r="A109" t="s">
        <v>238</v>
      </c>
      <c r="B109" t="s">
        <v>239</v>
      </c>
      <c r="C109" t="s">
        <v>177</v>
      </c>
      <c r="D109" t="s">
        <v>16</v>
      </c>
      <c r="E109" t="s">
        <v>61</v>
      </c>
      <c r="F109">
        <v>1</v>
      </c>
      <c r="G109">
        <v>51.9</v>
      </c>
      <c r="H109">
        <v>11.75</v>
      </c>
      <c r="I109" t="s">
        <v>44</v>
      </c>
      <c r="J109">
        <v>8</v>
      </c>
      <c r="K109" t="s">
        <v>51</v>
      </c>
      <c r="L109">
        <v>5</v>
      </c>
      <c r="M109" t="str">
        <f>VLOOKUP(D109,State_Lookup!$A$2:$B$28,2,FALSE)</f>
        <v>Sao Paulo</v>
      </c>
    </row>
    <row r="110" spans="1:13" x14ac:dyDescent="0.45">
      <c r="A110" t="s">
        <v>240</v>
      </c>
      <c r="B110" t="s">
        <v>241</v>
      </c>
      <c r="C110" t="s">
        <v>177</v>
      </c>
      <c r="D110" t="s">
        <v>17</v>
      </c>
      <c r="E110" t="s">
        <v>53</v>
      </c>
      <c r="F110">
        <v>1</v>
      </c>
      <c r="G110">
        <v>84.99</v>
      </c>
      <c r="H110">
        <v>16.29</v>
      </c>
      <c r="I110" t="s">
        <v>50</v>
      </c>
      <c r="J110">
        <v>8</v>
      </c>
      <c r="K110" t="s">
        <v>51</v>
      </c>
      <c r="L110">
        <v>4</v>
      </c>
      <c r="M110" t="str">
        <f>VLOOKUP(D110,State_Lookup!$A$2:$B$28,2,FALSE)</f>
        <v>Rio de Janeiro</v>
      </c>
    </row>
    <row r="111" spans="1:13" x14ac:dyDescent="0.45">
      <c r="A111" t="s">
        <v>242</v>
      </c>
      <c r="B111" t="s">
        <v>243</v>
      </c>
      <c r="C111" t="s">
        <v>177</v>
      </c>
      <c r="D111" t="s">
        <v>18</v>
      </c>
      <c r="E111" t="s">
        <v>244</v>
      </c>
      <c r="F111">
        <v>1</v>
      </c>
      <c r="G111">
        <v>35</v>
      </c>
      <c r="H111">
        <v>14.52</v>
      </c>
      <c r="I111" t="s">
        <v>44</v>
      </c>
      <c r="J111">
        <v>7</v>
      </c>
      <c r="K111" t="s">
        <v>51</v>
      </c>
      <c r="L111">
        <v>1</v>
      </c>
      <c r="M111" t="str">
        <f>VLOOKUP(D111,State_Lookup!$A$2:$B$28,2,FALSE)</f>
        <v>Minas Gerais</v>
      </c>
    </row>
    <row r="112" spans="1:13" x14ac:dyDescent="0.45">
      <c r="A112" t="s">
        <v>245</v>
      </c>
      <c r="B112" t="s">
        <v>243</v>
      </c>
      <c r="C112" t="s">
        <v>177</v>
      </c>
      <c r="D112" t="s">
        <v>16</v>
      </c>
      <c r="E112" t="s">
        <v>49</v>
      </c>
      <c r="F112">
        <v>1</v>
      </c>
      <c r="G112">
        <v>1299.99</v>
      </c>
      <c r="H112">
        <v>67.510000000000005</v>
      </c>
      <c r="I112" t="s">
        <v>44</v>
      </c>
      <c r="J112">
        <v>8</v>
      </c>
      <c r="K112" t="s">
        <v>51</v>
      </c>
      <c r="L112">
        <v>5</v>
      </c>
      <c r="M112" t="str">
        <f>VLOOKUP(D112,State_Lookup!$A$2:$B$28,2,FALSE)</f>
        <v>Sao Paulo</v>
      </c>
    </row>
    <row r="113" spans="1:13" x14ac:dyDescent="0.45">
      <c r="A113" t="s">
        <v>246</v>
      </c>
      <c r="B113" t="s">
        <v>243</v>
      </c>
      <c r="C113" t="s">
        <v>177</v>
      </c>
      <c r="D113" t="s">
        <v>16</v>
      </c>
      <c r="E113" t="s">
        <v>61</v>
      </c>
      <c r="F113">
        <v>1</v>
      </c>
      <c r="G113">
        <v>22</v>
      </c>
      <c r="H113">
        <v>10.96</v>
      </c>
      <c r="I113" t="s">
        <v>50</v>
      </c>
      <c r="J113">
        <v>8</v>
      </c>
      <c r="K113" t="s">
        <v>51</v>
      </c>
      <c r="L113">
        <v>1</v>
      </c>
      <c r="M113" t="str">
        <f>VLOOKUP(D113,State_Lookup!$A$2:$B$28,2,FALSE)</f>
        <v>Sao Paulo</v>
      </c>
    </row>
    <row r="114" spans="1:13" x14ac:dyDescent="0.45">
      <c r="A114" t="s">
        <v>247</v>
      </c>
      <c r="B114" t="s">
        <v>243</v>
      </c>
      <c r="C114" t="s">
        <v>177</v>
      </c>
      <c r="D114" t="s">
        <v>17</v>
      </c>
      <c r="E114" t="s">
        <v>199</v>
      </c>
      <c r="F114">
        <v>1</v>
      </c>
      <c r="G114">
        <v>89.9</v>
      </c>
      <c r="H114">
        <v>37.03</v>
      </c>
      <c r="I114" t="s">
        <v>44</v>
      </c>
      <c r="J114">
        <v>8</v>
      </c>
      <c r="K114" t="s">
        <v>51</v>
      </c>
      <c r="L114">
        <v>5</v>
      </c>
      <c r="M114" t="str">
        <f>VLOOKUP(D114,State_Lookup!$A$2:$B$28,2,FALSE)</f>
        <v>Rio de Janeiro</v>
      </c>
    </row>
    <row r="115" spans="1:13" x14ac:dyDescent="0.45">
      <c r="A115" t="s">
        <v>248</v>
      </c>
      <c r="B115" t="s">
        <v>243</v>
      </c>
      <c r="C115" t="s">
        <v>177</v>
      </c>
      <c r="D115" t="s">
        <v>249</v>
      </c>
      <c r="E115" t="s">
        <v>220</v>
      </c>
      <c r="F115">
        <v>1</v>
      </c>
      <c r="G115">
        <v>176.96</v>
      </c>
      <c r="H115">
        <v>42.83</v>
      </c>
      <c r="I115" t="s">
        <v>44</v>
      </c>
      <c r="J115">
        <v>23</v>
      </c>
      <c r="K115" t="s">
        <v>51</v>
      </c>
      <c r="L115">
        <v>5</v>
      </c>
      <c r="M115" t="str">
        <f>VLOOKUP(D115,State_Lookup!$A$2:$B$28,2,FALSE)</f>
        <v>Tocantins</v>
      </c>
    </row>
    <row r="116" spans="1:13" x14ac:dyDescent="0.45">
      <c r="A116" t="s">
        <v>250</v>
      </c>
      <c r="B116" t="s">
        <v>243</v>
      </c>
      <c r="C116" t="s">
        <v>177</v>
      </c>
      <c r="D116" t="s">
        <v>18</v>
      </c>
      <c r="E116" t="s">
        <v>43</v>
      </c>
      <c r="F116">
        <v>1</v>
      </c>
      <c r="G116">
        <v>109.99</v>
      </c>
      <c r="H116">
        <v>17.510000000000002</v>
      </c>
      <c r="I116" t="s">
        <v>44</v>
      </c>
      <c r="J116">
        <v>10</v>
      </c>
      <c r="K116" t="s">
        <v>51</v>
      </c>
      <c r="L116">
        <v>1</v>
      </c>
      <c r="M116" t="str">
        <f>VLOOKUP(D116,State_Lookup!$A$2:$B$28,2,FALSE)</f>
        <v>Minas Gerais</v>
      </c>
    </row>
    <row r="117" spans="1:13" x14ac:dyDescent="0.45">
      <c r="A117" t="s">
        <v>251</v>
      </c>
      <c r="B117" t="s">
        <v>252</v>
      </c>
      <c r="C117" t="s">
        <v>177</v>
      </c>
      <c r="D117" t="s">
        <v>17</v>
      </c>
      <c r="E117" t="s">
        <v>199</v>
      </c>
      <c r="F117">
        <v>1</v>
      </c>
      <c r="G117">
        <v>25</v>
      </c>
      <c r="H117">
        <v>12.93</v>
      </c>
      <c r="I117" t="s">
        <v>44</v>
      </c>
      <c r="J117">
        <v>3</v>
      </c>
      <c r="K117" t="s">
        <v>51</v>
      </c>
      <c r="L117">
        <v>1</v>
      </c>
      <c r="M117" t="str">
        <f>VLOOKUP(D117,State_Lookup!$A$2:$B$28,2,FALSE)</f>
        <v>Rio de Janeiro</v>
      </c>
    </row>
    <row r="118" spans="1:13" x14ac:dyDescent="0.45">
      <c r="A118" t="s">
        <v>253</v>
      </c>
      <c r="B118" t="s">
        <v>254</v>
      </c>
      <c r="C118" t="s">
        <v>177</v>
      </c>
      <c r="D118" t="s">
        <v>17</v>
      </c>
      <c r="E118" t="s">
        <v>43</v>
      </c>
      <c r="F118">
        <v>1</v>
      </c>
      <c r="G118">
        <v>99.9</v>
      </c>
      <c r="H118">
        <v>17.54</v>
      </c>
      <c r="I118" t="s">
        <v>44</v>
      </c>
      <c r="J118">
        <v>15</v>
      </c>
      <c r="K118" t="s">
        <v>51</v>
      </c>
      <c r="L118">
        <v>5</v>
      </c>
      <c r="M118" t="str">
        <f>VLOOKUP(D118,State_Lookup!$A$2:$B$28,2,FALSE)</f>
        <v>Rio de Janeiro</v>
      </c>
    </row>
    <row r="119" spans="1:13" x14ac:dyDescent="0.45">
      <c r="A119" t="s">
        <v>255</v>
      </c>
      <c r="B119" t="s">
        <v>256</v>
      </c>
      <c r="C119" t="s">
        <v>177</v>
      </c>
      <c r="D119" t="s">
        <v>17</v>
      </c>
      <c r="E119" t="s">
        <v>79</v>
      </c>
      <c r="F119">
        <v>1</v>
      </c>
      <c r="G119">
        <v>97.07</v>
      </c>
      <c r="H119">
        <v>14.85</v>
      </c>
      <c r="I119" t="s">
        <v>44</v>
      </c>
      <c r="J119">
        <v>21</v>
      </c>
      <c r="K119" t="s">
        <v>51</v>
      </c>
      <c r="L119">
        <v>5</v>
      </c>
      <c r="M119" t="str">
        <f>VLOOKUP(D119,State_Lookup!$A$2:$B$28,2,FALSE)</f>
        <v>Rio de Janeiro</v>
      </c>
    </row>
    <row r="120" spans="1:13" x14ac:dyDescent="0.45">
      <c r="A120" t="s">
        <v>257</v>
      </c>
      <c r="B120" t="s">
        <v>256</v>
      </c>
      <c r="C120" t="s">
        <v>177</v>
      </c>
      <c r="D120" t="s">
        <v>16</v>
      </c>
      <c r="E120" t="s">
        <v>142</v>
      </c>
      <c r="F120">
        <v>1</v>
      </c>
      <c r="G120">
        <v>453.7</v>
      </c>
      <c r="H120">
        <v>17.350000000000001</v>
      </c>
      <c r="I120" t="s">
        <v>50</v>
      </c>
      <c r="J120">
        <v>8</v>
      </c>
      <c r="K120" t="s">
        <v>51</v>
      </c>
      <c r="L120">
        <v>5</v>
      </c>
      <c r="M120" t="str">
        <f>VLOOKUP(D120,State_Lookup!$A$2:$B$28,2,FALSE)</f>
        <v>Sao Paulo</v>
      </c>
    </row>
    <row r="121" spans="1:13" x14ac:dyDescent="0.45">
      <c r="A121" t="s">
        <v>258</v>
      </c>
      <c r="B121" t="s">
        <v>256</v>
      </c>
      <c r="C121" t="s">
        <v>177</v>
      </c>
      <c r="D121" t="s">
        <v>16</v>
      </c>
      <c r="E121" t="s">
        <v>49</v>
      </c>
      <c r="F121">
        <v>1</v>
      </c>
      <c r="G121">
        <v>340</v>
      </c>
      <c r="H121">
        <v>18.53</v>
      </c>
      <c r="I121" t="s">
        <v>44</v>
      </c>
      <c r="J121">
        <v>40</v>
      </c>
      <c r="K121" t="s">
        <v>143</v>
      </c>
      <c r="L121">
        <v>1</v>
      </c>
      <c r="M121" t="str">
        <f>VLOOKUP(D121,State_Lookup!$A$2:$B$28,2,FALSE)</f>
        <v>Sao Paulo</v>
      </c>
    </row>
    <row r="122" spans="1:13" x14ac:dyDescent="0.45">
      <c r="A122" t="s">
        <v>259</v>
      </c>
      <c r="B122" t="s">
        <v>256</v>
      </c>
      <c r="C122" t="s">
        <v>177</v>
      </c>
      <c r="D122" t="s">
        <v>22</v>
      </c>
      <c r="E122" t="s">
        <v>260</v>
      </c>
      <c r="F122">
        <v>1</v>
      </c>
      <c r="G122">
        <v>149.9</v>
      </c>
      <c r="H122">
        <v>27.48</v>
      </c>
      <c r="I122" t="s">
        <v>44</v>
      </c>
      <c r="J122">
        <v>19</v>
      </c>
      <c r="K122" t="s">
        <v>51</v>
      </c>
      <c r="L122">
        <v>5</v>
      </c>
      <c r="M122" t="str">
        <f>VLOOKUP(D122,State_Lookup!$A$2:$B$28,2,FALSE)</f>
        <v>Bahia</v>
      </c>
    </row>
    <row r="123" spans="1:13" x14ac:dyDescent="0.45">
      <c r="A123" t="s">
        <v>261</v>
      </c>
      <c r="B123" t="s">
        <v>262</v>
      </c>
      <c r="C123" t="s">
        <v>177</v>
      </c>
      <c r="D123" t="s">
        <v>22</v>
      </c>
      <c r="E123" t="s">
        <v>69</v>
      </c>
      <c r="F123">
        <v>1</v>
      </c>
      <c r="G123">
        <v>96.99</v>
      </c>
      <c r="H123">
        <v>22.18</v>
      </c>
      <c r="I123" t="s">
        <v>133</v>
      </c>
      <c r="J123">
        <v>68</v>
      </c>
      <c r="K123" t="s">
        <v>143</v>
      </c>
      <c r="L123">
        <v>1</v>
      </c>
      <c r="M123" t="str">
        <f>VLOOKUP(D123,State_Lookup!$A$2:$B$28,2,FALSE)</f>
        <v>Bahia</v>
      </c>
    </row>
    <row r="124" spans="1:13" x14ac:dyDescent="0.45">
      <c r="A124" t="s">
        <v>263</v>
      </c>
      <c r="B124" t="s">
        <v>262</v>
      </c>
      <c r="C124" t="s">
        <v>177</v>
      </c>
      <c r="D124" t="s">
        <v>24</v>
      </c>
      <c r="E124" t="s">
        <v>152</v>
      </c>
      <c r="F124">
        <v>1</v>
      </c>
      <c r="G124">
        <v>109.9</v>
      </c>
      <c r="H124">
        <v>14.53</v>
      </c>
      <c r="I124" t="s">
        <v>44</v>
      </c>
      <c r="J124">
        <v>18</v>
      </c>
      <c r="K124" t="s">
        <v>51</v>
      </c>
      <c r="L124">
        <v>4</v>
      </c>
      <c r="M124" t="str">
        <f>VLOOKUP(D124,State_Lookup!$A$2:$B$28,2,FALSE)</f>
        <v>Distrito Federal</v>
      </c>
    </row>
    <row r="125" spans="1:13" x14ac:dyDescent="0.45">
      <c r="A125" t="s">
        <v>264</v>
      </c>
      <c r="B125" t="s">
        <v>262</v>
      </c>
      <c r="C125" t="s">
        <v>177</v>
      </c>
      <c r="D125" t="s">
        <v>18</v>
      </c>
      <c r="E125" t="s">
        <v>110</v>
      </c>
      <c r="F125">
        <v>1</v>
      </c>
      <c r="G125">
        <v>154.9</v>
      </c>
      <c r="H125">
        <v>22.69</v>
      </c>
      <c r="I125" t="s">
        <v>44</v>
      </c>
      <c r="J125">
        <v>11</v>
      </c>
      <c r="K125" t="s">
        <v>51</v>
      </c>
      <c r="L125">
        <v>5</v>
      </c>
      <c r="M125" t="str">
        <f>VLOOKUP(D125,State_Lookup!$A$2:$B$28,2,FALSE)</f>
        <v>Minas Gerais</v>
      </c>
    </row>
    <row r="126" spans="1:13" x14ac:dyDescent="0.45">
      <c r="A126" t="s">
        <v>265</v>
      </c>
      <c r="B126" t="s">
        <v>266</v>
      </c>
      <c r="C126" t="s">
        <v>177</v>
      </c>
      <c r="D126" t="s">
        <v>23</v>
      </c>
      <c r="E126" t="s">
        <v>267</v>
      </c>
      <c r="F126">
        <v>1</v>
      </c>
      <c r="G126">
        <v>187.9</v>
      </c>
      <c r="H126">
        <v>23.61</v>
      </c>
      <c r="I126" t="s">
        <v>44</v>
      </c>
      <c r="J126">
        <v>6</v>
      </c>
      <c r="K126" t="s">
        <v>51</v>
      </c>
      <c r="L126">
        <v>1</v>
      </c>
      <c r="M126" t="str">
        <f>VLOOKUP(D126,State_Lookup!$A$2:$B$28,2,FALSE)</f>
        <v>Espirito Santo</v>
      </c>
    </row>
    <row r="127" spans="1:13" x14ac:dyDescent="0.45">
      <c r="A127" t="s">
        <v>268</v>
      </c>
      <c r="B127" t="s">
        <v>266</v>
      </c>
      <c r="C127" t="s">
        <v>177</v>
      </c>
      <c r="D127" t="s">
        <v>17</v>
      </c>
      <c r="E127" t="s">
        <v>269</v>
      </c>
      <c r="F127">
        <v>1</v>
      </c>
      <c r="G127">
        <v>36.99</v>
      </c>
      <c r="H127">
        <v>14.52</v>
      </c>
      <c r="I127" t="s">
        <v>44</v>
      </c>
      <c r="J127">
        <v>30</v>
      </c>
      <c r="K127" t="s">
        <v>143</v>
      </c>
      <c r="L127">
        <v>5</v>
      </c>
      <c r="M127" t="str">
        <f>VLOOKUP(D127,State_Lookup!$A$2:$B$28,2,FALSE)</f>
        <v>Rio de Janeiro</v>
      </c>
    </row>
    <row r="128" spans="1:13" x14ac:dyDescent="0.45">
      <c r="A128" t="s">
        <v>270</v>
      </c>
      <c r="B128" t="s">
        <v>266</v>
      </c>
      <c r="C128" t="s">
        <v>177</v>
      </c>
      <c r="D128" t="s">
        <v>16</v>
      </c>
      <c r="E128" t="s">
        <v>66</v>
      </c>
      <c r="F128">
        <v>1</v>
      </c>
      <c r="G128">
        <v>6.9</v>
      </c>
      <c r="H128">
        <v>10.96</v>
      </c>
      <c r="I128" t="s">
        <v>44</v>
      </c>
      <c r="J128">
        <v>10</v>
      </c>
      <c r="K128" t="s">
        <v>51</v>
      </c>
      <c r="L128">
        <v>3</v>
      </c>
      <c r="M128" t="str">
        <f>VLOOKUP(D128,State_Lookup!$A$2:$B$28,2,FALSE)</f>
        <v>Sao Paulo</v>
      </c>
    </row>
    <row r="129" spans="1:13" x14ac:dyDescent="0.45">
      <c r="A129" t="s">
        <v>271</v>
      </c>
      <c r="B129" t="s">
        <v>266</v>
      </c>
      <c r="C129" t="s">
        <v>177</v>
      </c>
      <c r="D129" t="s">
        <v>16</v>
      </c>
      <c r="E129" t="s">
        <v>66</v>
      </c>
      <c r="F129">
        <v>2</v>
      </c>
      <c r="G129">
        <v>37.979999999999997</v>
      </c>
      <c r="H129">
        <v>21.92</v>
      </c>
      <c r="I129" t="s">
        <v>44</v>
      </c>
      <c r="J129">
        <v>10</v>
      </c>
      <c r="K129" t="s">
        <v>51</v>
      </c>
      <c r="L129">
        <v>5</v>
      </c>
      <c r="M129" t="str">
        <f>VLOOKUP(D129,State_Lookup!$A$2:$B$28,2,FALSE)</f>
        <v>Sao Paulo</v>
      </c>
    </row>
    <row r="130" spans="1:13" x14ac:dyDescent="0.45">
      <c r="A130" t="s">
        <v>272</v>
      </c>
      <c r="B130" t="s">
        <v>273</v>
      </c>
      <c r="C130" t="s">
        <v>177</v>
      </c>
      <c r="D130" t="s">
        <v>19</v>
      </c>
      <c r="E130" t="s">
        <v>66</v>
      </c>
      <c r="F130">
        <v>1</v>
      </c>
      <c r="G130">
        <v>69</v>
      </c>
      <c r="H130">
        <v>16.420000000000002</v>
      </c>
      <c r="I130" t="s">
        <v>44</v>
      </c>
      <c r="J130">
        <v>23</v>
      </c>
      <c r="K130" t="s">
        <v>51</v>
      </c>
      <c r="L130">
        <v>5</v>
      </c>
      <c r="M130" t="str">
        <f>VLOOKUP(D130,State_Lookup!$A$2:$B$28,2,FALSE)</f>
        <v>Rio Grande do Sul</v>
      </c>
    </row>
    <row r="131" spans="1:13" x14ac:dyDescent="0.45">
      <c r="A131" t="s">
        <v>274</v>
      </c>
      <c r="B131" t="s">
        <v>273</v>
      </c>
      <c r="C131" t="s">
        <v>177</v>
      </c>
      <c r="D131" t="s">
        <v>18</v>
      </c>
      <c r="E131" t="s">
        <v>142</v>
      </c>
      <c r="F131">
        <v>1</v>
      </c>
      <c r="G131">
        <v>95.17</v>
      </c>
      <c r="H131">
        <v>16.82</v>
      </c>
      <c r="I131" t="s">
        <v>44</v>
      </c>
      <c r="K131" t="s">
        <v>45</v>
      </c>
      <c r="L131">
        <v>1</v>
      </c>
      <c r="M131" t="str">
        <f>VLOOKUP(D131,State_Lookup!$A$2:$B$28,2,FALSE)</f>
        <v>Minas Gerais</v>
      </c>
    </row>
    <row r="132" spans="1:13" x14ac:dyDescent="0.45">
      <c r="A132" t="s">
        <v>275</v>
      </c>
      <c r="B132" t="s">
        <v>276</v>
      </c>
      <c r="C132" t="s">
        <v>177</v>
      </c>
      <c r="D132" t="s">
        <v>18</v>
      </c>
      <c r="E132" t="s">
        <v>66</v>
      </c>
      <c r="F132">
        <v>1</v>
      </c>
      <c r="G132">
        <v>119.99</v>
      </c>
      <c r="H132">
        <v>18.27</v>
      </c>
      <c r="I132" t="s">
        <v>44</v>
      </c>
      <c r="J132">
        <v>9</v>
      </c>
      <c r="K132" t="s">
        <v>51</v>
      </c>
      <c r="L132">
        <v>3</v>
      </c>
      <c r="M132" t="str">
        <f>VLOOKUP(D132,State_Lookup!$A$2:$B$28,2,FALSE)</f>
        <v>Minas Gerais</v>
      </c>
    </row>
    <row r="133" spans="1:13" x14ac:dyDescent="0.45">
      <c r="A133" t="s">
        <v>277</v>
      </c>
      <c r="B133" t="s">
        <v>276</v>
      </c>
      <c r="C133" t="s">
        <v>177</v>
      </c>
      <c r="D133" t="s">
        <v>22</v>
      </c>
      <c r="E133" t="s">
        <v>110</v>
      </c>
      <c r="F133">
        <v>1</v>
      </c>
      <c r="G133">
        <v>69.900000000000006</v>
      </c>
      <c r="H133">
        <v>18.73</v>
      </c>
      <c r="I133" t="s">
        <v>133</v>
      </c>
      <c r="J133">
        <v>15</v>
      </c>
      <c r="K133" t="s">
        <v>51</v>
      </c>
      <c r="L133">
        <v>5</v>
      </c>
      <c r="M133" t="str">
        <f>VLOOKUP(D133,State_Lookup!$A$2:$B$28,2,FALSE)</f>
        <v>Bahia</v>
      </c>
    </row>
    <row r="134" spans="1:13" x14ac:dyDescent="0.45">
      <c r="A134" t="s">
        <v>278</v>
      </c>
      <c r="B134" t="s">
        <v>276</v>
      </c>
      <c r="C134" t="s">
        <v>177</v>
      </c>
      <c r="D134" t="s">
        <v>16</v>
      </c>
      <c r="E134" t="s">
        <v>61</v>
      </c>
      <c r="F134">
        <v>1</v>
      </c>
      <c r="G134">
        <v>29.9</v>
      </c>
      <c r="H134">
        <v>10.96</v>
      </c>
      <c r="I134" t="s">
        <v>44</v>
      </c>
      <c r="J134">
        <v>2</v>
      </c>
      <c r="K134" t="s">
        <v>51</v>
      </c>
      <c r="L134">
        <v>3</v>
      </c>
      <c r="M134" t="str">
        <f>VLOOKUP(D134,State_Lookup!$A$2:$B$28,2,FALSE)</f>
        <v>Sao Paulo</v>
      </c>
    </row>
    <row r="135" spans="1:13" x14ac:dyDescent="0.45">
      <c r="A135" t="s">
        <v>279</v>
      </c>
      <c r="B135" t="s">
        <v>276</v>
      </c>
      <c r="C135" t="s">
        <v>177</v>
      </c>
      <c r="D135" t="s">
        <v>18</v>
      </c>
      <c r="E135" t="s">
        <v>66</v>
      </c>
      <c r="F135">
        <v>1</v>
      </c>
      <c r="G135">
        <v>15.9</v>
      </c>
      <c r="H135">
        <v>14.52</v>
      </c>
      <c r="I135" t="s">
        <v>50</v>
      </c>
      <c r="J135">
        <v>45</v>
      </c>
      <c r="K135" t="s">
        <v>143</v>
      </c>
      <c r="L135">
        <v>1</v>
      </c>
      <c r="M135" t="str">
        <f>VLOOKUP(D135,State_Lookup!$A$2:$B$28,2,FALSE)</f>
        <v>Minas Gerais</v>
      </c>
    </row>
    <row r="136" spans="1:13" x14ac:dyDescent="0.45">
      <c r="A136" t="s">
        <v>280</v>
      </c>
      <c r="B136" t="s">
        <v>276</v>
      </c>
      <c r="C136" t="s">
        <v>177</v>
      </c>
      <c r="D136" t="s">
        <v>18</v>
      </c>
      <c r="E136" t="s">
        <v>49</v>
      </c>
      <c r="F136">
        <v>1</v>
      </c>
      <c r="G136">
        <v>169.99</v>
      </c>
      <c r="H136">
        <v>21.51</v>
      </c>
      <c r="I136" t="s">
        <v>44</v>
      </c>
      <c r="J136">
        <v>13</v>
      </c>
      <c r="K136" t="s">
        <v>51</v>
      </c>
      <c r="L136">
        <v>5</v>
      </c>
      <c r="M136" t="str">
        <f>VLOOKUP(D136,State_Lookup!$A$2:$B$28,2,FALSE)</f>
        <v>Minas Gerais</v>
      </c>
    </row>
    <row r="137" spans="1:13" x14ac:dyDescent="0.45">
      <c r="A137" t="s">
        <v>281</v>
      </c>
      <c r="B137" t="s">
        <v>282</v>
      </c>
      <c r="C137" t="s">
        <v>177</v>
      </c>
      <c r="D137" t="s">
        <v>17</v>
      </c>
      <c r="E137" t="s">
        <v>43</v>
      </c>
      <c r="F137">
        <v>1</v>
      </c>
      <c r="G137">
        <v>73.349999999999994</v>
      </c>
      <c r="H137">
        <v>15.72</v>
      </c>
      <c r="I137" t="s">
        <v>44</v>
      </c>
      <c r="J137">
        <v>9</v>
      </c>
      <c r="K137" t="s">
        <v>51</v>
      </c>
      <c r="L137">
        <v>5</v>
      </c>
      <c r="M137" t="str">
        <f>VLOOKUP(D137,State_Lookup!$A$2:$B$28,2,FALSE)</f>
        <v>Rio de Janeiro</v>
      </c>
    </row>
    <row r="138" spans="1:13" x14ac:dyDescent="0.45">
      <c r="A138" t="s">
        <v>283</v>
      </c>
      <c r="B138" t="s">
        <v>282</v>
      </c>
      <c r="C138" t="s">
        <v>177</v>
      </c>
      <c r="D138" t="s">
        <v>18</v>
      </c>
      <c r="E138" t="s">
        <v>79</v>
      </c>
      <c r="F138">
        <v>1</v>
      </c>
      <c r="G138">
        <v>636</v>
      </c>
      <c r="H138">
        <v>50</v>
      </c>
      <c r="I138" t="s">
        <v>44</v>
      </c>
      <c r="J138">
        <v>10</v>
      </c>
      <c r="K138" t="s">
        <v>51</v>
      </c>
      <c r="L138">
        <v>5</v>
      </c>
      <c r="M138" t="str">
        <f>VLOOKUP(D138,State_Lookup!$A$2:$B$28,2,FALSE)</f>
        <v>Minas Gerais</v>
      </c>
    </row>
    <row r="139" spans="1:13" x14ac:dyDescent="0.45">
      <c r="A139" t="s">
        <v>284</v>
      </c>
      <c r="B139" t="s">
        <v>285</v>
      </c>
      <c r="C139" t="s">
        <v>177</v>
      </c>
      <c r="D139" t="s">
        <v>19</v>
      </c>
      <c r="E139" t="s">
        <v>43</v>
      </c>
      <c r="F139">
        <v>1</v>
      </c>
      <c r="G139">
        <v>7.8</v>
      </c>
      <c r="H139">
        <v>16.05</v>
      </c>
      <c r="I139" t="s">
        <v>44</v>
      </c>
      <c r="J139">
        <v>9</v>
      </c>
      <c r="K139" t="s">
        <v>51</v>
      </c>
      <c r="L139">
        <v>5</v>
      </c>
      <c r="M139" t="str">
        <f>VLOOKUP(D139,State_Lookup!$A$2:$B$28,2,FALSE)</f>
        <v>Rio Grande do Sul</v>
      </c>
    </row>
    <row r="140" spans="1:13" x14ac:dyDescent="0.45">
      <c r="A140" t="s">
        <v>286</v>
      </c>
      <c r="B140" t="s">
        <v>285</v>
      </c>
      <c r="C140" t="s">
        <v>177</v>
      </c>
      <c r="D140" t="s">
        <v>18</v>
      </c>
      <c r="E140" t="s">
        <v>110</v>
      </c>
      <c r="F140">
        <v>1</v>
      </c>
      <c r="G140">
        <v>169.9</v>
      </c>
      <c r="H140">
        <v>19.47</v>
      </c>
      <c r="I140" t="s">
        <v>44</v>
      </c>
      <c r="J140">
        <v>15</v>
      </c>
      <c r="K140" t="s">
        <v>51</v>
      </c>
      <c r="L140">
        <v>5</v>
      </c>
      <c r="M140" t="str">
        <f>VLOOKUP(D140,State_Lookup!$A$2:$B$28,2,FALSE)</f>
        <v>Minas Gerais</v>
      </c>
    </row>
    <row r="141" spans="1:13" x14ac:dyDescent="0.45">
      <c r="A141" t="s">
        <v>287</v>
      </c>
      <c r="B141" t="s">
        <v>285</v>
      </c>
      <c r="C141" t="s">
        <v>177</v>
      </c>
      <c r="D141" t="s">
        <v>16</v>
      </c>
      <c r="E141" t="s">
        <v>49</v>
      </c>
      <c r="F141">
        <v>2</v>
      </c>
      <c r="G141">
        <v>59.8</v>
      </c>
      <c r="H141">
        <v>21.92</v>
      </c>
      <c r="I141" t="s">
        <v>44</v>
      </c>
      <c r="K141" t="s">
        <v>45</v>
      </c>
      <c r="L141">
        <v>1</v>
      </c>
      <c r="M141" t="str">
        <f>VLOOKUP(D141,State_Lookup!$A$2:$B$28,2,FALSE)</f>
        <v>Sao Paulo</v>
      </c>
    </row>
    <row r="142" spans="1:13" x14ac:dyDescent="0.45">
      <c r="A142" t="s">
        <v>288</v>
      </c>
      <c r="B142" t="s">
        <v>285</v>
      </c>
      <c r="C142" t="s">
        <v>177</v>
      </c>
      <c r="D142" t="s">
        <v>16</v>
      </c>
      <c r="E142" t="s">
        <v>58</v>
      </c>
      <c r="F142">
        <v>1</v>
      </c>
      <c r="G142">
        <v>55.9</v>
      </c>
      <c r="H142">
        <v>24.88</v>
      </c>
      <c r="I142" t="s">
        <v>44</v>
      </c>
      <c r="J142">
        <v>8</v>
      </c>
      <c r="K142" t="s">
        <v>51</v>
      </c>
      <c r="L142">
        <v>5</v>
      </c>
      <c r="M142" t="str">
        <f>VLOOKUP(D142,State_Lookup!$A$2:$B$28,2,FALSE)</f>
        <v>Sao Paulo</v>
      </c>
    </row>
    <row r="143" spans="1:13" x14ac:dyDescent="0.45">
      <c r="A143" t="s">
        <v>289</v>
      </c>
      <c r="B143" t="s">
        <v>290</v>
      </c>
      <c r="C143" t="s">
        <v>177</v>
      </c>
      <c r="D143" t="s">
        <v>16</v>
      </c>
      <c r="E143" t="s">
        <v>69</v>
      </c>
      <c r="F143">
        <v>1</v>
      </c>
      <c r="G143">
        <v>99.99</v>
      </c>
      <c r="H143">
        <v>28.89</v>
      </c>
      <c r="I143" t="s">
        <v>44</v>
      </c>
      <c r="J143">
        <v>11</v>
      </c>
      <c r="K143" t="s">
        <v>51</v>
      </c>
      <c r="L143">
        <v>5</v>
      </c>
      <c r="M143" t="str">
        <f>VLOOKUP(D143,State_Lookup!$A$2:$B$28,2,FALSE)</f>
        <v>Sao Paulo</v>
      </c>
    </row>
    <row r="144" spans="1:13" x14ac:dyDescent="0.45">
      <c r="A144" t="s">
        <v>291</v>
      </c>
      <c r="B144" t="s">
        <v>290</v>
      </c>
      <c r="C144" t="s">
        <v>177</v>
      </c>
      <c r="D144" t="s">
        <v>18</v>
      </c>
      <c r="E144" t="s">
        <v>49</v>
      </c>
      <c r="F144">
        <v>1</v>
      </c>
      <c r="G144">
        <v>59.9</v>
      </c>
      <c r="H144">
        <v>17.850000000000001</v>
      </c>
      <c r="I144" t="s">
        <v>44</v>
      </c>
      <c r="J144">
        <v>13</v>
      </c>
      <c r="K144" t="s">
        <v>51</v>
      </c>
      <c r="L144">
        <v>5</v>
      </c>
      <c r="M144" t="str">
        <f>VLOOKUP(D144,State_Lookup!$A$2:$B$28,2,FALSE)</f>
        <v>Minas Gerais</v>
      </c>
    </row>
    <row r="145" spans="1:13" x14ac:dyDescent="0.45">
      <c r="A145" t="s">
        <v>292</v>
      </c>
      <c r="B145" t="s">
        <v>293</v>
      </c>
      <c r="C145" t="s">
        <v>177</v>
      </c>
      <c r="D145" t="s">
        <v>16</v>
      </c>
      <c r="E145" t="s">
        <v>103</v>
      </c>
      <c r="F145">
        <v>1</v>
      </c>
      <c r="G145">
        <v>39.9</v>
      </c>
      <c r="H145">
        <v>10.96</v>
      </c>
      <c r="I145" t="s">
        <v>44</v>
      </c>
      <c r="J145">
        <v>5</v>
      </c>
      <c r="K145" t="s">
        <v>51</v>
      </c>
      <c r="L145">
        <v>4</v>
      </c>
      <c r="M145" t="str">
        <f>VLOOKUP(D145,State_Lookup!$A$2:$B$28,2,FALSE)</f>
        <v>Sao Paulo</v>
      </c>
    </row>
    <row r="146" spans="1:13" x14ac:dyDescent="0.45">
      <c r="A146" t="s">
        <v>294</v>
      </c>
      <c r="B146" t="s">
        <v>293</v>
      </c>
      <c r="C146" t="s">
        <v>177</v>
      </c>
      <c r="D146" t="s">
        <v>16</v>
      </c>
      <c r="E146" t="s">
        <v>103</v>
      </c>
      <c r="F146">
        <v>1</v>
      </c>
      <c r="G146">
        <v>20</v>
      </c>
      <c r="H146">
        <v>16.05</v>
      </c>
      <c r="I146" t="s">
        <v>44</v>
      </c>
      <c r="J146">
        <v>6</v>
      </c>
      <c r="K146" t="s">
        <v>51</v>
      </c>
      <c r="L146">
        <v>5</v>
      </c>
      <c r="M146" t="str">
        <f>VLOOKUP(D146,State_Lookup!$A$2:$B$28,2,FALSE)</f>
        <v>Sao Paulo</v>
      </c>
    </row>
    <row r="147" spans="1:13" x14ac:dyDescent="0.45">
      <c r="A147" t="s">
        <v>295</v>
      </c>
      <c r="B147" t="s">
        <v>296</v>
      </c>
      <c r="C147" t="s">
        <v>177</v>
      </c>
      <c r="D147" t="s">
        <v>16</v>
      </c>
      <c r="E147" t="s">
        <v>79</v>
      </c>
      <c r="F147">
        <v>1</v>
      </c>
      <c r="G147">
        <v>198</v>
      </c>
      <c r="H147">
        <v>16.5</v>
      </c>
      <c r="I147" t="s">
        <v>44</v>
      </c>
      <c r="J147">
        <v>13</v>
      </c>
      <c r="K147" t="s">
        <v>51</v>
      </c>
      <c r="L147">
        <v>4</v>
      </c>
      <c r="M147" t="str">
        <f>VLOOKUP(D147,State_Lookup!$A$2:$B$28,2,FALSE)</f>
        <v>Sao Paulo</v>
      </c>
    </row>
    <row r="148" spans="1:13" x14ac:dyDescent="0.45">
      <c r="A148" t="s">
        <v>297</v>
      </c>
      <c r="B148" t="s">
        <v>298</v>
      </c>
      <c r="C148" t="s">
        <v>177</v>
      </c>
      <c r="D148" t="s">
        <v>16</v>
      </c>
      <c r="E148" t="s">
        <v>125</v>
      </c>
      <c r="F148">
        <v>1</v>
      </c>
      <c r="G148">
        <v>42</v>
      </c>
      <c r="H148">
        <v>11.73</v>
      </c>
      <c r="I148" t="s">
        <v>44</v>
      </c>
      <c r="J148">
        <v>6</v>
      </c>
      <c r="K148" t="s">
        <v>51</v>
      </c>
      <c r="L148">
        <v>5</v>
      </c>
      <c r="M148" t="str">
        <f>VLOOKUP(D148,State_Lookup!$A$2:$B$28,2,FALSE)</f>
        <v>Sao Paulo</v>
      </c>
    </row>
    <row r="149" spans="1:13" x14ac:dyDescent="0.45">
      <c r="A149" t="s">
        <v>299</v>
      </c>
      <c r="B149" t="s">
        <v>300</v>
      </c>
      <c r="C149" t="s">
        <v>177</v>
      </c>
      <c r="D149" t="s">
        <v>20</v>
      </c>
      <c r="E149" t="s">
        <v>148</v>
      </c>
      <c r="F149">
        <v>1</v>
      </c>
      <c r="G149">
        <v>1169</v>
      </c>
      <c r="H149">
        <v>59.73</v>
      </c>
      <c r="I149" t="s">
        <v>44</v>
      </c>
      <c r="J149">
        <v>13</v>
      </c>
      <c r="K149" t="s">
        <v>51</v>
      </c>
      <c r="L149">
        <v>1</v>
      </c>
      <c r="M149" t="str">
        <f>VLOOKUP(D149,State_Lookup!$A$2:$B$28,2,FALSE)</f>
        <v>Parana</v>
      </c>
    </row>
    <row r="150" spans="1:13" x14ac:dyDescent="0.45">
      <c r="A150" t="s">
        <v>301</v>
      </c>
      <c r="B150" t="s">
        <v>300</v>
      </c>
      <c r="C150" t="s">
        <v>177</v>
      </c>
      <c r="D150" t="s">
        <v>122</v>
      </c>
      <c r="E150" t="s">
        <v>302</v>
      </c>
      <c r="F150">
        <v>1</v>
      </c>
      <c r="G150">
        <v>38.86</v>
      </c>
      <c r="H150">
        <v>24.84</v>
      </c>
      <c r="I150" t="s">
        <v>44</v>
      </c>
      <c r="J150">
        <v>12</v>
      </c>
      <c r="K150" t="s">
        <v>51</v>
      </c>
      <c r="L150">
        <v>5</v>
      </c>
      <c r="M150" t="str">
        <f>VLOOKUP(D150,State_Lookup!$A$2:$B$28,2,FALSE)</f>
        <v>Para</v>
      </c>
    </row>
    <row r="151" spans="1:13" x14ac:dyDescent="0.45">
      <c r="A151" t="s">
        <v>303</v>
      </c>
      <c r="B151" t="s">
        <v>300</v>
      </c>
      <c r="C151" t="s">
        <v>177</v>
      </c>
      <c r="D151" t="s">
        <v>18</v>
      </c>
      <c r="E151" t="s">
        <v>64</v>
      </c>
      <c r="F151">
        <v>1</v>
      </c>
      <c r="G151">
        <v>389.9</v>
      </c>
      <c r="H151">
        <v>16.97</v>
      </c>
      <c r="I151" t="s">
        <v>44</v>
      </c>
      <c r="J151">
        <v>13</v>
      </c>
      <c r="K151" t="s">
        <v>51</v>
      </c>
      <c r="L151">
        <v>4</v>
      </c>
      <c r="M151" t="str">
        <f>VLOOKUP(D151,State_Lookup!$A$2:$B$28,2,FALSE)</f>
        <v>Minas Gerais</v>
      </c>
    </row>
    <row r="152" spans="1:13" x14ac:dyDescent="0.45">
      <c r="A152" t="s">
        <v>304</v>
      </c>
      <c r="B152" t="s">
        <v>305</v>
      </c>
      <c r="C152" t="s">
        <v>306</v>
      </c>
      <c r="D152" t="s">
        <v>16</v>
      </c>
      <c r="E152" t="s">
        <v>49</v>
      </c>
      <c r="F152">
        <v>1</v>
      </c>
      <c r="G152">
        <v>129</v>
      </c>
      <c r="H152">
        <v>22.51</v>
      </c>
      <c r="I152" t="s">
        <v>44</v>
      </c>
      <c r="J152">
        <v>4</v>
      </c>
      <c r="K152" t="s">
        <v>51</v>
      </c>
      <c r="L152">
        <v>5</v>
      </c>
      <c r="M152" t="str">
        <f>VLOOKUP(D152,State_Lookup!$A$2:$B$28,2,FALSE)</f>
        <v>Sao Paulo</v>
      </c>
    </row>
    <row r="153" spans="1:13" x14ac:dyDescent="0.45">
      <c r="A153" t="s">
        <v>307</v>
      </c>
      <c r="B153" t="s">
        <v>305</v>
      </c>
      <c r="C153" t="s">
        <v>306</v>
      </c>
      <c r="D153" t="s">
        <v>17</v>
      </c>
      <c r="E153" t="s">
        <v>79</v>
      </c>
      <c r="F153">
        <v>1</v>
      </c>
      <c r="G153">
        <v>349</v>
      </c>
      <c r="H153">
        <v>16.2</v>
      </c>
      <c r="I153" t="s">
        <v>44</v>
      </c>
      <c r="J153">
        <v>4</v>
      </c>
      <c r="K153" t="s">
        <v>51</v>
      </c>
      <c r="L153">
        <v>5</v>
      </c>
      <c r="M153" t="str">
        <f>VLOOKUP(D153,State_Lookup!$A$2:$B$28,2,FALSE)</f>
        <v>Rio de Janeiro</v>
      </c>
    </row>
    <row r="154" spans="1:13" x14ac:dyDescent="0.45">
      <c r="A154" t="s">
        <v>308</v>
      </c>
      <c r="B154" t="s">
        <v>305</v>
      </c>
      <c r="C154" t="s">
        <v>306</v>
      </c>
      <c r="D154" t="s">
        <v>23</v>
      </c>
      <c r="E154" t="s">
        <v>53</v>
      </c>
      <c r="F154">
        <v>2</v>
      </c>
      <c r="G154">
        <v>129.80000000000001</v>
      </c>
      <c r="H154">
        <v>38.299999999999997</v>
      </c>
      <c r="I154" t="s">
        <v>50</v>
      </c>
      <c r="J154">
        <v>8</v>
      </c>
      <c r="K154" t="s">
        <v>51</v>
      </c>
      <c r="L154">
        <v>5</v>
      </c>
      <c r="M154" t="str">
        <f>VLOOKUP(D154,State_Lookup!$A$2:$B$28,2,FALSE)</f>
        <v>Espirito Santo</v>
      </c>
    </row>
    <row r="155" spans="1:13" x14ac:dyDescent="0.45">
      <c r="A155" t="s">
        <v>309</v>
      </c>
      <c r="B155" t="s">
        <v>305</v>
      </c>
      <c r="C155" t="s">
        <v>306</v>
      </c>
      <c r="D155" t="s">
        <v>16</v>
      </c>
      <c r="E155" t="s">
        <v>43</v>
      </c>
      <c r="F155">
        <v>1</v>
      </c>
      <c r="G155">
        <v>29.99</v>
      </c>
      <c r="H155">
        <v>10.96</v>
      </c>
      <c r="I155" t="s">
        <v>44</v>
      </c>
      <c r="J155">
        <v>13</v>
      </c>
      <c r="K155" t="s">
        <v>51</v>
      </c>
      <c r="L155">
        <v>3</v>
      </c>
      <c r="M155" t="str">
        <f>VLOOKUP(D155,State_Lookup!$A$2:$B$28,2,FALSE)</f>
        <v>Sao Paulo</v>
      </c>
    </row>
    <row r="156" spans="1:13" x14ac:dyDescent="0.45">
      <c r="A156" t="s">
        <v>310</v>
      </c>
      <c r="B156" t="s">
        <v>305</v>
      </c>
      <c r="C156" t="s">
        <v>306</v>
      </c>
      <c r="D156" t="s">
        <v>16</v>
      </c>
      <c r="E156" t="s">
        <v>49</v>
      </c>
      <c r="F156">
        <v>1</v>
      </c>
      <c r="G156">
        <v>1800</v>
      </c>
      <c r="H156">
        <v>26.07</v>
      </c>
      <c r="I156" t="s">
        <v>50</v>
      </c>
      <c r="J156">
        <v>18</v>
      </c>
      <c r="K156" t="s">
        <v>51</v>
      </c>
      <c r="L156">
        <v>5</v>
      </c>
      <c r="M156" t="str">
        <f>VLOOKUP(D156,State_Lookup!$A$2:$B$28,2,FALSE)</f>
        <v>Sao Paulo</v>
      </c>
    </row>
    <row r="157" spans="1:13" x14ac:dyDescent="0.45">
      <c r="A157" t="s">
        <v>311</v>
      </c>
      <c r="B157" t="s">
        <v>312</v>
      </c>
      <c r="C157" t="s">
        <v>306</v>
      </c>
      <c r="D157" t="s">
        <v>128</v>
      </c>
      <c r="E157" t="s">
        <v>61</v>
      </c>
      <c r="F157">
        <v>1</v>
      </c>
      <c r="G157">
        <v>42</v>
      </c>
      <c r="H157">
        <v>20.8</v>
      </c>
      <c r="I157" t="s">
        <v>44</v>
      </c>
      <c r="J157">
        <v>17</v>
      </c>
      <c r="K157" t="s">
        <v>51</v>
      </c>
      <c r="L157">
        <v>5</v>
      </c>
      <c r="M157" t="str">
        <f>VLOOKUP(D157,State_Lookup!$A$2:$B$28,2,FALSE)</f>
        <v>Ceara</v>
      </c>
    </row>
    <row r="158" spans="1:13" x14ac:dyDescent="0.45">
      <c r="A158" t="s">
        <v>313</v>
      </c>
      <c r="B158" t="s">
        <v>312</v>
      </c>
      <c r="C158" t="s">
        <v>306</v>
      </c>
      <c r="D158" t="s">
        <v>16</v>
      </c>
      <c r="E158" t="s">
        <v>269</v>
      </c>
      <c r="F158">
        <v>1</v>
      </c>
      <c r="G158">
        <v>38.9</v>
      </c>
      <c r="H158">
        <v>14.52</v>
      </c>
      <c r="I158" t="s">
        <v>44</v>
      </c>
      <c r="J158">
        <v>11</v>
      </c>
      <c r="K158" t="s">
        <v>51</v>
      </c>
      <c r="L158">
        <v>4</v>
      </c>
      <c r="M158" t="str">
        <f>VLOOKUP(D158,State_Lookup!$A$2:$B$28,2,FALSE)</f>
        <v>Sao Paulo</v>
      </c>
    </row>
    <row r="159" spans="1:13" x14ac:dyDescent="0.45">
      <c r="A159" t="s">
        <v>314</v>
      </c>
      <c r="B159" t="s">
        <v>312</v>
      </c>
      <c r="C159" t="s">
        <v>306</v>
      </c>
      <c r="D159" t="s">
        <v>16</v>
      </c>
      <c r="E159" t="s">
        <v>43</v>
      </c>
      <c r="F159">
        <v>2</v>
      </c>
      <c r="G159">
        <v>123.8</v>
      </c>
      <c r="H159">
        <v>23.65</v>
      </c>
      <c r="I159" t="s">
        <v>44</v>
      </c>
      <c r="J159">
        <v>4</v>
      </c>
      <c r="K159" t="s">
        <v>51</v>
      </c>
      <c r="L159">
        <v>5</v>
      </c>
      <c r="M159" t="str">
        <f>VLOOKUP(D159,State_Lookup!$A$2:$B$28,2,FALSE)</f>
        <v>Sao Paulo</v>
      </c>
    </row>
    <row r="160" spans="1:13" x14ac:dyDescent="0.45">
      <c r="A160" t="s">
        <v>315</v>
      </c>
      <c r="B160" t="s">
        <v>312</v>
      </c>
      <c r="C160" t="s">
        <v>306</v>
      </c>
      <c r="D160" t="s">
        <v>23</v>
      </c>
      <c r="E160" t="s">
        <v>267</v>
      </c>
      <c r="F160">
        <v>1</v>
      </c>
      <c r="G160">
        <v>95</v>
      </c>
      <c r="H160">
        <v>16.37</v>
      </c>
      <c r="I160" t="s">
        <v>50</v>
      </c>
      <c r="J160">
        <v>7</v>
      </c>
      <c r="K160" t="s">
        <v>51</v>
      </c>
      <c r="L160">
        <v>4</v>
      </c>
      <c r="M160" t="str">
        <f>VLOOKUP(D160,State_Lookup!$A$2:$B$28,2,FALSE)</f>
        <v>Espirito Santo</v>
      </c>
    </row>
    <row r="161" spans="1:13" x14ac:dyDescent="0.45">
      <c r="A161" t="s">
        <v>316</v>
      </c>
      <c r="B161" t="s">
        <v>317</v>
      </c>
      <c r="C161" t="s">
        <v>306</v>
      </c>
      <c r="D161" t="s">
        <v>122</v>
      </c>
      <c r="E161" t="s">
        <v>61</v>
      </c>
      <c r="F161">
        <v>1</v>
      </c>
      <c r="G161">
        <v>580.27</v>
      </c>
      <c r="H161">
        <v>30.32</v>
      </c>
      <c r="I161" t="s">
        <v>44</v>
      </c>
      <c r="J161">
        <v>16</v>
      </c>
      <c r="K161" t="s">
        <v>51</v>
      </c>
      <c r="L161">
        <v>4</v>
      </c>
      <c r="M161" t="str">
        <f>VLOOKUP(D161,State_Lookup!$A$2:$B$28,2,FALSE)</f>
        <v>Para</v>
      </c>
    </row>
    <row r="162" spans="1:13" x14ac:dyDescent="0.45">
      <c r="A162" t="s">
        <v>318</v>
      </c>
      <c r="B162" t="s">
        <v>317</v>
      </c>
      <c r="C162" t="s">
        <v>306</v>
      </c>
      <c r="D162" t="s">
        <v>63</v>
      </c>
      <c r="E162" t="s">
        <v>110</v>
      </c>
      <c r="F162">
        <v>1</v>
      </c>
      <c r="G162">
        <v>69.900000000000006</v>
      </c>
      <c r="H162">
        <v>22.42</v>
      </c>
      <c r="I162" t="s">
        <v>44</v>
      </c>
      <c r="J162">
        <v>18</v>
      </c>
      <c r="K162" t="s">
        <v>51</v>
      </c>
      <c r="L162">
        <v>5</v>
      </c>
      <c r="M162" t="str">
        <f>VLOOKUP(D162,State_Lookup!$A$2:$B$28,2,FALSE)</f>
        <v>Pernambuco</v>
      </c>
    </row>
    <row r="163" spans="1:13" x14ac:dyDescent="0.45">
      <c r="A163" t="s">
        <v>319</v>
      </c>
      <c r="B163" t="s">
        <v>317</v>
      </c>
      <c r="C163" t="s">
        <v>306</v>
      </c>
      <c r="D163" t="s">
        <v>17</v>
      </c>
      <c r="E163" t="s">
        <v>244</v>
      </c>
      <c r="F163">
        <v>1</v>
      </c>
      <c r="G163">
        <v>89</v>
      </c>
      <c r="H163">
        <v>17.36</v>
      </c>
      <c r="I163" t="s">
        <v>44</v>
      </c>
      <c r="J163">
        <v>4</v>
      </c>
      <c r="K163" t="s">
        <v>51</v>
      </c>
      <c r="L163">
        <v>5</v>
      </c>
      <c r="M163" t="str">
        <f>VLOOKUP(D163,State_Lookup!$A$2:$B$28,2,FALSE)</f>
        <v>Rio de Janeiro</v>
      </c>
    </row>
    <row r="164" spans="1:13" x14ac:dyDescent="0.45">
      <c r="A164" t="s">
        <v>320</v>
      </c>
      <c r="B164" t="s">
        <v>317</v>
      </c>
      <c r="C164" t="s">
        <v>306</v>
      </c>
      <c r="D164" t="s">
        <v>17</v>
      </c>
      <c r="E164" t="s">
        <v>49</v>
      </c>
      <c r="F164">
        <v>1</v>
      </c>
      <c r="G164">
        <v>119.99</v>
      </c>
      <c r="H164">
        <v>17.579999999999998</v>
      </c>
      <c r="I164" t="s">
        <v>50</v>
      </c>
      <c r="J164">
        <v>10</v>
      </c>
      <c r="K164" t="s">
        <v>51</v>
      </c>
      <c r="L164">
        <v>5</v>
      </c>
      <c r="M164" t="str">
        <f>VLOOKUP(D164,State_Lookup!$A$2:$B$28,2,FALSE)</f>
        <v>Rio de Janeiro</v>
      </c>
    </row>
    <row r="165" spans="1:13" x14ac:dyDescent="0.45">
      <c r="A165" t="s">
        <v>321</v>
      </c>
      <c r="B165" t="s">
        <v>322</v>
      </c>
      <c r="C165" t="s">
        <v>306</v>
      </c>
      <c r="D165" t="s">
        <v>21</v>
      </c>
      <c r="E165" t="s">
        <v>66</v>
      </c>
      <c r="F165">
        <v>1</v>
      </c>
      <c r="G165">
        <v>39.99</v>
      </c>
      <c r="H165">
        <v>14.52</v>
      </c>
      <c r="I165" t="s">
        <v>44</v>
      </c>
      <c r="J165">
        <v>18</v>
      </c>
      <c r="K165" t="s">
        <v>51</v>
      </c>
      <c r="L165">
        <v>5</v>
      </c>
      <c r="M165" t="str">
        <f>VLOOKUP(D165,State_Lookup!$A$2:$B$28,2,FALSE)</f>
        <v>Santa Catarina</v>
      </c>
    </row>
    <row r="166" spans="1:13" x14ac:dyDescent="0.45">
      <c r="A166" t="s">
        <v>323</v>
      </c>
      <c r="B166" t="s">
        <v>322</v>
      </c>
      <c r="C166" t="s">
        <v>306</v>
      </c>
      <c r="D166" t="s">
        <v>23</v>
      </c>
      <c r="E166" t="s">
        <v>142</v>
      </c>
      <c r="F166">
        <v>1</v>
      </c>
      <c r="G166">
        <v>98.3</v>
      </c>
      <c r="H166">
        <v>50.17</v>
      </c>
      <c r="I166" t="s">
        <v>44</v>
      </c>
      <c r="J166">
        <v>9</v>
      </c>
      <c r="K166" t="s">
        <v>51</v>
      </c>
      <c r="L166">
        <v>4</v>
      </c>
      <c r="M166" t="str">
        <f>VLOOKUP(D166,State_Lookup!$A$2:$B$28,2,FALSE)</f>
        <v>Espirito Santo</v>
      </c>
    </row>
    <row r="167" spans="1:13" x14ac:dyDescent="0.45">
      <c r="A167" t="s">
        <v>324</v>
      </c>
      <c r="B167" t="s">
        <v>322</v>
      </c>
      <c r="C167" t="s">
        <v>306</v>
      </c>
      <c r="D167" t="s">
        <v>17</v>
      </c>
      <c r="E167" t="s">
        <v>61</v>
      </c>
      <c r="F167">
        <v>1</v>
      </c>
      <c r="G167">
        <v>195.9</v>
      </c>
      <c r="H167">
        <v>19.96</v>
      </c>
      <c r="I167" t="s">
        <v>44</v>
      </c>
      <c r="J167">
        <v>9</v>
      </c>
      <c r="K167" t="s">
        <v>51</v>
      </c>
      <c r="L167">
        <v>5</v>
      </c>
      <c r="M167" t="str">
        <f>VLOOKUP(D167,State_Lookup!$A$2:$B$28,2,FALSE)</f>
        <v>Rio de Janeiro</v>
      </c>
    </row>
    <row r="168" spans="1:13" x14ac:dyDescent="0.45">
      <c r="A168" t="s">
        <v>325</v>
      </c>
      <c r="B168" t="s">
        <v>326</v>
      </c>
      <c r="C168" t="s">
        <v>306</v>
      </c>
      <c r="D168" t="s">
        <v>17</v>
      </c>
      <c r="E168" t="s">
        <v>69</v>
      </c>
      <c r="F168">
        <v>1</v>
      </c>
      <c r="G168">
        <v>48</v>
      </c>
      <c r="H168">
        <v>15.11</v>
      </c>
      <c r="I168" t="s">
        <v>44</v>
      </c>
      <c r="J168">
        <v>7</v>
      </c>
      <c r="K168" t="s">
        <v>51</v>
      </c>
      <c r="L168">
        <v>5</v>
      </c>
      <c r="M168" t="str">
        <f>VLOOKUP(D168,State_Lookup!$A$2:$B$28,2,FALSE)</f>
        <v>Rio de Janeiro</v>
      </c>
    </row>
    <row r="169" spans="1:13" x14ac:dyDescent="0.45">
      <c r="A169" t="s">
        <v>327</v>
      </c>
      <c r="B169" t="s">
        <v>326</v>
      </c>
      <c r="C169" t="s">
        <v>306</v>
      </c>
      <c r="D169" t="s">
        <v>17</v>
      </c>
      <c r="E169" t="s">
        <v>142</v>
      </c>
      <c r="F169">
        <v>1</v>
      </c>
      <c r="G169">
        <v>79.989999999999995</v>
      </c>
      <c r="H169">
        <v>18.84</v>
      </c>
      <c r="I169" t="s">
        <v>44</v>
      </c>
      <c r="J169">
        <v>8</v>
      </c>
      <c r="K169" t="s">
        <v>51</v>
      </c>
      <c r="L169">
        <v>4</v>
      </c>
      <c r="M169" t="str">
        <f>VLOOKUP(D169,State_Lookup!$A$2:$B$28,2,FALSE)</f>
        <v>Rio de Janeiro</v>
      </c>
    </row>
    <row r="170" spans="1:13" x14ac:dyDescent="0.45">
      <c r="A170" t="s">
        <v>328</v>
      </c>
      <c r="B170" t="s">
        <v>326</v>
      </c>
      <c r="C170" t="s">
        <v>306</v>
      </c>
      <c r="D170" t="s">
        <v>16</v>
      </c>
      <c r="E170" t="s">
        <v>148</v>
      </c>
      <c r="F170">
        <v>1</v>
      </c>
      <c r="G170">
        <v>19.899999999999999</v>
      </c>
      <c r="H170">
        <v>8.7200000000000006</v>
      </c>
      <c r="I170" t="s">
        <v>44</v>
      </c>
      <c r="J170">
        <v>4</v>
      </c>
      <c r="K170" t="s">
        <v>51</v>
      </c>
      <c r="L170">
        <v>5</v>
      </c>
      <c r="M170" t="str">
        <f>VLOOKUP(D170,State_Lookup!$A$2:$B$28,2,FALSE)</f>
        <v>Sao Paulo</v>
      </c>
    </row>
    <row r="171" spans="1:13" x14ac:dyDescent="0.45">
      <c r="A171" t="s">
        <v>329</v>
      </c>
      <c r="B171" t="s">
        <v>326</v>
      </c>
      <c r="C171" t="s">
        <v>306</v>
      </c>
      <c r="D171" t="s">
        <v>17</v>
      </c>
      <c r="E171" t="s">
        <v>66</v>
      </c>
      <c r="F171">
        <v>1</v>
      </c>
      <c r="G171">
        <v>19.989999999999998</v>
      </c>
      <c r="H171">
        <v>14.11</v>
      </c>
      <c r="I171" t="s">
        <v>44</v>
      </c>
      <c r="J171">
        <v>36</v>
      </c>
      <c r="K171" t="s">
        <v>143</v>
      </c>
      <c r="L171">
        <v>1</v>
      </c>
      <c r="M171" t="str">
        <f>VLOOKUP(D171,State_Lookup!$A$2:$B$28,2,FALSE)</f>
        <v>Rio de Janeiro</v>
      </c>
    </row>
    <row r="172" spans="1:13" x14ac:dyDescent="0.45">
      <c r="A172" t="s">
        <v>330</v>
      </c>
      <c r="B172" t="s">
        <v>331</v>
      </c>
      <c r="C172" t="s">
        <v>306</v>
      </c>
      <c r="D172" t="s">
        <v>16</v>
      </c>
      <c r="E172" t="s">
        <v>142</v>
      </c>
      <c r="F172">
        <v>1</v>
      </c>
      <c r="G172">
        <v>49.9</v>
      </c>
      <c r="H172">
        <v>10.96</v>
      </c>
      <c r="I172" t="s">
        <v>44</v>
      </c>
      <c r="J172">
        <v>7</v>
      </c>
      <c r="K172" t="s">
        <v>51</v>
      </c>
      <c r="L172">
        <v>1</v>
      </c>
      <c r="M172" t="str">
        <f>VLOOKUP(D172,State_Lookup!$A$2:$B$28,2,FALSE)</f>
        <v>Sao Paulo</v>
      </c>
    </row>
    <row r="173" spans="1:13" x14ac:dyDescent="0.45">
      <c r="A173" t="s">
        <v>332</v>
      </c>
      <c r="B173" t="s">
        <v>331</v>
      </c>
      <c r="C173" t="s">
        <v>306</v>
      </c>
      <c r="D173" t="s">
        <v>18</v>
      </c>
      <c r="E173" t="s">
        <v>64</v>
      </c>
      <c r="F173">
        <v>1</v>
      </c>
      <c r="G173">
        <v>8.9</v>
      </c>
      <c r="H173">
        <v>14.52</v>
      </c>
      <c r="I173" t="s">
        <v>50</v>
      </c>
      <c r="J173">
        <v>7</v>
      </c>
      <c r="K173" t="s">
        <v>51</v>
      </c>
      <c r="L173">
        <v>5</v>
      </c>
      <c r="M173" t="str">
        <f>VLOOKUP(D173,State_Lookup!$A$2:$B$28,2,FALSE)</f>
        <v>Minas Gerais</v>
      </c>
    </row>
    <row r="174" spans="1:13" x14ac:dyDescent="0.45">
      <c r="A174" t="s">
        <v>333</v>
      </c>
      <c r="B174" t="s">
        <v>331</v>
      </c>
      <c r="C174" t="s">
        <v>306</v>
      </c>
      <c r="D174" t="s">
        <v>17</v>
      </c>
      <c r="E174" t="s">
        <v>66</v>
      </c>
      <c r="F174">
        <v>1</v>
      </c>
      <c r="G174">
        <v>12.97</v>
      </c>
      <c r="H174">
        <v>14.52</v>
      </c>
      <c r="I174" t="s">
        <v>50</v>
      </c>
      <c r="J174">
        <v>3</v>
      </c>
      <c r="K174" t="s">
        <v>51</v>
      </c>
      <c r="L174">
        <v>1</v>
      </c>
      <c r="M174" t="str">
        <f>VLOOKUP(D174,State_Lookup!$A$2:$B$28,2,FALSE)</f>
        <v>Rio de Janeiro</v>
      </c>
    </row>
    <row r="175" spans="1:13" x14ac:dyDescent="0.45">
      <c r="A175" t="s">
        <v>334</v>
      </c>
      <c r="B175" t="s">
        <v>331</v>
      </c>
      <c r="C175" t="s">
        <v>306</v>
      </c>
      <c r="D175" t="s">
        <v>22</v>
      </c>
      <c r="E175" t="s">
        <v>43</v>
      </c>
      <c r="F175">
        <v>1</v>
      </c>
      <c r="G175">
        <v>60.9</v>
      </c>
      <c r="H175">
        <v>20.88</v>
      </c>
      <c r="I175" t="s">
        <v>44</v>
      </c>
      <c r="J175">
        <v>9</v>
      </c>
      <c r="K175" t="s">
        <v>51</v>
      </c>
      <c r="L175">
        <v>5</v>
      </c>
      <c r="M175" t="str">
        <f>VLOOKUP(D175,State_Lookup!$A$2:$B$28,2,FALSE)</f>
        <v>Bahia</v>
      </c>
    </row>
    <row r="176" spans="1:13" x14ac:dyDescent="0.45">
      <c r="A176" t="s">
        <v>335</v>
      </c>
      <c r="B176" t="s">
        <v>331</v>
      </c>
      <c r="C176" t="s">
        <v>306</v>
      </c>
      <c r="D176" t="s">
        <v>16</v>
      </c>
      <c r="E176" t="s">
        <v>58</v>
      </c>
      <c r="F176">
        <v>1</v>
      </c>
      <c r="G176">
        <v>59</v>
      </c>
      <c r="H176">
        <v>12.01</v>
      </c>
      <c r="I176" t="s">
        <v>50</v>
      </c>
      <c r="J176">
        <v>7</v>
      </c>
      <c r="K176" t="s">
        <v>51</v>
      </c>
      <c r="L176">
        <v>5</v>
      </c>
      <c r="M176" t="str">
        <f>VLOOKUP(D176,State_Lookup!$A$2:$B$28,2,FALSE)</f>
        <v>Sao Paulo</v>
      </c>
    </row>
    <row r="177" spans="1:13" x14ac:dyDescent="0.45">
      <c r="A177" t="s">
        <v>336</v>
      </c>
      <c r="B177" t="s">
        <v>331</v>
      </c>
      <c r="C177" t="s">
        <v>306</v>
      </c>
      <c r="D177" t="s">
        <v>141</v>
      </c>
      <c r="E177" t="s">
        <v>61</v>
      </c>
      <c r="F177">
        <v>1</v>
      </c>
      <c r="G177">
        <v>26.9</v>
      </c>
      <c r="H177">
        <v>20.399999999999999</v>
      </c>
      <c r="I177" t="s">
        <v>44</v>
      </c>
      <c r="J177">
        <v>11</v>
      </c>
      <c r="K177" t="s">
        <v>51</v>
      </c>
      <c r="L177">
        <v>3</v>
      </c>
      <c r="M177" t="str">
        <f>VLOOKUP(D177,State_Lookup!$A$2:$B$28,2,FALSE)</f>
        <v>Maranhao</v>
      </c>
    </row>
    <row r="178" spans="1:13" x14ac:dyDescent="0.45">
      <c r="A178" t="s">
        <v>337</v>
      </c>
      <c r="B178" t="s">
        <v>338</v>
      </c>
      <c r="C178" t="s">
        <v>306</v>
      </c>
      <c r="D178" t="s">
        <v>16</v>
      </c>
      <c r="E178" t="s">
        <v>107</v>
      </c>
      <c r="F178">
        <v>1</v>
      </c>
      <c r="G178">
        <v>117.3</v>
      </c>
      <c r="H178">
        <v>16.97</v>
      </c>
      <c r="I178" t="s">
        <v>44</v>
      </c>
      <c r="J178">
        <v>6</v>
      </c>
      <c r="K178" t="s">
        <v>51</v>
      </c>
      <c r="L178">
        <v>5</v>
      </c>
      <c r="M178" t="str">
        <f>VLOOKUP(D178,State_Lookup!$A$2:$B$28,2,FALSE)</f>
        <v>Sao Paulo</v>
      </c>
    </row>
    <row r="179" spans="1:13" x14ac:dyDescent="0.45">
      <c r="A179" t="s">
        <v>339</v>
      </c>
      <c r="B179" t="s">
        <v>338</v>
      </c>
      <c r="C179" t="s">
        <v>306</v>
      </c>
      <c r="D179" t="s">
        <v>23</v>
      </c>
      <c r="E179" t="s">
        <v>340</v>
      </c>
      <c r="F179">
        <v>1</v>
      </c>
      <c r="G179">
        <v>48</v>
      </c>
      <c r="H179">
        <v>18.940000000000001</v>
      </c>
      <c r="I179" t="s">
        <v>50</v>
      </c>
      <c r="J179">
        <v>5</v>
      </c>
      <c r="K179" t="s">
        <v>51</v>
      </c>
      <c r="L179">
        <v>5</v>
      </c>
      <c r="M179" t="str">
        <f>VLOOKUP(D179,State_Lookup!$A$2:$B$28,2,FALSE)</f>
        <v>Espirito Santo</v>
      </c>
    </row>
    <row r="180" spans="1:13" x14ac:dyDescent="0.45">
      <c r="A180" t="s">
        <v>341</v>
      </c>
      <c r="B180" t="s">
        <v>338</v>
      </c>
      <c r="C180" t="s">
        <v>306</v>
      </c>
      <c r="D180" t="s">
        <v>25</v>
      </c>
      <c r="E180" t="s">
        <v>142</v>
      </c>
      <c r="F180">
        <v>1</v>
      </c>
      <c r="G180">
        <v>101</v>
      </c>
      <c r="H180">
        <v>21.34</v>
      </c>
      <c r="I180" t="s">
        <v>44</v>
      </c>
      <c r="J180">
        <v>12</v>
      </c>
      <c r="K180" t="s">
        <v>51</v>
      </c>
      <c r="L180">
        <v>5</v>
      </c>
      <c r="M180" t="str">
        <f>VLOOKUP(D180,State_Lookup!$A$2:$B$28,2,FALSE)</f>
        <v>Goias</v>
      </c>
    </row>
    <row r="181" spans="1:13" x14ac:dyDescent="0.45">
      <c r="A181" t="s">
        <v>342</v>
      </c>
      <c r="B181" t="s">
        <v>343</v>
      </c>
      <c r="C181" t="s">
        <v>306</v>
      </c>
      <c r="D181" t="s">
        <v>16</v>
      </c>
      <c r="E181" t="s">
        <v>43</v>
      </c>
      <c r="F181">
        <v>1</v>
      </c>
      <c r="G181">
        <v>26</v>
      </c>
      <c r="H181">
        <v>10.96</v>
      </c>
      <c r="I181" t="s">
        <v>44</v>
      </c>
      <c r="J181">
        <v>16</v>
      </c>
      <c r="K181" t="s">
        <v>51</v>
      </c>
      <c r="L181">
        <v>5</v>
      </c>
      <c r="M181" t="str">
        <f>VLOOKUP(D181,State_Lookup!$A$2:$B$28,2,FALSE)</f>
        <v>Sao Paulo</v>
      </c>
    </row>
    <row r="182" spans="1:13" x14ac:dyDescent="0.45">
      <c r="A182" t="s">
        <v>344</v>
      </c>
      <c r="B182" t="s">
        <v>343</v>
      </c>
      <c r="C182" t="s">
        <v>306</v>
      </c>
      <c r="D182" t="s">
        <v>16</v>
      </c>
      <c r="E182" t="s">
        <v>110</v>
      </c>
      <c r="F182">
        <v>3</v>
      </c>
      <c r="G182">
        <v>39.700000000000003</v>
      </c>
      <c r="H182">
        <v>32.880000000000003</v>
      </c>
      <c r="I182" t="s">
        <v>44</v>
      </c>
      <c r="J182">
        <v>3</v>
      </c>
      <c r="K182" t="s">
        <v>51</v>
      </c>
      <c r="L182">
        <v>5</v>
      </c>
      <c r="M182" t="str">
        <f>VLOOKUP(D182,State_Lookup!$A$2:$B$28,2,FALSE)</f>
        <v>Sao Paulo</v>
      </c>
    </row>
    <row r="183" spans="1:13" x14ac:dyDescent="0.45">
      <c r="A183" t="s">
        <v>345</v>
      </c>
      <c r="B183" t="s">
        <v>343</v>
      </c>
      <c r="C183" t="s">
        <v>306</v>
      </c>
      <c r="D183" t="s">
        <v>16</v>
      </c>
      <c r="E183" t="s">
        <v>69</v>
      </c>
      <c r="F183">
        <v>1</v>
      </c>
      <c r="G183">
        <v>34.9</v>
      </c>
      <c r="H183">
        <v>10.96</v>
      </c>
      <c r="I183" t="s">
        <v>44</v>
      </c>
      <c r="J183">
        <v>4</v>
      </c>
      <c r="K183" t="s">
        <v>51</v>
      </c>
      <c r="L183">
        <v>2</v>
      </c>
      <c r="M183" t="str">
        <f>VLOOKUP(D183,State_Lookup!$A$2:$B$28,2,FALSE)</f>
        <v>Sao Paulo</v>
      </c>
    </row>
    <row r="184" spans="1:13" x14ac:dyDescent="0.45">
      <c r="A184" t="s">
        <v>346</v>
      </c>
      <c r="B184" t="s">
        <v>343</v>
      </c>
      <c r="C184" t="s">
        <v>306</v>
      </c>
      <c r="D184" t="s">
        <v>17</v>
      </c>
      <c r="E184" t="s">
        <v>79</v>
      </c>
      <c r="F184">
        <v>2</v>
      </c>
      <c r="G184">
        <v>89.8</v>
      </c>
      <c r="H184">
        <v>28.22</v>
      </c>
      <c r="I184" t="s">
        <v>44</v>
      </c>
      <c r="J184">
        <v>10</v>
      </c>
      <c r="K184" t="s">
        <v>51</v>
      </c>
      <c r="L184">
        <v>5</v>
      </c>
      <c r="M184" t="str">
        <f>VLOOKUP(D184,State_Lookup!$A$2:$B$28,2,FALSE)</f>
        <v>Rio de Janeiro</v>
      </c>
    </row>
    <row r="185" spans="1:13" x14ac:dyDescent="0.45">
      <c r="A185" t="s">
        <v>347</v>
      </c>
      <c r="B185" t="s">
        <v>343</v>
      </c>
      <c r="C185" t="s">
        <v>306</v>
      </c>
      <c r="D185" t="s">
        <v>18</v>
      </c>
      <c r="E185" t="s">
        <v>69</v>
      </c>
      <c r="F185">
        <v>1</v>
      </c>
      <c r="G185">
        <v>34.9</v>
      </c>
      <c r="H185">
        <v>14.52</v>
      </c>
      <c r="I185" t="s">
        <v>50</v>
      </c>
      <c r="J185">
        <v>11</v>
      </c>
      <c r="K185" t="s">
        <v>51</v>
      </c>
      <c r="L185">
        <v>5</v>
      </c>
      <c r="M185" t="str">
        <f>VLOOKUP(D185,State_Lookup!$A$2:$B$28,2,FALSE)</f>
        <v>Minas Gerais</v>
      </c>
    </row>
    <row r="186" spans="1:13" x14ac:dyDescent="0.45">
      <c r="A186" t="s">
        <v>348</v>
      </c>
      <c r="B186" t="s">
        <v>343</v>
      </c>
      <c r="C186" t="s">
        <v>306</v>
      </c>
      <c r="D186" t="s">
        <v>20</v>
      </c>
      <c r="E186" t="s">
        <v>100</v>
      </c>
      <c r="F186">
        <v>1</v>
      </c>
      <c r="G186">
        <v>109.9</v>
      </c>
      <c r="H186">
        <v>11.38</v>
      </c>
      <c r="I186" t="s">
        <v>44</v>
      </c>
      <c r="J186">
        <v>17</v>
      </c>
      <c r="K186" t="s">
        <v>51</v>
      </c>
      <c r="L186">
        <v>5</v>
      </c>
      <c r="M186" t="str">
        <f>VLOOKUP(D186,State_Lookup!$A$2:$B$28,2,FALSE)</f>
        <v>Parana</v>
      </c>
    </row>
    <row r="187" spans="1:13" x14ac:dyDescent="0.45">
      <c r="A187" t="s">
        <v>349</v>
      </c>
      <c r="B187" t="s">
        <v>350</v>
      </c>
      <c r="C187" t="s">
        <v>306</v>
      </c>
      <c r="D187" t="s">
        <v>16</v>
      </c>
      <c r="E187" t="s">
        <v>61</v>
      </c>
      <c r="F187">
        <v>1</v>
      </c>
      <c r="G187">
        <v>79.900000000000006</v>
      </c>
      <c r="H187">
        <v>15.77</v>
      </c>
      <c r="I187" t="s">
        <v>44</v>
      </c>
      <c r="J187">
        <v>6</v>
      </c>
      <c r="K187" t="s">
        <v>51</v>
      </c>
      <c r="L187">
        <v>5</v>
      </c>
      <c r="M187" t="str">
        <f>VLOOKUP(D187,State_Lookup!$A$2:$B$28,2,FALSE)</f>
        <v>Sao Paulo</v>
      </c>
    </row>
    <row r="188" spans="1:13" x14ac:dyDescent="0.45">
      <c r="A188" t="s">
        <v>351</v>
      </c>
      <c r="B188" t="s">
        <v>350</v>
      </c>
      <c r="C188" t="s">
        <v>306</v>
      </c>
      <c r="D188" t="s">
        <v>17</v>
      </c>
      <c r="E188" t="s">
        <v>61</v>
      </c>
      <c r="F188">
        <v>1</v>
      </c>
      <c r="G188">
        <v>159.99</v>
      </c>
      <c r="H188">
        <v>33.4</v>
      </c>
      <c r="I188" t="s">
        <v>44</v>
      </c>
      <c r="J188">
        <v>9</v>
      </c>
      <c r="K188" t="s">
        <v>51</v>
      </c>
      <c r="L188">
        <v>5</v>
      </c>
      <c r="M188" t="str">
        <f>VLOOKUP(D188,State_Lookup!$A$2:$B$28,2,FALSE)</f>
        <v>Rio de Janeiro</v>
      </c>
    </row>
    <row r="189" spans="1:13" x14ac:dyDescent="0.45">
      <c r="A189" t="s">
        <v>352</v>
      </c>
      <c r="B189" t="s">
        <v>350</v>
      </c>
      <c r="C189" t="s">
        <v>306</v>
      </c>
      <c r="D189" t="s">
        <v>18</v>
      </c>
      <c r="E189" t="s">
        <v>244</v>
      </c>
      <c r="F189">
        <v>1</v>
      </c>
      <c r="G189">
        <v>17.899999999999999</v>
      </c>
      <c r="H189">
        <v>20.43</v>
      </c>
      <c r="I189" t="s">
        <v>133</v>
      </c>
      <c r="J189">
        <v>11</v>
      </c>
      <c r="K189" t="s">
        <v>51</v>
      </c>
      <c r="L189">
        <v>5</v>
      </c>
      <c r="M189" t="str">
        <f>VLOOKUP(D189,State_Lookup!$A$2:$B$28,2,FALSE)</f>
        <v>Minas Gerais</v>
      </c>
    </row>
    <row r="190" spans="1:13" x14ac:dyDescent="0.45">
      <c r="A190" t="s">
        <v>353</v>
      </c>
      <c r="B190" t="s">
        <v>350</v>
      </c>
      <c r="C190" t="s">
        <v>306</v>
      </c>
      <c r="D190" t="s">
        <v>18</v>
      </c>
      <c r="E190" t="s">
        <v>103</v>
      </c>
      <c r="F190">
        <v>1</v>
      </c>
      <c r="G190">
        <v>19.899999999999999</v>
      </c>
      <c r="H190">
        <v>14.52</v>
      </c>
      <c r="I190" t="s">
        <v>44</v>
      </c>
      <c r="J190">
        <v>10</v>
      </c>
      <c r="K190" t="s">
        <v>51</v>
      </c>
      <c r="L190">
        <v>1</v>
      </c>
      <c r="M190" t="str">
        <f>VLOOKUP(D190,State_Lookup!$A$2:$B$28,2,FALSE)</f>
        <v>Minas Gerais</v>
      </c>
    </row>
    <row r="191" spans="1:13" x14ac:dyDescent="0.45">
      <c r="A191" t="s">
        <v>354</v>
      </c>
      <c r="B191" t="s">
        <v>355</v>
      </c>
      <c r="C191" t="s">
        <v>306</v>
      </c>
      <c r="D191" t="s">
        <v>16</v>
      </c>
      <c r="E191" t="s">
        <v>110</v>
      </c>
      <c r="F191">
        <v>1</v>
      </c>
      <c r="G191">
        <v>184.9</v>
      </c>
      <c r="H191">
        <v>16.399999999999999</v>
      </c>
      <c r="I191" t="s">
        <v>44</v>
      </c>
      <c r="J191">
        <v>9</v>
      </c>
      <c r="K191" t="s">
        <v>51</v>
      </c>
      <c r="L191">
        <v>4</v>
      </c>
      <c r="M191" t="str">
        <f>VLOOKUP(D191,State_Lookup!$A$2:$B$28,2,FALSE)</f>
        <v>Sao Paulo</v>
      </c>
    </row>
    <row r="192" spans="1:13" x14ac:dyDescent="0.45">
      <c r="A192" t="s">
        <v>356</v>
      </c>
      <c r="B192" t="s">
        <v>355</v>
      </c>
      <c r="C192" t="s">
        <v>306</v>
      </c>
      <c r="D192" t="s">
        <v>23</v>
      </c>
      <c r="E192" t="s">
        <v>110</v>
      </c>
      <c r="F192">
        <v>1</v>
      </c>
      <c r="G192">
        <v>89.9</v>
      </c>
      <c r="H192">
        <v>16.329999999999998</v>
      </c>
      <c r="I192" t="s">
        <v>44</v>
      </c>
      <c r="J192">
        <v>11</v>
      </c>
      <c r="K192" t="s">
        <v>51</v>
      </c>
      <c r="L192">
        <v>5</v>
      </c>
      <c r="M192" t="str">
        <f>VLOOKUP(D192,State_Lookup!$A$2:$B$28,2,FALSE)</f>
        <v>Espirito Santo</v>
      </c>
    </row>
    <row r="193" spans="1:13" x14ac:dyDescent="0.45">
      <c r="A193" t="s">
        <v>357</v>
      </c>
      <c r="B193" t="s">
        <v>355</v>
      </c>
      <c r="C193" t="s">
        <v>306</v>
      </c>
      <c r="D193" t="s">
        <v>16</v>
      </c>
      <c r="E193" t="s">
        <v>199</v>
      </c>
      <c r="F193">
        <v>1</v>
      </c>
      <c r="G193">
        <v>34.99</v>
      </c>
      <c r="H193">
        <v>10.96</v>
      </c>
      <c r="I193" t="s">
        <v>44</v>
      </c>
      <c r="J193">
        <v>9</v>
      </c>
      <c r="K193" t="s">
        <v>51</v>
      </c>
      <c r="L193">
        <v>5</v>
      </c>
      <c r="M193" t="str">
        <f>VLOOKUP(D193,State_Lookup!$A$2:$B$28,2,FALSE)</f>
        <v>Sao Paulo</v>
      </c>
    </row>
    <row r="194" spans="1:13" x14ac:dyDescent="0.45">
      <c r="A194" t="s">
        <v>358</v>
      </c>
      <c r="B194" t="s">
        <v>355</v>
      </c>
      <c r="C194" t="s">
        <v>306</v>
      </c>
      <c r="D194" t="s">
        <v>208</v>
      </c>
      <c r="E194" t="s">
        <v>125</v>
      </c>
      <c r="F194">
        <v>1</v>
      </c>
      <c r="G194">
        <v>11.99</v>
      </c>
      <c r="H194">
        <v>20.8</v>
      </c>
      <c r="I194" t="s">
        <v>44</v>
      </c>
      <c r="J194">
        <v>26</v>
      </c>
      <c r="K194" t="s">
        <v>51</v>
      </c>
      <c r="L194">
        <v>4</v>
      </c>
      <c r="M194" t="str">
        <f>VLOOKUP(D194,State_Lookup!$A$2:$B$28,2,FALSE)</f>
        <v>Mato Grosso</v>
      </c>
    </row>
    <row r="195" spans="1:13" x14ac:dyDescent="0.45">
      <c r="A195" t="s">
        <v>359</v>
      </c>
      <c r="B195" t="s">
        <v>360</v>
      </c>
      <c r="C195" t="s">
        <v>306</v>
      </c>
      <c r="D195" t="s">
        <v>16</v>
      </c>
      <c r="E195" t="s">
        <v>361</v>
      </c>
      <c r="F195">
        <v>2</v>
      </c>
      <c r="G195">
        <v>29.8</v>
      </c>
      <c r="H195">
        <v>35.56</v>
      </c>
      <c r="I195" t="s">
        <v>44</v>
      </c>
      <c r="J195">
        <v>22</v>
      </c>
      <c r="K195" t="s">
        <v>51</v>
      </c>
      <c r="L195">
        <v>5</v>
      </c>
      <c r="M195" t="str">
        <f>VLOOKUP(D195,State_Lookup!$A$2:$B$28,2,FALSE)</f>
        <v>Sao Paulo</v>
      </c>
    </row>
    <row r="196" spans="1:13" x14ac:dyDescent="0.45">
      <c r="A196" t="s">
        <v>362</v>
      </c>
      <c r="B196" t="s">
        <v>360</v>
      </c>
      <c r="C196" t="s">
        <v>306</v>
      </c>
      <c r="D196" t="s">
        <v>17</v>
      </c>
      <c r="E196" t="s">
        <v>152</v>
      </c>
      <c r="F196">
        <v>2</v>
      </c>
      <c r="G196">
        <v>119.8</v>
      </c>
      <c r="H196">
        <v>41</v>
      </c>
      <c r="I196" t="s">
        <v>44</v>
      </c>
      <c r="J196">
        <v>4</v>
      </c>
      <c r="K196" t="s">
        <v>51</v>
      </c>
      <c r="L196">
        <v>4</v>
      </c>
      <c r="M196" t="str">
        <f>VLOOKUP(D196,State_Lookup!$A$2:$B$28,2,FALSE)</f>
        <v>Rio de Janeiro</v>
      </c>
    </row>
    <row r="197" spans="1:13" x14ac:dyDescent="0.45">
      <c r="A197" t="s">
        <v>363</v>
      </c>
      <c r="B197" t="s">
        <v>364</v>
      </c>
      <c r="C197" t="s">
        <v>306</v>
      </c>
      <c r="D197" t="s">
        <v>17</v>
      </c>
      <c r="E197" t="s">
        <v>69</v>
      </c>
      <c r="F197">
        <v>1</v>
      </c>
      <c r="G197">
        <v>99.99</v>
      </c>
      <c r="H197">
        <v>28.89</v>
      </c>
      <c r="I197" t="s">
        <v>44</v>
      </c>
      <c r="J197">
        <v>6</v>
      </c>
      <c r="K197" t="s">
        <v>51</v>
      </c>
      <c r="L197">
        <v>2</v>
      </c>
      <c r="M197" t="str">
        <f>VLOOKUP(D197,State_Lookup!$A$2:$B$28,2,FALSE)</f>
        <v>Rio de Janeiro</v>
      </c>
    </row>
    <row r="198" spans="1:13" x14ac:dyDescent="0.45">
      <c r="A198" t="s">
        <v>365</v>
      </c>
      <c r="B198" t="s">
        <v>364</v>
      </c>
      <c r="C198" t="s">
        <v>306</v>
      </c>
      <c r="D198" t="s">
        <v>16</v>
      </c>
      <c r="E198" t="s">
        <v>366</v>
      </c>
      <c r="F198">
        <v>1</v>
      </c>
      <c r="G198">
        <v>39.9</v>
      </c>
      <c r="H198">
        <v>10.96</v>
      </c>
      <c r="I198" t="s">
        <v>44</v>
      </c>
      <c r="J198">
        <v>9</v>
      </c>
      <c r="K198" t="s">
        <v>51</v>
      </c>
      <c r="L198">
        <v>5</v>
      </c>
      <c r="M198" t="str">
        <f>VLOOKUP(D198,State_Lookup!$A$2:$B$28,2,FALSE)</f>
        <v>Sao Paulo</v>
      </c>
    </row>
    <row r="199" spans="1:13" x14ac:dyDescent="0.45">
      <c r="A199" t="s">
        <v>367</v>
      </c>
      <c r="B199" t="s">
        <v>364</v>
      </c>
      <c r="C199" t="s">
        <v>306</v>
      </c>
      <c r="D199" t="s">
        <v>17</v>
      </c>
      <c r="E199" t="s">
        <v>186</v>
      </c>
      <c r="F199">
        <v>1</v>
      </c>
      <c r="G199">
        <v>179.99</v>
      </c>
      <c r="H199">
        <v>22.73</v>
      </c>
      <c r="I199" t="s">
        <v>44</v>
      </c>
      <c r="J199">
        <v>11</v>
      </c>
      <c r="K199" t="s">
        <v>51</v>
      </c>
      <c r="L199">
        <v>4</v>
      </c>
      <c r="M199" t="str">
        <f>VLOOKUP(D199,State_Lookup!$A$2:$B$28,2,FALSE)</f>
        <v>Rio de Janeiro</v>
      </c>
    </row>
    <row r="200" spans="1:13" x14ac:dyDescent="0.45">
      <c r="A200" t="s">
        <v>368</v>
      </c>
      <c r="B200" t="s">
        <v>364</v>
      </c>
      <c r="C200" t="s">
        <v>306</v>
      </c>
      <c r="D200" t="s">
        <v>16</v>
      </c>
      <c r="E200" t="s">
        <v>43</v>
      </c>
      <c r="F200">
        <v>1</v>
      </c>
      <c r="G200">
        <v>147.69999999999999</v>
      </c>
      <c r="H200">
        <v>14.8</v>
      </c>
      <c r="I200" t="s">
        <v>44</v>
      </c>
      <c r="J200">
        <v>7</v>
      </c>
      <c r="K200" t="s">
        <v>51</v>
      </c>
      <c r="L200">
        <v>5</v>
      </c>
      <c r="M200" t="str">
        <f>VLOOKUP(D200,State_Lookup!$A$2:$B$28,2,FALSE)</f>
        <v>Sao Paulo</v>
      </c>
    </row>
    <row r="201" spans="1:13" x14ac:dyDescent="0.45">
      <c r="A201" t="s">
        <v>369</v>
      </c>
      <c r="B201" t="s">
        <v>364</v>
      </c>
      <c r="C201" t="s">
        <v>306</v>
      </c>
      <c r="D201" t="s">
        <v>16</v>
      </c>
      <c r="E201" t="s">
        <v>43</v>
      </c>
      <c r="F201">
        <v>1</v>
      </c>
      <c r="G201">
        <v>159</v>
      </c>
      <c r="H201">
        <v>20.41</v>
      </c>
      <c r="I201" t="s">
        <v>50</v>
      </c>
      <c r="K201" t="s">
        <v>45</v>
      </c>
      <c r="L201">
        <v>1</v>
      </c>
      <c r="M201" t="str">
        <f>VLOOKUP(D201,State_Lookup!$A$2:$B$28,2,FALSE)</f>
        <v>Sao Paulo</v>
      </c>
    </row>
    <row r="202" spans="1:13" x14ac:dyDescent="0.45">
      <c r="A202" t="s">
        <v>370</v>
      </c>
      <c r="B202" t="s">
        <v>364</v>
      </c>
      <c r="C202" t="s">
        <v>306</v>
      </c>
      <c r="D202" t="s">
        <v>16</v>
      </c>
      <c r="E202" t="s">
        <v>43</v>
      </c>
      <c r="F202">
        <v>1</v>
      </c>
      <c r="G202">
        <v>169.9</v>
      </c>
      <c r="H202">
        <v>18.48</v>
      </c>
      <c r="I202" t="s">
        <v>44</v>
      </c>
      <c r="J202">
        <v>11</v>
      </c>
      <c r="K202" t="s">
        <v>51</v>
      </c>
      <c r="L202">
        <v>5</v>
      </c>
      <c r="M202" t="str">
        <f>VLOOKUP(D202,State_Lookup!$A$2:$B$28,2,FALSE)</f>
        <v>Sao Paulo</v>
      </c>
    </row>
    <row r="203" spans="1:13" x14ac:dyDescent="0.45">
      <c r="A203" t="s">
        <v>371</v>
      </c>
      <c r="B203" t="s">
        <v>364</v>
      </c>
      <c r="C203" t="s">
        <v>306</v>
      </c>
      <c r="D203" t="s">
        <v>16</v>
      </c>
      <c r="E203" t="s">
        <v>148</v>
      </c>
      <c r="F203">
        <v>1</v>
      </c>
      <c r="G203">
        <v>129.99</v>
      </c>
      <c r="H203">
        <v>13.49</v>
      </c>
      <c r="I203" t="s">
        <v>50</v>
      </c>
      <c r="J203">
        <v>5</v>
      </c>
      <c r="K203" t="s">
        <v>51</v>
      </c>
      <c r="L203">
        <v>4</v>
      </c>
      <c r="M203" t="str">
        <f>VLOOKUP(D203,State_Lookup!$A$2:$B$28,2,FALSE)</f>
        <v>Sao Paulo</v>
      </c>
    </row>
    <row r="204" spans="1:13" x14ac:dyDescent="0.45">
      <c r="A204" t="s">
        <v>372</v>
      </c>
      <c r="B204" t="s">
        <v>364</v>
      </c>
      <c r="C204" t="s">
        <v>306</v>
      </c>
      <c r="D204" t="s">
        <v>219</v>
      </c>
      <c r="E204" t="s">
        <v>244</v>
      </c>
      <c r="F204">
        <v>1</v>
      </c>
      <c r="G204">
        <v>149</v>
      </c>
      <c r="H204">
        <v>29.97</v>
      </c>
      <c r="I204" t="s">
        <v>44</v>
      </c>
      <c r="J204">
        <v>15</v>
      </c>
      <c r="K204" t="s">
        <v>51</v>
      </c>
      <c r="L204">
        <v>5</v>
      </c>
      <c r="M204" t="str">
        <f>VLOOKUP(D204,State_Lookup!$A$2:$B$28,2,FALSE)</f>
        <v>Rondonia</v>
      </c>
    </row>
    <row r="205" spans="1:13" x14ac:dyDescent="0.45">
      <c r="A205" t="s">
        <v>373</v>
      </c>
      <c r="B205" t="s">
        <v>374</v>
      </c>
      <c r="C205" t="s">
        <v>306</v>
      </c>
      <c r="D205" t="s">
        <v>18</v>
      </c>
      <c r="E205" t="s">
        <v>53</v>
      </c>
      <c r="F205">
        <v>1</v>
      </c>
      <c r="G205">
        <v>149.99</v>
      </c>
      <c r="H205">
        <v>16.260000000000002</v>
      </c>
      <c r="I205" t="s">
        <v>50</v>
      </c>
      <c r="J205">
        <v>13</v>
      </c>
      <c r="K205" t="s">
        <v>51</v>
      </c>
      <c r="L205">
        <v>5</v>
      </c>
      <c r="M205" t="str">
        <f>VLOOKUP(D205,State_Lookup!$A$2:$B$28,2,FALSE)</f>
        <v>Minas Gerais</v>
      </c>
    </row>
    <row r="206" spans="1:13" x14ac:dyDescent="0.45">
      <c r="A206" t="s">
        <v>375</v>
      </c>
      <c r="B206" t="s">
        <v>374</v>
      </c>
      <c r="C206" t="s">
        <v>306</v>
      </c>
      <c r="D206" t="s">
        <v>16</v>
      </c>
      <c r="E206" t="s">
        <v>43</v>
      </c>
      <c r="F206">
        <v>1</v>
      </c>
      <c r="G206">
        <v>59.9</v>
      </c>
      <c r="H206">
        <v>9.41</v>
      </c>
      <c r="I206" t="s">
        <v>44</v>
      </c>
      <c r="J206">
        <v>7</v>
      </c>
      <c r="K206" t="s">
        <v>51</v>
      </c>
      <c r="L206">
        <v>5</v>
      </c>
      <c r="M206" t="str">
        <f>VLOOKUP(D206,State_Lookup!$A$2:$B$28,2,FALSE)</f>
        <v>Sao Paulo</v>
      </c>
    </row>
    <row r="207" spans="1:13" x14ac:dyDescent="0.45">
      <c r="A207" t="s">
        <v>376</v>
      </c>
      <c r="B207" t="s">
        <v>374</v>
      </c>
      <c r="C207" t="s">
        <v>306</v>
      </c>
      <c r="D207" t="s">
        <v>17</v>
      </c>
      <c r="E207" t="s">
        <v>43</v>
      </c>
      <c r="F207">
        <v>1</v>
      </c>
      <c r="G207">
        <v>29.99</v>
      </c>
      <c r="H207">
        <v>14.11</v>
      </c>
      <c r="I207" t="s">
        <v>44</v>
      </c>
      <c r="J207">
        <v>7</v>
      </c>
      <c r="K207" t="s">
        <v>51</v>
      </c>
      <c r="L207">
        <v>5</v>
      </c>
      <c r="M207" t="str">
        <f>VLOOKUP(D207,State_Lookup!$A$2:$B$28,2,FALSE)</f>
        <v>Rio de Janeiro</v>
      </c>
    </row>
    <row r="208" spans="1:13" x14ac:dyDescent="0.45">
      <c r="A208" t="s">
        <v>377</v>
      </c>
      <c r="B208" t="s">
        <v>374</v>
      </c>
      <c r="C208" t="s">
        <v>306</v>
      </c>
      <c r="D208" t="s">
        <v>22</v>
      </c>
      <c r="E208" t="s">
        <v>79</v>
      </c>
      <c r="F208">
        <v>1</v>
      </c>
      <c r="G208">
        <v>458.85</v>
      </c>
      <c r="H208">
        <v>24.71</v>
      </c>
      <c r="I208" t="s">
        <v>44</v>
      </c>
      <c r="J208">
        <v>24</v>
      </c>
      <c r="K208" t="s">
        <v>51</v>
      </c>
      <c r="L208">
        <v>4</v>
      </c>
      <c r="M208" t="str">
        <f>VLOOKUP(D208,State_Lookup!$A$2:$B$28,2,FALSE)</f>
        <v>Bahia</v>
      </c>
    </row>
    <row r="209" spans="1:13" x14ac:dyDescent="0.45">
      <c r="A209" t="s">
        <v>378</v>
      </c>
      <c r="B209" t="s">
        <v>374</v>
      </c>
      <c r="C209" t="s">
        <v>306</v>
      </c>
      <c r="D209" t="s">
        <v>17</v>
      </c>
      <c r="E209" t="s">
        <v>220</v>
      </c>
      <c r="F209">
        <v>1</v>
      </c>
      <c r="G209">
        <v>119.99</v>
      </c>
      <c r="H209">
        <v>15.01</v>
      </c>
      <c r="I209" t="s">
        <v>44</v>
      </c>
      <c r="J209">
        <v>13</v>
      </c>
      <c r="K209" t="s">
        <v>51</v>
      </c>
      <c r="L209">
        <v>5</v>
      </c>
      <c r="M209" t="str">
        <f>VLOOKUP(D209,State_Lookup!$A$2:$B$28,2,FALSE)</f>
        <v>Rio de Janeiro</v>
      </c>
    </row>
    <row r="210" spans="1:13" x14ac:dyDescent="0.45">
      <c r="A210" t="s">
        <v>379</v>
      </c>
      <c r="B210" t="s">
        <v>380</v>
      </c>
      <c r="C210" t="s">
        <v>306</v>
      </c>
      <c r="D210" t="s">
        <v>17</v>
      </c>
      <c r="E210" t="s">
        <v>64</v>
      </c>
      <c r="F210">
        <v>1</v>
      </c>
      <c r="G210">
        <v>379.9</v>
      </c>
      <c r="H210">
        <v>18.36</v>
      </c>
      <c r="I210" t="s">
        <v>44</v>
      </c>
      <c r="J210">
        <v>11</v>
      </c>
      <c r="K210" t="s">
        <v>51</v>
      </c>
      <c r="L210">
        <v>4</v>
      </c>
      <c r="M210" t="str">
        <f>VLOOKUP(D210,State_Lookup!$A$2:$B$28,2,FALSE)</f>
        <v>Rio de Janeiro</v>
      </c>
    </row>
    <row r="211" spans="1:13" x14ac:dyDescent="0.45">
      <c r="A211" t="s">
        <v>381</v>
      </c>
      <c r="B211" t="s">
        <v>380</v>
      </c>
      <c r="C211" t="s">
        <v>306</v>
      </c>
      <c r="D211" t="s">
        <v>16</v>
      </c>
      <c r="E211" t="s">
        <v>152</v>
      </c>
      <c r="F211">
        <v>1</v>
      </c>
      <c r="G211">
        <v>259</v>
      </c>
      <c r="H211">
        <v>12.42</v>
      </c>
      <c r="I211" t="s">
        <v>50</v>
      </c>
      <c r="J211">
        <v>5</v>
      </c>
      <c r="K211" t="s">
        <v>51</v>
      </c>
      <c r="L211">
        <v>5</v>
      </c>
      <c r="M211" t="str">
        <f>VLOOKUP(D211,State_Lookup!$A$2:$B$28,2,FALSE)</f>
        <v>Sao Paulo</v>
      </c>
    </row>
    <row r="212" spans="1:13" x14ac:dyDescent="0.45">
      <c r="A212" t="s">
        <v>382</v>
      </c>
      <c r="B212" t="s">
        <v>380</v>
      </c>
      <c r="C212" t="s">
        <v>306</v>
      </c>
      <c r="D212" t="s">
        <v>16</v>
      </c>
      <c r="E212" t="s">
        <v>110</v>
      </c>
      <c r="F212">
        <v>1</v>
      </c>
      <c r="G212">
        <v>174.9</v>
      </c>
      <c r="H212">
        <v>16.329999999999998</v>
      </c>
      <c r="I212" t="s">
        <v>44</v>
      </c>
      <c r="J212">
        <v>23</v>
      </c>
      <c r="K212" t="s">
        <v>143</v>
      </c>
      <c r="L212">
        <v>5</v>
      </c>
      <c r="M212" t="str">
        <f>VLOOKUP(D212,State_Lookup!$A$2:$B$28,2,FALSE)</f>
        <v>Sao Paulo</v>
      </c>
    </row>
    <row r="213" spans="1:13" x14ac:dyDescent="0.45">
      <c r="A213" t="s">
        <v>383</v>
      </c>
      <c r="B213" t="s">
        <v>380</v>
      </c>
      <c r="C213" t="s">
        <v>306</v>
      </c>
      <c r="D213" t="s">
        <v>19</v>
      </c>
      <c r="E213" t="s">
        <v>53</v>
      </c>
      <c r="F213">
        <v>1</v>
      </c>
      <c r="G213">
        <v>42.99</v>
      </c>
      <c r="H213">
        <v>15.65</v>
      </c>
      <c r="I213" t="s">
        <v>44</v>
      </c>
      <c r="J213">
        <v>15</v>
      </c>
      <c r="K213" t="s">
        <v>51</v>
      </c>
      <c r="L213">
        <v>4</v>
      </c>
      <c r="M213" t="str">
        <f>VLOOKUP(D213,State_Lookup!$A$2:$B$28,2,FALSE)</f>
        <v>Rio Grande do Sul</v>
      </c>
    </row>
    <row r="214" spans="1:13" x14ac:dyDescent="0.45">
      <c r="A214" t="s">
        <v>384</v>
      </c>
      <c r="B214" t="s">
        <v>380</v>
      </c>
      <c r="C214" t="s">
        <v>306</v>
      </c>
      <c r="D214" t="s">
        <v>22</v>
      </c>
      <c r="E214" t="s">
        <v>43</v>
      </c>
      <c r="F214">
        <v>2</v>
      </c>
      <c r="G214">
        <v>259.8</v>
      </c>
      <c r="H214">
        <v>61.89</v>
      </c>
      <c r="I214" t="s">
        <v>44</v>
      </c>
      <c r="J214">
        <v>13</v>
      </c>
      <c r="K214" t="s">
        <v>51</v>
      </c>
      <c r="L214">
        <v>5</v>
      </c>
      <c r="M214" t="str">
        <f>VLOOKUP(D214,State_Lookup!$A$2:$B$28,2,FALSE)</f>
        <v>Bahia</v>
      </c>
    </row>
    <row r="215" spans="1:13" x14ac:dyDescent="0.45">
      <c r="A215" t="s">
        <v>385</v>
      </c>
      <c r="B215" t="s">
        <v>380</v>
      </c>
      <c r="C215" t="s">
        <v>306</v>
      </c>
      <c r="D215" t="s">
        <v>25</v>
      </c>
      <c r="E215" t="s">
        <v>66</v>
      </c>
      <c r="F215">
        <v>2</v>
      </c>
      <c r="G215">
        <v>39.799999999999997</v>
      </c>
      <c r="H215">
        <v>41.6</v>
      </c>
      <c r="I215" t="s">
        <v>44</v>
      </c>
      <c r="J215">
        <v>12</v>
      </c>
      <c r="K215" t="s">
        <v>51</v>
      </c>
      <c r="L215">
        <v>3</v>
      </c>
      <c r="M215" t="str">
        <f>VLOOKUP(D215,State_Lookup!$A$2:$B$28,2,FALSE)</f>
        <v>Goias</v>
      </c>
    </row>
    <row r="216" spans="1:13" x14ac:dyDescent="0.45">
      <c r="A216" t="s">
        <v>386</v>
      </c>
      <c r="B216" t="s">
        <v>380</v>
      </c>
      <c r="C216" t="s">
        <v>306</v>
      </c>
      <c r="D216" t="s">
        <v>21</v>
      </c>
      <c r="E216" t="s">
        <v>61</v>
      </c>
      <c r="F216">
        <v>1</v>
      </c>
      <c r="G216">
        <v>209.5</v>
      </c>
      <c r="H216">
        <v>15.64</v>
      </c>
      <c r="I216" t="s">
        <v>50</v>
      </c>
      <c r="J216">
        <v>14</v>
      </c>
      <c r="K216" t="s">
        <v>51</v>
      </c>
      <c r="L216">
        <v>5</v>
      </c>
      <c r="M216" t="str">
        <f>VLOOKUP(D216,State_Lookup!$A$2:$B$28,2,FALSE)</f>
        <v>Santa Catarina</v>
      </c>
    </row>
    <row r="217" spans="1:13" x14ac:dyDescent="0.45">
      <c r="A217" t="s">
        <v>387</v>
      </c>
      <c r="B217" t="s">
        <v>380</v>
      </c>
      <c r="C217" t="s">
        <v>306</v>
      </c>
      <c r="D217" t="s">
        <v>18</v>
      </c>
      <c r="E217" t="s">
        <v>157</v>
      </c>
      <c r="F217">
        <v>1</v>
      </c>
      <c r="G217">
        <v>285.60000000000002</v>
      </c>
      <c r="H217">
        <v>16.170000000000002</v>
      </c>
      <c r="I217" t="s">
        <v>44</v>
      </c>
      <c r="J217">
        <v>8</v>
      </c>
      <c r="K217" t="s">
        <v>51</v>
      </c>
      <c r="L217">
        <v>5</v>
      </c>
      <c r="M217" t="str">
        <f>VLOOKUP(D217,State_Lookup!$A$2:$B$28,2,FALSE)</f>
        <v>Minas Gerais</v>
      </c>
    </row>
    <row r="218" spans="1:13" x14ac:dyDescent="0.45">
      <c r="A218" t="s">
        <v>388</v>
      </c>
      <c r="B218" t="s">
        <v>380</v>
      </c>
      <c r="C218" t="s">
        <v>306</v>
      </c>
      <c r="D218" t="s">
        <v>22</v>
      </c>
      <c r="E218" t="s">
        <v>148</v>
      </c>
      <c r="F218">
        <v>1</v>
      </c>
      <c r="G218">
        <v>199</v>
      </c>
      <c r="H218">
        <v>32.99</v>
      </c>
      <c r="I218" t="s">
        <v>44</v>
      </c>
      <c r="J218">
        <v>33</v>
      </c>
      <c r="K218" t="s">
        <v>51</v>
      </c>
      <c r="L218">
        <v>5</v>
      </c>
      <c r="M218" t="str">
        <f>VLOOKUP(D218,State_Lookup!$A$2:$B$28,2,FALSE)</f>
        <v>Bahia</v>
      </c>
    </row>
    <row r="219" spans="1:13" x14ac:dyDescent="0.45">
      <c r="A219" t="s">
        <v>389</v>
      </c>
      <c r="B219" t="s">
        <v>390</v>
      </c>
      <c r="C219" t="s">
        <v>306</v>
      </c>
      <c r="D219" t="s">
        <v>16</v>
      </c>
      <c r="E219" t="s">
        <v>110</v>
      </c>
      <c r="F219">
        <v>1</v>
      </c>
      <c r="G219">
        <v>13.9</v>
      </c>
      <c r="H219">
        <v>10.96</v>
      </c>
      <c r="I219" t="s">
        <v>50</v>
      </c>
      <c r="K219" t="s">
        <v>45</v>
      </c>
      <c r="L219">
        <v>1</v>
      </c>
      <c r="M219" t="str">
        <f>VLOOKUP(D219,State_Lookup!$A$2:$B$28,2,FALSE)</f>
        <v>Sao Paulo</v>
      </c>
    </row>
    <row r="220" spans="1:13" x14ac:dyDescent="0.45">
      <c r="A220" t="s">
        <v>391</v>
      </c>
      <c r="B220" t="s">
        <v>390</v>
      </c>
      <c r="C220" t="s">
        <v>306</v>
      </c>
      <c r="D220" t="s">
        <v>18</v>
      </c>
      <c r="E220" t="s">
        <v>61</v>
      </c>
      <c r="F220">
        <v>1</v>
      </c>
      <c r="G220">
        <v>24.9</v>
      </c>
      <c r="H220">
        <v>8.7200000000000006</v>
      </c>
      <c r="I220" t="s">
        <v>44</v>
      </c>
      <c r="J220">
        <v>3</v>
      </c>
      <c r="K220" t="s">
        <v>51</v>
      </c>
      <c r="L220">
        <v>5</v>
      </c>
      <c r="M220" t="str">
        <f>VLOOKUP(D220,State_Lookup!$A$2:$B$28,2,FALSE)</f>
        <v>Minas Gerais</v>
      </c>
    </row>
    <row r="221" spans="1:13" x14ac:dyDescent="0.45">
      <c r="A221" t="s">
        <v>392</v>
      </c>
      <c r="B221" t="s">
        <v>390</v>
      </c>
      <c r="C221" t="s">
        <v>306</v>
      </c>
      <c r="D221" t="s">
        <v>16</v>
      </c>
      <c r="E221" t="s">
        <v>64</v>
      </c>
      <c r="F221">
        <v>1</v>
      </c>
      <c r="G221">
        <v>56.99</v>
      </c>
      <c r="H221">
        <v>11.01</v>
      </c>
      <c r="I221" t="s">
        <v>44</v>
      </c>
      <c r="J221">
        <v>13</v>
      </c>
      <c r="K221" t="s">
        <v>51</v>
      </c>
      <c r="L221">
        <v>5</v>
      </c>
      <c r="M221" t="str">
        <f>VLOOKUP(D221,State_Lookup!$A$2:$B$28,2,FALSE)</f>
        <v>Sao Paulo</v>
      </c>
    </row>
    <row r="222" spans="1:13" x14ac:dyDescent="0.45">
      <c r="A222" t="s">
        <v>393</v>
      </c>
      <c r="B222" t="s">
        <v>390</v>
      </c>
      <c r="C222" t="s">
        <v>306</v>
      </c>
      <c r="D222" t="s">
        <v>16</v>
      </c>
      <c r="E222" t="s">
        <v>69</v>
      </c>
      <c r="F222">
        <v>1</v>
      </c>
      <c r="G222">
        <v>34.9</v>
      </c>
      <c r="H222">
        <v>10.96</v>
      </c>
      <c r="I222" t="s">
        <v>44</v>
      </c>
      <c r="J222">
        <v>4</v>
      </c>
      <c r="K222" t="s">
        <v>51</v>
      </c>
      <c r="L222">
        <v>4</v>
      </c>
      <c r="M222" t="str">
        <f>VLOOKUP(D222,State_Lookup!$A$2:$B$28,2,FALSE)</f>
        <v>Sao Paulo</v>
      </c>
    </row>
    <row r="223" spans="1:13" x14ac:dyDescent="0.45">
      <c r="A223" t="s">
        <v>394</v>
      </c>
      <c r="B223" t="s">
        <v>390</v>
      </c>
      <c r="C223" t="s">
        <v>306</v>
      </c>
      <c r="D223" t="s">
        <v>20</v>
      </c>
      <c r="E223" t="s">
        <v>132</v>
      </c>
      <c r="F223">
        <v>1</v>
      </c>
      <c r="G223">
        <v>23.2</v>
      </c>
      <c r="H223">
        <v>14.52</v>
      </c>
      <c r="I223" t="s">
        <v>44</v>
      </c>
      <c r="J223">
        <v>10</v>
      </c>
      <c r="K223" t="s">
        <v>51</v>
      </c>
      <c r="L223">
        <v>5</v>
      </c>
      <c r="M223" t="str">
        <f>VLOOKUP(D223,State_Lookup!$A$2:$B$28,2,FALSE)</f>
        <v>Parana</v>
      </c>
    </row>
    <row r="224" spans="1:13" x14ac:dyDescent="0.45">
      <c r="A224" t="s">
        <v>395</v>
      </c>
      <c r="B224" t="s">
        <v>390</v>
      </c>
      <c r="C224" t="s">
        <v>306</v>
      </c>
      <c r="D224" t="s">
        <v>16</v>
      </c>
      <c r="E224" t="s">
        <v>110</v>
      </c>
      <c r="F224">
        <v>1</v>
      </c>
      <c r="G224">
        <v>47</v>
      </c>
      <c r="H224">
        <v>8.7200000000000006</v>
      </c>
      <c r="I224" t="s">
        <v>44</v>
      </c>
      <c r="J224">
        <v>33</v>
      </c>
      <c r="K224" t="s">
        <v>51</v>
      </c>
      <c r="L224">
        <v>5</v>
      </c>
      <c r="M224" t="str">
        <f>VLOOKUP(D224,State_Lookup!$A$2:$B$28,2,FALSE)</f>
        <v>Sao Paulo</v>
      </c>
    </row>
    <row r="225" spans="1:13" x14ac:dyDescent="0.45">
      <c r="A225" t="s">
        <v>396</v>
      </c>
      <c r="B225" t="s">
        <v>390</v>
      </c>
      <c r="C225" t="s">
        <v>306</v>
      </c>
      <c r="D225" t="s">
        <v>18</v>
      </c>
      <c r="E225" t="s">
        <v>43</v>
      </c>
      <c r="F225">
        <v>1</v>
      </c>
      <c r="G225">
        <v>50</v>
      </c>
      <c r="H225">
        <v>10.96</v>
      </c>
      <c r="I225" t="s">
        <v>50</v>
      </c>
      <c r="J225">
        <v>10</v>
      </c>
      <c r="K225" t="s">
        <v>51</v>
      </c>
      <c r="L225">
        <v>5</v>
      </c>
      <c r="M225" t="str">
        <f>VLOOKUP(D225,State_Lookup!$A$2:$B$28,2,FALSE)</f>
        <v>Minas Gerais</v>
      </c>
    </row>
    <row r="226" spans="1:13" x14ac:dyDescent="0.45">
      <c r="A226" t="s">
        <v>397</v>
      </c>
      <c r="B226" t="s">
        <v>398</v>
      </c>
      <c r="C226" t="s">
        <v>306</v>
      </c>
      <c r="D226" t="s">
        <v>16</v>
      </c>
      <c r="E226" t="s">
        <v>79</v>
      </c>
      <c r="F226">
        <v>1</v>
      </c>
      <c r="G226">
        <v>89.99</v>
      </c>
      <c r="H226">
        <v>11.24</v>
      </c>
      <c r="I226" t="s">
        <v>44</v>
      </c>
      <c r="J226">
        <v>10</v>
      </c>
      <c r="K226" t="s">
        <v>51</v>
      </c>
      <c r="L226">
        <v>5</v>
      </c>
      <c r="M226" t="str">
        <f>VLOOKUP(D226,State_Lookup!$A$2:$B$28,2,FALSE)</f>
        <v>Sao Paulo</v>
      </c>
    </row>
    <row r="227" spans="1:13" x14ac:dyDescent="0.45">
      <c r="A227" t="s">
        <v>399</v>
      </c>
      <c r="B227" t="s">
        <v>398</v>
      </c>
      <c r="C227" t="s">
        <v>306</v>
      </c>
      <c r="D227" t="s">
        <v>20</v>
      </c>
      <c r="E227" t="s">
        <v>49</v>
      </c>
      <c r="F227">
        <v>1</v>
      </c>
      <c r="G227">
        <v>149.99</v>
      </c>
      <c r="H227">
        <v>16.16</v>
      </c>
      <c r="I227" t="s">
        <v>50</v>
      </c>
      <c r="J227">
        <v>11</v>
      </c>
      <c r="K227" t="s">
        <v>51</v>
      </c>
      <c r="L227">
        <v>5</v>
      </c>
      <c r="M227" t="str">
        <f>VLOOKUP(D227,State_Lookup!$A$2:$B$28,2,FALSE)</f>
        <v>Parana</v>
      </c>
    </row>
    <row r="228" spans="1:13" x14ac:dyDescent="0.45">
      <c r="A228" t="s">
        <v>400</v>
      </c>
      <c r="B228" t="s">
        <v>398</v>
      </c>
      <c r="C228" t="s">
        <v>306</v>
      </c>
      <c r="D228" t="s">
        <v>16</v>
      </c>
      <c r="E228" t="s">
        <v>267</v>
      </c>
      <c r="F228">
        <v>1</v>
      </c>
      <c r="G228">
        <v>59.9</v>
      </c>
      <c r="H228">
        <v>15.63</v>
      </c>
      <c r="I228" t="s">
        <v>44</v>
      </c>
      <c r="J228">
        <v>5</v>
      </c>
      <c r="K228" t="s">
        <v>51</v>
      </c>
      <c r="L228">
        <v>5</v>
      </c>
      <c r="M228" t="str">
        <f>VLOOKUP(D228,State_Lookup!$A$2:$B$28,2,FALSE)</f>
        <v>Sao Paulo</v>
      </c>
    </row>
    <row r="229" spans="1:13" x14ac:dyDescent="0.45">
      <c r="A229" t="s">
        <v>401</v>
      </c>
      <c r="B229" t="s">
        <v>402</v>
      </c>
      <c r="C229" t="s">
        <v>306</v>
      </c>
      <c r="D229" t="s">
        <v>141</v>
      </c>
      <c r="E229" t="s">
        <v>64</v>
      </c>
      <c r="F229">
        <v>1</v>
      </c>
      <c r="G229">
        <v>56.99</v>
      </c>
      <c r="H229">
        <v>24.89</v>
      </c>
      <c r="I229" t="s">
        <v>44</v>
      </c>
      <c r="J229">
        <v>17</v>
      </c>
      <c r="K229" t="s">
        <v>51</v>
      </c>
      <c r="L229">
        <v>3</v>
      </c>
      <c r="M229" t="str">
        <f>VLOOKUP(D229,State_Lookup!$A$2:$B$28,2,FALSE)</f>
        <v>Maranhao</v>
      </c>
    </row>
    <row r="230" spans="1:13" x14ac:dyDescent="0.45">
      <c r="A230" t="s">
        <v>403</v>
      </c>
      <c r="B230" t="s">
        <v>402</v>
      </c>
      <c r="C230" t="s">
        <v>306</v>
      </c>
      <c r="D230" t="s">
        <v>19</v>
      </c>
      <c r="E230" t="s">
        <v>103</v>
      </c>
      <c r="F230">
        <v>1</v>
      </c>
      <c r="G230">
        <v>159.9</v>
      </c>
      <c r="H230">
        <v>16.329999999999998</v>
      </c>
      <c r="I230" t="s">
        <v>44</v>
      </c>
      <c r="J230">
        <v>9</v>
      </c>
      <c r="K230" t="s">
        <v>51</v>
      </c>
      <c r="L230">
        <v>5</v>
      </c>
      <c r="M230" t="str">
        <f>VLOOKUP(D230,State_Lookup!$A$2:$B$28,2,FALSE)</f>
        <v>Rio Grande do Sul</v>
      </c>
    </row>
    <row r="231" spans="1:13" x14ac:dyDescent="0.45">
      <c r="A231" t="s">
        <v>404</v>
      </c>
      <c r="B231" t="s">
        <v>402</v>
      </c>
      <c r="C231" t="s">
        <v>306</v>
      </c>
      <c r="D231" t="s">
        <v>16</v>
      </c>
      <c r="E231" t="s">
        <v>260</v>
      </c>
      <c r="F231">
        <v>1</v>
      </c>
      <c r="G231">
        <v>177</v>
      </c>
      <c r="H231">
        <v>11.85</v>
      </c>
      <c r="I231" t="s">
        <v>44</v>
      </c>
      <c r="J231">
        <v>10</v>
      </c>
      <c r="K231" t="s">
        <v>51</v>
      </c>
      <c r="L231">
        <v>1</v>
      </c>
      <c r="M231" t="str">
        <f>VLOOKUP(D231,State_Lookup!$A$2:$B$28,2,FALSE)</f>
        <v>Sao Paulo</v>
      </c>
    </row>
    <row r="232" spans="1:13" x14ac:dyDescent="0.45">
      <c r="A232" t="s">
        <v>405</v>
      </c>
      <c r="B232" t="s">
        <v>406</v>
      </c>
      <c r="C232" t="s">
        <v>306</v>
      </c>
      <c r="D232" t="s">
        <v>16</v>
      </c>
      <c r="E232" t="s">
        <v>64</v>
      </c>
      <c r="F232">
        <v>1</v>
      </c>
      <c r="G232">
        <v>319.89999999999998</v>
      </c>
      <c r="H232">
        <v>16.41</v>
      </c>
      <c r="I232" t="s">
        <v>44</v>
      </c>
      <c r="J232">
        <v>9</v>
      </c>
      <c r="K232" t="s">
        <v>51</v>
      </c>
      <c r="L232">
        <v>5</v>
      </c>
      <c r="M232" t="str">
        <f>VLOOKUP(D232,State_Lookup!$A$2:$B$28,2,FALSE)</f>
        <v>Sao Paulo</v>
      </c>
    </row>
    <row r="233" spans="1:13" x14ac:dyDescent="0.45">
      <c r="A233" t="s">
        <v>407</v>
      </c>
      <c r="B233" t="s">
        <v>406</v>
      </c>
      <c r="C233" t="s">
        <v>306</v>
      </c>
      <c r="D233" t="s">
        <v>16</v>
      </c>
      <c r="E233" t="s">
        <v>43</v>
      </c>
      <c r="F233">
        <v>1</v>
      </c>
      <c r="G233">
        <v>119.9</v>
      </c>
      <c r="H233">
        <v>22.31</v>
      </c>
      <c r="I233" t="s">
        <v>44</v>
      </c>
      <c r="J233">
        <v>4</v>
      </c>
      <c r="K233" t="s">
        <v>51</v>
      </c>
      <c r="L233">
        <v>1</v>
      </c>
      <c r="M233" t="str">
        <f>VLOOKUP(D233,State_Lookup!$A$2:$B$28,2,FALSE)</f>
        <v>Sao Paulo</v>
      </c>
    </row>
    <row r="234" spans="1:13" x14ac:dyDescent="0.45">
      <c r="A234" t="s">
        <v>408</v>
      </c>
      <c r="B234" t="s">
        <v>406</v>
      </c>
      <c r="C234" t="s">
        <v>306</v>
      </c>
      <c r="D234" t="s">
        <v>16</v>
      </c>
      <c r="E234" t="s">
        <v>142</v>
      </c>
      <c r="F234">
        <v>1</v>
      </c>
      <c r="G234">
        <v>89.9</v>
      </c>
      <c r="H234">
        <v>11.24</v>
      </c>
      <c r="I234" t="s">
        <v>44</v>
      </c>
      <c r="J234">
        <v>4</v>
      </c>
      <c r="K234" t="s">
        <v>51</v>
      </c>
      <c r="L234">
        <v>4</v>
      </c>
      <c r="M234" t="str">
        <f>VLOOKUP(D234,State_Lookup!$A$2:$B$28,2,FALSE)</f>
        <v>Sao Paulo</v>
      </c>
    </row>
    <row r="235" spans="1:13" x14ac:dyDescent="0.45">
      <c r="A235" t="s">
        <v>409</v>
      </c>
      <c r="B235" t="s">
        <v>406</v>
      </c>
      <c r="C235" t="s">
        <v>306</v>
      </c>
      <c r="D235" t="s">
        <v>19</v>
      </c>
      <c r="E235" t="s">
        <v>53</v>
      </c>
      <c r="F235">
        <v>1</v>
      </c>
      <c r="G235">
        <v>139</v>
      </c>
      <c r="H235">
        <v>19.559999999999999</v>
      </c>
      <c r="I235" t="s">
        <v>44</v>
      </c>
      <c r="J235">
        <v>14</v>
      </c>
      <c r="K235" t="s">
        <v>51</v>
      </c>
      <c r="L235">
        <v>4</v>
      </c>
      <c r="M235" t="str">
        <f>VLOOKUP(D235,State_Lookup!$A$2:$B$28,2,FALSE)</f>
        <v>Rio Grande do Sul</v>
      </c>
    </row>
    <row r="236" spans="1:13" x14ac:dyDescent="0.45">
      <c r="A236" t="s">
        <v>410</v>
      </c>
      <c r="B236" t="s">
        <v>411</v>
      </c>
      <c r="C236" t="s">
        <v>306</v>
      </c>
      <c r="D236" t="s">
        <v>17</v>
      </c>
      <c r="E236" t="s">
        <v>69</v>
      </c>
      <c r="F236">
        <v>1</v>
      </c>
      <c r="G236">
        <v>34.9</v>
      </c>
      <c r="H236">
        <v>14.52</v>
      </c>
      <c r="I236" t="s">
        <v>44</v>
      </c>
      <c r="J236">
        <v>8</v>
      </c>
      <c r="K236" t="s">
        <v>51</v>
      </c>
      <c r="L236">
        <v>5</v>
      </c>
      <c r="M236" t="str">
        <f>VLOOKUP(D236,State_Lookup!$A$2:$B$28,2,FALSE)</f>
        <v>Rio de Janeiro</v>
      </c>
    </row>
    <row r="237" spans="1:13" x14ac:dyDescent="0.45">
      <c r="A237" t="s">
        <v>412</v>
      </c>
      <c r="B237" t="s">
        <v>411</v>
      </c>
      <c r="C237" t="s">
        <v>306</v>
      </c>
      <c r="D237" t="s">
        <v>18</v>
      </c>
      <c r="E237" t="s">
        <v>69</v>
      </c>
      <c r="F237">
        <v>1</v>
      </c>
      <c r="G237">
        <v>34.9</v>
      </c>
      <c r="H237">
        <v>14.52</v>
      </c>
      <c r="I237" t="s">
        <v>44</v>
      </c>
      <c r="J237">
        <v>8</v>
      </c>
      <c r="K237" t="s">
        <v>51</v>
      </c>
      <c r="L237">
        <v>3</v>
      </c>
      <c r="M237" t="str">
        <f>VLOOKUP(D237,State_Lookup!$A$2:$B$28,2,FALSE)</f>
        <v>Minas Gerais</v>
      </c>
    </row>
    <row r="238" spans="1:13" x14ac:dyDescent="0.45">
      <c r="A238" t="s">
        <v>413</v>
      </c>
      <c r="B238" t="s">
        <v>411</v>
      </c>
      <c r="C238" t="s">
        <v>306</v>
      </c>
      <c r="D238" t="s">
        <v>16</v>
      </c>
      <c r="E238" t="s">
        <v>148</v>
      </c>
      <c r="F238">
        <v>2</v>
      </c>
      <c r="G238">
        <v>39.799999999999997</v>
      </c>
      <c r="H238">
        <v>17.440000000000001</v>
      </c>
      <c r="I238" t="s">
        <v>44</v>
      </c>
      <c r="J238">
        <v>8</v>
      </c>
      <c r="K238" t="s">
        <v>51</v>
      </c>
      <c r="L238">
        <v>5</v>
      </c>
      <c r="M238" t="str">
        <f>VLOOKUP(D238,State_Lookup!$A$2:$B$28,2,FALSE)</f>
        <v>Sao Paulo</v>
      </c>
    </row>
    <row r="239" spans="1:13" x14ac:dyDescent="0.45">
      <c r="A239" t="s">
        <v>414</v>
      </c>
      <c r="B239" t="s">
        <v>415</v>
      </c>
      <c r="C239" t="s">
        <v>306</v>
      </c>
      <c r="D239" t="s">
        <v>23</v>
      </c>
      <c r="E239" t="s">
        <v>192</v>
      </c>
      <c r="F239">
        <v>1</v>
      </c>
      <c r="G239">
        <v>90.98</v>
      </c>
      <c r="H239">
        <v>14.81</v>
      </c>
      <c r="I239" t="s">
        <v>44</v>
      </c>
      <c r="J239">
        <v>2</v>
      </c>
      <c r="K239" t="s">
        <v>51</v>
      </c>
      <c r="L239">
        <v>5</v>
      </c>
      <c r="M239" t="str">
        <f>VLOOKUP(D239,State_Lookup!$A$2:$B$28,2,FALSE)</f>
        <v>Espirito Santo</v>
      </c>
    </row>
    <row r="240" spans="1:13" x14ac:dyDescent="0.45">
      <c r="A240" t="s">
        <v>416</v>
      </c>
      <c r="B240" t="s">
        <v>415</v>
      </c>
      <c r="C240" t="s">
        <v>306</v>
      </c>
      <c r="D240" t="s">
        <v>16</v>
      </c>
      <c r="E240" t="s">
        <v>49</v>
      </c>
      <c r="F240">
        <v>1</v>
      </c>
      <c r="G240">
        <v>659</v>
      </c>
      <c r="H240">
        <v>41.55</v>
      </c>
      <c r="I240" t="s">
        <v>50</v>
      </c>
      <c r="J240">
        <v>7</v>
      </c>
      <c r="K240" t="s">
        <v>51</v>
      </c>
      <c r="L240">
        <v>4</v>
      </c>
      <c r="M240" t="str">
        <f>VLOOKUP(D240,State_Lookup!$A$2:$B$28,2,FALSE)</f>
        <v>Sao Paulo</v>
      </c>
    </row>
    <row r="241" spans="1:13" x14ac:dyDescent="0.45">
      <c r="A241" t="s">
        <v>417</v>
      </c>
      <c r="B241" t="s">
        <v>415</v>
      </c>
      <c r="C241" t="s">
        <v>306</v>
      </c>
      <c r="D241" t="s">
        <v>16</v>
      </c>
      <c r="E241" t="s">
        <v>58</v>
      </c>
      <c r="F241">
        <v>1</v>
      </c>
      <c r="G241">
        <v>65.44</v>
      </c>
      <c r="H241">
        <v>11.85</v>
      </c>
      <c r="I241" t="s">
        <v>50</v>
      </c>
      <c r="J241">
        <v>7</v>
      </c>
      <c r="K241" t="s">
        <v>51</v>
      </c>
      <c r="L241">
        <v>5</v>
      </c>
      <c r="M241" t="str">
        <f>VLOOKUP(D241,State_Lookup!$A$2:$B$28,2,FALSE)</f>
        <v>Sao Paulo</v>
      </c>
    </row>
    <row r="242" spans="1:13" x14ac:dyDescent="0.45">
      <c r="A242" t="s">
        <v>418</v>
      </c>
      <c r="B242" t="s">
        <v>415</v>
      </c>
      <c r="C242" t="s">
        <v>306</v>
      </c>
      <c r="D242" t="s">
        <v>16</v>
      </c>
      <c r="E242" t="s">
        <v>49</v>
      </c>
      <c r="F242">
        <v>1</v>
      </c>
      <c r="G242">
        <v>31</v>
      </c>
      <c r="H242">
        <v>10.96</v>
      </c>
      <c r="I242" t="s">
        <v>44</v>
      </c>
      <c r="J242">
        <v>5</v>
      </c>
      <c r="K242" t="s">
        <v>51</v>
      </c>
      <c r="L242">
        <v>5</v>
      </c>
      <c r="M242" t="str">
        <f>VLOOKUP(D242,State_Lookup!$A$2:$B$28,2,FALSE)</f>
        <v>Sao Paulo</v>
      </c>
    </row>
    <row r="243" spans="1:13" x14ac:dyDescent="0.45">
      <c r="A243" t="s">
        <v>419</v>
      </c>
      <c r="B243" t="s">
        <v>415</v>
      </c>
      <c r="C243" t="s">
        <v>306</v>
      </c>
      <c r="D243" t="s">
        <v>17</v>
      </c>
      <c r="E243" t="s">
        <v>103</v>
      </c>
      <c r="F243">
        <v>1</v>
      </c>
      <c r="G243">
        <v>25</v>
      </c>
      <c r="H243">
        <v>17.350000000000001</v>
      </c>
      <c r="I243" t="s">
        <v>44</v>
      </c>
      <c r="J243">
        <v>2</v>
      </c>
      <c r="K243" t="s">
        <v>51</v>
      </c>
      <c r="L243">
        <v>5</v>
      </c>
      <c r="M243" t="str">
        <f>VLOOKUP(D243,State_Lookup!$A$2:$B$28,2,FALSE)</f>
        <v>Rio de Janeiro</v>
      </c>
    </row>
    <row r="244" spans="1:13" x14ac:dyDescent="0.45">
      <c r="A244" t="s">
        <v>420</v>
      </c>
      <c r="B244" t="s">
        <v>415</v>
      </c>
      <c r="C244" t="s">
        <v>306</v>
      </c>
      <c r="D244" t="s">
        <v>17</v>
      </c>
      <c r="E244" t="s">
        <v>260</v>
      </c>
      <c r="F244">
        <v>1</v>
      </c>
      <c r="G244">
        <v>177</v>
      </c>
      <c r="H244">
        <v>15.41</v>
      </c>
      <c r="I244" t="s">
        <v>44</v>
      </c>
      <c r="J244">
        <v>9</v>
      </c>
      <c r="K244" t="s">
        <v>51</v>
      </c>
      <c r="L244">
        <v>5</v>
      </c>
      <c r="M244" t="str">
        <f>VLOOKUP(D244,State_Lookup!$A$2:$B$28,2,FALSE)</f>
        <v>Rio de Janeiro</v>
      </c>
    </row>
    <row r="245" spans="1:13" x14ac:dyDescent="0.45">
      <c r="A245" t="s">
        <v>421</v>
      </c>
      <c r="B245" t="s">
        <v>415</v>
      </c>
      <c r="C245" t="s">
        <v>306</v>
      </c>
      <c r="D245" t="s">
        <v>16</v>
      </c>
      <c r="E245" t="s">
        <v>61</v>
      </c>
      <c r="F245">
        <v>1</v>
      </c>
      <c r="G245">
        <v>28.49</v>
      </c>
      <c r="H245">
        <v>10.96</v>
      </c>
      <c r="I245" t="s">
        <v>44</v>
      </c>
      <c r="J245">
        <v>5</v>
      </c>
      <c r="K245" t="s">
        <v>51</v>
      </c>
      <c r="L245">
        <v>5</v>
      </c>
      <c r="M245" t="str">
        <f>VLOOKUP(D245,State_Lookup!$A$2:$B$28,2,FALSE)</f>
        <v>Sao Paulo</v>
      </c>
    </row>
    <row r="246" spans="1:13" x14ac:dyDescent="0.45">
      <c r="A246" t="s">
        <v>422</v>
      </c>
      <c r="B246" t="s">
        <v>423</v>
      </c>
      <c r="C246" t="s">
        <v>306</v>
      </c>
      <c r="D246" t="s">
        <v>17</v>
      </c>
      <c r="E246" t="s">
        <v>110</v>
      </c>
      <c r="F246">
        <v>2</v>
      </c>
      <c r="G246">
        <v>99.8</v>
      </c>
      <c r="H246">
        <v>34.18</v>
      </c>
      <c r="I246" t="s">
        <v>44</v>
      </c>
      <c r="J246">
        <v>7</v>
      </c>
      <c r="K246" t="s">
        <v>51</v>
      </c>
      <c r="L246">
        <v>5</v>
      </c>
      <c r="M246" t="str">
        <f>VLOOKUP(D246,State_Lookup!$A$2:$B$28,2,FALSE)</f>
        <v>Rio de Janeiro</v>
      </c>
    </row>
    <row r="247" spans="1:13" x14ac:dyDescent="0.45">
      <c r="A247" t="s">
        <v>424</v>
      </c>
      <c r="B247" t="s">
        <v>423</v>
      </c>
      <c r="C247" t="s">
        <v>306</v>
      </c>
      <c r="D247" t="s">
        <v>16</v>
      </c>
      <c r="E247" t="s">
        <v>199</v>
      </c>
      <c r="F247">
        <v>1</v>
      </c>
      <c r="G247">
        <v>19.989999999999998</v>
      </c>
      <c r="H247">
        <v>10.96</v>
      </c>
      <c r="I247" t="s">
        <v>44</v>
      </c>
      <c r="J247">
        <v>6</v>
      </c>
      <c r="K247" t="s">
        <v>51</v>
      </c>
      <c r="L247">
        <v>5</v>
      </c>
      <c r="M247" t="str">
        <f>VLOOKUP(D247,State_Lookup!$A$2:$B$28,2,FALSE)</f>
        <v>Sao Paulo</v>
      </c>
    </row>
    <row r="248" spans="1:13" x14ac:dyDescent="0.45">
      <c r="A248" t="s">
        <v>425</v>
      </c>
      <c r="B248" t="s">
        <v>423</v>
      </c>
      <c r="C248" t="s">
        <v>306</v>
      </c>
      <c r="D248" t="s">
        <v>16</v>
      </c>
      <c r="E248" t="s">
        <v>64</v>
      </c>
      <c r="F248">
        <v>1</v>
      </c>
      <c r="G248">
        <v>229.9</v>
      </c>
      <c r="H248">
        <v>15.78</v>
      </c>
      <c r="I248" t="s">
        <v>44</v>
      </c>
      <c r="J248">
        <v>4</v>
      </c>
      <c r="K248" t="s">
        <v>51</v>
      </c>
      <c r="L248">
        <v>5</v>
      </c>
      <c r="M248" t="str">
        <f>VLOOKUP(D248,State_Lookup!$A$2:$B$28,2,FALSE)</f>
        <v>Sao Paulo</v>
      </c>
    </row>
    <row r="249" spans="1:13" x14ac:dyDescent="0.45">
      <c r="A249" t="s">
        <v>426</v>
      </c>
      <c r="B249" t="s">
        <v>423</v>
      </c>
      <c r="C249" t="s">
        <v>306</v>
      </c>
      <c r="D249" t="s">
        <v>21</v>
      </c>
      <c r="E249" t="s">
        <v>152</v>
      </c>
      <c r="F249">
        <v>1</v>
      </c>
      <c r="G249">
        <v>389</v>
      </c>
      <c r="H249">
        <v>57.3</v>
      </c>
      <c r="I249" t="s">
        <v>44</v>
      </c>
      <c r="J249">
        <v>13</v>
      </c>
      <c r="K249" t="s">
        <v>51</v>
      </c>
      <c r="L249">
        <v>5</v>
      </c>
      <c r="M249" t="str">
        <f>VLOOKUP(D249,State_Lookup!$A$2:$B$28,2,FALSE)</f>
        <v>Santa Catarina</v>
      </c>
    </row>
    <row r="250" spans="1:13" x14ac:dyDescent="0.45">
      <c r="A250" t="s">
        <v>427</v>
      </c>
      <c r="B250" t="s">
        <v>423</v>
      </c>
      <c r="C250" t="s">
        <v>306</v>
      </c>
      <c r="D250" t="s">
        <v>20</v>
      </c>
      <c r="E250" t="s">
        <v>244</v>
      </c>
      <c r="F250">
        <v>1</v>
      </c>
      <c r="G250">
        <v>49.9</v>
      </c>
      <c r="H250">
        <v>24.17</v>
      </c>
      <c r="I250" t="s">
        <v>50</v>
      </c>
      <c r="J250">
        <v>12</v>
      </c>
      <c r="K250" t="s">
        <v>51</v>
      </c>
      <c r="L250">
        <v>4</v>
      </c>
      <c r="M250" t="str">
        <f>VLOOKUP(D250,State_Lookup!$A$2:$B$28,2,FALSE)</f>
        <v>Parana</v>
      </c>
    </row>
    <row r="251" spans="1:13" x14ac:dyDescent="0.45">
      <c r="A251" t="s">
        <v>428</v>
      </c>
      <c r="B251" t="s">
        <v>429</v>
      </c>
      <c r="C251" t="s">
        <v>306</v>
      </c>
      <c r="D251" t="s">
        <v>19</v>
      </c>
      <c r="E251" t="s">
        <v>66</v>
      </c>
      <c r="F251">
        <v>2</v>
      </c>
      <c r="G251">
        <v>37.799999999999997</v>
      </c>
      <c r="H251">
        <v>32.1</v>
      </c>
      <c r="I251" t="s">
        <v>44</v>
      </c>
      <c r="J251">
        <v>12</v>
      </c>
      <c r="K251" t="s">
        <v>51</v>
      </c>
      <c r="L251">
        <v>3</v>
      </c>
      <c r="M251" t="str">
        <f>VLOOKUP(D251,State_Lookup!$A$2:$B$28,2,FALSE)</f>
        <v>Rio Grande do Sul</v>
      </c>
    </row>
    <row r="252" spans="1:13" x14ac:dyDescent="0.45">
      <c r="A252" t="s">
        <v>430</v>
      </c>
      <c r="B252" t="s">
        <v>429</v>
      </c>
      <c r="C252" t="s">
        <v>306</v>
      </c>
      <c r="D252" t="s">
        <v>24</v>
      </c>
      <c r="E252" t="s">
        <v>107</v>
      </c>
      <c r="F252">
        <v>2</v>
      </c>
      <c r="G252">
        <v>382.7000000000001</v>
      </c>
      <c r="H252">
        <v>60.47</v>
      </c>
      <c r="I252" t="s">
        <v>44</v>
      </c>
      <c r="J252">
        <v>6</v>
      </c>
      <c r="K252" t="s">
        <v>51</v>
      </c>
      <c r="L252">
        <v>5</v>
      </c>
      <c r="M252" t="str">
        <f>VLOOKUP(D252,State_Lookup!$A$2:$B$28,2,FALSE)</f>
        <v>Distrito Federal</v>
      </c>
    </row>
    <row r="253" spans="1:13" x14ac:dyDescent="0.45">
      <c r="A253" t="s">
        <v>431</v>
      </c>
      <c r="B253" t="s">
        <v>429</v>
      </c>
      <c r="C253" t="s">
        <v>306</v>
      </c>
      <c r="D253" t="s">
        <v>17</v>
      </c>
      <c r="E253" t="s">
        <v>61</v>
      </c>
      <c r="F253">
        <v>1</v>
      </c>
      <c r="G253">
        <v>2120.39</v>
      </c>
      <c r="H253">
        <v>48.21</v>
      </c>
      <c r="I253" t="s">
        <v>44</v>
      </c>
      <c r="J253">
        <v>11</v>
      </c>
      <c r="K253" t="s">
        <v>51</v>
      </c>
      <c r="L253">
        <v>4</v>
      </c>
      <c r="M253" t="str">
        <f>VLOOKUP(D253,State_Lookup!$A$2:$B$28,2,FALSE)</f>
        <v>Rio de Janeiro</v>
      </c>
    </row>
    <row r="254" spans="1:13" x14ac:dyDescent="0.45">
      <c r="A254" t="s">
        <v>432</v>
      </c>
      <c r="B254" t="s">
        <v>429</v>
      </c>
      <c r="C254" t="s">
        <v>306</v>
      </c>
      <c r="D254" t="s">
        <v>16</v>
      </c>
      <c r="E254" t="s">
        <v>43</v>
      </c>
      <c r="F254">
        <v>1</v>
      </c>
      <c r="G254">
        <v>26</v>
      </c>
      <c r="H254">
        <v>9.34</v>
      </c>
      <c r="I254" t="s">
        <v>44</v>
      </c>
      <c r="J254">
        <v>8</v>
      </c>
      <c r="K254" t="s">
        <v>51</v>
      </c>
      <c r="L254">
        <v>5</v>
      </c>
      <c r="M254" t="str">
        <f>VLOOKUP(D254,State_Lookup!$A$2:$B$28,2,FALSE)</f>
        <v>Sao Paulo</v>
      </c>
    </row>
    <row r="255" spans="1:13" x14ac:dyDescent="0.45">
      <c r="A255" t="s">
        <v>433</v>
      </c>
      <c r="B255" t="s">
        <v>429</v>
      </c>
      <c r="C255" t="s">
        <v>306</v>
      </c>
      <c r="D255" t="s">
        <v>194</v>
      </c>
      <c r="E255" t="s">
        <v>148</v>
      </c>
      <c r="F255">
        <v>1</v>
      </c>
      <c r="G255">
        <v>449</v>
      </c>
      <c r="H255">
        <v>24.12</v>
      </c>
      <c r="I255" t="s">
        <v>44</v>
      </c>
      <c r="J255">
        <v>13</v>
      </c>
      <c r="K255" t="s">
        <v>51</v>
      </c>
      <c r="L255">
        <v>5</v>
      </c>
      <c r="M255" t="str">
        <f>VLOOKUP(D255,State_Lookup!$A$2:$B$28,2,FALSE)</f>
        <v>Mato Grosso do Sul</v>
      </c>
    </row>
    <row r="256" spans="1:13" x14ac:dyDescent="0.45">
      <c r="A256" t="s">
        <v>434</v>
      </c>
      <c r="B256" t="s">
        <v>429</v>
      </c>
      <c r="C256" t="s">
        <v>306</v>
      </c>
      <c r="D256" t="s">
        <v>18</v>
      </c>
      <c r="E256" t="s">
        <v>49</v>
      </c>
      <c r="F256">
        <v>1</v>
      </c>
      <c r="G256">
        <v>20.7</v>
      </c>
      <c r="H256">
        <v>17.78</v>
      </c>
      <c r="I256" t="s">
        <v>44</v>
      </c>
      <c r="J256">
        <v>12</v>
      </c>
      <c r="K256" t="s">
        <v>51</v>
      </c>
      <c r="L256">
        <v>5</v>
      </c>
      <c r="M256" t="str">
        <f>VLOOKUP(D256,State_Lookup!$A$2:$B$28,2,FALSE)</f>
        <v>Minas Gerais</v>
      </c>
    </row>
    <row r="257" spans="1:13" x14ac:dyDescent="0.45">
      <c r="A257" t="s">
        <v>435</v>
      </c>
      <c r="B257" t="s">
        <v>429</v>
      </c>
      <c r="C257" t="s">
        <v>306</v>
      </c>
      <c r="D257" t="s">
        <v>18</v>
      </c>
      <c r="E257" t="s">
        <v>66</v>
      </c>
      <c r="F257">
        <v>1</v>
      </c>
      <c r="G257">
        <v>34.99</v>
      </c>
      <c r="H257">
        <v>14.52</v>
      </c>
      <c r="I257" t="s">
        <v>44</v>
      </c>
      <c r="J257">
        <v>12</v>
      </c>
      <c r="K257" t="s">
        <v>51</v>
      </c>
      <c r="L257">
        <v>5</v>
      </c>
      <c r="M257" t="str">
        <f>VLOOKUP(D257,State_Lookup!$A$2:$B$28,2,FALSE)</f>
        <v>Minas Gerais</v>
      </c>
    </row>
    <row r="258" spans="1:13" x14ac:dyDescent="0.45">
      <c r="A258" t="s">
        <v>436</v>
      </c>
      <c r="B258" t="s">
        <v>429</v>
      </c>
      <c r="C258" t="s">
        <v>306</v>
      </c>
      <c r="D258" t="s">
        <v>25</v>
      </c>
      <c r="E258" t="s">
        <v>148</v>
      </c>
      <c r="F258">
        <v>1</v>
      </c>
      <c r="G258">
        <v>99.99</v>
      </c>
      <c r="H258">
        <v>19.399999999999999</v>
      </c>
      <c r="I258" t="s">
        <v>44</v>
      </c>
      <c r="J258">
        <v>12</v>
      </c>
      <c r="K258" t="s">
        <v>51</v>
      </c>
      <c r="L258">
        <v>5</v>
      </c>
      <c r="M258" t="str">
        <f>VLOOKUP(D258,State_Lookup!$A$2:$B$28,2,FALSE)</f>
        <v>Goias</v>
      </c>
    </row>
    <row r="259" spans="1:13" x14ac:dyDescent="0.45">
      <c r="A259" t="s">
        <v>437</v>
      </c>
      <c r="B259" t="s">
        <v>429</v>
      </c>
      <c r="C259" t="s">
        <v>306</v>
      </c>
      <c r="D259" t="s">
        <v>16</v>
      </c>
      <c r="E259" t="s">
        <v>43</v>
      </c>
      <c r="F259">
        <v>2</v>
      </c>
      <c r="G259">
        <v>99.8</v>
      </c>
      <c r="H259">
        <v>23.48</v>
      </c>
      <c r="I259" t="s">
        <v>50</v>
      </c>
      <c r="J259">
        <v>6</v>
      </c>
      <c r="K259" t="s">
        <v>51</v>
      </c>
      <c r="L259">
        <v>5</v>
      </c>
      <c r="M259" t="str">
        <f>VLOOKUP(D259,State_Lookup!$A$2:$B$28,2,FALSE)</f>
        <v>Sao Paulo</v>
      </c>
    </row>
    <row r="260" spans="1:13" x14ac:dyDescent="0.45">
      <c r="A260" t="s">
        <v>438</v>
      </c>
      <c r="B260" t="s">
        <v>439</v>
      </c>
      <c r="C260" t="s">
        <v>306</v>
      </c>
      <c r="D260" t="s">
        <v>17</v>
      </c>
      <c r="E260" t="s">
        <v>110</v>
      </c>
      <c r="F260">
        <v>1</v>
      </c>
      <c r="G260">
        <v>98.99</v>
      </c>
      <c r="H260">
        <v>20.77</v>
      </c>
      <c r="I260" t="s">
        <v>50</v>
      </c>
      <c r="J260">
        <v>19</v>
      </c>
      <c r="K260" t="s">
        <v>51</v>
      </c>
      <c r="L260">
        <v>5</v>
      </c>
      <c r="M260" t="str">
        <f>VLOOKUP(D260,State_Lookup!$A$2:$B$28,2,FALSE)</f>
        <v>Rio de Janeiro</v>
      </c>
    </row>
    <row r="261" spans="1:13" x14ac:dyDescent="0.45">
      <c r="A261" t="s">
        <v>440</v>
      </c>
      <c r="B261" t="s">
        <v>439</v>
      </c>
      <c r="C261" t="s">
        <v>306</v>
      </c>
      <c r="D261" t="s">
        <v>20</v>
      </c>
      <c r="E261" t="s">
        <v>186</v>
      </c>
      <c r="F261">
        <v>1</v>
      </c>
      <c r="G261">
        <v>329.9</v>
      </c>
      <c r="H261">
        <v>37.86</v>
      </c>
      <c r="I261" t="s">
        <v>44</v>
      </c>
      <c r="J261">
        <v>12</v>
      </c>
      <c r="K261" t="s">
        <v>51</v>
      </c>
      <c r="L261">
        <v>5</v>
      </c>
      <c r="M261" t="str">
        <f>VLOOKUP(D261,State_Lookup!$A$2:$B$28,2,FALSE)</f>
        <v>Parana</v>
      </c>
    </row>
    <row r="262" spans="1:13" x14ac:dyDescent="0.45">
      <c r="A262" t="s">
        <v>441</v>
      </c>
      <c r="B262" t="s">
        <v>439</v>
      </c>
      <c r="C262" t="s">
        <v>306</v>
      </c>
      <c r="D262" t="s">
        <v>18</v>
      </c>
      <c r="E262" t="s">
        <v>69</v>
      </c>
      <c r="F262">
        <v>1</v>
      </c>
      <c r="G262">
        <v>307.3</v>
      </c>
      <c r="H262">
        <v>27.65</v>
      </c>
      <c r="I262" t="s">
        <v>50</v>
      </c>
      <c r="J262">
        <v>9</v>
      </c>
      <c r="K262" t="s">
        <v>51</v>
      </c>
      <c r="L262">
        <v>5</v>
      </c>
      <c r="M262" t="str">
        <f>VLOOKUP(D262,State_Lookup!$A$2:$B$28,2,FALSE)</f>
        <v>Minas Gerais</v>
      </c>
    </row>
    <row r="263" spans="1:13" x14ac:dyDescent="0.45">
      <c r="A263" t="s">
        <v>442</v>
      </c>
      <c r="B263" t="s">
        <v>439</v>
      </c>
      <c r="C263" t="s">
        <v>306</v>
      </c>
      <c r="D263" t="s">
        <v>16</v>
      </c>
      <c r="E263" t="s">
        <v>69</v>
      </c>
      <c r="F263">
        <v>2</v>
      </c>
      <c r="G263">
        <v>69.8</v>
      </c>
      <c r="H263">
        <v>21.92</v>
      </c>
      <c r="I263" t="s">
        <v>50</v>
      </c>
      <c r="J263">
        <v>6</v>
      </c>
      <c r="K263" t="s">
        <v>51</v>
      </c>
      <c r="L263">
        <v>5</v>
      </c>
      <c r="M263" t="str">
        <f>VLOOKUP(D263,State_Lookup!$A$2:$B$28,2,FALSE)</f>
        <v>Sao Paulo</v>
      </c>
    </row>
    <row r="264" spans="1:13" x14ac:dyDescent="0.45">
      <c r="A264" t="s">
        <v>443</v>
      </c>
      <c r="B264" t="s">
        <v>444</v>
      </c>
      <c r="C264" t="s">
        <v>306</v>
      </c>
      <c r="D264" t="s">
        <v>16</v>
      </c>
      <c r="E264" t="s">
        <v>107</v>
      </c>
      <c r="F264">
        <v>1</v>
      </c>
      <c r="G264">
        <v>241.1</v>
      </c>
      <c r="H264">
        <v>22</v>
      </c>
      <c r="I264" t="s">
        <v>44</v>
      </c>
      <c r="J264">
        <v>13</v>
      </c>
      <c r="K264" t="s">
        <v>51</v>
      </c>
      <c r="L264">
        <v>5</v>
      </c>
      <c r="M264" t="str">
        <f>VLOOKUP(D264,State_Lookup!$A$2:$B$28,2,FALSE)</f>
        <v>Sao Paulo</v>
      </c>
    </row>
    <row r="265" spans="1:13" x14ac:dyDescent="0.45">
      <c r="A265" t="s">
        <v>445</v>
      </c>
      <c r="B265" t="s">
        <v>444</v>
      </c>
      <c r="C265" t="s">
        <v>306</v>
      </c>
      <c r="D265" t="s">
        <v>17</v>
      </c>
      <c r="E265" t="s">
        <v>49</v>
      </c>
      <c r="F265">
        <v>1</v>
      </c>
      <c r="G265">
        <v>89</v>
      </c>
      <c r="H265">
        <v>19.21</v>
      </c>
      <c r="I265" t="s">
        <v>44</v>
      </c>
      <c r="J265">
        <v>10</v>
      </c>
      <c r="K265" t="s">
        <v>51</v>
      </c>
      <c r="L265">
        <v>5</v>
      </c>
      <c r="M265" t="str">
        <f>VLOOKUP(D265,State_Lookup!$A$2:$B$28,2,FALSE)</f>
        <v>Rio de Janeiro</v>
      </c>
    </row>
    <row r="266" spans="1:13" x14ac:dyDescent="0.45">
      <c r="A266" t="s">
        <v>446</v>
      </c>
      <c r="B266" t="s">
        <v>444</v>
      </c>
      <c r="C266" t="s">
        <v>306</v>
      </c>
      <c r="D266" t="s">
        <v>128</v>
      </c>
      <c r="E266" t="s">
        <v>64</v>
      </c>
      <c r="F266">
        <v>1</v>
      </c>
      <c r="G266">
        <v>229.9</v>
      </c>
      <c r="H266">
        <v>26.1</v>
      </c>
      <c r="I266" t="s">
        <v>50</v>
      </c>
      <c r="J266">
        <v>50</v>
      </c>
      <c r="K266" t="s">
        <v>143</v>
      </c>
      <c r="L266">
        <v>1</v>
      </c>
      <c r="M266" t="str">
        <f>VLOOKUP(D266,State_Lookup!$A$2:$B$28,2,FALSE)</f>
        <v>Ceara</v>
      </c>
    </row>
    <row r="267" spans="1:13" x14ac:dyDescent="0.45">
      <c r="A267" t="s">
        <v>447</v>
      </c>
      <c r="B267" t="s">
        <v>448</v>
      </c>
      <c r="C267" t="s">
        <v>306</v>
      </c>
      <c r="D267" t="s">
        <v>22</v>
      </c>
      <c r="E267" t="s">
        <v>49</v>
      </c>
      <c r="F267">
        <v>1</v>
      </c>
      <c r="G267">
        <v>72.900000000000006</v>
      </c>
      <c r="H267">
        <v>22.44</v>
      </c>
      <c r="I267" t="s">
        <v>44</v>
      </c>
      <c r="J267">
        <v>22</v>
      </c>
      <c r="K267" t="s">
        <v>51</v>
      </c>
      <c r="L267">
        <v>3</v>
      </c>
      <c r="M267" t="str">
        <f>VLOOKUP(D267,State_Lookup!$A$2:$B$28,2,FALSE)</f>
        <v>Bahia</v>
      </c>
    </row>
    <row r="268" spans="1:13" x14ac:dyDescent="0.45">
      <c r="A268" t="s">
        <v>449</v>
      </c>
      <c r="B268" t="s">
        <v>450</v>
      </c>
      <c r="C268" t="s">
        <v>306</v>
      </c>
      <c r="D268" t="s">
        <v>16</v>
      </c>
      <c r="E268" t="s">
        <v>49</v>
      </c>
      <c r="F268">
        <v>1</v>
      </c>
      <c r="G268">
        <v>299.89999999999998</v>
      </c>
      <c r="H268">
        <v>23.57</v>
      </c>
      <c r="I268" t="s">
        <v>108</v>
      </c>
      <c r="J268">
        <v>7</v>
      </c>
      <c r="K268" t="s">
        <v>51</v>
      </c>
      <c r="L268">
        <v>3</v>
      </c>
      <c r="M268" t="str">
        <f>VLOOKUP(D268,State_Lookup!$A$2:$B$28,2,FALSE)</f>
        <v>Sao Paulo</v>
      </c>
    </row>
    <row r="269" spans="1:13" x14ac:dyDescent="0.45">
      <c r="A269" t="s">
        <v>451</v>
      </c>
      <c r="B269" t="s">
        <v>452</v>
      </c>
      <c r="C269" t="s">
        <v>306</v>
      </c>
      <c r="D269" t="s">
        <v>16</v>
      </c>
      <c r="E269" t="s">
        <v>157</v>
      </c>
      <c r="F269">
        <v>1</v>
      </c>
      <c r="G269">
        <v>129.9</v>
      </c>
      <c r="H269">
        <v>11.52</v>
      </c>
      <c r="I269" t="s">
        <v>44</v>
      </c>
      <c r="J269">
        <v>5</v>
      </c>
      <c r="K269" t="s">
        <v>51</v>
      </c>
      <c r="L269">
        <v>5</v>
      </c>
      <c r="M269" t="str">
        <f>VLOOKUP(D269,State_Lookup!$A$2:$B$28,2,FALSE)</f>
        <v>Sao Paulo</v>
      </c>
    </row>
    <row r="270" spans="1:13" x14ac:dyDescent="0.45">
      <c r="A270" t="s">
        <v>453</v>
      </c>
      <c r="B270" t="s">
        <v>452</v>
      </c>
      <c r="C270" t="s">
        <v>306</v>
      </c>
      <c r="D270" t="s">
        <v>17</v>
      </c>
      <c r="E270" t="s">
        <v>152</v>
      </c>
      <c r="F270">
        <v>1</v>
      </c>
      <c r="G270">
        <v>79.900000000000006</v>
      </c>
      <c r="H270">
        <v>20.64</v>
      </c>
      <c r="I270" t="s">
        <v>44</v>
      </c>
      <c r="J270">
        <v>2</v>
      </c>
      <c r="K270" t="s">
        <v>51</v>
      </c>
      <c r="L270">
        <v>5</v>
      </c>
      <c r="M270" t="str">
        <f>VLOOKUP(D270,State_Lookup!$A$2:$B$28,2,FALSE)</f>
        <v>Rio de Janeiro</v>
      </c>
    </row>
    <row r="271" spans="1:13" x14ac:dyDescent="0.45">
      <c r="A271" t="s">
        <v>454</v>
      </c>
      <c r="B271" t="s">
        <v>452</v>
      </c>
      <c r="C271" t="s">
        <v>306</v>
      </c>
      <c r="D271" t="s">
        <v>16</v>
      </c>
      <c r="E271" t="s">
        <v>107</v>
      </c>
      <c r="F271">
        <v>1</v>
      </c>
      <c r="G271">
        <v>27.99</v>
      </c>
      <c r="H271">
        <v>8.7200000000000006</v>
      </c>
      <c r="I271" t="s">
        <v>44</v>
      </c>
      <c r="J271">
        <v>6</v>
      </c>
      <c r="K271" t="s">
        <v>51</v>
      </c>
      <c r="L271">
        <v>4</v>
      </c>
      <c r="M271" t="str">
        <f>VLOOKUP(D271,State_Lookup!$A$2:$B$28,2,FALSE)</f>
        <v>Sao Paulo</v>
      </c>
    </row>
    <row r="272" spans="1:13" x14ac:dyDescent="0.45">
      <c r="A272" t="s">
        <v>455</v>
      </c>
      <c r="B272" t="s">
        <v>452</v>
      </c>
      <c r="C272" t="s">
        <v>306</v>
      </c>
      <c r="D272" t="s">
        <v>16</v>
      </c>
      <c r="E272" t="s">
        <v>148</v>
      </c>
      <c r="F272">
        <v>1</v>
      </c>
      <c r="G272">
        <v>43.99</v>
      </c>
      <c r="H272">
        <v>12.93</v>
      </c>
      <c r="I272" t="s">
        <v>50</v>
      </c>
      <c r="K272" t="s">
        <v>45</v>
      </c>
      <c r="L272">
        <v>1</v>
      </c>
      <c r="M272" t="str">
        <f>VLOOKUP(D272,State_Lookup!$A$2:$B$28,2,FALSE)</f>
        <v>Sao Paulo</v>
      </c>
    </row>
    <row r="273" spans="1:13" x14ac:dyDescent="0.45">
      <c r="A273" t="s">
        <v>456</v>
      </c>
      <c r="B273" t="s">
        <v>452</v>
      </c>
      <c r="C273" t="s">
        <v>306</v>
      </c>
      <c r="D273" t="s">
        <v>18</v>
      </c>
      <c r="E273" t="s">
        <v>260</v>
      </c>
      <c r="F273">
        <v>1</v>
      </c>
      <c r="G273">
        <v>149.9</v>
      </c>
      <c r="H273">
        <v>32.08</v>
      </c>
      <c r="I273" t="s">
        <v>133</v>
      </c>
      <c r="J273">
        <v>3</v>
      </c>
      <c r="K273" t="s">
        <v>51</v>
      </c>
      <c r="L273">
        <v>5</v>
      </c>
      <c r="M273" t="str">
        <f>VLOOKUP(D273,State_Lookup!$A$2:$B$28,2,FALSE)</f>
        <v>Minas Gerais</v>
      </c>
    </row>
    <row r="274" spans="1:13" x14ac:dyDescent="0.45">
      <c r="A274" t="s">
        <v>457</v>
      </c>
      <c r="B274" t="s">
        <v>458</v>
      </c>
      <c r="C274" t="s">
        <v>306</v>
      </c>
      <c r="D274" t="s">
        <v>17</v>
      </c>
      <c r="E274" t="s">
        <v>110</v>
      </c>
      <c r="F274">
        <v>1</v>
      </c>
      <c r="G274">
        <v>49.9</v>
      </c>
      <c r="H274">
        <v>22.28</v>
      </c>
      <c r="I274" t="s">
        <v>133</v>
      </c>
      <c r="J274">
        <v>14</v>
      </c>
      <c r="K274" t="s">
        <v>51</v>
      </c>
      <c r="L274">
        <v>5</v>
      </c>
      <c r="M274" t="str">
        <f>VLOOKUP(D274,State_Lookup!$A$2:$B$28,2,FALSE)</f>
        <v>Rio de Janeiro</v>
      </c>
    </row>
    <row r="275" spans="1:13" x14ac:dyDescent="0.45">
      <c r="A275" t="s">
        <v>459</v>
      </c>
      <c r="B275" t="s">
        <v>458</v>
      </c>
      <c r="C275" t="s">
        <v>306</v>
      </c>
      <c r="D275" t="s">
        <v>18</v>
      </c>
      <c r="E275" t="s">
        <v>110</v>
      </c>
      <c r="F275">
        <v>1</v>
      </c>
      <c r="G275">
        <v>93</v>
      </c>
      <c r="H275">
        <v>15.86</v>
      </c>
      <c r="I275" t="s">
        <v>44</v>
      </c>
      <c r="J275">
        <v>11</v>
      </c>
      <c r="K275" t="s">
        <v>51</v>
      </c>
      <c r="L275">
        <v>5</v>
      </c>
      <c r="M275" t="str">
        <f>VLOOKUP(D275,State_Lookup!$A$2:$B$28,2,FALSE)</f>
        <v>Minas Gerais</v>
      </c>
    </row>
    <row r="276" spans="1:13" x14ac:dyDescent="0.45">
      <c r="A276" t="s">
        <v>460</v>
      </c>
      <c r="B276" t="s">
        <v>458</v>
      </c>
      <c r="C276" t="s">
        <v>306</v>
      </c>
      <c r="D276" t="s">
        <v>16</v>
      </c>
      <c r="E276" t="s">
        <v>110</v>
      </c>
      <c r="F276">
        <v>1</v>
      </c>
      <c r="G276">
        <v>13.9</v>
      </c>
      <c r="H276">
        <v>10.96</v>
      </c>
      <c r="I276" t="s">
        <v>50</v>
      </c>
      <c r="J276">
        <v>13</v>
      </c>
      <c r="K276" t="s">
        <v>51</v>
      </c>
      <c r="L276">
        <v>5</v>
      </c>
      <c r="M276" t="str">
        <f>VLOOKUP(D276,State_Lookup!$A$2:$B$28,2,FALSE)</f>
        <v>Sao Paulo</v>
      </c>
    </row>
    <row r="277" spans="1:13" x14ac:dyDescent="0.45">
      <c r="A277" t="s">
        <v>461</v>
      </c>
      <c r="B277" t="s">
        <v>462</v>
      </c>
      <c r="C277" t="s">
        <v>306</v>
      </c>
      <c r="D277" t="s">
        <v>17</v>
      </c>
      <c r="E277" t="s">
        <v>220</v>
      </c>
      <c r="F277">
        <v>1</v>
      </c>
      <c r="G277">
        <v>179.96</v>
      </c>
      <c r="H277">
        <v>33.54</v>
      </c>
      <c r="I277" t="s">
        <v>44</v>
      </c>
      <c r="J277">
        <v>18</v>
      </c>
      <c r="K277" t="s">
        <v>51</v>
      </c>
      <c r="L277">
        <v>3</v>
      </c>
      <c r="M277" t="str">
        <f>VLOOKUP(D277,State_Lookup!$A$2:$B$28,2,FALSE)</f>
        <v>Rio de Janeiro</v>
      </c>
    </row>
    <row r="278" spans="1:13" x14ac:dyDescent="0.45">
      <c r="A278" t="s">
        <v>463</v>
      </c>
      <c r="B278" t="s">
        <v>462</v>
      </c>
      <c r="C278" t="s">
        <v>306</v>
      </c>
      <c r="D278" t="s">
        <v>16</v>
      </c>
      <c r="E278" t="s">
        <v>53</v>
      </c>
      <c r="F278">
        <v>1</v>
      </c>
      <c r="G278">
        <v>139.99</v>
      </c>
      <c r="H278">
        <v>12.37</v>
      </c>
      <c r="I278" t="s">
        <v>44</v>
      </c>
      <c r="J278">
        <v>6</v>
      </c>
      <c r="K278" t="s">
        <v>51</v>
      </c>
      <c r="L278">
        <v>5</v>
      </c>
      <c r="M278" t="str">
        <f>VLOOKUP(D278,State_Lookup!$A$2:$B$28,2,FALSE)</f>
        <v>Sao Paulo</v>
      </c>
    </row>
    <row r="279" spans="1:13" x14ac:dyDescent="0.45">
      <c r="A279" t="s">
        <v>464</v>
      </c>
      <c r="B279" t="s">
        <v>462</v>
      </c>
      <c r="C279" t="s">
        <v>306</v>
      </c>
      <c r="D279" t="s">
        <v>21</v>
      </c>
      <c r="E279" t="s">
        <v>66</v>
      </c>
      <c r="F279">
        <v>1</v>
      </c>
      <c r="G279">
        <v>18.989999999999998</v>
      </c>
      <c r="H279">
        <v>14.52</v>
      </c>
      <c r="I279" t="s">
        <v>44</v>
      </c>
      <c r="J279">
        <v>10</v>
      </c>
      <c r="K279" t="s">
        <v>51</v>
      </c>
      <c r="L279">
        <v>5</v>
      </c>
      <c r="M279" t="str">
        <f>VLOOKUP(D279,State_Lookup!$A$2:$B$28,2,FALSE)</f>
        <v>Santa Catarina</v>
      </c>
    </row>
    <row r="280" spans="1:13" x14ac:dyDescent="0.45">
      <c r="A280" t="s">
        <v>465</v>
      </c>
      <c r="B280" t="s">
        <v>462</v>
      </c>
      <c r="C280" t="s">
        <v>306</v>
      </c>
      <c r="D280" t="s">
        <v>19</v>
      </c>
      <c r="E280" t="s">
        <v>79</v>
      </c>
      <c r="F280">
        <v>1</v>
      </c>
      <c r="G280">
        <v>171</v>
      </c>
      <c r="H280">
        <v>16.899999999999999</v>
      </c>
      <c r="I280" t="s">
        <v>44</v>
      </c>
      <c r="J280">
        <v>11</v>
      </c>
      <c r="K280" t="s">
        <v>51</v>
      </c>
      <c r="L280">
        <v>3</v>
      </c>
      <c r="M280" t="str">
        <f>VLOOKUP(D280,State_Lookup!$A$2:$B$28,2,FALSE)</f>
        <v>Rio Grande do Sul</v>
      </c>
    </row>
    <row r="281" spans="1:13" x14ac:dyDescent="0.45">
      <c r="A281" t="s">
        <v>466</v>
      </c>
      <c r="B281" t="s">
        <v>462</v>
      </c>
      <c r="C281" t="s">
        <v>306</v>
      </c>
      <c r="D281" t="s">
        <v>16</v>
      </c>
      <c r="E281" t="s">
        <v>43</v>
      </c>
      <c r="F281">
        <v>1</v>
      </c>
      <c r="G281">
        <v>59.9</v>
      </c>
      <c r="H281">
        <v>11.81</v>
      </c>
      <c r="I281" t="s">
        <v>50</v>
      </c>
      <c r="J281">
        <v>12</v>
      </c>
      <c r="K281" t="s">
        <v>51</v>
      </c>
      <c r="L281">
        <v>5</v>
      </c>
      <c r="M281" t="str">
        <f>VLOOKUP(D281,State_Lookup!$A$2:$B$28,2,FALSE)</f>
        <v>Sao Paulo</v>
      </c>
    </row>
    <row r="282" spans="1:13" x14ac:dyDescent="0.45">
      <c r="A282" t="s">
        <v>467</v>
      </c>
      <c r="B282" t="s">
        <v>462</v>
      </c>
      <c r="C282" t="s">
        <v>306</v>
      </c>
      <c r="D282" t="s">
        <v>18</v>
      </c>
      <c r="E282" t="s">
        <v>53</v>
      </c>
      <c r="F282">
        <v>1</v>
      </c>
      <c r="G282">
        <v>49.9</v>
      </c>
      <c r="H282">
        <v>14.52</v>
      </c>
      <c r="I282" t="s">
        <v>44</v>
      </c>
      <c r="J282">
        <v>12</v>
      </c>
      <c r="K282" t="s">
        <v>51</v>
      </c>
      <c r="L282">
        <v>5</v>
      </c>
      <c r="M282" t="str">
        <f>VLOOKUP(D282,State_Lookup!$A$2:$B$28,2,FALSE)</f>
        <v>Minas Gerais</v>
      </c>
    </row>
    <row r="283" spans="1:13" x14ac:dyDescent="0.45">
      <c r="A283" t="s">
        <v>468</v>
      </c>
      <c r="B283" t="s">
        <v>462</v>
      </c>
      <c r="C283" t="s">
        <v>306</v>
      </c>
      <c r="D283" t="s">
        <v>16</v>
      </c>
      <c r="E283" t="s">
        <v>199</v>
      </c>
      <c r="F283">
        <v>1</v>
      </c>
      <c r="G283">
        <v>999.9</v>
      </c>
      <c r="H283">
        <v>21.17</v>
      </c>
      <c r="I283" t="s">
        <v>44</v>
      </c>
      <c r="J283">
        <v>12</v>
      </c>
      <c r="K283" t="s">
        <v>51</v>
      </c>
      <c r="L283">
        <v>5</v>
      </c>
      <c r="M283" t="str">
        <f>VLOOKUP(D283,State_Lookup!$A$2:$B$28,2,FALSE)</f>
        <v>Sao Paulo</v>
      </c>
    </row>
    <row r="284" spans="1:13" x14ac:dyDescent="0.45">
      <c r="A284" t="s">
        <v>469</v>
      </c>
      <c r="B284" t="s">
        <v>470</v>
      </c>
      <c r="C284" t="s">
        <v>306</v>
      </c>
      <c r="D284" t="s">
        <v>16</v>
      </c>
      <c r="E284" t="s">
        <v>49</v>
      </c>
      <c r="F284">
        <v>1</v>
      </c>
      <c r="G284">
        <v>59</v>
      </c>
      <c r="H284">
        <v>20.73</v>
      </c>
      <c r="I284" t="s">
        <v>44</v>
      </c>
      <c r="J284">
        <v>12</v>
      </c>
      <c r="K284" t="s">
        <v>51</v>
      </c>
      <c r="L284">
        <v>5</v>
      </c>
      <c r="M284" t="str">
        <f>VLOOKUP(D284,State_Lookup!$A$2:$B$28,2,FALSE)</f>
        <v>Sao Paulo</v>
      </c>
    </row>
    <row r="285" spans="1:13" x14ac:dyDescent="0.45">
      <c r="A285" t="s">
        <v>471</v>
      </c>
      <c r="B285" t="s">
        <v>470</v>
      </c>
      <c r="C285" t="s">
        <v>306</v>
      </c>
      <c r="D285" t="s">
        <v>17</v>
      </c>
      <c r="E285" t="s">
        <v>61</v>
      </c>
      <c r="F285">
        <v>1</v>
      </c>
      <c r="G285">
        <v>75</v>
      </c>
      <c r="H285">
        <v>14.29</v>
      </c>
      <c r="I285" t="s">
        <v>44</v>
      </c>
      <c r="J285">
        <v>21</v>
      </c>
      <c r="K285" t="s">
        <v>51</v>
      </c>
      <c r="L285">
        <v>5</v>
      </c>
      <c r="M285" t="str">
        <f>VLOOKUP(D285,State_Lookup!$A$2:$B$28,2,FALSE)</f>
        <v>Rio de Janeiro</v>
      </c>
    </row>
    <row r="286" spans="1:13" x14ac:dyDescent="0.45">
      <c r="A286" t="s">
        <v>472</v>
      </c>
      <c r="B286" t="s">
        <v>470</v>
      </c>
      <c r="C286" t="s">
        <v>306</v>
      </c>
      <c r="D286" t="s">
        <v>16</v>
      </c>
      <c r="E286" t="s">
        <v>58</v>
      </c>
      <c r="F286">
        <v>2</v>
      </c>
      <c r="G286">
        <v>64.58</v>
      </c>
      <c r="H286">
        <v>17.440000000000001</v>
      </c>
      <c r="I286" t="s">
        <v>44</v>
      </c>
      <c r="J286">
        <v>6</v>
      </c>
      <c r="K286" t="s">
        <v>51</v>
      </c>
      <c r="L286">
        <v>1</v>
      </c>
      <c r="M286" t="str">
        <f>VLOOKUP(D286,State_Lookup!$A$2:$B$28,2,FALSE)</f>
        <v>Sao Paulo</v>
      </c>
    </row>
    <row r="287" spans="1:13" x14ac:dyDescent="0.45">
      <c r="A287" t="s">
        <v>473</v>
      </c>
      <c r="B287" t="s">
        <v>470</v>
      </c>
      <c r="C287" t="s">
        <v>306</v>
      </c>
      <c r="D287" t="s">
        <v>18</v>
      </c>
      <c r="E287" t="s">
        <v>152</v>
      </c>
      <c r="F287">
        <v>1</v>
      </c>
      <c r="G287">
        <v>109.9</v>
      </c>
      <c r="H287">
        <v>37.17</v>
      </c>
      <c r="I287" t="s">
        <v>50</v>
      </c>
      <c r="J287">
        <v>10</v>
      </c>
      <c r="K287" t="s">
        <v>51</v>
      </c>
      <c r="L287">
        <v>5</v>
      </c>
      <c r="M287" t="str">
        <f>VLOOKUP(D287,State_Lookup!$A$2:$B$28,2,FALSE)</f>
        <v>Minas Gerais</v>
      </c>
    </row>
    <row r="288" spans="1:13" x14ac:dyDescent="0.45">
      <c r="A288" t="s">
        <v>474</v>
      </c>
      <c r="B288" t="s">
        <v>475</v>
      </c>
      <c r="C288" t="s">
        <v>476</v>
      </c>
      <c r="D288" t="s">
        <v>16</v>
      </c>
      <c r="E288" t="s">
        <v>157</v>
      </c>
      <c r="F288">
        <v>1</v>
      </c>
      <c r="G288">
        <v>1654.44</v>
      </c>
      <c r="H288">
        <v>18.23</v>
      </c>
      <c r="I288" t="s">
        <v>50</v>
      </c>
      <c r="J288">
        <v>4</v>
      </c>
      <c r="K288" t="s">
        <v>51</v>
      </c>
      <c r="L288">
        <v>5</v>
      </c>
      <c r="M288" t="str">
        <f>VLOOKUP(D288,State_Lookup!$A$2:$B$28,2,FALSE)</f>
        <v>Sao Paulo</v>
      </c>
    </row>
    <row r="289" spans="1:13" x14ac:dyDescent="0.45">
      <c r="A289" t="s">
        <v>477</v>
      </c>
      <c r="B289" t="s">
        <v>475</v>
      </c>
      <c r="C289" t="s">
        <v>476</v>
      </c>
      <c r="D289" t="s">
        <v>16</v>
      </c>
      <c r="E289" t="s">
        <v>110</v>
      </c>
      <c r="F289">
        <v>1</v>
      </c>
      <c r="G289">
        <v>89.9</v>
      </c>
      <c r="H289">
        <v>18.91</v>
      </c>
      <c r="I289" t="s">
        <v>44</v>
      </c>
      <c r="J289">
        <v>10</v>
      </c>
      <c r="K289" t="s">
        <v>51</v>
      </c>
      <c r="L289">
        <v>5</v>
      </c>
      <c r="M289" t="str">
        <f>VLOOKUP(D289,State_Lookup!$A$2:$B$28,2,FALSE)</f>
        <v>Sao Paulo</v>
      </c>
    </row>
    <row r="290" spans="1:13" x14ac:dyDescent="0.45">
      <c r="A290" t="s">
        <v>478</v>
      </c>
      <c r="B290" t="s">
        <v>475</v>
      </c>
      <c r="C290" t="s">
        <v>476</v>
      </c>
      <c r="D290" t="s">
        <v>25</v>
      </c>
      <c r="E290" t="s">
        <v>53</v>
      </c>
      <c r="F290">
        <v>1</v>
      </c>
      <c r="G290">
        <v>54.9</v>
      </c>
      <c r="H290">
        <v>17.809999999999999</v>
      </c>
      <c r="I290" t="s">
        <v>50</v>
      </c>
      <c r="J290">
        <v>19</v>
      </c>
      <c r="K290" t="s">
        <v>51</v>
      </c>
      <c r="L290">
        <v>4</v>
      </c>
      <c r="M290" t="str">
        <f>VLOOKUP(D290,State_Lookup!$A$2:$B$28,2,FALSE)</f>
        <v>Goias</v>
      </c>
    </row>
    <row r="291" spans="1:13" x14ac:dyDescent="0.45">
      <c r="A291" t="s">
        <v>479</v>
      </c>
      <c r="B291" t="s">
        <v>480</v>
      </c>
      <c r="C291" t="s">
        <v>476</v>
      </c>
      <c r="D291" t="s">
        <v>122</v>
      </c>
      <c r="E291" t="s">
        <v>481</v>
      </c>
      <c r="F291">
        <v>1</v>
      </c>
      <c r="G291">
        <v>152.99</v>
      </c>
      <c r="H291">
        <v>25.07</v>
      </c>
      <c r="I291" t="s">
        <v>50</v>
      </c>
      <c r="J291">
        <v>10</v>
      </c>
      <c r="K291" t="s">
        <v>51</v>
      </c>
      <c r="L291">
        <v>4</v>
      </c>
      <c r="M291" t="str">
        <f>VLOOKUP(D291,State_Lookup!$A$2:$B$28,2,FALSE)</f>
        <v>Para</v>
      </c>
    </row>
    <row r="292" spans="1:13" x14ac:dyDescent="0.45">
      <c r="A292" t="s">
        <v>482</v>
      </c>
      <c r="B292" t="s">
        <v>480</v>
      </c>
      <c r="C292" t="s">
        <v>476</v>
      </c>
      <c r="D292" t="s">
        <v>16</v>
      </c>
      <c r="E292" t="s">
        <v>110</v>
      </c>
      <c r="F292">
        <v>1</v>
      </c>
      <c r="G292">
        <v>41.9</v>
      </c>
      <c r="H292">
        <v>16.05</v>
      </c>
      <c r="I292" t="s">
        <v>44</v>
      </c>
      <c r="J292">
        <v>8</v>
      </c>
      <c r="K292" t="s">
        <v>51</v>
      </c>
      <c r="L292">
        <v>5</v>
      </c>
      <c r="M292" t="str">
        <f>VLOOKUP(D292,State_Lookup!$A$2:$B$28,2,FALSE)</f>
        <v>Sao Paulo</v>
      </c>
    </row>
    <row r="293" spans="1:13" x14ac:dyDescent="0.45">
      <c r="A293" t="s">
        <v>483</v>
      </c>
      <c r="B293" t="s">
        <v>484</v>
      </c>
      <c r="C293" t="s">
        <v>476</v>
      </c>
      <c r="D293" t="s">
        <v>17</v>
      </c>
      <c r="E293" t="s">
        <v>49</v>
      </c>
      <c r="F293">
        <v>1</v>
      </c>
      <c r="G293">
        <v>62.9</v>
      </c>
      <c r="H293">
        <v>14.2</v>
      </c>
      <c r="I293" t="s">
        <v>44</v>
      </c>
      <c r="J293">
        <v>9</v>
      </c>
      <c r="K293" t="s">
        <v>51</v>
      </c>
      <c r="L293">
        <v>5</v>
      </c>
      <c r="M293" t="str">
        <f>VLOOKUP(D293,State_Lookup!$A$2:$B$28,2,FALSE)</f>
        <v>Rio de Janeiro</v>
      </c>
    </row>
    <row r="294" spans="1:13" x14ac:dyDescent="0.45">
      <c r="A294" t="s">
        <v>485</v>
      </c>
      <c r="B294" t="s">
        <v>484</v>
      </c>
      <c r="C294" t="s">
        <v>476</v>
      </c>
      <c r="D294" t="s">
        <v>210</v>
      </c>
      <c r="E294" t="s">
        <v>43</v>
      </c>
      <c r="F294">
        <v>1</v>
      </c>
      <c r="G294">
        <v>17.989999999999998</v>
      </c>
      <c r="H294">
        <v>24.35</v>
      </c>
      <c r="I294" t="s">
        <v>44</v>
      </c>
      <c r="J294">
        <v>25</v>
      </c>
      <c r="K294" t="s">
        <v>51</v>
      </c>
      <c r="L294">
        <v>5</v>
      </c>
      <c r="M294" t="str">
        <f>VLOOKUP(D294,State_Lookup!$A$2:$B$28,2,FALSE)</f>
        <v>Amazonas</v>
      </c>
    </row>
    <row r="295" spans="1:13" x14ac:dyDescent="0.45">
      <c r="A295" t="s">
        <v>486</v>
      </c>
      <c r="B295" t="s">
        <v>484</v>
      </c>
      <c r="C295" t="s">
        <v>476</v>
      </c>
      <c r="D295" t="s">
        <v>487</v>
      </c>
      <c r="E295" t="s">
        <v>64</v>
      </c>
      <c r="F295">
        <v>1</v>
      </c>
      <c r="G295">
        <v>292.89999999999998</v>
      </c>
      <c r="H295">
        <v>26.54</v>
      </c>
      <c r="I295" t="s">
        <v>44</v>
      </c>
      <c r="J295">
        <v>14</v>
      </c>
      <c r="K295" t="s">
        <v>51</v>
      </c>
      <c r="L295">
        <v>5</v>
      </c>
      <c r="M295" t="str">
        <f>VLOOKUP(D295,State_Lookup!$A$2:$B$28,2,FALSE)</f>
        <v>Rio Grande do Norte</v>
      </c>
    </row>
    <row r="296" spans="1:13" x14ac:dyDescent="0.45">
      <c r="A296" t="s">
        <v>488</v>
      </c>
      <c r="B296" t="s">
        <v>489</v>
      </c>
      <c r="C296" t="s">
        <v>476</v>
      </c>
      <c r="D296" t="s">
        <v>16</v>
      </c>
      <c r="E296" t="s">
        <v>110</v>
      </c>
      <c r="F296">
        <v>1</v>
      </c>
      <c r="G296">
        <v>98.99</v>
      </c>
      <c r="H296">
        <v>15.8</v>
      </c>
      <c r="I296" t="s">
        <v>50</v>
      </c>
      <c r="J296">
        <v>8</v>
      </c>
      <c r="K296" t="s">
        <v>51</v>
      </c>
      <c r="L296">
        <v>5</v>
      </c>
      <c r="M296" t="str">
        <f>VLOOKUP(D296,State_Lookup!$A$2:$B$28,2,FALSE)</f>
        <v>Sao Paulo</v>
      </c>
    </row>
    <row r="297" spans="1:13" x14ac:dyDescent="0.45">
      <c r="A297" t="s">
        <v>490</v>
      </c>
      <c r="B297" t="s">
        <v>489</v>
      </c>
      <c r="C297" t="s">
        <v>476</v>
      </c>
      <c r="D297" t="s">
        <v>16</v>
      </c>
      <c r="E297" t="s">
        <v>220</v>
      </c>
      <c r="F297">
        <v>1</v>
      </c>
      <c r="G297">
        <v>119.99</v>
      </c>
      <c r="H297">
        <v>20.14</v>
      </c>
      <c r="I297" t="s">
        <v>44</v>
      </c>
      <c r="J297">
        <v>7</v>
      </c>
      <c r="K297" t="s">
        <v>51</v>
      </c>
      <c r="L297">
        <v>4</v>
      </c>
      <c r="M297" t="str">
        <f>VLOOKUP(D297,State_Lookup!$A$2:$B$28,2,FALSE)</f>
        <v>Sao Paulo</v>
      </c>
    </row>
    <row r="298" spans="1:13" x14ac:dyDescent="0.45">
      <c r="A298" t="s">
        <v>491</v>
      </c>
      <c r="B298" t="s">
        <v>492</v>
      </c>
      <c r="C298" t="s">
        <v>476</v>
      </c>
      <c r="D298" t="s">
        <v>18</v>
      </c>
      <c r="E298" t="s">
        <v>107</v>
      </c>
      <c r="F298">
        <v>1</v>
      </c>
      <c r="G298">
        <v>1199.9000000000001</v>
      </c>
      <c r="H298">
        <v>25.69</v>
      </c>
      <c r="I298" t="s">
        <v>44</v>
      </c>
      <c r="J298">
        <v>5</v>
      </c>
      <c r="K298" t="s">
        <v>51</v>
      </c>
      <c r="L298">
        <v>5</v>
      </c>
      <c r="M298" t="str">
        <f>VLOOKUP(D298,State_Lookup!$A$2:$B$28,2,FALSE)</f>
        <v>Minas Gerais</v>
      </c>
    </row>
    <row r="299" spans="1:13" x14ac:dyDescent="0.45">
      <c r="A299" t="s">
        <v>493</v>
      </c>
      <c r="B299" t="s">
        <v>492</v>
      </c>
      <c r="C299" t="s">
        <v>476</v>
      </c>
      <c r="D299" t="s">
        <v>19</v>
      </c>
      <c r="E299" t="s">
        <v>53</v>
      </c>
      <c r="F299">
        <v>1</v>
      </c>
      <c r="G299">
        <v>699.99</v>
      </c>
      <c r="H299">
        <v>23.49</v>
      </c>
      <c r="I299" t="s">
        <v>50</v>
      </c>
      <c r="J299">
        <v>14</v>
      </c>
      <c r="K299" t="s">
        <v>51</v>
      </c>
      <c r="L299">
        <v>5</v>
      </c>
      <c r="M299" t="str">
        <f>VLOOKUP(D299,State_Lookup!$A$2:$B$28,2,FALSE)</f>
        <v>Rio Grande do Sul</v>
      </c>
    </row>
    <row r="300" spans="1:13" x14ac:dyDescent="0.45">
      <c r="A300" t="s">
        <v>494</v>
      </c>
      <c r="B300" t="s">
        <v>492</v>
      </c>
      <c r="C300" t="s">
        <v>476</v>
      </c>
      <c r="D300" t="s">
        <v>16</v>
      </c>
      <c r="E300" t="s">
        <v>49</v>
      </c>
      <c r="F300">
        <v>1</v>
      </c>
      <c r="G300">
        <v>69.900000000000006</v>
      </c>
      <c r="H300">
        <v>11.88</v>
      </c>
      <c r="I300" t="s">
        <v>44</v>
      </c>
      <c r="J300">
        <v>11</v>
      </c>
      <c r="K300" t="s">
        <v>51</v>
      </c>
      <c r="L300">
        <v>5</v>
      </c>
      <c r="M300" t="str">
        <f>VLOOKUP(D300,State_Lookup!$A$2:$B$28,2,FALSE)</f>
        <v>Sao Paulo</v>
      </c>
    </row>
    <row r="301" spans="1:13" x14ac:dyDescent="0.45">
      <c r="A301" t="s">
        <v>495</v>
      </c>
      <c r="B301" t="s">
        <v>492</v>
      </c>
      <c r="C301" t="s">
        <v>476</v>
      </c>
      <c r="D301" t="s">
        <v>16</v>
      </c>
      <c r="E301" t="s">
        <v>192</v>
      </c>
      <c r="F301">
        <v>1</v>
      </c>
      <c r="G301">
        <v>156</v>
      </c>
      <c r="H301">
        <v>11.7</v>
      </c>
      <c r="I301" t="s">
        <v>44</v>
      </c>
      <c r="J301">
        <v>5</v>
      </c>
      <c r="K301" t="s">
        <v>51</v>
      </c>
      <c r="L301">
        <v>5</v>
      </c>
      <c r="M301" t="str">
        <f>VLOOKUP(D301,State_Lookup!$A$2:$B$28,2,FALSE)</f>
        <v>Sao Paulo</v>
      </c>
    </row>
    <row r="302" spans="1:13" x14ac:dyDescent="0.45">
      <c r="A302" t="s">
        <v>496</v>
      </c>
      <c r="B302" t="s">
        <v>492</v>
      </c>
      <c r="C302" t="s">
        <v>476</v>
      </c>
      <c r="D302" t="s">
        <v>16</v>
      </c>
      <c r="E302" t="s">
        <v>125</v>
      </c>
      <c r="F302">
        <v>1</v>
      </c>
      <c r="G302">
        <v>48.99</v>
      </c>
      <c r="H302">
        <v>10.96</v>
      </c>
      <c r="I302" t="s">
        <v>44</v>
      </c>
      <c r="J302">
        <v>5</v>
      </c>
      <c r="K302" t="s">
        <v>51</v>
      </c>
      <c r="L302">
        <v>4</v>
      </c>
      <c r="M302" t="str">
        <f>VLOOKUP(D302,State_Lookup!$A$2:$B$28,2,FALSE)</f>
        <v>Sao Paulo</v>
      </c>
    </row>
    <row r="303" spans="1:13" x14ac:dyDescent="0.45">
      <c r="A303" t="s">
        <v>497</v>
      </c>
      <c r="B303" t="s">
        <v>492</v>
      </c>
      <c r="C303" t="s">
        <v>476</v>
      </c>
      <c r="D303" t="s">
        <v>16</v>
      </c>
      <c r="E303" t="s">
        <v>361</v>
      </c>
      <c r="F303">
        <v>1</v>
      </c>
      <c r="G303">
        <v>1420</v>
      </c>
      <c r="H303">
        <v>15.58</v>
      </c>
      <c r="I303" t="s">
        <v>44</v>
      </c>
      <c r="J303">
        <v>6</v>
      </c>
      <c r="K303" t="s">
        <v>51</v>
      </c>
      <c r="L303">
        <v>5</v>
      </c>
      <c r="M303" t="str">
        <f>VLOOKUP(D303,State_Lookup!$A$2:$B$28,2,FALSE)</f>
        <v>Sao Paulo</v>
      </c>
    </row>
    <row r="304" spans="1:13" x14ac:dyDescent="0.45">
      <c r="A304" t="s">
        <v>498</v>
      </c>
      <c r="B304" t="s">
        <v>499</v>
      </c>
      <c r="C304" t="s">
        <v>476</v>
      </c>
      <c r="D304" t="s">
        <v>17</v>
      </c>
      <c r="E304" t="s">
        <v>110</v>
      </c>
      <c r="F304">
        <v>1</v>
      </c>
      <c r="G304">
        <v>79.900000000000006</v>
      </c>
      <c r="H304">
        <v>17.3</v>
      </c>
      <c r="I304" t="s">
        <v>44</v>
      </c>
      <c r="J304">
        <v>25</v>
      </c>
      <c r="K304" t="s">
        <v>51</v>
      </c>
      <c r="L304">
        <v>3</v>
      </c>
      <c r="M304" t="str">
        <f>VLOOKUP(D304,State_Lookup!$A$2:$B$28,2,FALSE)</f>
        <v>Rio de Janeiro</v>
      </c>
    </row>
    <row r="305" spans="1:13" x14ac:dyDescent="0.45">
      <c r="A305" t="s">
        <v>500</v>
      </c>
      <c r="B305" t="s">
        <v>499</v>
      </c>
      <c r="C305" t="s">
        <v>476</v>
      </c>
      <c r="D305" t="s">
        <v>20</v>
      </c>
      <c r="E305" t="s">
        <v>199</v>
      </c>
      <c r="F305">
        <v>1</v>
      </c>
      <c r="G305">
        <v>999.9</v>
      </c>
      <c r="H305">
        <v>22.7</v>
      </c>
      <c r="I305" t="s">
        <v>44</v>
      </c>
      <c r="J305">
        <v>6</v>
      </c>
      <c r="K305" t="s">
        <v>51</v>
      </c>
      <c r="L305">
        <v>5</v>
      </c>
      <c r="M305" t="str">
        <f>VLOOKUP(D305,State_Lookup!$A$2:$B$28,2,FALSE)</f>
        <v>Parana</v>
      </c>
    </row>
    <row r="306" spans="1:13" x14ac:dyDescent="0.45">
      <c r="A306" t="s">
        <v>501</v>
      </c>
      <c r="B306" t="s">
        <v>502</v>
      </c>
      <c r="C306" t="s">
        <v>476</v>
      </c>
      <c r="D306" t="s">
        <v>21</v>
      </c>
      <c r="E306" t="s">
        <v>53</v>
      </c>
      <c r="F306">
        <v>1</v>
      </c>
      <c r="G306">
        <v>99.9</v>
      </c>
      <c r="H306">
        <v>14.87</v>
      </c>
      <c r="I306" t="s">
        <v>44</v>
      </c>
      <c r="J306">
        <v>20</v>
      </c>
      <c r="K306" t="s">
        <v>51</v>
      </c>
      <c r="L306">
        <v>5</v>
      </c>
      <c r="M306" t="str">
        <f>VLOOKUP(D306,State_Lookup!$A$2:$B$28,2,FALSE)</f>
        <v>Santa Catarina</v>
      </c>
    </row>
    <row r="307" spans="1:13" x14ac:dyDescent="0.45">
      <c r="A307" t="s">
        <v>503</v>
      </c>
      <c r="B307" t="s">
        <v>502</v>
      </c>
      <c r="C307" t="s">
        <v>476</v>
      </c>
      <c r="D307" t="s">
        <v>16</v>
      </c>
      <c r="E307" t="s">
        <v>504</v>
      </c>
      <c r="F307">
        <v>1</v>
      </c>
      <c r="G307">
        <v>12.9</v>
      </c>
      <c r="H307">
        <v>10.96</v>
      </c>
      <c r="I307" t="s">
        <v>44</v>
      </c>
      <c r="J307">
        <v>16</v>
      </c>
      <c r="K307" t="s">
        <v>51</v>
      </c>
      <c r="L307">
        <v>5</v>
      </c>
      <c r="M307" t="str">
        <f>VLOOKUP(D307,State_Lookup!$A$2:$B$28,2,FALSE)</f>
        <v>Sao Paulo</v>
      </c>
    </row>
    <row r="308" spans="1:13" x14ac:dyDescent="0.45">
      <c r="A308" t="s">
        <v>505</v>
      </c>
      <c r="B308" t="s">
        <v>502</v>
      </c>
      <c r="C308" t="s">
        <v>476</v>
      </c>
      <c r="D308" t="s">
        <v>21</v>
      </c>
      <c r="E308" t="s">
        <v>49</v>
      </c>
      <c r="F308">
        <v>1</v>
      </c>
      <c r="G308">
        <v>53.9</v>
      </c>
      <c r="H308">
        <v>11.77</v>
      </c>
      <c r="I308" t="s">
        <v>44</v>
      </c>
      <c r="J308">
        <v>10</v>
      </c>
      <c r="K308" t="s">
        <v>51</v>
      </c>
      <c r="L308">
        <v>5</v>
      </c>
      <c r="M308" t="str">
        <f>VLOOKUP(D308,State_Lookup!$A$2:$B$28,2,FALSE)</f>
        <v>Santa Catarina</v>
      </c>
    </row>
    <row r="309" spans="1:13" x14ac:dyDescent="0.45">
      <c r="A309" t="s">
        <v>506</v>
      </c>
      <c r="B309" t="s">
        <v>502</v>
      </c>
      <c r="C309" t="s">
        <v>476</v>
      </c>
      <c r="D309" t="s">
        <v>17</v>
      </c>
      <c r="E309" t="s">
        <v>53</v>
      </c>
      <c r="F309">
        <v>1</v>
      </c>
      <c r="G309">
        <v>94.5</v>
      </c>
      <c r="H309">
        <v>14.83</v>
      </c>
      <c r="I309" t="s">
        <v>44</v>
      </c>
      <c r="J309">
        <v>10</v>
      </c>
      <c r="K309" t="s">
        <v>51</v>
      </c>
      <c r="L309">
        <v>5</v>
      </c>
      <c r="M309" t="str">
        <f>VLOOKUP(D309,State_Lookup!$A$2:$B$28,2,FALSE)</f>
        <v>Rio de Janeiro</v>
      </c>
    </row>
    <row r="310" spans="1:13" x14ac:dyDescent="0.45">
      <c r="A310" t="s">
        <v>507</v>
      </c>
      <c r="B310" t="s">
        <v>508</v>
      </c>
      <c r="C310" t="s">
        <v>476</v>
      </c>
      <c r="D310" t="s">
        <v>128</v>
      </c>
      <c r="E310" t="s">
        <v>69</v>
      </c>
      <c r="F310">
        <v>1</v>
      </c>
      <c r="G310">
        <v>249</v>
      </c>
      <c r="H310">
        <v>30.94</v>
      </c>
      <c r="I310" t="s">
        <v>44</v>
      </c>
      <c r="J310">
        <v>43</v>
      </c>
      <c r="K310" t="s">
        <v>143</v>
      </c>
      <c r="L310">
        <v>1</v>
      </c>
      <c r="M310" t="str">
        <f>VLOOKUP(D310,State_Lookup!$A$2:$B$28,2,FALSE)</f>
        <v>Ceara</v>
      </c>
    </row>
    <row r="311" spans="1:13" x14ac:dyDescent="0.45">
      <c r="A311" t="s">
        <v>509</v>
      </c>
      <c r="B311" t="s">
        <v>508</v>
      </c>
      <c r="C311" t="s">
        <v>476</v>
      </c>
      <c r="D311" t="s">
        <v>21</v>
      </c>
      <c r="E311" t="s">
        <v>148</v>
      </c>
      <c r="F311">
        <v>1</v>
      </c>
      <c r="G311">
        <v>219.99</v>
      </c>
      <c r="H311">
        <v>19.82</v>
      </c>
      <c r="I311" t="s">
        <v>50</v>
      </c>
      <c r="J311">
        <v>11</v>
      </c>
      <c r="K311" t="s">
        <v>51</v>
      </c>
      <c r="L311">
        <v>5</v>
      </c>
      <c r="M311" t="str">
        <f>VLOOKUP(D311,State_Lookup!$A$2:$B$28,2,FALSE)</f>
        <v>Santa Catarina</v>
      </c>
    </row>
    <row r="312" spans="1:13" x14ac:dyDescent="0.45">
      <c r="A312" t="s">
        <v>510</v>
      </c>
      <c r="B312" t="s">
        <v>508</v>
      </c>
      <c r="C312" t="s">
        <v>476</v>
      </c>
      <c r="D312" t="s">
        <v>18</v>
      </c>
      <c r="E312" t="s">
        <v>186</v>
      </c>
      <c r="F312">
        <v>1</v>
      </c>
      <c r="G312">
        <v>29.9</v>
      </c>
      <c r="H312">
        <v>16.5</v>
      </c>
      <c r="I312" t="s">
        <v>44</v>
      </c>
      <c r="J312">
        <v>10</v>
      </c>
      <c r="K312" t="s">
        <v>51</v>
      </c>
      <c r="L312">
        <v>5</v>
      </c>
      <c r="M312" t="str">
        <f>VLOOKUP(D312,State_Lookup!$A$2:$B$28,2,FALSE)</f>
        <v>Minas Gerais</v>
      </c>
    </row>
    <row r="313" spans="1:13" x14ac:dyDescent="0.45">
      <c r="A313" t="s">
        <v>511</v>
      </c>
      <c r="B313" t="s">
        <v>508</v>
      </c>
      <c r="C313" t="s">
        <v>476</v>
      </c>
      <c r="D313" t="s">
        <v>16</v>
      </c>
      <c r="E313" t="s">
        <v>43</v>
      </c>
      <c r="F313">
        <v>1</v>
      </c>
      <c r="G313">
        <v>59.9</v>
      </c>
      <c r="H313">
        <v>11.81</v>
      </c>
      <c r="I313" t="s">
        <v>44</v>
      </c>
      <c r="J313">
        <v>10</v>
      </c>
      <c r="K313" t="s">
        <v>51</v>
      </c>
      <c r="L313">
        <v>5</v>
      </c>
      <c r="M313" t="str">
        <f>VLOOKUP(D313,State_Lookup!$A$2:$B$28,2,FALSE)</f>
        <v>Sao Paulo</v>
      </c>
    </row>
    <row r="314" spans="1:13" x14ac:dyDescent="0.45">
      <c r="A314" t="s">
        <v>512</v>
      </c>
      <c r="B314" t="s">
        <v>513</v>
      </c>
      <c r="C314" t="s">
        <v>476</v>
      </c>
      <c r="D314" t="s">
        <v>16</v>
      </c>
      <c r="E314" t="s">
        <v>192</v>
      </c>
      <c r="F314">
        <v>1</v>
      </c>
      <c r="G314">
        <v>156</v>
      </c>
      <c r="H314">
        <v>11.7</v>
      </c>
      <c r="I314" t="s">
        <v>44</v>
      </c>
      <c r="J314">
        <v>4</v>
      </c>
      <c r="K314" t="s">
        <v>51</v>
      </c>
      <c r="L314">
        <v>3</v>
      </c>
      <c r="M314" t="str">
        <f>VLOOKUP(D314,State_Lookup!$A$2:$B$28,2,FALSE)</f>
        <v>Sao Paulo</v>
      </c>
    </row>
    <row r="315" spans="1:13" x14ac:dyDescent="0.45">
      <c r="A315" t="s">
        <v>514</v>
      </c>
      <c r="B315" t="s">
        <v>513</v>
      </c>
      <c r="C315" t="s">
        <v>476</v>
      </c>
      <c r="D315" t="s">
        <v>22</v>
      </c>
      <c r="E315" t="s">
        <v>66</v>
      </c>
      <c r="F315">
        <v>1</v>
      </c>
      <c r="G315">
        <v>18.95</v>
      </c>
      <c r="H315">
        <v>20.8</v>
      </c>
      <c r="I315" t="s">
        <v>44</v>
      </c>
      <c r="J315">
        <v>29</v>
      </c>
      <c r="K315" t="s">
        <v>51</v>
      </c>
      <c r="L315">
        <v>5</v>
      </c>
      <c r="M315" t="str">
        <f>VLOOKUP(D315,State_Lookup!$A$2:$B$28,2,FALSE)</f>
        <v>Bahia</v>
      </c>
    </row>
    <row r="316" spans="1:13" x14ac:dyDescent="0.45">
      <c r="A316" t="s">
        <v>515</v>
      </c>
      <c r="B316" t="s">
        <v>513</v>
      </c>
      <c r="C316" t="s">
        <v>476</v>
      </c>
      <c r="D316" t="s">
        <v>16</v>
      </c>
      <c r="E316" t="s">
        <v>152</v>
      </c>
      <c r="F316">
        <v>1</v>
      </c>
      <c r="G316">
        <v>48.9</v>
      </c>
      <c r="H316">
        <v>15.56</v>
      </c>
      <c r="I316" t="s">
        <v>44</v>
      </c>
      <c r="J316">
        <v>8</v>
      </c>
      <c r="K316" t="s">
        <v>51</v>
      </c>
      <c r="L316">
        <v>5</v>
      </c>
      <c r="M316" t="str">
        <f>VLOOKUP(D316,State_Lookup!$A$2:$B$28,2,FALSE)</f>
        <v>Sao Paulo</v>
      </c>
    </row>
    <row r="317" spans="1:13" x14ac:dyDescent="0.45">
      <c r="A317" t="s">
        <v>516</v>
      </c>
      <c r="B317" t="s">
        <v>513</v>
      </c>
      <c r="C317" t="s">
        <v>476</v>
      </c>
      <c r="D317" t="s">
        <v>19</v>
      </c>
      <c r="E317" t="s">
        <v>148</v>
      </c>
      <c r="F317">
        <v>1</v>
      </c>
      <c r="G317">
        <v>199</v>
      </c>
      <c r="H317">
        <v>15.16</v>
      </c>
      <c r="I317" t="s">
        <v>44</v>
      </c>
      <c r="K317" t="s">
        <v>45</v>
      </c>
      <c r="L317">
        <v>2</v>
      </c>
      <c r="M317" t="str">
        <f>VLOOKUP(D317,State_Lookup!$A$2:$B$28,2,FALSE)</f>
        <v>Rio Grande do Sul</v>
      </c>
    </row>
    <row r="318" spans="1:13" x14ac:dyDescent="0.45">
      <c r="A318" t="s">
        <v>517</v>
      </c>
      <c r="B318" t="s">
        <v>513</v>
      </c>
      <c r="C318" t="s">
        <v>476</v>
      </c>
      <c r="D318" t="s">
        <v>17</v>
      </c>
      <c r="E318" t="s">
        <v>148</v>
      </c>
      <c r="F318">
        <v>1</v>
      </c>
      <c r="G318">
        <v>99.99</v>
      </c>
      <c r="H318">
        <v>15.91</v>
      </c>
      <c r="I318" t="s">
        <v>44</v>
      </c>
      <c r="J318">
        <v>21</v>
      </c>
      <c r="K318" t="s">
        <v>51</v>
      </c>
      <c r="L318">
        <v>3</v>
      </c>
      <c r="M318" t="str">
        <f>VLOOKUP(D318,State_Lookup!$A$2:$B$28,2,FALSE)</f>
        <v>Rio de Janeiro</v>
      </c>
    </row>
    <row r="319" spans="1:13" x14ac:dyDescent="0.45">
      <c r="A319" t="s">
        <v>518</v>
      </c>
      <c r="B319" t="s">
        <v>513</v>
      </c>
      <c r="C319" t="s">
        <v>476</v>
      </c>
      <c r="D319" t="s">
        <v>17</v>
      </c>
      <c r="E319" t="s">
        <v>79</v>
      </c>
      <c r="F319">
        <v>1</v>
      </c>
      <c r="G319">
        <v>339.99</v>
      </c>
      <c r="H319">
        <v>17.14</v>
      </c>
      <c r="I319" t="s">
        <v>44</v>
      </c>
      <c r="J319">
        <v>8</v>
      </c>
      <c r="K319" t="s">
        <v>51</v>
      </c>
      <c r="L319">
        <v>5</v>
      </c>
      <c r="M319" t="str">
        <f>VLOOKUP(D319,State_Lookup!$A$2:$B$28,2,FALSE)</f>
        <v>Rio de Janeiro</v>
      </c>
    </row>
    <row r="320" spans="1:13" x14ac:dyDescent="0.45">
      <c r="A320" t="s">
        <v>519</v>
      </c>
      <c r="B320" t="s">
        <v>513</v>
      </c>
      <c r="C320" t="s">
        <v>476</v>
      </c>
      <c r="D320" t="s">
        <v>18</v>
      </c>
      <c r="E320" t="s">
        <v>61</v>
      </c>
      <c r="F320">
        <v>1</v>
      </c>
      <c r="G320">
        <v>129.9</v>
      </c>
      <c r="H320">
        <v>18.34</v>
      </c>
      <c r="I320" t="s">
        <v>44</v>
      </c>
      <c r="J320">
        <v>7</v>
      </c>
      <c r="K320" t="s">
        <v>51</v>
      </c>
      <c r="L320">
        <v>5</v>
      </c>
      <c r="M320" t="str">
        <f>VLOOKUP(D320,State_Lookup!$A$2:$B$28,2,FALSE)</f>
        <v>Minas Gerais</v>
      </c>
    </row>
    <row r="321" spans="1:13" x14ac:dyDescent="0.45">
      <c r="A321" t="s">
        <v>520</v>
      </c>
      <c r="B321" t="s">
        <v>521</v>
      </c>
      <c r="C321" t="s">
        <v>476</v>
      </c>
      <c r="D321" t="s">
        <v>19</v>
      </c>
      <c r="E321" t="s">
        <v>148</v>
      </c>
      <c r="F321">
        <v>1</v>
      </c>
      <c r="G321">
        <v>599</v>
      </c>
      <c r="H321">
        <v>24.01</v>
      </c>
      <c r="I321" t="s">
        <v>44</v>
      </c>
      <c r="J321">
        <v>9</v>
      </c>
      <c r="K321" t="s">
        <v>51</v>
      </c>
      <c r="L321">
        <v>5</v>
      </c>
      <c r="M321" t="str">
        <f>VLOOKUP(D321,State_Lookup!$A$2:$B$28,2,FALSE)</f>
        <v>Rio Grande do Sul</v>
      </c>
    </row>
    <row r="322" spans="1:13" x14ac:dyDescent="0.45">
      <c r="A322" t="s">
        <v>522</v>
      </c>
      <c r="B322" t="s">
        <v>523</v>
      </c>
      <c r="C322" t="s">
        <v>476</v>
      </c>
      <c r="D322" t="s">
        <v>16</v>
      </c>
      <c r="E322" t="s">
        <v>69</v>
      </c>
      <c r="F322">
        <v>1</v>
      </c>
      <c r="G322">
        <v>112</v>
      </c>
      <c r="H322">
        <v>16.48</v>
      </c>
      <c r="I322" t="s">
        <v>44</v>
      </c>
      <c r="J322">
        <v>8</v>
      </c>
      <c r="K322" t="s">
        <v>51</v>
      </c>
      <c r="L322">
        <v>5</v>
      </c>
      <c r="M322" t="str">
        <f>VLOOKUP(D322,State_Lookup!$A$2:$B$28,2,FALSE)</f>
        <v>Sao Paulo</v>
      </c>
    </row>
    <row r="323" spans="1:13" x14ac:dyDescent="0.45">
      <c r="A323" t="s">
        <v>524</v>
      </c>
      <c r="B323" t="s">
        <v>523</v>
      </c>
      <c r="C323" t="s">
        <v>476</v>
      </c>
      <c r="D323" t="s">
        <v>16</v>
      </c>
      <c r="E323" t="s">
        <v>132</v>
      </c>
      <c r="F323">
        <v>1</v>
      </c>
      <c r="G323">
        <v>49.9</v>
      </c>
      <c r="H323">
        <v>8.7200000000000006</v>
      </c>
      <c r="I323" t="s">
        <v>44</v>
      </c>
      <c r="J323">
        <v>5</v>
      </c>
      <c r="K323" t="s">
        <v>51</v>
      </c>
      <c r="L323">
        <v>5</v>
      </c>
      <c r="M323" t="str">
        <f>VLOOKUP(D323,State_Lookup!$A$2:$B$28,2,FALSE)</f>
        <v>Sao Paulo</v>
      </c>
    </row>
    <row r="324" spans="1:13" x14ac:dyDescent="0.45">
      <c r="A324" t="s">
        <v>525</v>
      </c>
      <c r="B324" t="s">
        <v>523</v>
      </c>
      <c r="C324" t="s">
        <v>476</v>
      </c>
      <c r="D324" t="s">
        <v>16</v>
      </c>
      <c r="E324" t="s">
        <v>69</v>
      </c>
      <c r="F324">
        <v>2</v>
      </c>
      <c r="G324">
        <v>224</v>
      </c>
      <c r="H324">
        <v>32.96</v>
      </c>
      <c r="I324" t="s">
        <v>44</v>
      </c>
      <c r="J324">
        <v>7</v>
      </c>
      <c r="K324" t="s">
        <v>51</v>
      </c>
      <c r="L324">
        <v>5</v>
      </c>
      <c r="M324" t="str">
        <f>VLOOKUP(D324,State_Lookup!$A$2:$B$28,2,FALSE)</f>
        <v>Sao Paulo</v>
      </c>
    </row>
    <row r="325" spans="1:13" x14ac:dyDescent="0.45">
      <c r="A325" t="s">
        <v>526</v>
      </c>
      <c r="B325" t="s">
        <v>527</v>
      </c>
      <c r="C325" t="s">
        <v>476</v>
      </c>
      <c r="D325" t="s">
        <v>16</v>
      </c>
      <c r="E325" t="s">
        <v>53</v>
      </c>
      <c r="F325">
        <v>1</v>
      </c>
      <c r="G325">
        <v>499.99</v>
      </c>
      <c r="H325">
        <v>18.260000000000002</v>
      </c>
      <c r="I325" t="s">
        <v>44</v>
      </c>
      <c r="J325">
        <v>6</v>
      </c>
      <c r="K325" t="s">
        <v>51</v>
      </c>
      <c r="L325">
        <v>5</v>
      </c>
      <c r="M325" t="str">
        <f>VLOOKUP(D325,State_Lookup!$A$2:$B$28,2,FALSE)</f>
        <v>Sao Paulo</v>
      </c>
    </row>
    <row r="326" spans="1:13" x14ac:dyDescent="0.45">
      <c r="A326" t="s">
        <v>528</v>
      </c>
      <c r="B326" t="s">
        <v>527</v>
      </c>
      <c r="C326" t="s">
        <v>476</v>
      </c>
      <c r="D326" t="s">
        <v>16</v>
      </c>
      <c r="E326" t="s">
        <v>49</v>
      </c>
      <c r="F326">
        <v>1</v>
      </c>
      <c r="G326">
        <v>239</v>
      </c>
      <c r="H326">
        <v>10.039999999999999</v>
      </c>
      <c r="I326" t="s">
        <v>44</v>
      </c>
      <c r="J326">
        <v>5</v>
      </c>
      <c r="K326" t="s">
        <v>51</v>
      </c>
      <c r="L326">
        <v>5</v>
      </c>
      <c r="M326" t="str">
        <f>VLOOKUP(D326,State_Lookup!$A$2:$B$28,2,FALSE)</f>
        <v>Sao Paulo</v>
      </c>
    </row>
    <row r="327" spans="1:13" x14ac:dyDescent="0.45">
      <c r="A327" t="s">
        <v>529</v>
      </c>
      <c r="B327" t="s">
        <v>527</v>
      </c>
      <c r="C327" t="s">
        <v>476</v>
      </c>
      <c r="D327" t="s">
        <v>24</v>
      </c>
      <c r="E327" t="s">
        <v>142</v>
      </c>
      <c r="F327">
        <v>1</v>
      </c>
      <c r="G327">
        <v>31</v>
      </c>
      <c r="H327">
        <v>8.7200000000000006</v>
      </c>
      <c r="I327" t="s">
        <v>44</v>
      </c>
      <c r="J327">
        <v>5</v>
      </c>
      <c r="K327" t="s">
        <v>51</v>
      </c>
      <c r="L327">
        <v>5</v>
      </c>
      <c r="M327" t="str">
        <f>VLOOKUP(D327,State_Lookup!$A$2:$B$28,2,FALSE)</f>
        <v>Distrito Federal</v>
      </c>
    </row>
    <row r="328" spans="1:13" x14ac:dyDescent="0.45">
      <c r="A328" t="s">
        <v>530</v>
      </c>
      <c r="B328" t="s">
        <v>531</v>
      </c>
      <c r="C328" t="s">
        <v>476</v>
      </c>
      <c r="D328" t="s">
        <v>19</v>
      </c>
      <c r="E328" t="s">
        <v>340</v>
      </c>
      <c r="F328">
        <v>1</v>
      </c>
      <c r="G328">
        <v>48.9</v>
      </c>
      <c r="H328">
        <v>37.92</v>
      </c>
      <c r="I328" t="s">
        <v>50</v>
      </c>
      <c r="J328">
        <v>24</v>
      </c>
      <c r="K328" t="s">
        <v>51</v>
      </c>
      <c r="L328">
        <v>5</v>
      </c>
      <c r="M328" t="str">
        <f>VLOOKUP(D328,State_Lookup!$A$2:$B$28,2,FALSE)</f>
        <v>Rio Grande do Sul</v>
      </c>
    </row>
    <row r="329" spans="1:13" x14ac:dyDescent="0.45">
      <c r="A329" t="s">
        <v>532</v>
      </c>
      <c r="B329" t="s">
        <v>531</v>
      </c>
      <c r="C329" t="s">
        <v>476</v>
      </c>
      <c r="D329" t="s">
        <v>16</v>
      </c>
      <c r="E329" t="s">
        <v>64</v>
      </c>
      <c r="F329">
        <v>1</v>
      </c>
      <c r="G329">
        <v>59.9</v>
      </c>
      <c r="H329">
        <v>14.59</v>
      </c>
      <c r="I329" t="s">
        <v>44</v>
      </c>
      <c r="J329">
        <v>15</v>
      </c>
      <c r="K329" t="s">
        <v>51</v>
      </c>
      <c r="L329">
        <v>5</v>
      </c>
      <c r="M329" t="str">
        <f>VLOOKUP(D329,State_Lookup!$A$2:$B$28,2,FALSE)</f>
        <v>Sao Paulo</v>
      </c>
    </row>
    <row r="330" spans="1:13" x14ac:dyDescent="0.45">
      <c r="A330" t="s">
        <v>533</v>
      </c>
      <c r="B330" t="s">
        <v>534</v>
      </c>
      <c r="C330" t="s">
        <v>476</v>
      </c>
      <c r="D330" t="s">
        <v>16</v>
      </c>
      <c r="E330" t="s">
        <v>53</v>
      </c>
      <c r="F330">
        <v>1</v>
      </c>
      <c r="G330">
        <v>42.99</v>
      </c>
      <c r="H330">
        <v>8.7200000000000006</v>
      </c>
      <c r="I330" t="s">
        <v>44</v>
      </c>
      <c r="J330">
        <v>4</v>
      </c>
      <c r="K330" t="s">
        <v>51</v>
      </c>
      <c r="L330">
        <v>5</v>
      </c>
      <c r="M330" t="str">
        <f>VLOOKUP(D330,State_Lookup!$A$2:$B$28,2,FALSE)</f>
        <v>Sao Paulo</v>
      </c>
    </row>
    <row r="331" spans="1:13" x14ac:dyDescent="0.45">
      <c r="A331" t="s">
        <v>535</v>
      </c>
      <c r="B331" t="s">
        <v>534</v>
      </c>
      <c r="C331" t="s">
        <v>476</v>
      </c>
      <c r="D331" t="s">
        <v>16</v>
      </c>
      <c r="E331" t="s">
        <v>148</v>
      </c>
      <c r="F331">
        <v>1</v>
      </c>
      <c r="G331">
        <v>99.99</v>
      </c>
      <c r="H331">
        <v>9.07</v>
      </c>
      <c r="I331" t="s">
        <v>44</v>
      </c>
      <c r="J331">
        <v>5</v>
      </c>
      <c r="K331" t="s">
        <v>51</v>
      </c>
      <c r="L331">
        <v>5</v>
      </c>
      <c r="M331" t="str">
        <f>VLOOKUP(D331,State_Lookup!$A$2:$B$28,2,FALSE)</f>
        <v>Sao Paulo</v>
      </c>
    </row>
    <row r="332" spans="1:13" x14ac:dyDescent="0.45">
      <c r="A332" t="s">
        <v>536</v>
      </c>
      <c r="B332" t="s">
        <v>534</v>
      </c>
      <c r="C332" t="s">
        <v>476</v>
      </c>
      <c r="D332" t="s">
        <v>16</v>
      </c>
      <c r="E332" t="s">
        <v>537</v>
      </c>
      <c r="F332">
        <v>1</v>
      </c>
      <c r="G332">
        <v>209.99</v>
      </c>
      <c r="H332">
        <v>42.31</v>
      </c>
      <c r="I332" t="s">
        <v>50</v>
      </c>
      <c r="J332">
        <v>33</v>
      </c>
      <c r="K332" t="s">
        <v>143</v>
      </c>
      <c r="L332">
        <v>1</v>
      </c>
      <c r="M332" t="str">
        <f>VLOOKUP(D332,State_Lookup!$A$2:$B$28,2,FALSE)</f>
        <v>Sao Paulo</v>
      </c>
    </row>
    <row r="333" spans="1:13" x14ac:dyDescent="0.45">
      <c r="A333" t="s">
        <v>538</v>
      </c>
      <c r="B333" t="s">
        <v>534</v>
      </c>
      <c r="C333" t="s">
        <v>476</v>
      </c>
      <c r="D333" t="s">
        <v>17</v>
      </c>
      <c r="E333" t="s">
        <v>125</v>
      </c>
      <c r="F333">
        <v>1</v>
      </c>
      <c r="G333">
        <v>29.9</v>
      </c>
      <c r="H333">
        <v>16.05</v>
      </c>
      <c r="I333" t="s">
        <v>50</v>
      </c>
      <c r="J333">
        <v>26</v>
      </c>
      <c r="K333" t="s">
        <v>51</v>
      </c>
      <c r="L333">
        <v>5</v>
      </c>
      <c r="M333" t="str">
        <f>VLOOKUP(D333,State_Lookup!$A$2:$B$28,2,FALSE)</f>
        <v>Rio de Janeiro</v>
      </c>
    </row>
    <row r="334" spans="1:13" x14ac:dyDescent="0.45">
      <c r="A334" t="s">
        <v>539</v>
      </c>
      <c r="B334" t="s">
        <v>540</v>
      </c>
      <c r="C334" t="s">
        <v>476</v>
      </c>
      <c r="D334" t="s">
        <v>19</v>
      </c>
      <c r="E334" t="s">
        <v>43</v>
      </c>
      <c r="F334">
        <v>1</v>
      </c>
      <c r="G334">
        <v>32.99</v>
      </c>
      <c r="H334">
        <v>15.65</v>
      </c>
      <c r="I334" t="s">
        <v>44</v>
      </c>
      <c r="J334">
        <v>10</v>
      </c>
      <c r="K334" t="s">
        <v>51</v>
      </c>
      <c r="L334">
        <v>5</v>
      </c>
      <c r="M334" t="str">
        <f>VLOOKUP(D334,State_Lookup!$A$2:$B$28,2,FALSE)</f>
        <v>Rio Grande do Sul</v>
      </c>
    </row>
    <row r="335" spans="1:13" x14ac:dyDescent="0.45">
      <c r="A335" t="s">
        <v>541</v>
      </c>
      <c r="B335" t="s">
        <v>540</v>
      </c>
      <c r="C335" t="s">
        <v>476</v>
      </c>
      <c r="D335" t="s">
        <v>113</v>
      </c>
      <c r="E335" t="s">
        <v>157</v>
      </c>
      <c r="F335">
        <v>1</v>
      </c>
      <c r="G335">
        <v>279.89999999999998</v>
      </c>
      <c r="H335">
        <v>26.45</v>
      </c>
      <c r="I335" t="s">
        <v>44</v>
      </c>
      <c r="J335">
        <v>16</v>
      </c>
      <c r="K335" t="s">
        <v>51</v>
      </c>
      <c r="L335">
        <v>5</v>
      </c>
      <c r="M335" t="str">
        <f>VLOOKUP(D335,State_Lookup!$A$2:$B$28,2,FALSE)</f>
        <v>Piaui</v>
      </c>
    </row>
    <row r="336" spans="1:13" x14ac:dyDescent="0.45">
      <c r="A336" t="s">
        <v>542</v>
      </c>
      <c r="B336" t="s">
        <v>543</v>
      </c>
      <c r="C336" t="s">
        <v>476</v>
      </c>
      <c r="D336" t="s">
        <v>16</v>
      </c>
      <c r="E336" t="s">
        <v>157</v>
      </c>
      <c r="F336">
        <v>1</v>
      </c>
      <c r="G336">
        <v>123.43</v>
      </c>
      <c r="H336">
        <v>11.47</v>
      </c>
      <c r="I336" t="s">
        <v>44</v>
      </c>
      <c r="J336">
        <v>3</v>
      </c>
      <c r="K336" t="s">
        <v>51</v>
      </c>
      <c r="L336">
        <v>5</v>
      </c>
      <c r="M336" t="str">
        <f>VLOOKUP(D336,State_Lookup!$A$2:$B$28,2,FALSE)</f>
        <v>Sao Paulo</v>
      </c>
    </row>
    <row r="337" spans="1:13" x14ac:dyDescent="0.45">
      <c r="A337" t="s">
        <v>544</v>
      </c>
      <c r="B337" t="s">
        <v>543</v>
      </c>
      <c r="C337" t="s">
        <v>476</v>
      </c>
      <c r="D337" t="s">
        <v>16</v>
      </c>
      <c r="E337" t="s">
        <v>49</v>
      </c>
      <c r="F337">
        <v>1</v>
      </c>
      <c r="G337">
        <v>12.98</v>
      </c>
      <c r="H337">
        <v>14.52</v>
      </c>
      <c r="I337" t="s">
        <v>50</v>
      </c>
      <c r="J337">
        <v>30</v>
      </c>
      <c r="K337" t="s">
        <v>143</v>
      </c>
      <c r="L337">
        <v>3</v>
      </c>
      <c r="M337" t="str">
        <f>VLOOKUP(D337,State_Lookup!$A$2:$B$28,2,FALSE)</f>
        <v>Sao Paulo</v>
      </c>
    </row>
    <row r="338" spans="1:13" x14ac:dyDescent="0.45">
      <c r="A338" t="s">
        <v>545</v>
      </c>
      <c r="B338" t="s">
        <v>543</v>
      </c>
      <c r="C338" t="s">
        <v>476</v>
      </c>
      <c r="D338" t="s">
        <v>16</v>
      </c>
      <c r="E338" t="s">
        <v>69</v>
      </c>
      <c r="F338">
        <v>1</v>
      </c>
      <c r="G338">
        <v>16.899999999999999</v>
      </c>
      <c r="H338">
        <v>10.96</v>
      </c>
      <c r="I338" t="s">
        <v>44</v>
      </c>
      <c r="J338">
        <v>3</v>
      </c>
      <c r="K338" t="s">
        <v>51</v>
      </c>
      <c r="L338">
        <v>5</v>
      </c>
      <c r="M338" t="str">
        <f>VLOOKUP(D338,State_Lookup!$A$2:$B$28,2,FALSE)</f>
        <v>Sao Paulo</v>
      </c>
    </row>
    <row r="339" spans="1:13" x14ac:dyDescent="0.45">
      <c r="A339" t="s">
        <v>546</v>
      </c>
      <c r="B339" t="s">
        <v>547</v>
      </c>
      <c r="C339" t="s">
        <v>476</v>
      </c>
      <c r="D339" t="s">
        <v>16</v>
      </c>
      <c r="E339" t="s">
        <v>110</v>
      </c>
      <c r="F339">
        <v>1</v>
      </c>
      <c r="G339">
        <v>274.89999999999998</v>
      </c>
      <c r="H339">
        <v>62.28</v>
      </c>
      <c r="I339" t="s">
        <v>44</v>
      </c>
      <c r="J339">
        <v>14</v>
      </c>
      <c r="K339" t="s">
        <v>51</v>
      </c>
      <c r="L339">
        <v>5</v>
      </c>
      <c r="M339" t="str">
        <f>VLOOKUP(D339,State_Lookup!$A$2:$B$28,2,FALSE)</f>
        <v>Sao Paulo</v>
      </c>
    </row>
    <row r="340" spans="1:13" x14ac:dyDescent="0.45">
      <c r="A340" t="s">
        <v>548</v>
      </c>
      <c r="B340" t="s">
        <v>547</v>
      </c>
      <c r="C340" t="s">
        <v>476</v>
      </c>
      <c r="D340" t="s">
        <v>16</v>
      </c>
      <c r="E340" t="s">
        <v>267</v>
      </c>
      <c r="F340">
        <v>1</v>
      </c>
      <c r="G340">
        <v>61</v>
      </c>
      <c r="H340">
        <v>15.64</v>
      </c>
      <c r="I340" t="s">
        <v>108</v>
      </c>
      <c r="J340">
        <v>22</v>
      </c>
      <c r="K340" t="s">
        <v>51</v>
      </c>
      <c r="L340">
        <v>5</v>
      </c>
      <c r="M340" t="str">
        <f>VLOOKUP(D340,State_Lookup!$A$2:$B$28,2,FALSE)</f>
        <v>Sao Paulo</v>
      </c>
    </row>
    <row r="341" spans="1:13" x14ac:dyDescent="0.45">
      <c r="A341" t="s">
        <v>549</v>
      </c>
      <c r="B341" t="s">
        <v>547</v>
      </c>
      <c r="C341" t="s">
        <v>476</v>
      </c>
      <c r="D341" t="s">
        <v>16</v>
      </c>
      <c r="E341" t="s">
        <v>61</v>
      </c>
      <c r="F341">
        <v>1</v>
      </c>
      <c r="G341">
        <v>196</v>
      </c>
      <c r="H341">
        <v>11.98</v>
      </c>
      <c r="I341" t="s">
        <v>108</v>
      </c>
      <c r="J341">
        <v>7</v>
      </c>
      <c r="K341" t="s">
        <v>51</v>
      </c>
      <c r="L341">
        <v>5</v>
      </c>
      <c r="M341" t="str">
        <f>VLOOKUP(D341,State_Lookup!$A$2:$B$28,2,FALSE)</f>
        <v>Sao Paulo</v>
      </c>
    </row>
    <row r="342" spans="1:13" x14ac:dyDescent="0.45">
      <c r="A342" t="s">
        <v>550</v>
      </c>
      <c r="B342" t="s">
        <v>547</v>
      </c>
      <c r="C342" t="s">
        <v>476</v>
      </c>
      <c r="D342" t="s">
        <v>23</v>
      </c>
      <c r="E342" t="s">
        <v>64</v>
      </c>
      <c r="F342">
        <v>1</v>
      </c>
      <c r="G342">
        <v>57.9</v>
      </c>
      <c r="H342">
        <v>14.58</v>
      </c>
      <c r="I342" t="s">
        <v>50</v>
      </c>
      <c r="J342">
        <v>29</v>
      </c>
      <c r="K342" t="s">
        <v>143</v>
      </c>
      <c r="L342">
        <v>2</v>
      </c>
      <c r="M342" t="str">
        <f>VLOOKUP(D342,State_Lookup!$A$2:$B$28,2,FALSE)</f>
        <v>Espirito Santo</v>
      </c>
    </row>
    <row r="343" spans="1:13" x14ac:dyDescent="0.45">
      <c r="A343" t="s">
        <v>551</v>
      </c>
      <c r="B343" t="s">
        <v>552</v>
      </c>
      <c r="C343" t="s">
        <v>476</v>
      </c>
      <c r="D343" t="s">
        <v>17</v>
      </c>
      <c r="E343" t="s">
        <v>110</v>
      </c>
      <c r="F343">
        <v>1</v>
      </c>
      <c r="G343">
        <v>65.900000000000006</v>
      </c>
      <c r="H343">
        <v>17.2</v>
      </c>
      <c r="I343" t="s">
        <v>50</v>
      </c>
      <c r="J343">
        <v>19</v>
      </c>
      <c r="K343" t="s">
        <v>51</v>
      </c>
      <c r="L343">
        <v>5</v>
      </c>
      <c r="M343" t="str">
        <f>VLOOKUP(D343,State_Lookup!$A$2:$B$28,2,FALSE)</f>
        <v>Rio de Janeiro</v>
      </c>
    </row>
    <row r="344" spans="1:13" x14ac:dyDescent="0.45">
      <c r="A344" t="s">
        <v>553</v>
      </c>
      <c r="B344" t="s">
        <v>552</v>
      </c>
      <c r="C344" t="s">
        <v>476</v>
      </c>
      <c r="D344" t="s">
        <v>17</v>
      </c>
      <c r="E344" t="s">
        <v>61</v>
      </c>
      <c r="F344">
        <v>1</v>
      </c>
      <c r="G344">
        <v>358</v>
      </c>
      <c r="H344">
        <v>13.9</v>
      </c>
      <c r="I344" t="s">
        <v>50</v>
      </c>
      <c r="J344">
        <v>13</v>
      </c>
      <c r="K344" t="s">
        <v>51</v>
      </c>
      <c r="L344">
        <v>4</v>
      </c>
      <c r="M344" t="str">
        <f>VLOOKUP(D344,State_Lookup!$A$2:$B$28,2,FALSE)</f>
        <v>Rio de Janeiro</v>
      </c>
    </row>
    <row r="345" spans="1:13" x14ac:dyDescent="0.45">
      <c r="A345" t="s">
        <v>554</v>
      </c>
      <c r="B345" t="s">
        <v>552</v>
      </c>
      <c r="C345" t="s">
        <v>476</v>
      </c>
      <c r="D345" t="s">
        <v>16</v>
      </c>
      <c r="E345" t="s">
        <v>244</v>
      </c>
      <c r="F345">
        <v>1</v>
      </c>
      <c r="G345">
        <v>699</v>
      </c>
      <c r="H345">
        <v>15.5</v>
      </c>
      <c r="I345" t="s">
        <v>44</v>
      </c>
      <c r="J345">
        <v>28</v>
      </c>
      <c r="K345" t="s">
        <v>143</v>
      </c>
      <c r="L345">
        <v>1</v>
      </c>
      <c r="M345" t="str">
        <f>VLOOKUP(D345,State_Lookup!$A$2:$B$28,2,FALSE)</f>
        <v>Sao Paulo</v>
      </c>
    </row>
    <row r="346" spans="1:13" x14ac:dyDescent="0.45">
      <c r="A346" t="s">
        <v>555</v>
      </c>
      <c r="B346" t="s">
        <v>552</v>
      </c>
      <c r="C346" t="s">
        <v>476</v>
      </c>
      <c r="D346" t="s">
        <v>16</v>
      </c>
      <c r="E346" t="s">
        <v>66</v>
      </c>
      <c r="F346">
        <v>1</v>
      </c>
      <c r="G346">
        <v>99.9</v>
      </c>
      <c r="H346">
        <v>14.87</v>
      </c>
      <c r="I346" t="s">
        <v>44</v>
      </c>
      <c r="J346">
        <v>19</v>
      </c>
      <c r="K346" t="s">
        <v>51</v>
      </c>
      <c r="L346">
        <v>4</v>
      </c>
      <c r="M346" t="str">
        <f>VLOOKUP(D346,State_Lookup!$A$2:$B$28,2,FALSE)</f>
        <v>Sao Paulo</v>
      </c>
    </row>
    <row r="347" spans="1:13" x14ac:dyDescent="0.45">
      <c r="A347" t="s">
        <v>556</v>
      </c>
      <c r="B347" t="s">
        <v>552</v>
      </c>
      <c r="C347" t="s">
        <v>476</v>
      </c>
      <c r="D347" t="s">
        <v>17</v>
      </c>
      <c r="E347" t="s">
        <v>142</v>
      </c>
      <c r="F347">
        <v>1</v>
      </c>
      <c r="G347">
        <v>106.94</v>
      </c>
      <c r="H347">
        <v>26.25</v>
      </c>
      <c r="I347" t="s">
        <v>50</v>
      </c>
      <c r="J347">
        <v>26</v>
      </c>
      <c r="K347" t="s">
        <v>51</v>
      </c>
      <c r="L347">
        <v>3</v>
      </c>
      <c r="M347" t="str">
        <f>VLOOKUP(D347,State_Lookup!$A$2:$B$28,2,FALSE)</f>
        <v>Rio de Janeiro</v>
      </c>
    </row>
    <row r="348" spans="1:13" x14ac:dyDescent="0.45">
      <c r="A348" t="s">
        <v>557</v>
      </c>
      <c r="B348" t="s">
        <v>552</v>
      </c>
      <c r="C348" t="s">
        <v>476</v>
      </c>
      <c r="D348" t="s">
        <v>16</v>
      </c>
      <c r="E348" t="s">
        <v>157</v>
      </c>
      <c r="F348">
        <v>6</v>
      </c>
      <c r="G348">
        <v>185.4</v>
      </c>
      <c r="H348">
        <v>87.12</v>
      </c>
      <c r="I348" t="s">
        <v>50</v>
      </c>
      <c r="J348">
        <v>14</v>
      </c>
      <c r="K348" t="s">
        <v>51</v>
      </c>
      <c r="L348">
        <v>2</v>
      </c>
      <c r="M348" t="str">
        <f>VLOOKUP(D348,State_Lookup!$A$2:$B$28,2,FALSE)</f>
        <v>Sao Paulo</v>
      </c>
    </row>
    <row r="349" spans="1:13" x14ac:dyDescent="0.45">
      <c r="A349" t="s">
        <v>558</v>
      </c>
      <c r="B349" t="s">
        <v>552</v>
      </c>
      <c r="C349" t="s">
        <v>476</v>
      </c>
      <c r="D349" t="s">
        <v>17</v>
      </c>
      <c r="E349" t="s">
        <v>157</v>
      </c>
      <c r="F349">
        <v>1</v>
      </c>
      <c r="G349">
        <v>799</v>
      </c>
      <c r="H349">
        <v>19.350000000000001</v>
      </c>
      <c r="I349" t="s">
        <v>44</v>
      </c>
      <c r="J349">
        <v>27</v>
      </c>
      <c r="K349" t="s">
        <v>143</v>
      </c>
      <c r="L349">
        <v>1</v>
      </c>
      <c r="M349" t="str">
        <f>VLOOKUP(D349,State_Lookup!$A$2:$B$28,2,FALSE)</f>
        <v>Rio de Janeiro</v>
      </c>
    </row>
    <row r="350" spans="1:13" x14ac:dyDescent="0.45">
      <c r="A350" t="s">
        <v>559</v>
      </c>
      <c r="B350" t="s">
        <v>552</v>
      </c>
      <c r="C350" t="s">
        <v>476</v>
      </c>
      <c r="D350" t="s">
        <v>22</v>
      </c>
      <c r="E350" t="s">
        <v>79</v>
      </c>
      <c r="F350">
        <v>1</v>
      </c>
      <c r="G350">
        <v>64.989999999999995</v>
      </c>
      <c r="H350">
        <v>20.9</v>
      </c>
      <c r="I350" t="s">
        <v>50</v>
      </c>
      <c r="K350" t="s">
        <v>45</v>
      </c>
      <c r="M350" t="str">
        <f>VLOOKUP(D350,State_Lookup!$A$2:$B$28,2,FALSE)</f>
        <v>Bahia</v>
      </c>
    </row>
    <row r="351" spans="1:13" x14ac:dyDescent="0.45">
      <c r="A351" t="s">
        <v>560</v>
      </c>
      <c r="B351" t="s">
        <v>552</v>
      </c>
      <c r="C351" t="s">
        <v>476</v>
      </c>
      <c r="D351" t="s">
        <v>19</v>
      </c>
      <c r="E351" t="s">
        <v>66</v>
      </c>
      <c r="F351">
        <v>2</v>
      </c>
      <c r="G351">
        <v>98</v>
      </c>
      <c r="H351">
        <v>32.1</v>
      </c>
      <c r="I351" t="s">
        <v>44</v>
      </c>
      <c r="J351">
        <v>15</v>
      </c>
      <c r="K351" t="s">
        <v>51</v>
      </c>
      <c r="L351">
        <v>5</v>
      </c>
      <c r="M351" t="str">
        <f>VLOOKUP(D351,State_Lookup!$A$2:$B$28,2,FALSE)</f>
        <v>Rio Grande do Sul</v>
      </c>
    </row>
    <row r="352" spans="1:13" x14ac:dyDescent="0.45">
      <c r="A352" t="s">
        <v>561</v>
      </c>
      <c r="B352" t="s">
        <v>562</v>
      </c>
      <c r="C352" t="s">
        <v>476</v>
      </c>
      <c r="D352" t="s">
        <v>20</v>
      </c>
      <c r="E352" t="s">
        <v>103</v>
      </c>
      <c r="F352">
        <v>1</v>
      </c>
      <c r="G352">
        <v>109.9</v>
      </c>
      <c r="H352">
        <v>13.35</v>
      </c>
      <c r="I352" t="s">
        <v>44</v>
      </c>
      <c r="J352">
        <v>14</v>
      </c>
      <c r="K352" t="s">
        <v>51</v>
      </c>
      <c r="L352">
        <v>3</v>
      </c>
      <c r="M352" t="str">
        <f>VLOOKUP(D352,State_Lookup!$A$2:$B$28,2,FALSE)</f>
        <v>Parana</v>
      </c>
    </row>
    <row r="353" spans="1:13" x14ac:dyDescent="0.45">
      <c r="A353" t="s">
        <v>563</v>
      </c>
      <c r="B353" t="s">
        <v>562</v>
      </c>
      <c r="C353" t="s">
        <v>476</v>
      </c>
      <c r="D353" t="s">
        <v>23</v>
      </c>
      <c r="E353" t="s">
        <v>49</v>
      </c>
      <c r="F353">
        <v>1</v>
      </c>
      <c r="G353">
        <v>69.900000000000006</v>
      </c>
      <c r="H353">
        <v>15.7</v>
      </c>
      <c r="I353" t="s">
        <v>44</v>
      </c>
      <c r="J353">
        <v>18</v>
      </c>
      <c r="K353" t="s">
        <v>51</v>
      </c>
      <c r="L353">
        <v>4</v>
      </c>
      <c r="M353" t="str">
        <f>VLOOKUP(D353,State_Lookup!$A$2:$B$28,2,FALSE)</f>
        <v>Espirito Santo</v>
      </c>
    </row>
    <row r="354" spans="1:13" x14ac:dyDescent="0.45">
      <c r="A354" t="s">
        <v>564</v>
      </c>
      <c r="B354" t="s">
        <v>562</v>
      </c>
      <c r="C354" t="s">
        <v>476</v>
      </c>
      <c r="D354" t="s">
        <v>25</v>
      </c>
      <c r="E354" t="s">
        <v>49</v>
      </c>
      <c r="F354">
        <v>1</v>
      </c>
      <c r="G354">
        <v>19.899999999999999</v>
      </c>
      <c r="H354">
        <v>17.78</v>
      </c>
      <c r="I354" t="s">
        <v>44</v>
      </c>
      <c r="J354">
        <v>13</v>
      </c>
      <c r="K354" t="s">
        <v>51</v>
      </c>
      <c r="L354">
        <v>3</v>
      </c>
      <c r="M354" t="str">
        <f>VLOOKUP(D354,State_Lookup!$A$2:$B$28,2,FALSE)</f>
        <v>Goias</v>
      </c>
    </row>
    <row r="355" spans="1:13" x14ac:dyDescent="0.45">
      <c r="A355" t="s">
        <v>565</v>
      </c>
      <c r="B355" t="s">
        <v>562</v>
      </c>
      <c r="C355" t="s">
        <v>476</v>
      </c>
      <c r="D355" t="s">
        <v>17</v>
      </c>
      <c r="E355" t="s">
        <v>100</v>
      </c>
      <c r="F355">
        <v>4</v>
      </c>
      <c r="G355">
        <v>214</v>
      </c>
      <c r="H355">
        <v>61.48</v>
      </c>
      <c r="I355" t="s">
        <v>50</v>
      </c>
      <c r="J355">
        <v>14</v>
      </c>
      <c r="K355" t="s">
        <v>51</v>
      </c>
      <c r="L355">
        <v>5</v>
      </c>
      <c r="M355" t="str">
        <f>VLOOKUP(D355,State_Lookup!$A$2:$B$28,2,FALSE)</f>
        <v>Rio de Janeiro</v>
      </c>
    </row>
    <row r="356" spans="1:13" x14ac:dyDescent="0.45">
      <c r="A356" t="s">
        <v>566</v>
      </c>
      <c r="B356" t="s">
        <v>567</v>
      </c>
      <c r="C356" t="s">
        <v>476</v>
      </c>
      <c r="D356" t="s">
        <v>20</v>
      </c>
      <c r="E356" t="s">
        <v>66</v>
      </c>
      <c r="F356">
        <v>1</v>
      </c>
      <c r="G356">
        <v>29.99</v>
      </c>
      <c r="H356">
        <v>14.52</v>
      </c>
      <c r="I356" t="s">
        <v>44</v>
      </c>
      <c r="J356">
        <v>10</v>
      </c>
      <c r="K356" t="s">
        <v>51</v>
      </c>
      <c r="L356">
        <v>1</v>
      </c>
      <c r="M356" t="str">
        <f>VLOOKUP(D356,State_Lookup!$A$2:$B$28,2,FALSE)</f>
        <v>Parana</v>
      </c>
    </row>
    <row r="357" spans="1:13" x14ac:dyDescent="0.45">
      <c r="A357" t="s">
        <v>568</v>
      </c>
      <c r="B357" t="s">
        <v>567</v>
      </c>
      <c r="C357" t="s">
        <v>476</v>
      </c>
      <c r="D357" t="s">
        <v>18</v>
      </c>
      <c r="E357" t="s">
        <v>43</v>
      </c>
      <c r="F357">
        <v>1</v>
      </c>
      <c r="G357">
        <v>36.9</v>
      </c>
      <c r="H357">
        <v>14.52</v>
      </c>
      <c r="I357" t="s">
        <v>44</v>
      </c>
      <c r="J357">
        <v>10</v>
      </c>
      <c r="K357" t="s">
        <v>51</v>
      </c>
      <c r="L357">
        <v>4</v>
      </c>
      <c r="M357" t="str">
        <f>VLOOKUP(D357,State_Lookup!$A$2:$B$28,2,FALSE)</f>
        <v>Minas Gerais</v>
      </c>
    </row>
    <row r="358" spans="1:13" x14ac:dyDescent="0.45">
      <c r="A358" t="s">
        <v>569</v>
      </c>
      <c r="B358" t="s">
        <v>567</v>
      </c>
      <c r="C358" t="s">
        <v>476</v>
      </c>
      <c r="D358" t="s">
        <v>16</v>
      </c>
      <c r="E358" t="s">
        <v>125</v>
      </c>
      <c r="F358">
        <v>1</v>
      </c>
      <c r="G358">
        <v>415.99</v>
      </c>
      <c r="H358">
        <v>13.52</v>
      </c>
      <c r="I358" t="s">
        <v>133</v>
      </c>
      <c r="J358">
        <v>11</v>
      </c>
      <c r="K358" t="s">
        <v>51</v>
      </c>
      <c r="L358">
        <v>5</v>
      </c>
      <c r="M358" t="str">
        <f>VLOOKUP(D358,State_Lookup!$A$2:$B$28,2,FALSE)</f>
        <v>Sao Paulo</v>
      </c>
    </row>
    <row r="359" spans="1:13" x14ac:dyDescent="0.45">
      <c r="A359" t="s">
        <v>570</v>
      </c>
      <c r="B359" t="s">
        <v>567</v>
      </c>
      <c r="C359" t="s">
        <v>476</v>
      </c>
      <c r="D359" t="s">
        <v>21</v>
      </c>
      <c r="E359" t="s">
        <v>142</v>
      </c>
      <c r="F359">
        <v>1</v>
      </c>
      <c r="G359">
        <v>169.9</v>
      </c>
      <c r="H359">
        <v>17.34</v>
      </c>
      <c r="I359" t="s">
        <v>44</v>
      </c>
      <c r="J359">
        <v>11</v>
      </c>
      <c r="K359" t="s">
        <v>51</v>
      </c>
      <c r="L359">
        <v>5</v>
      </c>
      <c r="M359" t="str">
        <f>VLOOKUP(D359,State_Lookup!$A$2:$B$28,2,FALSE)</f>
        <v>Santa Catarina</v>
      </c>
    </row>
    <row r="360" spans="1:13" x14ac:dyDescent="0.45">
      <c r="A360" t="s">
        <v>571</v>
      </c>
      <c r="B360" t="s">
        <v>572</v>
      </c>
      <c r="C360" t="s">
        <v>476</v>
      </c>
      <c r="D360" t="s">
        <v>17</v>
      </c>
      <c r="E360" t="s">
        <v>132</v>
      </c>
      <c r="F360">
        <v>1</v>
      </c>
      <c r="G360">
        <v>79.900000000000006</v>
      </c>
      <c r="H360">
        <v>11.17</v>
      </c>
      <c r="I360" t="s">
        <v>50</v>
      </c>
      <c r="J360">
        <v>6</v>
      </c>
      <c r="K360" t="s">
        <v>51</v>
      </c>
      <c r="L360">
        <v>5</v>
      </c>
      <c r="M360" t="str">
        <f>VLOOKUP(D360,State_Lookup!$A$2:$B$28,2,FALSE)</f>
        <v>Rio de Janeiro</v>
      </c>
    </row>
    <row r="361" spans="1:13" x14ac:dyDescent="0.45">
      <c r="A361" t="s">
        <v>573</v>
      </c>
      <c r="B361" t="s">
        <v>572</v>
      </c>
      <c r="C361" t="s">
        <v>476</v>
      </c>
      <c r="D361" t="s">
        <v>128</v>
      </c>
      <c r="E361" t="s">
        <v>49</v>
      </c>
      <c r="F361">
        <v>1</v>
      </c>
      <c r="G361">
        <v>107</v>
      </c>
      <c r="H361">
        <v>25.24</v>
      </c>
      <c r="I361" t="s">
        <v>44</v>
      </c>
      <c r="J361">
        <v>18</v>
      </c>
      <c r="K361" t="s">
        <v>51</v>
      </c>
      <c r="L361">
        <v>5</v>
      </c>
      <c r="M361" t="str">
        <f>VLOOKUP(D361,State_Lookup!$A$2:$B$28,2,FALSE)</f>
        <v>Ceara</v>
      </c>
    </row>
    <row r="362" spans="1:13" x14ac:dyDescent="0.45">
      <c r="A362" t="s">
        <v>574</v>
      </c>
      <c r="B362" t="s">
        <v>572</v>
      </c>
      <c r="C362" t="s">
        <v>476</v>
      </c>
      <c r="D362" t="s">
        <v>16</v>
      </c>
      <c r="E362" t="s">
        <v>49</v>
      </c>
      <c r="F362">
        <v>1</v>
      </c>
      <c r="G362">
        <v>98.9</v>
      </c>
      <c r="H362">
        <v>15.9</v>
      </c>
      <c r="I362" t="s">
        <v>50</v>
      </c>
      <c r="J362">
        <v>5</v>
      </c>
      <c r="K362" t="s">
        <v>51</v>
      </c>
      <c r="L362">
        <v>5</v>
      </c>
      <c r="M362" t="str">
        <f>VLOOKUP(D362,State_Lookup!$A$2:$B$28,2,FALSE)</f>
        <v>Sao Paulo</v>
      </c>
    </row>
    <row r="363" spans="1:13" x14ac:dyDescent="0.45">
      <c r="A363" t="s">
        <v>575</v>
      </c>
      <c r="B363" t="s">
        <v>572</v>
      </c>
      <c r="C363" t="s">
        <v>476</v>
      </c>
      <c r="D363" t="s">
        <v>21</v>
      </c>
      <c r="E363" t="s">
        <v>79</v>
      </c>
      <c r="F363">
        <v>1</v>
      </c>
      <c r="G363">
        <v>54.9</v>
      </c>
      <c r="H363">
        <v>14.55</v>
      </c>
      <c r="I363" t="s">
        <v>44</v>
      </c>
      <c r="J363">
        <v>5</v>
      </c>
      <c r="K363" t="s">
        <v>51</v>
      </c>
      <c r="L363">
        <v>4</v>
      </c>
      <c r="M363" t="str">
        <f>VLOOKUP(D363,State_Lookup!$A$2:$B$28,2,FALSE)</f>
        <v>Santa Catarina</v>
      </c>
    </row>
    <row r="364" spans="1:13" x14ac:dyDescent="0.45">
      <c r="A364" t="s">
        <v>576</v>
      </c>
      <c r="B364" t="s">
        <v>572</v>
      </c>
      <c r="C364" t="s">
        <v>476</v>
      </c>
      <c r="D364" t="s">
        <v>20</v>
      </c>
      <c r="E364" t="s">
        <v>66</v>
      </c>
      <c r="F364">
        <v>1</v>
      </c>
      <c r="G364">
        <v>13.98</v>
      </c>
      <c r="H364">
        <v>14.52</v>
      </c>
      <c r="I364" t="s">
        <v>44</v>
      </c>
      <c r="J364">
        <v>10</v>
      </c>
      <c r="K364" t="s">
        <v>51</v>
      </c>
      <c r="L364">
        <v>5</v>
      </c>
      <c r="M364" t="str">
        <f>VLOOKUP(D364,State_Lookup!$A$2:$B$28,2,FALSE)</f>
        <v>Parana</v>
      </c>
    </row>
    <row r="365" spans="1:13" x14ac:dyDescent="0.45">
      <c r="A365" t="s">
        <v>577</v>
      </c>
      <c r="B365" t="s">
        <v>578</v>
      </c>
      <c r="C365" t="s">
        <v>476</v>
      </c>
      <c r="D365" t="s">
        <v>16</v>
      </c>
      <c r="E365" t="s">
        <v>79</v>
      </c>
      <c r="F365">
        <v>1</v>
      </c>
      <c r="G365">
        <v>760</v>
      </c>
      <c r="H365">
        <v>58.89</v>
      </c>
      <c r="I365" t="s">
        <v>44</v>
      </c>
      <c r="J365">
        <v>15</v>
      </c>
      <c r="K365" t="s">
        <v>51</v>
      </c>
      <c r="L365">
        <v>3</v>
      </c>
      <c r="M365" t="str">
        <f>VLOOKUP(D365,State_Lookup!$A$2:$B$28,2,FALSE)</f>
        <v>Sao Paulo</v>
      </c>
    </row>
    <row r="366" spans="1:13" x14ac:dyDescent="0.45">
      <c r="A366" t="s">
        <v>579</v>
      </c>
      <c r="B366" t="s">
        <v>578</v>
      </c>
      <c r="C366" t="s">
        <v>476</v>
      </c>
      <c r="D366" t="s">
        <v>17</v>
      </c>
      <c r="E366" t="s">
        <v>142</v>
      </c>
      <c r="F366">
        <v>1</v>
      </c>
      <c r="G366">
        <v>54.9</v>
      </c>
      <c r="H366">
        <v>15.59</v>
      </c>
      <c r="I366" t="s">
        <v>44</v>
      </c>
      <c r="J366">
        <v>9</v>
      </c>
      <c r="K366" t="s">
        <v>51</v>
      </c>
      <c r="L366">
        <v>5</v>
      </c>
      <c r="M366" t="str">
        <f>VLOOKUP(D366,State_Lookup!$A$2:$B$28,2,FALSE)</f>
        <v>Rio de Janeiro</v>
      </c>
    </row>
    <row r="367" spans="1:13" x14ac:dyDescent="0.45">
      <c r="A367" t="s">
        <v>580</v>
      </c>
      <c r="B367" t="s">
        <v>578</v>
      </c>
      <c r="C367" t="s">
        <v>476</v>
      </c>
      <c r="D367" t="s">
        <v>19</v>
      </c>
      <c r="E367" t="s">
        <v>43</v>
      </c>
      <c r="F367">
        <v>1</v>
      </c>
      <c r="G367">
        <v>111.9</v>
      </c>
      <c r="H367">
        <v>17.62</v>
      </c>
      <c r="I367" t="s">
        <v>50</v>
      </c>
      <c r="J367">
        <v>11</v>
      </c>
      <c r="K367" t="s">
        <v>51</v>
      </c>
      <c r="L367">
        <v>5</v>
      </c>
      <c r="M367" t="str">
        <f>VLOOKUP(D367,State_Lookup!$A$2:$B$28,2,FALSE)</f>
        <v>Rio Grande do Sul</v>
      </c>
    </row>
    <row r="368" spans="1:13" x14ac:dyDescent="0.45">
      <c r="A368" t="s">
        <v>581</v>
      </c>
      <c r="B368" t="s">
        <v>578</v>
      </c>
      <c r="C368" t="s">
        <v>476</v>
      </c>
      <c r="D368" t="s">
        <v>16</v>
      </c>
      <c r="E368" t="s">
        <v>61</v>
      </c>
      <c r="F368">
        <v>1</v>
      </c>
      <c r="G368">
        <v>29.4</v>
      </c>
      <c r="H368">
        <v>11.74</v>
      </c>
      <c r="I368" t="s">
        <v>50</v>
      </c>
      <c r="J368">
        <v>15</v>
      </c>
      <c r="K368" t="s">
        <v>51</v>
      </c>
      <c r="L368">
        <v>4</v>
      </c>
      <c r="M368" t="str">
        <f>VLOOKUP(D368,State_Lookup!$A$2:$B$28,2,FALSE)</f>
        <v>Sao Paulo</v>
      </c>
    </row>
    <row r="369" spans="1:13" x14ac:dyDescent="0.45">
      <c r="A369" t="s">
        <v>582</v>
      </c>
      <c r="B369" t="s">
        <v>578</v>
      </c>
      <c r="C369" t="s">
        <v>476</v>
      </c>
      <c r="D369" t="s">
        <v>20</v>
      </c>
      <c r="E369" t="s">
        <v>110</v>
      </c>
      <c r="F369">
        <v>1</v>
      </c>
      <c r="G369">
        <v>93</v>
      </c>
      <c r="H369">
        <v>15.86</v>
      </c>
      <c r="I369" t="s">
        <v>44</v>
      </c>
      <c r="J369">
        <v>15</v>
      </c>
      <c r="K369" t="s">
        <v>51</v>
      </c>
      <c r="L369">
        <v>4</v>
      </c>
      <c r="M369" t="str">
        <f>VLOOKUP(D369,State_Lookup!$A$2:$B$28,2,FALSE)</f>
        <v>Parana</v>
      </c>
    </row>
    <row r="370" spans="1:13" x14ac:dyDescent="0.45">
      <c r="A370" t="s">
        <v>583</v>
      </c>
      <c r="B370" t="s">
        <v>584</v>
      </c>
      <c r="C370" t="s">
        <v>476</v>
      </c>
      <c r="D370" t="s">
        <v>16</v>
      </c>
      <c r="E370" t="s">
        <v>64</v>
      </c>
      <c r="F370">
        <v>1</v>
      </c>
      <c r="G370">
        <v>139.9</v>
      </c>
      <c r="H370">
        <v>15.15</v>
      </c>
      <c r="I370" t="s">
        <v>44</v>
      </c>
      <c r="J370">
        <v>15</v>
      </c>
      <c r="K370" t="s">
        <v>51</v>
      </c>
      <c r="L370">
        <v>3</v>
      </c>
      <c r="M370" t="str">
        <f>VLOOKUP(D370,State_Lookup!$A$2:$B$28,2,FALSE)</f>
        <v>Sao Paulo</v>
      </c>
    </row>
    <row r="371" spans="1:13" x14ac:dyDescent="0.45">
      <c r="A371" t="s">
        <v>585</v>
      </c>
      <c r="B371" t="s">
        <v>584</v>
      </c>
      <c r="C371" t="s">
        <v>476</v>
      </c>
      <c r="D371" t="s">
        <v>20</v>
      </c>
      <c r="E371" t="s">
        <v>43</v>
      </c>
      <c r="F371">
        <v>1</v>
      </c>
      <c r="G371">
        <v>199</v>
      </c>
      <c r="H371">
        <v>59</v>
      </c>
      <c r="I371" t="s">
        <v>44</v>
      </c>
      <c r="J371">
        <v>7</v>
      </c>
      <c r="K371" t="s">
        <v>51</v>
      </c>
      <c r="L371">
        <v>5</v>
      </c>
      <c r="M371" t="str">
        <f>VLOOKUP(D371,State_Lookup!$A$2:$B$28,2,FALSE)</f>
        <v>Parana</v>
      </c>
    </row>
    <row r="372" spans="1:13" x14ac:dyDescent="0.45">
      <c r="A372" t="s">
        <v>586</v>
      </c>
      <c r="B372" t="s">
        <v>584</v>
      </c>
      <c r="C372" t="s">
        <v>476</v>
      </c>
      <c r="D372" t="s">
        <v>16</v>
      </c>
      <c r="E372" t="s">
        <v>107</v>
      </c>
      <c r="F372">
        <v>1</v>
      </c>
      <c r="G372">
        <v>159.99</v>
      </c>
      <c r="H372">
        <v>11.73</v>
      </c>
      <c r="I372" t="s">
        <v>133</v>
      </c>
      <c r="J372">
        <v>10</v>
      </c>
      <c r="K372" t="s">
        <v>51</v>
      </c>
      <c r="L372">
        <v>4</v>
      </c>
      <c r="M372" t="str">
        <f>VLOOKUP(D372,State_Lookup!$A$2:$B$28,2,FALSE)</f>
        <v>Sao Paulo</v>
      </c>
    </row>
    <row r="373" spans="1:13" x14ac:dyDescent="0.45">
      <c r="A373" t="s">
        <v>587</v>
      </c>
      <c r="B373" t="s">
        <v>584</v>
      </c>
      <c r="C373" t="s">
        <v>476</v>
      </c>
      <c r="D373" t="s">
        <v>18</v>
      </c>
      <c r="E373" t="s">
        <v>220</v>
      </c>
      <c r="F373">
        <v>1</v>
      </c>
      <c r="G373">
        <v>112.99</v>
      </c>
      <c r="H373">
        <v>28.98</v>
      </c>
      <c r="I373" t="s">
        <v>44</v>
      </c>
      <c r="J373">
        <v>25</v>
      </c>
      <c r="K373" t="s">
        <v>51</v>
      </c>
      <c r="L373">
        <v>1</v>
      </c>
      <c r="M373" t="str">
        <f>VLOOKUP(D373,State_Lookup!$A$2:$B$28,2,FALSE)</f>
        <v>Minas Gerais</v>
      </c>
    </row>
    <row r="374" spans="1:13" x14ac:dyDescent="0.45">
      <c r="A374" t="s">
        <v>588</v>
      </c>
      <c r="B374" t="s">
        <v>584</v>
      </c>
      <c r="C374" t="s">
        <v>476</v>
      </c>
      <c r="D374" t="s">
        <v>17</v>
      </c>
      <c r="E374" t="s">
        <v>110</v>
      </c>
      <c r="F374">
        <v>2</v>
      </c>
      <c r="G374">
        <v>137.80000000000001</v>
      </c>
      <c r="H374">
        <v>32.58</v>
      </c>
      <c r="I374" t="s">
        <v>44</v>
      </c>
      <c r="J374">
        <v>20</v>
      </c>
      <c r="K374" t="s">
        <v>51</v>
      </c>
      <c r="L374">
        <v>5</v>
      </c>
      <c r="M374" t="str">
        <f>VLOOKUP(D374,State_Lookup!$A$2:$B$28,2,FALSE)</f>
        <v>Rio de Janeiro</v>
      </c>
    </row>
    <row r="375" spans="1:13" x14ac:dyDescent="0.45">
      <c r="A375" t="s">
        <v>589</v>
      </c>
      <c r="B375" t="s">
        <v>584</v>
      </c>
      <c r="C375" t="s">
        <v>476</v>
      </c>
      <c r="D375" t="s">
        <v>16</v>
      </c>
      <c r="E375" t="s">
        <v>220</v>
      </c>
      <c r="F375">
        <v>1</v>
      </c>
      <c r="G375">
        <v>124.99</v>
      </c>
      <c r="H375">
        <v>11.48</v>
      </c>
      <c r="I375" t="s">
        <v>50</v>
      </c>
      <c r="J375">
        <v>28</v>
      </c>
      <c r="K375" t="s">
        <v>143</v>
      </c>
      <c r="L375">
        <v>4</v>
      </c>
      <c r="M375" t="str">
        <f>VLOOKUP(D375,State_Lookup!$A$2:$B$28,2,FALSE)</f>
        <v>Sao Paulo</v>
      </c>
    </row>
    <row r="376" spans="1:13" x14ac:dyDescent="0.45">
      <c r="A376" t="s">
        <v>590</v>
      </c>
      <c r="B376" t="s">
        <v>584</v>
      </c>
      <c r="C376" t="s">
        <v>476</v>
      </c>
      <c r="D376" t="s">
        <v>21</v>
      </c>
      <c r="E376" t="s">
        <v>199</v>
      </c>
      <c r="F376">
        <v>1</v>
      </c>
      <c r="G376">
        <v>29</v>
      </c>
      <c r="H376">
        <v>14.52</v>
      </c>
      <c r="I376" t="s">
        <v>133</v>
      </c>
      <c r="J376">
        <v>11</v>
      </c>
      <c r="K376" t="s">
        <v>51</v>
      </c>
      <c r="L376">
        <v>5</v>
      </c>
      <c r="M376" t="str">
        <f>VLOOKUP(D376,State_Lookup!$A$2:$B$28,2,FALSE)</f>
        <v>Santa Catarina</v>
      </c>
    </row>
    <row r="377" spans="1:13" x14ac:dyDescent="0.45">
      <c r="A377" t="s">
        <v>591</v>
      </c>
      <c r="B377" t="s">
        <v>584</v>
      </c>
      <c r="C377" t="s">
        <v>476</v>
      </c>
      <c r="D377" t="s">
        <v>23</v>
      </c>
      <c r="E377" t="s">
        <v>61</v>
      </c>
      <c r="F377">
        <v>1</v>
      </c>
      <c r="G377">
        <v>139.99</v>
      </c>
      <c r="H377">
        <v>33.26</v>
      </c>
      <c r="I377" t="s">
        <v>44</v>
      </c>
      <c r="J377">
        <v>9</v>
      </c>
      <c r="K377" t="s">
        <v>51</v>
      </c>
      <c r="L377">
        <v>5</v>
      </c>
      <c r="M377" t="str">
        <f>VLOOKUP(D377,State_Lookup!$A$2:$B$28,2,FALSE)</f>
        <v>Espirito Santo</v>
      </c>
    </row>
    <row r="378" spans="1:13" x14ac:dyDescent="0.45">
      <c r="A378" t="s">
        <v>592</v>
      </c>
      <c r="B378" t="s">
        <v>584</v>
      </c>
      <c r="C378" t="s">
        <v>476</v>
      </c>
      <c r="D378" t="s">
        <v>16</v>
      </c>
      <c r="E378" t="s">
        <v>43</v>
      </c>
      <c r="F378">
        <v>1</v>
      </c>
      <c r="G378">
        <v>139.9</v>
      </c>
      <c r="H378">
        <v>16.09</v>
      </c>
      <c r="I378" t="s">
        <v>50</v>
      </c>
      <c r="J378">
        <v>13</v>
      </c>
      <c r="K378" t="s">
        <v>51</v>
      </c>
      <c r="L378">
        <v>1</v>
      </c>
      <c r="M378" t="str">
        <f>VLOOKUP(D378,State_Lookup!$A$2:$B$28,2,FALSE)</f>
        <v>Sao Paulo</v>
      </c>
    </row>
    <row r="379" spans="1:13" x14ac:dyDescent="0.45">
      <c r="A379" t="s">
        <v>593</v>
      </c>
      <c r="B379" t="s">
        <v>584</v>
      </c>
      <c r="C379" t="s">
        <v>476</v>
      </c>
      <c r="D379" t="s">
        <v>19</v>
      </c>
      <c r="E379" t="s">
        <v>148</v>
      </c>
      <c r="F379">
        <v>1</v>
      </c>
      <c r="G379">
        <v>199.99</v>
      </c>
      <c r="H379">
        <v>19.989999999999998</v>
      </c>
      <c r="I379" t="s">
        <v>44</v>
      </c>
      <c r="J379">
        <v>21</v>
      </c>
      <c r="K379" t="s">
        <v>51</v>
      </c>
      <c r="L379">
        <v>1</v>
      </c>
      <c r="M379" t="str">
        <f>VLOOKUP(D379,State_Lookup!$A$2:$B$28,2,FALSE)</f>
        <v>Rio Grande do Sul</v>
      </c>
    </row>
    <row r="380" spans="1:13" x14ac:dyDescent="0.45">
      <c r="A380" t="s">
        <v>594</v>
      </c>
      <c r="B380" t="s">
        <v>584</v>
      </c>
      <c r="C380" t="s">
        <v>476</v>
      </c>
      <c r="D380" t="s">
        <v>17</v>
      </c>
      <c r="E380" t="s">
        <v>103</v>
      </c>
      <c r="F380">
        <v>1</v>
      </c>
      <c r="G380">
        <v>59.99</v>
      </c>
      <c r="H380">
        <v>15.63</v>
      </c>
      <c r="I380" t="s">
        <v>44</v>
      </c>
      <c r="J380">
        <v>31</v>
      </c>
      <c r="K380" t="s">
        <v>143</v>
      </c>
      <c r="L380">
        <v>1</v>
      </c>
      <c r="M380" t="str">
        <f>VLOOKUP(D380,State_Lookup!$A$2:$B$28,2,FALSE)</f>
        <v>Rio de Janeiro</v>
      </c>
    </row>
    <row r="381" spans="1:13" x14ac:dyDescent="0.45">
      <c r="A381" t="s">
        <v>595</v>
      </c>
      <c r="B381" t="s">
        <v>584</v>
      </c>
      <c r="C381" t="s">
        <v>476</v>
      </c>
      <c r="D381" t="s">
        <v>16</v>
      </c>
      <c r="E381" t="s">
        <v>142</v>
      </c>
      <c r="F381">
        <v>1</v>
      </c>
      <c r="G381">
        <v>568.45000000000005</v>
      </c>
      <c r="H381">
        <v>21.27</v>
      </c>
      <c r="I381" t="s">
        <v>44</v>
      </c>
      <c r="J381">
        <v>17</v>
      </c>
      <c r="K381" t="s">
        <v>51</v>
      </c>
      <c r="L381">
        <v>5</v>
      </c>
      <c r="M381" t="str">
        <f>VLOOKUP(D381,State_Lookup!$A$2:$B$28,2,FALSE)</f>
        <v>Sao Paulo</v>
      </c>
    </row>
    <row r="382" spans="1:13" x14ac:dyDescent="0.45">
      <c r="A382" t="s">
        <v>596</v>
      </c>
      <c r="B382" t="s">
        <v>597</v>
      </c>
      <c r="C382" t="s">
        <v>476</v>
      </c>
      <c r="D382" t="s">
        <v>17</v>
      </c>
      <c r="E382" t="s">
        <v>598</v>
      </c>
      <c r="F382">
        <v>1</v>
      </c>
      <c r="G382">
        <v>289.89999999999998</v>
      </c>
      <c r="H382">
        <v>24.58</v>
      </c>
      <c r="I382" t="s">
        <v>50</v>
      </c>
      <c r="J382">
        <v>21</v>
      </c>
      <c r="K382" t="s">
        <v>51</v>
      </c>
      <c r="L382">
        <v>1</v>
      </c>
      <c r="M382" t="str">
        <f>VLOOKUP(D382,State_Lookup!$A$2:$B$28,2,FALSE)</f>
        <v>Rio de Janeiro</v>
      </c>
    </row>
    <row r="383" spans="1:13" x14ac:dyDescent="0.45">
      <c r="A383" t="s">
        <v>599</v>
      </c>
      <c r="B383" t="s">
        <v>597</v>
      </c>
      <c r="C383" t="s">
        <v>476</v>
      </c>
      <c r="D383" t="s">
        <v>17</v>
      </c>
      <c r="E383" t="s">
        <v>148</v>
      </c>
      <c r="F383">
        <v>1</v>
      </c>
      <c r="G383">
        <v>156.99</v>
      </c>
      <c r="H383">
        <v>25.95</v>
      </c>
      <c r="I383" t="s">
        <v>44</v>
      </c>
      <c r="J383">
        <v>14</v>
      </c>
      <c r="K383" t="s">
        <v>51</v>
      </c>
      <c r="L383">
        <v>4</v>
      </c>
      <c r="M383" t="str">
        <f>VLOOKUP(D383,State_Lookup!$A$2:$B$28,2,FALSE)</f>
        <v>Rio de Janeiro</v>
      </c>
    </row>
    <row r="384" spans="1:13" x14ac:dyDescent="0.45">
      <c r="A384" t="s">
        <v>600</v>
      </c>
      <c r="B384" t="s">
        <v>597</v>
      </c>
      <c r="C384" t="s">
        <v>476</v>
      </c>
      <c r="D384" t="s">
        <v>16</v>
      </c>
      <c r="E384" t="s">
        <v>66</v>
      </c>
      <c r="F384">
        <v>1</v>
      </c>
      <c r="G384">
        <v>68.900000000000006</v>
      </c>
      <c r="H384">
        <v>14.65</v>
      </c>
      <c r="I384" t="s">
        <v>44</v>
      </c>
      <c r="J384">
        <v>12</v>
      </c>
      <c r="K384" t="s">
        <v>51</v>
      </c>
      <c r="L384">
        <v>4</v>
      </c>
      <c r="M384" t="str">
        <f>VLOOKUP(D384,State_Lookup!$A$2:$B$28,2,FALSE)</f>
        <v>Sao Paulo</v>
      </c>
    </row>
    <row r="385" spans="1:13" x14ac:dyDescent="0.45">
      <c r="A385" t="s">
        <v>601</v>
      </c>
      <c r="B385" t="s">
        <v>597</v>
      </c>
      <c r="C385" t="s">
        <v>476</v>
      </c>
      <c r="D385" t="s">
        <v>16</v>
      </c>
      <c r="E385" t="s">
        <v>69</v>
      </c>
      <c r="F385">
        <v>1</v>
      </c>
      <c r="G385">
        <v>84.9</v>
      </c>
      <c r="H385">
        <v>36.14</v>
      </c>
      <c r="I385" t="s">
        <v>44</v>
      </c>
      <c r="J385">
        <v>8</v>
      </c>
      <c r="K385" t="s">
        <v>51</v>
      </c>
      <c r="L385">
        <v>5</v>
      </c>
      <c r="M385" t="str">
        <f>VLOOKUP(D385,State_Lookup!$A$2:$B$28,2,FALSE)</f>
        <v>Sao Paulo</v>
      </c>
    </row>
    <row r="386" spans="1:13" x14ac:dyDescent="0.45">
      <c r="A386" t="s">
        <v>602</v>
      </c>
      <c r="B386" t="s">
        <v>597</v>
      </c>
      <c r="C386" t="s">
        <v>476</v>
      </c>
      <c r="D386" t="s">
        <v>16</v>
      </c>
      <c r="E386" t="s">
        <v>49</v>
      </c>
      <c r="F386">
        <v>1</v>
      </c>
      <c r="G386">
        <v>159.9</v>
      </c>
      <c r="H386">
        <v>13.7</v>
      </c>
      <c r="I386" t="s">
        <v>108</v>
      </c>
      <c r="J386">
        <v>13</v>
      </c>
      <c r="K386" t="s">
        <v>51</v>
      </c>
      <c r="L386">
        <v>5</v>
      </c>
      <c r="M386" t="str">
        <f>VLOOKUP(D386,State_Lookup!$A$2:$B$28,2,FALSE)</f>
        <v>Sao Paulo</v>
      </c>
    </row>
    <row r="387" spans="1:13" x14ac:dyDescent="0.45">
      <c r="A387" t="s">
        <v>603</v>
      </c>
      <c r="B387" t="s">
        <v>597</v>
      </c>
      <c r="C387" t="s">
        <v>476</v>
      </c>
      <c r="D387" t="s">
        <v>20</v>
      </c>
      <c r="E387" t="s">
        <v>43</v>
      </c>
      <c r="F387">
        <v>1</v>
      </c>
      <c r="G387">
        <v>45.9</v>
      </c>
      <c r="H387">
        <v>14.52</v>
      </c>
      <c r="I387" t="s">
        <v>44</v>
      </c>
      <c r="J387">
        <v>15</v>
      </c>
      <c r="K387" t="s">
        <v>51</v>
      </c>
      <c r="L387">
        <v>5</v>
      </c>
      <c r="M387" t="str">
        <f>VLOOKUP(D387,State_Lookup!$A$2:$B$28,2,FALSE)</f>
        <v>Parana</v>
      </c>
    </row>
    <row r="388" spans="1:13" x14ac:dyDescent="0.45">
      <c r="A388" t="s">
        <v>604</v>
      </c>
      <c r="B388" t="s">
        <v>597</v>
      </c>
      <c r="C388" t="s">
        <v>476</v>
      </c>
      <c r="D388" t="s">
        <v>18</v>
      </c>
      <c r="E388" t="s">
        <v>43</v>
      </c>
      <c r="F388">
        <v>1</v>
      </c>
      <c r="G388">
        <v>169.9</v>
      </c>
      <c r="H388">
        <v>45.29</v>
      </c>
      <c r="I388" t="s">
        <v>44</v>
      </c>
      <c r="J388">
        <v>14</v>
      </c>
      <c r="K388" t="s">
        <v>51</v>
      </c>
      <c r="L388">
        <v>5</v>
      </c>
      <c r="M388" t="str">
        <f>VLOOKUP(D388,State_Lookup!$A$2:$B$28,2,FALSE)</f>
        <v>Minas Gerais</v>
      </c>
    </row>
    <row r="389" spans="1:13" x14ac:dyDescent="0.45">
      <c r="A389" t="s">
        <v>605</v>
      </c>
      <c r="B389" t="s">
        <v>597</v>
      </c>
      <c r="C389" t="s">
        <v>476</v>
      </c>
      <c r="D389" t="s">
        <v>16</v>
      </c>
      <c r="E389" t="s">
        <v>79</v>
      </c>
      <c r="F389">
        <v>1</v>
      </c>
      <c r="G389">
        <v>26.9</v>
      </c>
      <c r="H389">
        <v>10.96</v>
      </c>
      <c r="I389" t="s">
        <v>44</v>
      </c>
      <c r="J389">
        <v>9</v>
      </c>
      <c r="K389" t="s">
        <v>51</v>
      </c>
      <c r="L389">
        <v>5</v>
      </c>
      <c r="M389" t="str">
        <f>VLOOKUP(D389,State_Lookup!$A$2:$B$28,2,FALSE)</f>
        <v>Sao Paulo</v>
      </c>
    </row>
    <row r="390" spans="1:13" x14ac:dyDescent="0.45">
      <c r="A390" t="s">
        <v>606</v>
      </c>
      <c r="B390" t="s">
        <v>607</v>
      </c>
      <c r="C390" t="s">
        <v>476</v>
      </c>
      <c r="D390" t="s">
        <v>20</v>
      </c>
      <c r="E390" t="s">
        <v>142</v>
      </c>
      <c r="F390">
        <v>1</v>
      </c>
      <c r="G390">
        <v>55</v>
      </c>
      <c r="H390">
        <v>11.78</v>
      </c>
      <c r="I390" t="s">
        <v>44</v>
      </c>
      <c r="J390">
        <v>13</v>
      </c>
      <c r="K390" t="s">
        <v>51</v>
      </c>
      <c r="L390">
        <v>5</v>
      </c>
      <c r="M390" t="str">
        <f>VLOOKUP(D390,State_Lookup!$A$2:$B$28,2,FALSE)</f>
        <v>Parana</v>
      </c>
    </row>
    <row r="391" spans="1:13" x14ac:dyDescent="0.45">
      <c r="A391" t="s">
        <v>608</v>
      </c>
      <c r="B391" t="s">
        <v>607</v>
      </c>
      <c r="C391" t="s">
        <v>476</v>
      </c>
      <c r="D391" t="s">
        <v>17</v>
      </c>
      <c r="E391" t="s">
        <v>64</v>
      </c>
      <c r="F391">
        <v>1</v>
      </c>
      <c r="G391">
        <v>56.99</v>
      </c>
      <c r="H391">
        <v>14.57</v>
      </c>
      <c r="I391" t="s">
        <v>50</v>
      </c>
      <c r="J391">
        <v>28</v>
      </c>
      <c r="K391" t="s">
        <v>51</v>
      </c>
      <c r="L391">
        <v>4</v>
      </c>
      <c r="M391" t="str">
        <f>VLOOKUP(D391,State_Lookup!$A$2:$B$28,2,FALSE)</f>
        <v>Rio de Janeiro</v>
      </c>
    </row>
    <row r="392" spans="1:13" x14ac:dyDescent="0.45">
      <c r="A392" t="s">
        <v>609</v>
      </c>
      <c r="B392" t="s">
        <v>607</v>
      </c>
      <c r="C392" t="s">
        <v>476</v>
      </c>
      <c r="D392" t="s">
        <v>23</v>
      </c>
      <c r="E392" t="s">
        <v>173</v>
      </c>
      <c r="F392">
        <v>1</v>
      </c>
      <c r="G392">
        <v>53.9</v>
      </c>
      <c r="H392">
        <v>19.079999999999998</v>
      </c>
      <c r="I392" t="s">
        <v>44</v>
      </c>
      <c r="J392">
        <v>12</v>
      </c>
      <c r="K392" t="s">
        <v>51</v>
      </c>
      <c r="L392">
        <v>4</v>
      </c>
      <c r="M392" t="str">
        <f>VLOOKUP(D392,State_Lookup!$A$2:$B$28,2,FALSE)</f>
        <v>Espirito Santo</v>
      </c>
    </row>
    <row r="393" spans="1:13" x14ac:dyDescent="0.45">
      <c r="A393" t="s">
        <v>610</v>
      </c>
      <c r="B393" t="s">
        <v>607</v>
      </c>
      <c r="C393" t="s">
        <v>476</v>
      </c>
      <c r="D393" t="s">
        <v>16</v>
      </c>
      <c r="E393" t="s">
        <v>110</v>
      </c>
      <c r="F393">
        <v>1</v>
      </c>
      <c r="G393">
        <v>69.900000000000006</v>
      </c>
      <c r="H393">
        <v>11.88</v>
      </c>
      <c r="I393" t="s">
        <v>50</v>
      </c>
      <c r="J393">
        <v>11</v>
      </c>
      <c r="K393" t="s">
        <v>51</v>
      </c>
      <c r="L393">
        <v>4</v>
      </c>
      <c r="M393" t="str">
        <f>VLOOKUP(D393,State_Lookup!$A$2:$B$28,2,FALSE)</f>
        <v>Sao Paulo</v>
      </c>
    </row>
    <row r="394" spans="1:13" x14ac:dyDescent="0.45">
      <c r="A394" t="s">
        <v>611</v>
      </c>
      <c r="B394" t="s">
        <v>607</v>
      </c>
      <c r="C394" t="s">
        <v>476</v>
      </c>
      <c r="D394" t="s">
        <v>16</v>
      </c>
      <c r="E394" t="s">
        <v>148</v>
      </c>
      <c r="F394">
        <v>1</v>
      </c>
      <c r="G394">
        <v>219.99</v>
      </c>
      <c r="H394">
        <v>15.31</v>
      </c>
      <c r="I394" t="s">
        <v>44</v>
      </c>
      <c r="J394">
        <v>11</v>
      </c>
      <c r="K394" t="s">
        <v>51</v>
      </c>
      <c r="L394">
        <v>5</v>
      </c>
      <c r="M394" t="str">
        <f>VLOOKUP(D394,State_Lookup!$A$2:$B$28,2,FALSE)</f>
        <v>Sao Paulo</v>
      </c>
    </row>
    <row r="395" spans="1:13" x14ac:dyDescent="0.45">
      <c r="A395" t="s">
        <v>612</v>
      </c>
      <c r="B395" t="s">
        <v>607</v>
      </c>
      <c r="C395" t="s">
        <v>476</v>
      </c>
      <c r="D395" t="s">
        <v>16</v>
      </c>
      <c r="E395" t="s">
        <v>148</v>
      </c>
      <c r="F395">
        <v>1</v>
      </c>
      <c r="G395">
        <v>59.9</v>
      </c>
      <c r="H395">
        <v>17.16</v>
      </c>
      <c r="I395" t="s">
        <v>50</v>
      </c>
      <c r="J395">
        <v>25</v>
      </c>
      <c r="K395" t="s">
        <v>143</v>
      </c>
      <c r="L395">
        <v>3</v>
      </c>
      <c r="M395" t="str">
        <f>VLOOKUP(D395,State_Lookup!$A$2:$B$28,2,FALSE)</f>
        <v>Sao Paulo</v>
      </c>
    </row>
    <row r="396" spans="1:13" x14ac:dyDescent="0.45">
      <c r="A396" t="s">
        <v>613</v>
      </c>
      <c r="B396" t="s">
        <v>607</v>
      </c>
      <c r="C396" t="s">
        <v>476</v>
      </c>
      <c r="D396" t="s">
        <v>19</v>
      </c>
      <c r="E396" t="s">
        <v>152</v>
      </c>
      <c r="F396">
        <v>1</v>
      </c>
      <c r="G396">
        <v>79.900000000000006</v>
      </c>
      <c r="H396">
        <v>22.85</v>
      </c>
      <c r="I396" t="s">
        <v>44</v>
      </c>
      <c r="J396">
        <v>11</v>
      </c>
      <c r="K396" t="s">
        <v>51</v>
      </c>
      <c r="L396">
        <v>5</v>
      </c>
      <c r="M396" t="str">
        <f>VLOOKUP(D396,State_Lookup!$A$2:$B$28,2,FALSE)</f>
        <v>Rio Grande do Sul</v>
      </c>
    </row>
    <row r="397" spans="1:13" x14ac:dyDescent="0.45">
      <c r="A397" t="s">
        <v>614</v>
      </c>
      <c r="B397" t="s">
        <v>607</v>
      </c>
      <c r="C397" t="s">
        <v>476</v>
      </c>
      <c r="D397" t="s">
        <v>113</v>
      </c>
      <c r="E397" t="s">
        <v>53</v>
      </c>
      <c r="F397">
        <v>1</v>
      </c>
      <c r="G397">
        <v>164.98</v>
      </c>
      <c r="H397">
        <v>25.64</v>
      </c>
      <c r="I397" t="s">
        <v>44</v>
      </c>
      <c r="J397">
        <v>15</v>
      </c>
      <c r="K397" t="s">
        <v>51</v>
      </c>
      <c r="L397">
        <v>5</v>
      </c>
      <c r="M397" t="str">
        <f>VLOOKUP(D397,State_Lookup!$A$2:$B$28,2,FALSE)</f>
        <v>Piaui</v>
      </c>
    </row>
    <row r="398" spans="1:13" x14ac:dyDescent="0.45">
      <c r="A398" t="s">
        <v>615</v>
      </c>
      <c r="B398" t="s">
        <v>607</v>
      </c>
      <c r="C398" t="s">
        <v>476</v>
      </c>
      <c r="D398" t="s">
        <v>16</v>
      </c>
      <c r="E398" t="s">
        <v>481</v>
      </c>
      <c r="F398">
        <v>1</v>
      </c>
      <c r="G398">
        <v>99</v>
      </c>
      <c r="H398">
        <v>11.3</v>
      </c>
      <c r="I398" t="s">
        <v>44</v>
      </c>
      <c r="J398">
        <v>12</v>
      </c>
      <c r="K398" t="s">
        <v>51</v>
      </c>
      <c r="L398">
        <v>5</v>
      </c>
      <c r="M398" t="str">
        <f>VLOOKUP(D398,State_Lookup!$A$2:$B$28,2,FALSE)</f>
        <v>Sao Paulo</v>
      </c>
    </row>
    <row r="399" spans="1:13" x14ac:dyDescent="0.45">
      <c r="A399" t="s">
        <v>616</v>
      </c>
      <c r="B399" t="s">
        <v>617</v>
      </c>
      <c r="C399" t="s">
        <v>476</v>
      </c>
      <c r="D399" t="s">
        <v>17</v>
      </c>
      <c r="E399" t="s">
        <v>152</v>
      </c>
      <c r="F399">
        <v>1</v>
      </c>
      <c r="G399">
        <v>209.9</v>
      </c>
      <c r="H399">
        <v>21.55</v>
      </c>
      <c r="I399" t="s">
        <v>44</v>
      </c>
      <c r="J399">
        <v>7</v>
      </c>
      <c r="K399" t="s">
        <v>51</v>
      </c>
      <c r="L399">
        <v>5</v>
      </c>
      <c r="M399" t="str">
        <f>VLOOKUP(D399,State_Lookup!$A$2:$B$28,2,FALSE)</f>
        <v>Rio de Janeiro</v>
      </c>
    </row>
    <row r="400" spans="1:13" x14ac:dyDescent="0.45">
      <c r="A400" t="s">
        <v>618</v>
      </c>
      <c r="B400" t="s">
        <v>619</v>
      </c>
      <c r="C400" t="s">
        <v>476</v>
      </c>
      <c r="D400" t="s">
        <v>16</v>
      </c>
      <c r="E400" t="s">
        <v>64</v>
      </c>
      <c r="F400">
        <v>1</v>
      </c>
      <c r="G400">
        <v>369.9</v>
      </c>
      <c r="H400">
        <v>16.760000000000002</v>
      </c>
      <c r="I400" t="s">
        <v>44</v>
      </c>
      <c r="J400">
        <v>19</v>
      </c>
      <c r="K400" t="s">
        <v>51</v>
      </c>
      <c r="L400">
        <v>5</v>
      </c>
      <c r="M400" t="str">
        <f>VLOOKUP(D400,State_Lookup!$A$2:$B$28,2,FALSE)</f>
        <v>Sao Paulo</v>
      </c>
    </row>
    <row r="401" spans="1:13" x14ac:dyDescent="0.45">
      <c r="A401" t="s">
        <v>620</v>
      </c>
      <c r="B401" t="s">
        <v>619</v>
      </c>
      <c r="C401" t="s">
        <v>476</v>
      </c>
      <c r="D401" t="s">
        <v>249</v>
      </c>
      <c r="E401" t="s">
        <v>49</v>
      </c>
      <c r="F401">
        <v>1</v>
      </c>
      <c r="G401">
        <v>859</v>
      </c>
      <c r="H401">
        <v>124.39</v>
      </c>
      <c r="I401" t="s">
        <v>44</v>
      </c>
      <c r="J401">
        <v>11</v>
      </c>
      <c r="K401" t="s">
        <v>51</v>
      </c>
      <c r="L401">
        <v>5</v>
      </c>
      <c r="M401" t="str">
        <f>VLOOKUP(D401,State_Lookup!$A$2:$B$28,2,FALSE)</f>
        <v>Tocantins</v>
      </c>
    </row>
    <row r="402" spans="1:13" x14ac:dyDescent="0.45">
      <c r="A402" t="s">
        <v>621</v>
      </c>
      <c r="B402" t="s">
        <v>619</v>
      </c>
      <c r="C402" t="s">
        <v>476</v>
      </c>
      <c r="D402" t="s">
        <v>21</v>
      </c>
      <c r="E402" t="s">
        <v>148</v>
      </c>
      <c r="F402">
        <v>1</v>
      </c>
      <c r="G402">
        <v>119.99</v>
      </c>
      <c r="H402">
        <v>16.05</v>
      </c>
      <c r="I402" t="s">
        <v>44</v>
      </c>
      <c r="J402">
        <v>14</v>
      </c>
      <c r="K402" t="s">
        <v>51</v>
      </c>
      <c r="L402">
        <v>5</v>
      </c>
      <c r="M402" t="str">
        <f>VLOOKUP(D402,State_Lookup!$A$2:$B$28,2,FALSE)</f>
        <v>Santa Catarina</v>
      </c>
    </row>
    <row r="403" spans="1:13" x14ac:dyDescent="0.45">
      <c r="A403" t="s">
        <v>622</v>
      </c>
      <c r="B403" t="s">
        <v>619</v>
      </c>
      <c r="C403" t="s">
        <v>476</v>
      </c>
      <c r="D403" t="s">
        <v>22</v>
      </c>
      <c r="E403" t="s">
        <v>61</v>
      </c>
      <c r="F403">
        <v>1</v>
      </c>
      <c r="G403">
        <v>129.99</v>
      </c>
      <c r="H403">
        <v>42.5</v>
      </c>
      <c r="I403" t="s">
        <v>44</v>
      </c>
      <c r="J403">
        <v>19</v>
      </c>
      <c r="K403" t="s">
        <v>51</v>
      </c>
      <c r="L403">
        <v>5</v>
      </c>
      <c r="M403" t="str">
        <f>VLOOKUP(D403,State_Lookup!$A$2:$B$28,2,FALSE)</f>
        <v>Bahia</v>
      </c>
    </row>
    <row r="404" spans="1:13" x14ac:dyDescent="0.45">
      <c r="A404" t="s">
        <v>623</v>
      </c>
      <c r="B404" t="s">
        <v>619</v>
      </c>
      <c r="C404" t="s">
        <v>476</v>
      </c>
      <c r="D404" t="s">
        <v>23</v>
      </c>
      <c r="E404" t="s">
        <v>152</v>
      </c>
      <c r="F404">
        <v>1</v>
      </c>
      <c r="G404">
        <v>149.9</v>
      </c>
      <c r="H404">
        <v>16.75</v>
      </c>
      <c r="I404" t="s">
        <v>50</v>
      </c>
      <c r="J404">
        <v>19</v>
      </c>
      <c r="K404" t="s">
        <v>51</v>
      </c>
      <c r="L404">
        <v>4</v>
      </c>
      <c r="M404" t="str">
        <f>VLOOKUP(D404,State_Lookup!$A$2:$B$28,2,FALSE)</f>
        <v>Espirito Santo</v>
      </c>
    </row>
    <row r="405" spans="1:13" x14ac:dyDescent="0.45">
      <c r="A405" t="s">
        <v>624</v>
      </c>
      <c r="B405" t="s">
        <v>625</v>
      </c>
      <c r="C405" t="s">
        <v>476</v>
      </c>
      <c r="D405" t="s">
        <v>17</v>
      </c>
      <c r="E405" t="s">
        <v>142</v>
      </c>
      <c r="F405">
        <v>1</v>
      </c>
      <c r="G405">
        <v>85.99</v>
      </c>
      <c r="H405">
        <v>14.77</v>
      </c>
      <c r="I405" t="s">
        <v>44</v>
      </c>
      <c r="J405">
        <v>16</v>
      </c>
      <c r="K405" t="s">
        <v>51</v>
      </c>
      <c r="L405">
        <v>5</v>
      </c>
      <c r="M405" t="str">
        <f>VLOOKUP(D405,State_Lookup!$A$2:$B$28,2,FALSE)</f>
        <v>Rio de Janeiro</v>
      </c>
    </row>
    <row r="406" spans="1:13" x14ac:dyDescent="0.45">
      <c r="A406" t="s">
        <v>626</v>
      </c>
      <c r="B406" t="s">
        <v>625</v>
      </c>
      <c r="C406" t="s">
        <v>476</v>
      </c>
      <c r="D406" t="s">
        <v>16</v>
      </c>
      <c r="E406" t="s">
        <v>598</v>
      </c>
      <c r="F406">
        <v>1</v>
      </c>
      <c r="G406">
        <v>289.89999999999998</v>
      </c>
      <c r="H406">
        <v>22.35</v>
      </c>
      <c r="I406" t="s">
        <v>44</v>
      </c>
      <c r="J406">
        <v>11</v>
      </c>
      <c r="K406" t="s">
        <v>51</v>
      </c>
      <c r="L406">
        <v>3</v>
      </c>
      <c r="M406" t="str">
        <f>VLOOKUP(D406,State_Lookup!$A$2:$B$28,2,FALSE)</f>
        <v>Sao Paulo</v>
      </c>
    </row>
    <row r="407" spans="1:13" x14ac:dyDescent="0.45">
      <c r="A407" t="s">
        <v>627</v>
      </c>
      <c r="B407" t="s">
        <v>625</v>
      </c>
      <c r="C407" t="s">
        <v>476</v>
      </c>
      <c r="D407" t="s">
        <v>16</v>
      </c>
      <c r="E407" t="s">
        <v>152</v>
      </c>
      <c r="F407">
        <v>1</v>
      </c>
      <c r="G407">
        <v>109.9</v>
      </c>
      <c r="H407">
        <v>24.05</v>
      </c>
      <c r="I407" t="s">
        <v>44</v>
      </c>
      <c r="J407">
        <v>8</v>
      </c>
      <c r="K407" t="s">
        <v>51</v>
      </c>
      <c r="L407">
        <v>5</v>
      </c>
      <c r="M407" t="str">
        <f>VLOOKUP(D407,State_Lookup!$A$2:$B$28,2,FALSE)</f>
        <v>Sao Paulo</v>
      </c>
    </row>
    <row r="408" spans="1:13" x14ac:dyDescent="0.45">
      <c r="A408" t="s">
        <v>628</v>
      </c>
      <c r="B408" t="s">
        <v>625</v>
      </c>
      <c r="C408" t="s">
        <v>476</v>
      </c>
      <c r="D408" t="s">
        <v>19</v>
      </c>
      <c r="E408" t="s">
        <v>107</v>
      </c>
      <c r="F408">
        <v>1</v>
      </c>
      <c r="G408">
        <v>24.79</v>
      </c>
      <c r="H408">
        <v>16.05</v>
      </c>
      <c r="I408" t="s">
        <v>50</v>
      </c>
      <c r="J408">
        <v>10</v>
      </c>
      <c r="K408" t="s">
        <v>51</v>
      </c>
      <c r="L408">
        <v>1</v>
      </c>
      <c r="M408" t="str">
        <f>VLOOKUP(D408,State_Lookup!$A$2:$B$28,2,FALSE)</f>
        <v>Rio Grande do Sul</v>
      </c>
    </row>
    <row r="409" spans="1:13" x14ac:dyDescent="0.45">
      <c r="A409" t="s">
        <v>629</v>
      </c>
      <c r="B409" t="s">
        <v>630</v>
      </c>
      <c r="C409" t="s">
        <v>476</v>
      </c>
      <c r="D409" t="s">
        <v>21</v>
      </c>
      <c r="E409" t="s">
        <v>152</v>
      </c>
      <c r="F409">
        <v>1</v>
      </c>
      <c r="G409">
        <v>59.9</v>
      </c>
      <c r="H409">
        <v>11.03</v>
      </c>
      <c r="I409" t="s">
        <v>44</v>
      </c>
      <c r="K409" t="s">
        <v>45</v>
      </c>
      <c r="L409">
        <v>5</v>
      </c>
      <c r="M409" t="str">
        <f>VLOOKUP(D409,State_Lookup!$A$2:$B$28,2,FALSE)</f>
        <v>Santa Catarina</v>
      </c>
    </row>
    <row r="410" spans="1:13" x14ac:dyDescent="0.45">
      <c r="A410" t="s">
        <v>631</v>
      </c>
      <c r="B410" t="s">
        <v>630</v>
      </c>
      <c r="C410" t="s">
        <v>476</v>
      </c>
      <c r="D410" t="s">
        <v>632</v>
      </c>
      <c r="E410" t="s">
        <v>49</v>
      </c>
      <c r="F410">
        <v>1</v>
      </c>
      <c r="G410">
        <v>49.9</v>
      </c>
      <c r="H410">
        <v>26.61</v>
      </c>
      <c r="I410" t="s">
        <v>50</v>
      </c>
      <c r="K410" t="s">
        <v>45</v>
      </c>
      <c r="L410">
        <v>1</v>
      </c>
      <c r="M410" t="str">
        <f>VLOOKUP(D410,State_Lookup!$A$2:$B$28,2,FALSE)</f>
        <v>Alagoas</v>
      </c>
    </row>
    <row r="411" spans="1:13" x14ac:dyDescent="0.45">
      <c r="A411" t="s">
        <v>633</v>
      </c>
      <c r="B411" t="s">
        <v>630</v>
      </c>
      <c r="C411" t="s">
        <v>476</v>
      </c>
      <c r="D411" t="s">
        <v>16</v>
      </c>
      <c r="E411" t="s">
        <v>66</v>
      </c>
      <c r="F411">
        <v>1</v>
      </c>
      <c r="G411">
        <v>199.9</v>
      </c>
      <c r="H411">
        <v>9.77</v>
      </c>
      <c r="I411" t="s">
        <v>44</v>
      </c>
      <c r="J411">
        <v>8</v>
      </c>
      <c r="K411" t="s">
        <v>51</v>
      </c>
      <c r="L411">
        <v>5</v>
      </c>
      <c r="M411" t="str">
        <f>VLOOKUP(D411,State_Lookup!$A$2:$B$28,2,FALSE)</f>
        <v>Sao Paulo</v>
      </c>
    </row>
    <row r="412" spans="1:13" x14ac:dyDescent="0.45">
      <c r="A412" t="s">
        <v>634</v>
      </c>
      <c r="B412" t="s">
        <v>630</v>
      </c>
      <c r="C412" t="s">
        <v>476</v>
      </c>
      <c r="D412" t="s">
        <v>16</v>
      </c>
      <c r="E412" t="s">
        <v>152</v>
      </c>
      <c r="F412">
        <v>1</v>
      </c>
      <c r="G412">
        <v>139.9</v>
      </c>
      <c r="H412">
        <v>26.21</v>
      </c>
      <c r="I412" t="s">
        <v>44</v>
      </c>
      <c r="J412">
        <v>16</v>
      </c>
      <c r="K412" t="s">
        <v>51</v>
      </c>
      <c r="L412">
        <v>4</v>
      </c>
      <c r="M412" t="str">
        <f>VLOOKUP(D412,State_Lookup!$A$2:$B$28,2,FALSE)</f>
        <v>Sao Paulo</v>
      </c>
    </row>
    <row r="413" spans="1:13" x14ac:dyDescent="0.45">
      <c r="A413" t="s">
        <v>635</v>
      </c>
      <c r="B413" t="s">
        <v>636</v>
      </c>
      <c r="C413" t="s">
        <v>637</v>
      </c>
      <c r="D413" t="s">
        <v>16</v>
      </c>
      <c r="E413" t="s">
        <v>66</v>
      </c>
      <c r="F413">
        <v>1</v>
      </c>
      <c r="G413">
        <v>12.5</v>
      </c>
      <c r="H413">
        <v>10.96</v>
      </c>
      <c r="I413" t="s">
        <v>44</v>
      </c>
      <c r="J413">
        <v>9</v>
      </c>
      <c r="K413" t="s">
        <v>51</v>
      </c>
      <c r="L413">
        <v>5</v>
      </c>
      <c r="M413" t="str">
        <f>VLOOKUP(D413,State_Lookup!$A$2:$B$28,2,FALSE)</f>
        <v>Sao Paulo</v>
      </c>
    </row>
    <row r="414" spans="1:13" x14ac:dyDescent="0.45">
      <c r="A414" t="s">
        <v>638</v>
      </c>
      <c r="B414" t="s">
        <v>636</v>
      </c>
      <c r="C414" t="s">
        <v>637</v>
      </c>
      <c r="D414" t="s">
        <v>128</v>
      </c>
      <c r="E414" t="s">
        <v>103</v>
      </c>
      <c r="F414">
        <v>1</v>
      </c>
      <c r="G414">
        <v>164.33</v>
      </c>
      <c r="H414">
        <v>21.6</v>
      </c>
      <c r="I414" t="s">
        <v>44</v>
      </c>
      <c r="J414">
        <v>31</v>
      </c>
      <c r="K414" t="s">
        <v>51</v>
      </c>
      <c r="L414">
        <v>5</v>
      </c>
      <c r="M414" t="str">
        <f>VLOOKUP(D414,State_Lookup!$A$2:$B$28,2,FALSE)</f>
        <v>Ceara</v>
      </c>
    </row>
    <row r="415" spans="1:13" x14ac:dyDescent="0.45">
      <c r="A415" t="s">
        <v>639</v>
      </c>
      <c r="B415" t="s">
        <v>636</v>
      </c>
      <c r="C415" t="s">
        <v>637</v>
      </c>
      <c r="D415" t="s">
        <v>20</v>
      </c>
      <c r="E415" t="s">
        <v>79</v>
      </c>
      <c r="F415">
        <v>1</v>
      </c>
      <c r="G415">
        <v>19.989999999999998</v>
      </c>
      <c r="H415">
        <v>14.52</v>
      </c>
      <c r="I415" t="s">
        <v>44</v>
      </c>
      <c r="J415">
        <v>5</v>
      </c>
      <c r="K415" t="s">
        <v>51</v>
      </c>
      <c r="L415">
        <v>2</v>
      </c>
      <c r="M415" t="str">
        <f>VLOOKUP(D415,State_Lookup!$A$2:$B$28,2,FALSE)</f>
        <v>Parana</v>
      </c>
    </row>
    <row r="416" spans="1:13" x14ac:dyDescent="0.45">
      <c r="A416" t="s">
        <v>640</v>
      </c>
      <c r="B416" t="s">
        <v>636</v>
      </c>
      <c r="C416" t="s">
        <v>637</v>
      </c>
      <c r="D416" t="s">
        <v>24</v>
      </c>
      <c r="E416" t="s">
        <v>53</v>
      </c>
      <c r="F416">
        <v>2</v>
      </c>
      <c r="G416">
        <v>104.8</v>
      </c>
      <c r="H416">
        <v>31.4</v>
      </c>
      <c r="I416" t="s">
        <v>44</v>
      </c>
      <c r="J416">
        <v>8</v>
      </c>
      <c r="K416" t="s">
        <v>51</v>
      </c>
      <c r="L416">
        <v>5</v>
      </c>
      <c r="M416" t="str">
        <f>VLOOKUP(D416,State_Lookup!$A$2:$B$28,2,FALSE)</f>
        <v>Distrito Federal</v>
      </c>
    </row>
    <row r="417" spans="1:13" x14ac:dyDescent="0.45">
      <c r="A417" t="s">
        <v>641</v>
      </c>
      <c r="B417" t="s">
        <v>636</v>
      </c>
      <c r="C417" t="s">
        <v>637</v>
      </c>
      <c r="D417" t="s">
        <v>16</v>
      </c>
      <c r="E417" t="s">
        <v>79</v>
      </c>
      <c r="F417">
        <v>1</v>
      </c>
      <c r="G417">
        <v>99.9</v>
      </c>
      <c r="H417">
        <v>12.09</v>
      </c>
      <c r="I417" t="s">
        <v>50</v>
      </c>
      <c r="J417">
        <v>9</v>
      </c>
      <c r="K417" t="s">
        <v>51</v>
      </c>
      <c r="L417">
        <v>5</v>
      </c>
      <c r="M417" t="str">
        <f>VLOOKUP(D417,State_Lookup!$A$2:$B$28,2,FALSE)</f>
        <v>Sao Paulo</v>
      </c>
    </row>
    <row r="418" spans="1:13" x14ac:dyDescent="0.45">
      <c r="A418" t="s">
        <v>642</v>
      </c>
      <c r="B418" t="s">
        <v>636</v>
      </c>
      <c r="C418" t="s">
        <v>637</v>
      </c>
      <c r="D418" t="s">
        <v>16</v>
      </c>
      <c r="E418" t="s">
        <v>244</v>
      </c>
      <c r="F418">
        <v>1</v>
      </c>
      <c r="G418">
        <v>174.9</v>
      </c>
      <c r="H418">
        <v>12.61</v>
      </c>
      <c r="I418" t="s">
        <v>44</v>
      </c>
      <c r="J418">
        <v>15</v>
      </c>
      <c r="K418" t="s">
        <v>51</v>
      </c>
      <c r="L418">
        <v>5</v>
      </c>
      <c r="M418" t="str">
        <f>VLOOKUP(D418,State_Lookup!$A$2:$B$28,2,FALSE)</f>
        <v>Sao Paulo</v>
      </c>
    </row>
    <row r="419" spans="1:13" x14ac:dyDescent="0.45">
      <c r="A419" t="s">
        <v>643</v>
      </c>
      <c r="B419" t="s">
        <v>644</v>
      </c>
      <c r="C419" t="s">
        <v>637</v>
      </c>
      <c r="D419" t="s">
        <v>23</v>
      </c>
      <c r="E419" t="s">
        <v>49</v>
      </c>
      <c r="F419">
        <v>1</v>
      </c>
      <c r="G419">
        <v>99.7</v>
      </c>
      <c r="H419">
        <v>14.87</v>
      </c>
      <c r="I419" t="s">
        <v>50</v>
      </c>
      <c r="J419">
        <v>12</v>
      </c>
      <c r="K419" t="s">
        <v>51</v>
      </c>
      <c r="L419">
        <v>1</v>
      </c>
      <c r="M419" t="str">
        <f>VLOOKUP(D419,State_Lookup!$A$2:$B$28,2,FALSE)</f>
        <v>Espirito Santo</v>
      </c>
    </row>
    <row r="420" spans="1:13" x14ac:dyDescent="0.45">
      <c r="A420" t="s">
        <v>645</v>
      </c>
      <c r="B420" t="s">
        <v>644</v>
      </c>
      <c r="C420" t="s">
        <v>637</v>
      </c>
      <c r="D420" t="s">
        <v>16</v>
      </c>
      <c r="E420" t="s">
        <v>66</v>
      </c>
      <c r="F420">
        <v>1</v>
      </c>
      <c r="G420">
        <v>13.98</v>
      </c>
      <c r="H420">
        <v>10.96</v>
      </c>
      <c r="I420" t="s">
        <v>50</v>
      </c>
      <c r="J420">
        <v>16</v>
      </c>
      <c r="K420" t="s">
        <v>51</v>
      </c>
      <c r="L420">
        <v>4</v>
      </c>
      <c r="M420" t="str">
        <f>VLOOKUP(D420,State_Lookup!$A$2:$B$28,2,FALSE)</f>
        <v>Sao Paulo</v>
      </c>
    </row>
    <row r="421" spans="1:13" x14ac:dyDescent="0.45">
      <c r="A421" t="s">
        <v>646</v>
      </c>
      <c r="B421" t="s">
        <v>644</v>
      </c>
      <c r="C421" t="s">
        <v>637</v>
      </c>
      <c r="D421" t="s">
        <v>16</v>
      </c>
      <c r="E421" t="s">
        <v>49</v>
      </c>
      <c r="F421">
        <v>2</v>
      </c>
      <c r="G421">
        <v>90</v>
      </c>
      <c r="H421">
        <v>73.5</v>
      </c>
      <c r="I421" t="s">
        <v>44</v>
      </c>
      <c r="J421">
        <v>12</v>
      </c>
      <c r="K421" t="s">
        <v>51</v>
      </c>
      <c r="L421">
        <v>5</v>
      </c>
      <c r="M421" t="str">
        <f>VLOOKUP(D421,State_Lookup!$A$2:$B$28,2,FALSE)</f>
        <v>Sao Paulo</v>
      </c>
    </row>
    <row r="422" spans="1:13" x14ac:dyDescent="0.45">
      <c r="A422" t="s">
        <v>647</v>
      </c>
      <c r="B422" t="s">
        <v>644</v>
      </c>
      <c r="C422" t="s">
        <v>637</v>
      </c>
      <c r="D422" t="s">
        <v>19</v>
      </c>
      <c r="E422" t="s">
        <v>66</v>
      </c>
      <c r="F422">
        <v>1</v>
      </c>
      <c r="G422">
        <v>49.99</v>
      </c>
      <c r="H422">
        <v>16.05</v>
      </c>
      <c r="I422" t="s">
        <v>44</v>
      </c>
      <c r="J422">
        <v>8</v>
      </c>
      <c r="K422" t="s">
        <v>51</v>
      </c>
      <c r="L422">
        <v>5</v>
      </c>
      <c r="M422" t="str">
        <f>VLOOKUP(D422,State_Lookup!$A$2:$B$28,2,FALSE)</f>
        <v>Rio Grande do Sul</v>
      </c>
    </row>
    <row r="423" spans="1:13" x14ac:dyDescent="0.45">
      <c r="A423" t="s">
        <v>648</v>
      </c>
      <c r="B423" t="s">
        <v>644</v>
      </c>
      <c r="C423" t="s">
        <v>637</v>
      </c>
      <c r="D423" t="s">
        <v>16</v>
      </c>
      <c r="E423" t="s">
        <v>142</v>
      </c>
      <c r="F423">
        <v>2</v>
      </c>
      <c r="G423">
        <v>109.89</v>
      </c>
      <c r="H423">
        <v>25.29</v>
      </c>
      <c r="I423" t="s">
        <v>44</v>
      </c>
      <c r="J423">
        <v>18</v>
      </c>
      <c r="K423" t="s">
        <v>51</v>
      </c>
      <c r="L423">
        <v>5</v>
      </c>
      <c r="M423" t="str">
        <f>VLOOKUP(D423,State_Lookup!$A$2:$B$28,2,FALSE)</f>
        <v>Sao Paulo</v>
      </c>
    </row>
    <row r="424" spans="1:13" x14ac:dyDescent="0.45">
      <c r="A424" t="s">
        <v>649</v>
      </c>
      <c r="B424" t="s">
        <v>644</v>
      </c>
      <c r="C424" t="s">
        <v>637</v>
      </c>
      <c r="D424" t="s">
        <v>19</v>
      </c>
      <c r="E424" t="s">
        <v>302</v>
      </c>
      <c r="F424">
        <v>1</v>
      </c>
      <c r="G424">
        <v>399.85</v>
      </c>
      <c r="H424">
        <v>18.5</v>
      </c>
      <c r="I424" t="s">
        <v>50</v>
      </c>
      <c r="J424">
        <v>9</v>
      </c>
      <c r="K424" t="s">
        <v>51</v>
      </c>
      <c r="L424">
        <v>5</v>
      </c>
      <c r="M424" t="str">
        <f>VLOOKUP(D424,State_Lookup!$A$2:$B$28,2,FALSE)</f>
        <v>Rio Grande do Sul</v>
      </c>
    </row>
    <row r="425" spans="1:13" x14ac:dyDescent="0.45">
      <c r="A425" t="s">
        <v>650</v>
      </c>
      <c r="B425" t="s">
        <v>644</v>
      </c>
      <c r="C425" t="s">
        <v>637</v>
      </c>
      <c r="D425" t="s">
        <v>16</v>
      </c>
      <c r="E425" t="s">
        <v>142</v>
      </c>
      <c r="F425">
        <v>1</v>
      </c>
      <c r="G425">
        <v>16.989999999999998</v>
      </c>
      <c r="H425">
        <v>14.52</v>
      </c>
      <c r="I425" t="s">
        <v>44</v>
      </c>
      <c r="J425">
        <v>8</v>
      </c>
      <c r="K425" t="s">
        <v>51</v>
      </c>
      <c r="L425">
        <v>5</v>
      </c>
      <c r="M425" t="str">
        <f>VLOOKUP(D425,State_Lookup!$A$2:$B$28,2,FALSE)</f>
        <v>Sao Paulo</v>
      </c>
    </row>
    <row r="426" spans="1:13" x14ac:dyDescent="0.45">
      <c r="A426" t="s">
        <v>651</v>
      </c>
      <c r="B426" t="s">
        <v>644</v>
      </c>
      <c r="C426" t="s">
        <v>637</v>
      </c>
      <c r="D426" t="s">
        <v>19</v>
      </c>
      <c r="E426" t="s">
        <v>49</v>
      </c>
      <c r="F426">
        <v>1</v>
      </c>
      <c r="G426">
        <v>119.99</v>
      </c>
      <c r="H426">
        <v>25.04</v>
      </c>
      <c r="I426" t="s">
        <v>44</v>
      </c>
      <c r="J426">
        <v>28</v>
      </c>
      <c r="K426" t="s">
        <v>51</v>
      </c>
      <c r="L426">
        <v>5</v>
      </c>
      <c r="M426" t="str">
        <f>VLOOKUP(D426,State_Lookup!$A$2:$B$28,2,FALSE)</f>
        <v>Rio Grande do Sul</v>
      </c>
    </row>
    <row r="427" spans="1:13" x14ac:dyDescent="0.45">
      <c r="A427" t="s">
        <v>652</v>
      </c>
      <c r="B427" t="s">
        <v>653</v>
      </c>
      <c r="C427" t="s">
        <v>637</v>
      </c>
      <c r="D427" t="s">
        <v>24</v>
      </c>
      <c r="E427" t="s">
        <v>79</v>
      </c>
      <c r="F427">
        <v>1</v>
      </c>
      <c r="G427">
        <v>64.989999999999995</v>
      </c>
      <c r="H427">
        <v>16.149999999999999</v>
      </c>
      <c r="I427" t="s">
        <v>50</v>
      </c>
      <c r="J427">
        <v>9</v>
      </c>
      <c r="K427" t="s">
        <v>51</v>
      </c>
      <c r="L427">
        <v>5</v>
      </c>
      <c r="M427" t="str">
        <f>VLOOKUP(D427,State_Lookup!$A$2:$B$28,2,FALSE)</f>
        <v>Distrito Federal</v>
      </c>
    </row>
    <row r="428" spans="1:13" x14ac:dyDescent="0.45">
      <c r="A428" t="s">
        <v>654</v>
      </c>
      <c r="B428" t="s">
        <v>653</v>
      </c>
      <c r="C428" t="s">
        <v>637</v>
      </c>
      <c r="D428" t="s">
        <v>18</v>
      </c>
      <c r="E428" t="s">
        <v>148</v>
      </c>
      <c r="F428">
        <v>1</v>
      </c>
      <c r="G428">
        <v>138.9</v>
      </c>
      <c r="H428">
        <v>17.71</v>
      </c>
      <c r="I428" t="s">
        <v>44</v>
      </c>
      <c r="J428">
        <v>9</v>
      </c>
      <c r="K428" t="s">
        <v>51</v>
      </c>
      <c r="L428">
        <v>5</v>
      </c>
      <c r="M428" t="str">
        <f>VLOOKUP(D428,State_Lookup!$A$2:$B$28,2,FALSE)</f>
        <v>Minas Gerais</v>
      </c>
    </row>
    <row r="429" spans="1:13" x14ac:dyDescent="0.45">
      <c r="A429" t="s">
        <v>655</v>
      </c>
      <c r="B429" t="s">
        <v>653</v>
      </c>
      <c r="C429" t="s">
        <v>637</v>
      </c>
      <c r="D429" t="s">
        <v>656</v>
      </c>
      <c r="E429" t="s">
        <v>79</v>
      </c>
      <c r="F429">
        <v>1</v>
      </c>
      <c r="G429">
        <v>116</v>
      </c>
      <c r="H429">
        <v>25.3</v>
      </c>
      <c r="I429" t="s">
        <v>50</v>
      </c>
      <c r="J429">
        <v>21</v>
      </c>
      <c r="K429" t="s">
        <v>51</v>
      </c>
      <c r="L429">
        <v>3</v>
      </c>
      <c r="M429" t="str">
        <f>VLOOKUP(D429,State_Lookup!$A$2:$B$28,2,FALSE)</f>
        <v>Amapa</v>
      </c>
    </row>
    <row r="430" spans="1:13" x14ac:dyDescent="0.45">
      <c r="A430" t="s">
        <v>657</v>
      </c>
      <c r="B430" t="s">
        <v>653</v>
      </c>
      <c r="C430" t="s">
        <v>637</v>
      </c>
      <c r="D430" t="s">
        <v>113</v>
      </c>
      <c r="E430" t="s">
        <v>107</v>
      </c>
      <c r="F430">
        <v>1</v>
      </c>
      <c r="G430">
        <v>74.900000000000006</v>
      </c>
      <c r="H430">
        <v>35.14</v>
      </c>
      <c r="I430" t="s">
        <v>133</v>
      </c>
      <c r="J430">
        <v>19</v>
      </c>
      <c r="K430" t="s">
        <v>51</v>
      </c>
      <c r="L430">
        <v>4</v>
      </c>
      <c r="M430" t="str">
        <f>VLOOKUP(D430,State_Lookup!$A$2:$B$28,2,FALSE)</f>
        <v>Piaui</v>
      </c>
    </row>
    <row r="431" spans="1:13" x14ac:dyDescent="0.45">
      <c r="A431" t="s">
        <v>658</v>
      </c>
      <c r="B431" t="s">
        <v>659</v>
      </c>
      <c r="C431" t="s">
        <v>637</v>
      </c>
      <c r="D431" t="s">
        <v>21</v>
      </c>
      <c r="E431" t="s">
        <v>148</v>
      </c>
      <c r="F431">
        <v>1</v>
      </c>
      <c r="G431">
        <v>219.99</v>
      </c>
      <c r="H431">
        <v>19.82</v>
      </c>
      <c r="I431" t="s">
        <v>50</v>
      </c>
      <c r="J431">
        <v>16</v>
      </c>
      <c r="K431" t="s">
        <v>51</v>
      </c>
      <c r="L431">
        <v>3</v>
      </c>
      <c r="M431" t="str">
        <f>VLOOKUP(D431,State_Lookup!$A$2:$B$28,2,FALSE)</f>
        <v>Santa Catarina</v>
      </c>
    </row>
    <row r="432" spans="1:13" x14ac:dyDescent="0.45">
      <c r="A432" t="s">
        <v>660</v>
      </c>
      <c r="B432" t="s">
        <v>659</v>
      </c>
      <c r="C432" t="s">
        <v>637</v>
      </c>
      <c r="D432" t="s">
        <v>249</v>
      </c>
      <c r="E432" t="s">
        <v>79</v>
      </c>
      <c r="F432">
        <v>1</v>
      </c>
      <c r="G432">
        <v>199</v>
      </c>
      <c r="H432">
        <v>22.02</v>
      </c>
      <c r="I432" t="s">
        <v>44</v>
      </c>
      <c r="J432">
        <v>12</v>
      </c>
      <c r="K432" t="s">
        <v>51</v>
      </c>
      <c r="L432">
        <v>5</v>
      </c>
      <c r="M432" t="str">
        <f>VLOOKUP(D432,State_Lookup!$A$2:$B$28,2,FALSE)</f>
        <v>Tocantins</v>
      </c>
    </row>
    <row r="433" spans="1:13" x14ac:dyDescent="0.45">
      <c r="A433" t="s">
        <v>661</v>
      </c>
      <c r="B433" t="s">
        <v>659</v>
      </c>
      <c r="C433" t="s">
        <v>637</v>
      </c>
      <c r="D433" t="s">
        <v>22</v>
      </c>
      <c r="E433" t="s">
        <v>662</v>
      </c>
      <c r="F433">
        <v>1</v>
      </c>
      <c r="G433">
        <v>89.9</v>
      </c>
      <c r="H433">
        <v>21.08</v>
      </c>
      <c r="I433" t="s">
        <v>44</v>
      </c>
      <c r="J433">
        <v>23</v>
      </c>
      <c r="K433" t="s">
        <v>51</v>
      </c>
      <c r="L433">
        <v>3</v>
      </c>
      <c r="M433" t="str">
        <f>VLOOKUP(D433,State_Lookup!$A$2:$B$28,2,FALSE)</f>
        <v>Bahia</v>
      </c>
    </row>
    <row r="434" spans="1:13" x14ac:dyDescent="0.45">
      <c r="A434" t="s">
        <v>663</v>
      </c>
      <c r="B434" t="s">
        <v>664</v>
      </c>
      <c r="C434" t="s">
        <v>637</v>
      </c>
      <c r="D434" t="s">
        <v>18</v>
      </c>
      <c r="E434" t="s">
        <v>49</v>
      </c>
      <c r="F434">
        <v>1</v>
      </c>
      <c r="G434">
        <v>101.7</v>
      </c>
      <c r="H434">
        <v>15.92</v>
      </c>
      <c r="I434" t="s">
        <v>44</v>
      </c>
      <c r="J434">
        <v>28</v>
      </c>
      <c r="K434" t="s">
        <v>143</v>
      </c>
      <c r="L434">
        <v>1</v>
      </c>
      <c r="M434" t="str">
        <f>VLOOKUP(D434,State_Lookup!$A$2:$B$28,2,FALSE)</f>
        <v>Minas Gerais</v>
      </c>
    </row>
    <row r="435" spans="1:13" x14ac:dyDescent="0.45">
      <c r="A435" t="s">
        <v>665</v>
      </c>
      <c r="B435" t="s">
        <v>664</v>
      </c>
      <c r="C435" t="s">
        <v>637</v>
      </c>
      <c r="D435" t="s">
        <v>83</v>
      </c>
      <c r="E435" t="s">
        <v>244</v>
      </c>
      <c r="F435">
        <v>1</v>
      </c>
      <c r="G435">
        <v>89</v>
      </c>
      <c r="H435">
        <v>24.55</v>
      </c>
      <c r="I435" t="s">
        <v>44</v>
      </c>
      <c r="J435">
        <v>25</v>
      </c>
      <c r="K435" t="s">
        <v>51</v>
      </c>
      <c r="L435">
        <v>5</v>
      </c>
      <c r="M435" t="str">
        <f>VLOOKUP(D435,State_Lookup!$A$2:$B$28,2,FALSE)</f>
        <v>Sergipe</v>
      </c>
    </row>
    <row r="436" spans="1:13" x14ac:dyDescent="0.45">
      <c r="A436" t="s">
        <v>666</v>
      </c>
      <c r="B436" t="s">
        <v>664</v>
      </c>
      <c r="C436" t="s">
        <v>637</v>
      </c>
      <c r="D436" t="s">
        <v>63</v>
      </c>
      <c r="E436" t="s">
        <v>148</v>
      </c>
      <c r="F436">
        <v>1</v>
      </c>
      <c r="G436">
        <v>59.9</v>
      </c>
      <c r="H436">
        <v>24.55</v>
      </c>
      <c r="I436" t="s">
        <v>50</v>
      </c>
      <c r="J436">
        <v>52</v>
      </c>
      <c r="K436" t="s">
        <v>143</v>
      </c>
      <c r="L436">
        <v>1</v>
      </c>
      <c r="M436" t="str">
        <f>VLOOKUP(D436,State_Lookup!$A$2:$B$28,2,FALSE)</f>
        <v>Pernambuco</v>
      </c>
    </row>
    <row r="437" spans="1:13" x14ac:dyDescent="0.45">
      <c r="A437" t="s">
        <v>667</v>
      </c>
      <c r="B437" t="s">
        <v>664</v>
      </c>
      <c r="C437" t="s">
        <v>637</v>
      </c>
      <c r="D437" t="s">
        <v>16</v>
      </c>
      <c r="E437" t="s">
        <v>668</v>
      </c>
      <c r="F437">
        <v>1</v>
      </c>
      <c r="G437">
        <v>89.9</v>
      </c>
      <c r="H437">
        <v>9</v>
      </c>
      <c r="I437" t="s">
        <v>44</v>
      </c>
      <c r="J437">
        <v>7</v>
      </c>
      <c r="K437" t="s">
        <v>51</v>
      </c>
      <c r="L437">
        <v>5</v>
      </c>
      <c r="M437" t="str">
        <f>VLOOKUP(D437,State_Lookup!$A$2:$B$28,2,FALSE)</f>
        <v>Sao Paulo</v>
      </c>
    </row>
    <row r="438" spans="1:13" x14ac:dyDescent="0.45">
      <c r="A438" t="s">
        <v>669</v>
      </c>
      <c r="B438" t="s">
        <v>664</v>
      </c>
      <c r="C438" t="s">
        <v>637</v>
      </c>
      <c r="D438" t="s">
        <v>208</v>
      </c>
      <c r="E438" t="s">
        <v>103</v>
      </c>
      <c r="F438">
        <v>1</v>
      </c>
      <c r="G438">
        <v>98</v>
      </c>
      <c r="H438">
        <v>21.14</v>
      </c>
      <c r="I438" t="s">
        <v>133</v>
      </c>
      <c r="J438">
        <v>11</v>
      </c>
      <c r="K438" t="s">
        <v>51</v>
      </c>
      <c r="L438">
        <v>4</v>
      </c>
      <c r="M438" t="str">
        <f>VLOOKUP(D438,State_Lookup!$A$2:$B$28,2,FALSE)</f>
        <v>Mato Grosso</v>
      </c>
    </row>
    <row r="439" spans="1:13" x14ac:dyDescent="0.45">
      <c r="A439" t="s">
        <v>670</v>
      </c>
      <c r="B439" t="s">
        <v>664</v>
      </c>
      <c r="C439" t="s">
        <v>637</v>
      </c>
      <c r="D439" t="s">
        <v>22</v>
      </c>
      <c r="E439" t="s">
        <v>66</v>
      </c>
      <c r="F439">
        <v>1</v>
      </c>
      <c r="G439">
        <v>25.99</v>
      </c>
      <c r="H439">
        <v>20.399999999999999</v>
      </c>
      <c r="I439" t="s">
        <v>44</v>
      </c>
      <c r="J439">
        <v>13</v>
      </c>
      <c r="K439" t="s">
        <v>51</v>
      </c>
      <c r="L439">
        <v>5</v>
      </c>
      <c r="M439" t="str">
        <f>VLOOKUP(D439,State_Lookup!$A$2:$B$28,2,FALSE)</f>
        <v>Bahia</v>
      </c>
    </row>
    <row r="440" spans="1:13" x14ac:dyDescent="0.45">
      <c r="A440" t="s">
        <v>671</v>
      </c>
      <c r="B440" t="s">
        <v>664</v>
      </c>
      <c r="C440" t="s">
        <v>637</v>
      </c>
      <c r="D440" t="s">
        <v>672</v>
      </c>
      <c r="E440" t="s">
        <v>64</v>
      </c>
      <c r="F440">
        <v>1</v>
      </c>
      <c r="G440">
        <v>79.989999999999995</v>
      </c>
      <c r="H440">
        <v>25.05</v>
      </c>
      <c r="I440" t="s">
        <v>44</v>
      </c>
      <c r="J440">
        <v>13</v>
      </c>
      <c r="K440" t="s">
        <v>51</v>
      </c>
      <c r="L440">
        <v>5</v>
      </c>
      <c r="M440" t="str">
        <f>VLOOKUP(D440,State_Lookup!$A$2:$B$28,2,FALSE)</f>
        <v>Paraiba</v>
      </c>
    </row>
    <row r="441" spans="1:13" x14ac:dyDescent="0.45">
      <c r="A441" t="s">
        <v>673</v>
      </c>
      <c r="B441" t="s">
        <v>674</v>
      </c>
      <c r="C441" t="s">
        <v>637</v>
      </c>
      <c r="D441" t="s">
        <v>17</v>
      </c>
      <c r="E441" t="s">
        <v>103</v>
      </c>
      <c r="F441">
        <v>1</v>
      </c>
      <c r="G441">
        <v>59.9</v>
      </c>
      <c r="H441">
        <v>16.989999999999998</v>
      </c>
      <c r="I441" t="s">
        <v>44</v>
      </c>
      <c r="J441">
        <v>10</v>
      </c>
      <c r="K441" t="s">
        <v>51</v>
      </c>
      <c r="L441">
        <v>5</v>
      </c>
      <c r="M441" t="str">
        <f>VLOOKUP(D441,State_Lookup!$A$2:$B$28,2,FALSE)</f>
        <v>Rio de Janeiro</v>
      </c>
    </row>
    <row r="442" spans="1:13" x14ac:dyDescent="0.45">
      <c r="A442" t="s">
        <v>675</v>
      </c>
      <c r="B442" t="s">
        <v>674</v>
      </c>
      <c r="C442" t="s">
        <v>637</v>
      </c>
      <c r="D442" t="s">
        <v>194</v>
      </c>
      <c r="E442" t="s">
        <v>366</v>
      </c>
      <c r="F442">
        <v>1</v>
      </c>
      <c r="G442">
        <v>35</v>
      </c>
      <c r="H442">
        <v>16.11</v>
      </c>
      <c r="I442" t="s">
        <v>44</v>
      </c>
      <c r="J442">
        <v>10</v>
      </c>
      <c r="K442" t="s">
        <v>51</v>
      </c>
      <c r="L442">
        <v>5</v>
      </c>
      <c r="M442" t="str">
        <f>VLOOKUP(D442,State_Lookup!$A$2:$B$28,2,FALSE)</f>
        <v>Mato Grosso do Sul</v>
      </c>
    </row>
    <row r="443" spans="1:13" x14ac:dyDescent="0.45">
      <c r="A443" t="s">
        <v>676</v>
      </c>
      <c r="B443" t="s">
        <v>674</v>
      </c>
      <c r="C443" t="s">
        <v>637</v>
      </c>
      <c r="D443" t="s">
        <v>194</v>
      </c>
      <c r="E443" t="s">
        <v>366</v>
      </c>
      <c r="F443">
        <v>1</v>
      </c>
      <c r="G443">
        <v>35</v>
      </c>
      <c r="H443">
        <v>16.11</v>
      </c>
      <c r="I443" t="s">
        <v>44</v>
      </c>
      <c r="J443">
        <v>10</v>
      </c>
      <c r="K443" t="s">
        <v>51</v>
      </c>
      <c r="L443">
        <v>5</v>
      </c>
      <c r="M443" t="str">
        <f>VLOOKUP(D443,State_Lookup!$A$2:$B$28,2,FALSE)</f>
        <v>Mato Grosso do Sul</v>
      </c>
    </row>
    <row r="444" spans="1:13" x14ac:dyDescent="0.45">
      <c r="A444" t="s">
        <v>677</v>
      </c>
      <c r="B444" t="s">
        <v>674</v>
      </c>
      <c r="C444" t="s">
        <v>637</v>
      </c>
      <c r="D444" t="s">
        <v>141</v>
      </c>
      <c r="E444" t="s">
        <v>103</v>
      </c>
      <c r="F444">
        <v>1</v>
      </c>
      <c r="G444">
        <v>25.9</v>
      </c>
      <c r="H444">
        <v>21.15</v>
      </c>
      <c r="I444" t="s">
        <v>44</v>
      </c>
      <c r="K444" t="s">
        <v>45</v>
      </c>
      <c r="L444">
        <v>1</v>
      </c>
      <c r="M444" t="str">
        <f>VLOOKUP(D444,State_Lookup!$A$2:$B$28,2,FALSE)</f>
        <v>Maranhao</v>
      </c>
    </row>
    <row r="445" spans="1:13" x14ac:dyDescent="0.45">
      <c r="A445" t="s">
        <v>678</v>
      </c>
      <c r="B445" t="s">
        <v>674</v>
      </c>
      <c r="C445" t="s">
        <v>637</v>
      </c>
      <c r="D445" t="s">
        <v>16</v>
      </c>
      <c r="E445" t="s">
        <v>110</v>
      </c>
      <c r="F445">
        <v>1</v>
      </c>
      <c r="G445">
        <v>68.900000000000006</v>
      </c>
      <c r="H445">
        <v>12.82</v>
      </c>
      <c r="I445" t="s">
        <v>44</v>
      </c>
      <c r="J445">
        <v>9</v>
      </c>
      <c r="K445" t="s">
        <v>51</v>
      </c>
      <c r="L445">
        <v>5</v>
      </c>
      <c r="M445" t="str">
        <f>VLOOKUP(D445,State_Lookup!$A$2:$B$28,2,FALSE)</f>
        <v>Sao Paulo</v>
      </c>
    </row>
    <row r="446" spans="1:13" x14ac:dyDescent="0.45">
      <c r="A446" t="s">
        <v>679</v>
      </c>
      <c r="B446" t="s">
        <v>674</v>
      </c>
      <c r="C446" t="s">
        <v>637</v>
      </c>
      <c r="D446" t="s">
        <v>16</v>
      </c>
      <c r="E446" t="s">
        <v>61</v>
      </c>
      <c r="F446">
        <v>1</v>
      </c>
      <c r="G446">
        <v>75</v>
      </c>
      <c r="H446">
        <v>12.03</v>
      </c>
      <c r="I446" t="s">
        <v>44</v>
      </c>
      <c r="J446">
        <v>11</v>
      </c>
      <c r="K446" t="s">
        <v>51</v>
      </c>
      <c r="L446">
        <v>5</v>
      </c>
      <c r="M446" t="str">
        <f>VLOOKUP(D446,State_Lookup!$A$2:$B$28,2,FALSE)</f>
        <v>Sao Paulo</v>
      </c>
    </row>
    <row r="447" spans="1:13" x14ac:dyDescent="0.45">
      <c r="A447" t="s">
        <v>680</v>
      </c>
      <c r="B447" t="s">
        <v>681</v>
      </c>
      <c r="C447" t="s">
        <v>637</v>
      </c>
      <c r="D447" t="s">
        <v>16</v>
      </c>
      <c r="E447" t="s">
        <v>157</v>
      </c>
      <c r="F447">
        <v>1</v>
      </c>
      <c r="G447">
        <v>26.69</v>
      </c>
      <c r="H447">
        <v>15.1</v>
      </c>
      <c r="I447" t="s">
        <v>44</v>
      </c>
      <c r="J447">
        <v>8</v>
      </c>
      <c r="K447" t="s">
        <v>51</v>
      </c>
      <c r="L447">
        <v>5</v>
      </c>
      <c r="M447" t="str">
        <f>VLOOKUP(D447,State_Lookup!$A$2:$B$28,2,FALSE)</f>
        <v>Sao Paulo</v>
      </c>
    </row>
    <row r="448" spans="1:13" x14ac:dyDescent="0.45">
      <c r="A448" t="s">
        <v>682</v>
      </c>
      <c r="B448" t="s">
        <v>681</v>
      </c>
      <c r="C448" t="s">
        <v>637</v>
      </c>
      <c r="D448" t="s">
        <v>18</v>
      </c>
      <c r="E448" t="s">
        <v>69</v>
      </c>
      <c r="F448">
        <v>1</v>
      </c>
      <c r="G448">
        <v>249.9</v>
      </c>
      <c r="H448">
        <v>17.510000000000002</v>
      </c>
      <c r="I448" t="s">
        <v>44</v>
      </c>
      <c r="J448">
        <v>9</v>
      </c>
      <c r="K448" t="s">
        <v>51</v>
      </c>
      <c r="L448">
        <v>5</v>
      </c>
      <c r="M448" t="str">
        <f>VLOOKUP(D448,State_Lookup!$A$2:$B$28,2,FALSE)</f>
        <v>Minas Gerais</v>
      </c>
    </row>
    <row r="449" spans="1:13" x14ac:dyDescent="0.45">
      <c r="A449" t="s">
        <v>683</v>
      </c>
      <c r="B449" t="s">
        <v>681</v>
      </c>
      <c r="C449" t="s">
        <v>637</v>
      </c>
      <c r="D449" t="s">
        <v>141</v>
      </c>
      <c r="E449" t="s">
        <v>66</v>
      </c>
      <c r="F449">
        <v>1</v>
      </c>
      <c r="G449">
        <v>13.98</v>
      </c>
      <c r="H449">
        <v>21.15</v>
      </c>
      <c r="I449" t="s">
        <v>44</v>
      </c>
      <c r="J449">
        <v>24</v>
      </c>
      <c r="K449" t="s">
        <v>51</v>
      </c>
      <c r="L449">
        <v>1</v>
      </c>
      <c r="M449" t="str">
        <f>VLOOKUP(D449,State_Lookup!$A$2:$B$28,2,FALSE)</f>
        <v>Maranhao</v>
      </c>
    </row>
    <row r="450" spans="1:13" x14ac:dyDescent="0.45">
      <c r="A450" t="s">
        <v>684</v>
      </c>
      <c r="B450" t="s">
        <v>681</v>
      </c>
      <c r="C450" t="s">
        <v>637</v>
      </c>
      <c r="D450" t="s">
        <v>16</v>
      </c>
      <c r="E450" t="s">
        <v>142</v>
      </c>
      <c r="F450">
        <v>1</v>
      </c>
      <c r="G450">
        <v>8.9</v>
      </c>
      <c r="H450">
        <v>11.85</v>
      </c>
      <c r="I450" t="s">
        <v>133</v>
      </c>
      <c r="J450">
        <v>10</v>
      </c>
      <c r="K450" t="s">
        <v>51</v>
      </c>
      <c r="L450">
        <v>4</v>
      </c>
      <c r="M450" t="str">
        <f>VLOOKUP(D450,State_Lookup!$A$2:$B$28,2,FALSE)</f>
        <v>Sao Paulo</v>
      </c>
    </row>
    <row r="451" spans="1:13" x14ac:dyDescent="0.45">
      <c r="A451" t="s">
        <v>685</v>
      </c>
      <c r="B451" t="s">
        <v>681</v>
      </c>
      <c r="C451" t="s">
        <v>637</v>
      </c>
      <c r="D451" t="s">
        <v>20</v>
      </c>
      <c r="E451" t="s">
        <v>142</v>
      </c>
      <c r="F451">
        <v>1</v>
      </c>
      <c r="G451">
        <v>26.4</v>
      </c>
      <c r="H451">
        <v>14.1</v>
      </c>
      <c r="I451" t="s">
        <v>44</v>
      </c>
      <c r="J451">
        <v>11</v>
      </c>
      <c r="K451" t="s">
        <v>51</v>
      </c>
      <c r="L451">
        <v>5</v>
      </c>
      <c r="M451" t="str">
        <f>VLOOKUP(D451,State_Lookup!$A$2:$B$28,2,FALSE)</f>
        <v>Parana</v>
      </c>
    </row>
    <row r="452" spans="1:13" x14ac:dyDescent="0.45">
      <c r="A452" t="s">
        <v>686</v>
      </c>
      <c r="B452" t="s">
        <v>681</v>
      </c>
      <c r="C452" t="s">
        <v>637</v>
      </c>
      <c r="D452" t="s">
        <v>16</v>
      </c>
      <c r="E452" t="s">
        <v>43</v>
      </c>
      <c r="F452">
        <v>1</v>
      </c>
      <c r="G452">
        <v>39.9</v>
      </c>
      <c r="H452">
        <v>12.69</v>
      </c>
      <c r="I452" t="s">
        <v>133</v>
      </c>
      <c r="J452">
        <v>15</v>
      </c>
      <c r="K452" t="s">
        <v>51</v>
      </c>
      <c r="L452">
        <v>4</v>
      </c>
      <c r="M452" t="str">
        <f>VLOOKUP(D452,State_Lookup!$A$2:$B$28,2,FALSE)</f>
        <v>Sao Paulo</v>
      </c>
    </row>
    <row r="453" spans="1:13" x14ac:dyDescent="0.45">
      <c r="A453" t="s">
        <v>687</v>
      </c>
      <c r="B453" t="s">
        <v>681</v>
      </c>
      <c r="C453" t="s">
        <v>637</v>
      </c>
      <c r="D453" t="s">
        <v>17</v>
      </c>
      <c r="E453" t="s">
        <v>49</v>
      </c>
      <c r="F453">
        <v>1</v>
      </c>
      <c r="G453">
        <v>29.5</v>
      </c>
      <c r="H453">
        <v>16.79</v>
      </c>
      <c r="I453" t="s">
        <v>44</v>
      </c>
      <c r="J453">
        <v>8</v>
      </c>
      <c r="K453" t="s">
        <v>51</v>
      </c>
      <c r="L453">
        <v>5</v>
      </c>
      <c r="M453" t="str">
        <f>VLOOKUP(D453,State_Lookup!$A$2:$B$28,2,FALSE)</f>
        <v>Rio de Janeiro</v>
      </c>
    </row>
    <row r="454" spans="1:13" x14ac:dyDescent="0.45">
      <c r="A454" t="s">
        <v>688</v>
      </c>
      <c r="B454" t="s">
        <v>689</v>
      </c>
      <c r="C454" t="s">
        <v>637</v>
      </c>
      <c r="D454" t="s">
        <v>18</v>
      </c>
      <c r="E454" t="s">
        <v>110</v>
      </c>
      <c r="F454">
        <v>1</v>
      </c>
      <c r="G454">
        <v>45.95</v>
      </c>
      <c r="H454">
        <v>15.1</v>
      </c>
      <c r="I454" t="s">
        <v>44</v>
      </c>
      <c r="J454">
        <v>8</v>
      </c>
      <c r="K454" t="s">
        <v>51</v>
      </c>
      <c r="L454">
        <v>5</v>
      </c>
      <c r="M454" t="str">
        <f>VLOOKUP(D454,State_Lookup!$A$2:$B$28,2,FALSE)</f>
        <v>Minas Gerais</v>
      </c>
    </row>
    <row r="455" spans="1:13" x14ac:dyDescent="0.45">
      <c r="A455" t="s">
        <v>690</v>
      </c>
      <c r="B455" t="s">
        <v>689</v>
      </c>
      <c r="C455" t="s">
        <v>637</v>
      </c>
      <c r="D455" t="s">
        <v>20</v>
      </c>
      <c r="E455" t="s">
        <v>69</v>
      </c>
      <c r="F455">
        <v>2</v>
      </c>
      <c r="G455">
        <v>119.8</v>
      </c>
      <c r="H455">
        <v>35.340000000000003</v>
      </c>
      <c r="I455" t="s">
        <v>44</v>
      </c>
      <c r="J455">
        <v>38</v>
      </c>
      <c r="K455" t="s">
        <v>143</v>
      </c>
      <c r="L455">
        <v>5</v>
      </c>
      <c r="M455" t="str">
        <f>VLOOKUP(D455,State_Lookup!$A$2:$B$28,2,FALSE)</f>
        <v>Parana</v>
      </c>
    </row>
    <row r="456" spans="1:13" x14ac:dyDescent="0.45">
      <c r="A456" t="s">
        <v>691</v>
      </c>
      <c r="B456" t="s">
        <v>689</v>
      </c>
      <c r="C456" t="s">
        <v>637</v>
      </c>
      <c r="D456" t="s">
        <v>16</v>
      </c>
      <c r="E456" t="s">
        <v>43</v>
      </c>
      <c r="F456">
        <v>1</v>
      </c>
      <c r="G456">
        <v>46.99</v>
      </c>
      <c r="H456">
        <v>12.69</v>
      </c>
      <c r="I456" t="s">
        <v>50</v>
      </c>
      <c r="J456">
        <v>9</v>
      </c>
      <c r="K456" t="s">
        <v>51</v>
      </c>
      <c r="L456">
        <v>5</v>
      </c>
      <c r="M456" t="str">
        <f>VLOOKUP(D456,State_Lookup!$A$2:$B$28,2,FALSE)</f>
        <v>Sao Paulo</v>
      </c>
    </row>
    <row r="457" spans="1:13" x14ac:dyDescent="0.45">
      <c r="A457" t="s">
        <v>692</v>
      </c>
      <c r="B457" t="s">
        <v>689</v>
      </c>
      <c r="C457" t="s">
        <v>637</v>
      </c>
      <c r="D457" t="s">
        <v>17</v>
      </c>
      <c r="E457" t="s">
        <v>148</v>
      </c>
      <c r="F457">
        <v>1</v>
      </c>
      <c r="G457">
        <v>199.99</v>
      </c>
      <c r="H457">
        <v>17.649999999999999</v>
      </c>
      <c r="I457" t="s">
        <v>44</v>
      </c>
      <c r="J457">
        <v>15</v>
      </c>
      <c r="K457" t="s">
        <v>51</v>
      </c>
      <c r="L457">
        <v>5</v>
      </c>
      <c r="M457" t="str">
        <f>VLOOKUP(D457,State_Lookup!$A$2:$B$28,2,FALSE)</f>
        <v>Rio de Janeiro</v>
      </c>
    </row>
    <row r="458" spans="1:13" x14ac:dyDescent="0.45">
      <c r="A458" t="s">
        <v>693</v>
      </c>
      <c r="B458" t="s">
        <v>689</v>
      </c>
      <c r="C458" t="s">
        <v>637</v>
      </c>
      <c r="D458" t="s">
        <v>20</v>
      </c>
      <c r="E458" t="s">
        <v>43</v>
      </c>
      <c r="F458">
        <v>1</v>
      </c>
      <c r="G458">
        <v>61.9</v>
      </c>
      <c r="H458">
        <v>16.190000000000001</v>
      </c>
      <c r="I458" t="s">
        <v>50</v>
      </c>
      <c r="J458">
        <v>9</v>
      </c>
      <c r="K458" t="s">
        <v>51</v>
      </c>
      <c r="L458">
        <v>5</v>
      </c>
      <c r="M458" t="str">
        <f>VLOOKUP(D458,State_Lookup!$A$2:$B$28,2,FALSE)</f>
        <v>Parana</v>
      </c>
    </row>
    <row r="459" spans="1:13" x14ac:dyDescent="0.45">
      <c r="A459" t="s">
        <v>694</v>
      </c>
      <c r="B459" t="s">
        <v>689</v>
      </c>
      <c r="C459" t="s">
        <v>637</v>
      </c>
      <c r="D459" t="s">
        <v>19</v>
      </c>
      <c r="E459" t="s">
        <v>110</v>
      </c>
      <c r="F459">
        <v>1</v>
      </c>
      <c r="G459">
        <v>77.75</v>
      </c>
      <c r="H459">
        <v>16.3</v>
      </c>
      <c r="I459" t="s">
        <v>44</v>
      </c>
      <c r="J459">
        <v>15</v>
      </c>
      <c r="K459" t="s">
        <v>51</v>
      </c>
      <c r="L459">
        <v>5</v>
      </c>
      <c r="M459" t="str">
        <f>VLOOKUP(D459,State_Lookup!$A$2:$B$28,2,FALSE)</f>
        <v>Rio Grande do Sul</v>
      </c>
    </row>
    <row r="460" spans="1:13" x14ac:dyDescent="0.45">
      <c r="A460" t="s">
        <v>695</v>
      </c>
      <c r="B460" t="s">
        <v>689</v>
      </c>
      <c r="C460" t="s">
        <v>637</v>
      </c>
      <c r="D460" t="s">
        <v>20</v>
      </c>
      <c r="E460" t="s">
        <v>103</v>
      </c>
      <c r="F460">
        <v>1</v>
      </c>
      <c r="G460">
        <v>79.900000000000006</v>
      </c>
      <c r="H460">
        <v>15.31</v>
      </c>
      <c r="I460" t="s">
        <v>44</v>
      </c>
      <c r="J460">
        <v>6</v>
      </c>
      <c r="K460" t="s">
        <v>51</v>
      </c>
      <c r="L460">
        <v>4</v>
      </c>
      <c r="M460" t="str">
        <f>VLOOKUP(D460,State_Lookup!$A$2:$B$28,2,FALSE)</f>
        <v>Parana</v>
      </c>
    </row>
    <row r="461" spans="1:13" x14ac:dyDescent="0.45">
      <c r="A461" t="s">
        <v>696</v>
      </c>
      <c r="B461" t="s">
        <v>697</v>
      </c>
      <c r="C461" t="s">
        <v>637</v>
      </c>
      <c r="D461" t="s">
        <v>18</v>
      </c>
      <c r="E461" t="s">
        <v>110</v>
      </c>
      <c r="F461">
        <v>1</v>
      </c>
      <c r="G461">
        <v>146</v>
      </c>
      <c r="H461">
        <v>21.51</v>
      </c>
      <c r="I461" t="s">
        <v>44</v>
      </c>
      <c r="J461">
        <v>14</v>
      </c>
      <c r="K461" t="s">
        <v>51</v>
      </c>
      <c r="L461">
        <v>3</v>
      </c>
      <c r="M461" t="str">
        <f>VLOOKUP(D461,State_Lookup!$A$2:$B$28,2,FALSE)</f>
        <v>Minas Gerais</v>
      </c>
    </row>
    <row r="462" spans="1:13" x14ac:dyDescent="0.45">
      <c r="A462" t="s">
        <v>698</v>
      </c>
      <c r="B462" t="s">
        <v>697</v>
      </c>
      <c r="C462" t="s">
        <v>637</v>
      </c>
      <c r="D462" t="s">
        <v>63</v>
      </c>
      <c r="E462" t="s">
        <v>61</v>
      </c>
      <c r="F462">
        <v>1</v>
      </c>
      <c r="G462">
        <v>89.9</v>
      </c>
      <c r="H462">
        <v>54.3</v>
      </c>
      <c r="I462" t="s">
        <v>44</v>
      </c>
      <c r="J462">
        <v>31</v>
      </c>
      <c r="K462" t="s">
        <v>51</v>
      </c>
      <c r="L462">
        <v>5</v>
      </c>
      <c r="M462" t="str">
        <f>VLOOKUP(D462,State_Lookup!$A$2:$B$28,2,FALSE)</f>
        <v>Pernambuco</v>
      </c>
    </row>
    <row r="463" spans="1:13" x14ac:dyDescent="0.45">
      <c r="A463" t="s">
        <v>699</v>
      </c>
      <c r="B463" t="s">
        <v>697</v>
      </c>
      <c r="C463" t="s">
        <v>637</v>
      </c>
      <c r="D463" t="s">
        <v>16</v>
      </c>
      <c r="E463" t="s">
        <v>79</v>
      </c>
      <c r="F463">
        <v>1</v>
      </c>
      <c r="G463">
        <v>19.899999999999999</v>
      </c>
      <c r="H463">
        <v>7.78</v>
      </c>
      <c r="I463" t="s">
        <v>133</v>
      </c>
      <c r="J463">
        <v>12</v>
      </c>
      <c r="K463" t="s">
        <v>143</v>
      </c>
      <c r="L463">
        <v>2</v>
      </c>
      <c r="M463" t="str">
        <f>VLOOKUP(D463,State_Lookup!$A$2:$B$28,2,FALSE)</f>
        <v>Sao Paulo</v>
      </c>
    </row>
    <row r="464" spans="1:13" x14ac:dyDescent="0.45">
      <c r="A464" t="s">
        <v>700</v>
      </c>
      <c r="B464" t="s">
        <v>697</v>
      </c>
      <c r="C464" t="s">
        <v>637</v>
      </c>
      <c r="D464" t="s">
        <v>17</v>
      </c>
      <c r="E464" t="s">
        <v>103</v>
      </c>
      <c r="F464">
        <v>1</v>
      </c>
      <c r="G464">
        <v>79.900000000000006</v>
      </c>
      <c r="H464">
        <v>14.31</v>
      </c>
      <c r="I464" t="s">
        <v>44</v>
      </c>
      <c r="J464">
        <v>7</v>
      </c>
      <c r="K464" t="s">
        <v>51</v>
      </c>
      <c r="L464">
        <v>5</v>
      </c>
      <c r="M464" t="str">
        <f>VLOOKUP(D464,State_Lookup!$A$2:$B$28,2,FALSE)</f>
        <v>Rio de Janeiro</v>
      </c>
    </row>
    <row r="465" spans="1:13" x14ac:dyDescent="0.45">
      <c r="A465" t="s">
        <v>701</v>
      </c>
      <c r="B465" t="s">
        <v>697</v>
      </c>
      <c r="C465" t="s">
        <v>637</v>
      </c>
      <c r="D465" t="s">
        <v>17</v>
      </c>
      <c r="E465" t="s">
        <v>49</v>
      </c>
      <c r="F465">
        <v>1</v>
      </c>
      <c r="G465">
        <v>54.9</v>
      </c>
      <c r="H465">
        <v>14.13</v>
      </c>
      <c r="I465" t="s">
        <v>44</v>
      </c>
      <c r="J465">
        <v>8</v>
      </c>
      <c r="K465" t="s">
        <v>51</v>
      </c>
      <c r="L465">
        <v>5</v>
      </c>
      <c r="M465" t="str">
        <f>VLOOKUP(D465,State_Lookup!$A$2:$B$28,2,FALSE)</f>
        <v>Rio de Janeiro</v>
      </c>
    </row>
    <row r="466" spans="1:13" x14ac:dyDescent="0.45">
      <c r="A466" t="s">
        <v>702</v>
      </c>
      <c r="B466" t="s">
        <v>697</v>
      </c>
      <c r="C466" t="s">
        <v>637</v>
      </c>
      <c r="D466" t="s">
        <v>22</v>
      </c>
      <c r="E466" t="s">
        <v>148</v>
      </c>
      <c r="F466">
        <v>2</v>
      </c>
      <c r="G466">
        <v>125.98</v>
      </c>
      <c r="H466">
        <v>37.36</v>
      </c>
      <c r="I466" t="s">
        <v>44</v>
      </c>
      <c r="J466">
        <v>14</v>
      </c>
      <c r="K466" t="s">
        <v>51</v>
      </c>
      <c r="L466">
        <v>5</v>
      </c>
      <c r="M466" t="str">
        <f>VLOOKUP(D466,State_Lookup!$A$2:$B$28,2,FALSE)</f>
        <v>Bahia</v>
      </c>
    </row>
    <row r="467" spans="1:13" x14ac:dyDescent="0.45">
      <c r="A467" t="s">
        <v>703</v>
      </c>
      <c r="B467" t="s">
        <v>697</v>
      </c>
      <c r="C467" t="s">
        <v>637</v>
      </c>
      <c r="D467" t="s">
        <v>16</v>
      </c>
      <c r="E467" t="s">
        <v>148</v>
      </c>
      <c r="F467">
        <v>1</v>
      </c>
      <c r="G467">
        <v>69.989999999999995</v>
      </c>
      <c r="H467">
        <v>11.73</v>
      </c>
      <c r="I467" t="s">
        <v>44</v>
      </c>
      <c r="J467">
        <v>2</v>
      </c>
      <c r="K467" t="s">
        <v>51</v>
      </c>
      <c r="L467">
        <v>5</v>
      </c>
      <c r="M467" t="str">
        <f>VLOOKUP(D467,State_Lookup!$A$2:$B$28,2,FALSE)</f>
        <v>Sao Paulo</v>
      </c>
    </row>
    <row r="468" spans="1:13" x14ac:dyDescent="0.45">
      <c r="A468" t="s">
        <v>704</v>
      </c>
      <c r="B468" t="s">
        <v>705</v>
      </c>
      <c r="C468" t="s">
        <v>637</v>
      </c>
      <c r="D468" t="s">
        <v>18</v>
      </c>
      <c r="E468" t="s">
        <v>64</v>
      </c>
      <c r="F468">
        <v>1</v>
      </c>
      <c r="G468">
        <v>56.99</v>
      </c>
      <c r="H468">
        <v>15.15</v>
      </c>
      <c r="I468" t="s">
        <v>44</v>
      </c>
      <c r="J468">
        <v>12</v>
      </c>
      <c r="K468" t="s">
        <v>51</v>
      </c>
      <c r="L468">
        <v>5</v>
      </c>
      <c r="M468" t="str">
        <f>VLOOKUP(D468,State_Lookup!$A$2:$B$28,2,FALSE)</f>
        <v>Minas Gerais</v>
      </c>
    </row>
    <row r="469" spans="1:13" x14ac:dyDescent="0.45">
      <c r="A469" t="s">
        <v>706</v>
      </c>
      <c r="B469" t="s">
        <v>705</v>
      </c>
      <c r="C469" t="s">
        <v>637</v>
      </c>
      <c r="D469" t="s">
        <v>22</v>
      </c>
      <c r="E469" t="s">
        <v>69</v>
      </c>
      <c r="F469">
        <v>1</v>
      </c>
      <c r="G469">
        <v>59.9</v>
      </c>
      <c r="H469">
        <v>19.66</v>
      </c>
      <c r="I469" t="s">
        <v>44</v>
      </c>
      <c r="J469">
        <v>17</v>
      </c>
      <c r="K469" t="s">
        <v>51</v>
      </c>
      <c r="L469">
        <v>5</v>
      </c>
      <c r="M469" t="str">
        <f>VLOOKUP(D469,State_Lookup!$A$2:$B$28,2,FALSE)</f>
        <v>Bahia</v>
      </c>
    </row>
    <row r="470" spans="1:13" x14ac:dyDescent="0.45">
      <c r="A470" t="s">
        <v>707</v>
      </c>
      <c r="B470" t="s">
        <v>708</v>
      </c>
      <c r="C470" t="s">
        <v>637</v>
      </c>
      <c r="D470" t="s">
        <v>487</v>
      </c>
      <c r="E470" t="s">
        <v>157</v>
      </c>
      <c r="F470">
        <v>1</v>
      </c>
      <c r="G470">
        <v>145</v>
      </c>
      <c r="H470">
        <v>26.04</v>
      </c>
      <c r="I470" t="s">
        <v>44</v>
      </c>
      <c r="J470">
        <v>11</v>
      </c>
      <c r="K470" t="s">
        <v>51</v>
      </c>
      <c r="L470">
        <v>5</v>
      </c>
      <c r="M470" t="str">
        <f>VLOOKUP(D470,State_Lookup!$A$2:$B$28,2,FALSE)</f>
        <v>Rio Grande do Norte</v>
      </c>
    </row>
    <row r="471" spans="1:13" x14ac:dyDescent="0.45">
      <c r="A471" t="s">
        <v>709</v>
      </c>
      <c r="B471" t="s">
        <v>708</v>
      </c>
      <c r="C471" t="s">
        <v>637</v>
      </c>
      <c r="D471" t="s">
        <v>16</v>
      </c>
      <c r="E471" t="s">
        <v>53</v>
      </c>
      <c r="F471">
        <v>1</v>
      </c>
      <c r="G471">
        <v>89.9</v>
      </c>
      <c r="H471">
        <v>12.13</v>
      </c>
      <c r="I471" t="s">
        <v>50</v>
      </c>
      <c r="J471">
        <v>5</v>
      </c>
      <c r="K471" t="s">
        <v>51</v>
      </c>
      <c r="L471">
        <v>5</v>
      </c>
      <c r="M471" t="str">
        <f>VLOOKUP(D471,State_Lookup!$A$2:$B$28,2,FALSE)</f>
        <v>Sao Paulo</v>
      </c>
    </row>
    <row r="472" spans="1:13" x14ac:dyDescent="0.45">
      <c r="A472" t="s">
        <v>710</v>
      </c>
      <c r="B472" t="s">
        <v>708</v>
      </c>
      <c r="C472" t="s">
        <v>637</v>
      </c>
      <c r="D472" t="s">
        <v>20</v>
      </c>
      <c r="E472" t="s">
        <v>152</v>
      </c>
      <c r="F472">
        <v>1</v>
      </c>
      <c r="G472">
        <v>109.9</v>
      </c>
      <c r="H472">
        <v>16.21</v>
      </c>
      <c r="I472" t="s">
        <v>44</v>
      </c>
      <c r="J472">
        <v>5</v>
      </c>
      <c r="K472" t="s">
        <v>51</v>
      </c>
      <c r="L472">
        <v>2</v>
      </c>
      <c r="M472" t="str">
        <f>VLOOKUP(D472,State_Lookup!$A$2:$B$28,2,FALSE)</f>
        <v>Parana</v>
      </c>
    </row>
    <row r="473" spans="1:13" x14ac:dyDescent="0.45">
      <c r="A473" t="s">
        <v>711</v>
      </c>
      <c r="B473" t="s">
        <v>708</v>
      </c>
      <c r="C473" t="s">
        <v>637</v>
      </c>
      <c r="D473" t="s">
        <v>20</v>
      </c>
      <c r="E473" t="s">
        <v>110</v>
      </c>
      <c r="F473">
        <v>1</v>
      </c>
      <c r="G473">
        <v>15.9</v>
      </c>
      <c r="H473">
        <v>16.11</v>
      </c>
      <c r="I473" t="s">
        <v>44</v>
      </c>
      <c r="K473" t="s">
        <v>45</v>
      </c>
      <c r="L473">
        <v>3</v>
      </c>
      <c r="M473" t="str">
        <f>VLOOKUP(D473,State_Lookup!$A$2:$B$28,2,FALSE)</f>
        <v>Parana</v>
      </c>
    </row>
    <row r="474" spans="1:13" x14ac:dyDescent="0.45">
      <c r="A474" t="s">
        <v>712</v>
      </c>
      <c r="B474" t="s">
        <v>708</v>
      </c>
      <c r="C474" t="s">
        <v>637</v>
      </c>
      <c r="D474" t="s">
        <v>16</v>
      </c>
      <c r="E474" t="s">
        <v>132</v>
      </c>
      <c r="F474">
        <v>1</v>
      </c>
      <c r="G474">
        <v>24.99</v>
      </c>
      <c r="H474">
        <v>7.78</v>
      </c>
      <c r="I474" t="s">
        <v>50</v>
      </c>
      <c r="J474">
        <v>12</v>
      </c>
      <c r="K474" t="s">
        <v>51</v>
      </c>
      <c r="L474">
        <v>5</v>
      </c>
      <c r="M474" t="str">
        <f>VLOOKUP(D474,State_Lookup!$A$2:$B$28,2,FALSE)</f>
        <v>Sao Paulo</v>
      </c>
    </row>
    <row r="475" spans="1:13" x14ac:dyDescent="0.45">
      <c r="A475" t="s">
        <v>713</v>
      </c>
      <c r="B475" t="s">
        <v>708</v>
      </c>
      <c r="C475" t="s">
        <v>637</v>
      </c>
      <c r="D475" t="s">
        <v>17</v>
      </c>
      <c r="E475" t="s">
        <v>64</v>
      </c>
      <c r="F475">
        <v>1</v>
      </c>
      <c r="G475">
        <v>56.99</v>
      </c>
      <c r="H475">
        <v>15.15</v>
      </c>
      <c r="I475" t="s">
        <v>44</v>
      </c>
      <c r="J475">
        <v>12</v>
      </c>
      <c r="K475" t="s">
        <v>51</v>
      </c>
      <c r="L475">
        <v>1</v>
      </c>
      <c r="M475" t="str">
        <f>VLOOKUP(D475,State_Lookup!$A$2:$B$28,2,FALSE)</f>
        <v>Rio de Janeiro</v>
      </c>
    </row>
    <row r="476" spans="1:13" x14ac:dyDescent="0.45">
      <c r="A476" t="s">
        <v>714</v>
      </c>
      <c r="B476" t="s">
        <v>715</v>
      </c>
      <c r="C476" t="s">
        <v>637</v>
      </c>
      <c r="D476" t="s">
        <v>16</v>
      </c>
      <c r="E476" t="s">
        <v>79</v>
      </c>
      <c r="F476">
        <v>1</v>
      </c>
      <c r="G476">
        <v>14.9</v>
      </c>
      <c r="H476">
        <v>11.85</v>
      </c>
      <c r="I476" t="s">
        <v>50</v>
      </c>
      <c r="J476">
        <v>7</v>
      </c>
      <c r="K476" t="s">
        <v>51</v>
      </c>
      <c r="L476">
        <v>5</v>
      </c>
      <c r="M476" t="str">
        <f>VLOOKUP(D476,State_Lookup!$A$2:$B$28,2,FALSE)</f>
        <v>Sao Paulo</v>
      </c>
    </row>
    <row r="477" spans="1:13" x14ac:dyDescent="0.45">
      <c r="A477" t="s">
        <v>716</v>
      </c>
      <c r="B477" t="s">
        <v>715</v>
      </c>
      <c r="C477" t="s">
        <v>637</v>
      </c>
      <c r="D477" t="s">
        <v>16</v>
      </c>
      <c r="E477" t="s">
        <v>110</v>
      </c>
      <c r="F477">
        <v>1</v>
      </c>
      <c r="G477">
        <v>59.9</v>
      </c>
      <c r="H477">
        <v>11.92</v>
      </c>
      <c r="I477" t="s">
        <v>50</v>
      </c>
      <c r="J477">
        <v>10</v>
      </c>
      <c r="K477" t="s">
        <v>51</v>
      </c>
      <c r="L477">
        <v>5</v>
      </c>
      <c r="M477" t="str">
        <f>VLOOKUP(D477,State_Lookup!$A$2:$B$28,2,FALSE)</f>
        <v>Sao Paulo</v>
      </c>
    </row>
    <row r="478" spans="1:13" x14ac:dyDescent="0.45">
      <c r="A478" t="s">
        <v>717</v>
      </c>
      <c r="B478" t="s">
        <v>718</v>
      </c>
      <c r="C478" t="s">
        <v>637</v>
      </c>
      <c r="D478" t="s">
        <v>18</v>
      </c>
      <c r="E478" t="s">
        <v>107</v>
      </c>
      <c r="F478">
        <v>1</v>
      </c>
      <c r="G478">
        <v>749</v>
      </c>
      <c r="H478">
        <v>70.05</v>
      </c>
      <c r="I478" t="s">
        <v>44</v>
      </c>
      <c r="J478">
        <v>11</v>
      </c>
      <c r="K478" t="s">
        <v>51</v>
      </c>
      <c r="L478">
        <v>5</v>
      </c>
      <c r="M478" t="str">
        <f>VLOOKUP(D478,State_Lookup!$A$2:$B$28,2,FALSE)</f>
        <v>Minas Gerais</v>
      </c>
    </row>
    <row r="479" spans="1:13" x14ac:dyDescent="0.45">
      <c r="A479" t="s">
        <v>719</v>
      </c>
      <c r="B479" t="s">
        <v>718</v>
      </c>
      <c r="C479" t="s">
        <v>637</v>
      </c>
      <c r="D479" t="s">
        <v>16</v>
      </c>
      <c r="E479" t="s">
        <v>66</v>
      </c>
      <c r="F479">
        <v>1</v>
      </c>
      <c r="G479">
        <v>39.99</v>
      </c>
      <c r="H479">
        <v>11.85</v>
      </c>
      <c r="I479" t="s">
        <v>44</v>
      </c>
      <c r="J479">
        <v>9</v>
      </c>
      <c r="K479" t="s">
        <v>51</v>
      </c>
      <c r="L479">
        <v>4</v>
      </c>
      <c r="M479" t="str">
        <f>VLOOKUP(D479,State_Lookup!$A$2:$B$28,2,FALSE)</f>
        <v>Sao Paulo</v>
      </c>
    </row>
    <row r="480" spans="1:13" x14ac:dyDescent="0.45">
      <c r="A480" t="s">
        <v>720</v>
      </c>
      <c r="B480" t="s">
        <v>721</v>
      </c>
      <c r="C480" t="s">
        <v>637</v>
      </c>
      <c r="D480" t="s">
        <v>19</v>
      </c>
      <c r="E480" t="s">
        <v>199</v>
      </c>
      <c r="F480">
        <v>1</v>
      </c>
      <c r="G480">
        <v>32.9</v>
      </c>
      <c r="H480">
        <v>15.1</v>
      </c>
      <c r="I480" t="s">
        <v>50</v>
      </c>
      <c r="J480">
        <v>8</v>
      </c>
      <c r="K480" t="s">
        <v>51</v>
      </c>
      <c r="L480">
        <v>4</v>
      </c>
      <c r="M480" t="str">
        <f>VLOOKUP(D480,State_Lookup!$A$2:$B$28,2,FALSE)</f>
        <v>Rio Grande do Sul</v>
      </c>
    </row>
    <row r="481" spans="1:13" x14ac:dyDescent="0.45">
      <c r="A481" t="s">
        <v>722</v>
      </c>
      <c r="B481" t="s">
        <v>721</v>
      </c>
      <c r="C481" t="s">
        <v>637</v>
      </c>
      <c r="D481" t="s">
        <v>19</v>
      </c>
      <c r="E481" t="s">
        <v>110</v>
      </c>
      <c r="F481">
        <v>1</v>
      </c>
      <c r="G481">
        <v>629.9</v>
      </c>
      <c r="H481">
        <v>29.25</v>
      </c>
      <c r="I481" t="s">
        <v>44</v>
      </c>
      <c r="J481">
        <v>10</v>
      </c>
      <c r="K481" t="s">
        <v>51</v>
      </c>
      <c r="L481">
        <v>5</v>
      </c>
      <c r="M481" t="str">
        <f>VLOOKUP(D481,State_Lookup!$A$2:$B$28,2,FALSE)</f>
        <v>Rio Grande do Sul</v>
      </c>
    </row>
    <row r="482" spans="1:13" x14ac:dyDescent="0.45">
      <c r="A482" t="s">
        <v>723</v>
      </c>
      <c r="B482" t="s">
        <v>721</v>
      </c>
      <c r="C482" t="s">
        <v>637</v>
      </c>
      <c r="D482" t="s">
        <v>16</v>
      </c>
      <c r="E482" t="s">
        <v>66</v>
      </c>
      <c r="F482">
        <v>3</v>
      </c>
      <c r="G482">
        <v>89.97</v>
      </c>
      <c r="H482">
        <v>23.34</v>
      </c>
      <c r="I482" t="s">
        <v>44</v>
      </c>
      <c r="J482">
        <v>3</v>
      </c>
      <c r="K482" t="s">
        <v>51</v>
      </c>
      <c r="L482">
        <v>4</v>
      </c>
      <c r="M482" t="str">
        <f>VLOOKUP(D482,State_Lookup!$A$2:$B$28,2,FALSE)</f>
        <v>Sao Paulo</v>
      </c>
    </row>
    <row r="483" spans="1:13" x14ac:dyDescent="0.45">
      <c r="A483" t="s">
        <v>724</v>
      </c>
      <c r="B483" t="s">
        <v>721</v>
      </c>
      <c r="C483" t="s">
        <v>637</v>
      </c>
      <c r="D483" t="s">
        <v>113</v>
      </c>
      <c r="E483" t="s">
        <v>43</v>
      </c>
      <c r="F483">
        <v>1</v>
      </c>
      <c r="G483">
        <v>50.9</v>
      </c>
      <c r="H483">
        <v>35.68</v>
      </c>
      <c r="I483" t="s">
        <v>44</v>
      </c>
      <c r="J483">
        <v>16</v>
      </c>
      <c r="K483" t="s">
        <v>51</v>
      </c>
      <c r="L483">
        <v>5</v>
      </c>
      <c r="M483" t="str">
        <f>VLOOKUP(D483,State_Lookup!$A$2:$B$28,2,FALSE)</f>
        <v>Piaui</v>
      </c>
    </row>
    <row r="484" spans="1:13" x14ac:dyDescent="0.45">
      <c r="A484" t="s">
        <v>725</v>
      </c>
      <c r="B484" t="s">
        <v>721</v>
      </c>
      <c r="C484" t="s">
        <v>637</v>
      </c>
      <c r="D484" t="s">
        <v>17</v>
      </c>
      <c r="E484" t="s">
        <v>53</v>
      </c>
      <c r="F484">
        <v>1</v>
      </c>
      <c r="G484">
        <v>44.95</v>
      </c>
      <c r="H484">
        <v>14.1</v>
      </c>
      <c r="I484" t="s">
        <v>44</v>
      </c>
      <c r="J484">
        <v>16</v>
      </c>
      <c r="K484" t="s">
        <v>51</v>
      </c>
      <c r="L484">
        <v>4</v>
      </c>
      <c r="M484" t="str">
        <f>VLOOKUP(D484,State_Lookup!$A$2:$B$28,2,FALSE)</f>
        <v>Rio de Janeiro</v>
      </c>
    </row>
    <row r="485" spans="1:13" x14ac:dyDescent="0.45">
      <c r="A485" t="s">
        <v>726</v>
      </c>
      <c r="B485" t="s">
        <v>721</v>
      </c>
      <c r="C485" t="s">
        <v>637</v>
      </c>
      <c r="D485" t="s">
        <v>16</v>
      </c>
      <c r="E485" t="s">
        <v>148</v>
      </c>
      <c r="F485">
        <v>2</v>
      </c>
      <c r="G485">
        <v>388.9</v>
      </c>
      <c r="H485">
        <v>19.66</v>
      </c>
      <c r="I485" t="s">
        <v>44</v>
      </c>
      <c r="J485">
        <v>3</v>
      </c>
      <c r="K485" t="s">
        <v>51</v>
      </c>
      <c r="L485">
        <v>5</v>
      </c>
      <c r="M485" t="str">
        <f>VLOOKUP(D485,State_Lookup!$A$2:$B$28,2,FALSE)</f>
        <v>Sao Paulo</v>
      </c>
    </row>
    <row r="486" spans="1:13" x14ac:dyDescent="0.45">
      <c r="A486" t="s">
        <v>727</v>
      </c>
      <c r="B486" t="s">
        <v>721</v>
      </c>
      <c r="C486" t="s">
        <v>637</v>
      </c>
      <c r="D486" t="s">
        <v>18</v>
      </c>
      <c r="E486" t="s">
        <v>110</v>
      </c>
      <c r="F486">
        <v>1</v>
      </c>
      <c r="G486">
        <v>89.9</v>
      </c>
      <c r="H486">
        <v>15.38</v>
      </c>
      <c r="I486" t="s">
        <v>44</v>
      </c>
      <c r="J486">
        <v>9</v>
      </c>
      <c r="K486" t="s">
        <v>51</v>
      </c>
      <c r="L486">
        <v>5</v>
      </c>
      <c r="M486" t="str">
        <f>VLOOKUP(D486,State_Lookup!$A$2:$B$28,2,FALSE)</f>
        <v>Minas Gerais</v>
      </c>
    </row>
    <row r="487" spans="1:13" x14ac:dyDescent="0.45">
      <c r="A487" t="s">
        <v>728</v>
      </c>
      <c r="B487" t="s">
        <v>729</v>
      </c>
      <c r="C487" t="s">
        <v>637</v>
      </c>
      <c r="D487" t="s">
        <v>17</v>
      </c>
      <c r="E487" t="s">
        <v>69</v>
      </c>
      <c r="F487">
        <v>1</v>
      </c>
      <c r="G487">
        <v>89.15</v>
      </c>
      <c r="H487">
        <v>15.38</v>
      </c>
      <c r="I487" t="s">
        <v>50</v>
      </c>
      <c r="J487">
        <v>8</v>
      </c>
      <c r="K487" t="s">
        <v>51</v>
      </c>
      <c r="L487">
        <v>5</v>
      </c>
      <c r="M487" t="str">
        <f>VLOOKUP(D487,State_Lookup!$A$2:$B$28,2,FALSE)</f>
        <v>Rio de Janeiro</v>
      </c>
    </row>
    <row r="488" spans="1:13" x14ac:dyDescent="0.45">
      <c r="A488" t="s">
        <v>730</v>
      </c>
      <c r="B488" t="s">
        <v>729</v>
      </c>
      <c r="C488" t="s">
        <v>637</v>
      </c>
      <c r="D488" t="s">
        <v>17</v>
      </c>
      <c r="E488" t="s">
        <v>366</v>
      </c>
      <c r="F488">
        <v>1</v>
      </c>
      <c r="G488">
        <v>26</v>
      </c>
      <c r="H488">
        <v>16.11</v>
      </c>
      <c r="I488" t="s">
        <v>44</v>
      </c>
      <c r="J488">
        <v>8</v>
      </c>
      <c r="K488" t="s">
        <v>51</v>
      </c>
      <c r="L488">
        <v>5</v>
      </c>
      <c r="M488" t="str">
        <f>VLOOKUP(D488,State_Lookup!$A$2:$B$28,2,FALSE)</f>
        <v>Rio de Janeiro</v>
      </c>
    </row>
    <row r="489" spans="1:13" x14ac:dyDescent="0.45">
      <c r="A489" t="s">
        <v>731</v>
      </c>
      <c r="B489" t="s">
        <v>729</v>
      </c>
      <c r="C489" t="s">
        <v>637</v>
      </c>
      <c r="D489" t="s">
        <v>21</v>
      </c>
      <c r="E489" t="s">
        <v>49</v>
      </c>
      <c r="F489">
        <v>1</v>
      </c>
      <c r="G489">
        <v>68</v>
      </c>
      <c r="H489">
        <v>15.23</v>
      </c>
      <c r="I489" t="s">
        <v>133</v>
      </c>
      <c r="J489">
        <v>10</v>
      </c>
      <c r="K489" t="s">
        <v>51</v>
      </c>
      <c r="L489">
        <v>5</v>
      </c>
      <c r="M489" t="str">
        <f>VLOOKUP(D489,State_Lookup!$A$2:$B$28,2,FALSE)</f>
        <v>Santa Catarina</v>
      </c>
    </row>
    <row r="490" spans="1:13" x14ac:dyDescent="0.45">
      <c r="A490" t="s">
        <v>732</v>
      </c>
      <c r="B490" t="s">
        <v>729</v>
      </c>
      <c r="C490" t="s">
        <v>637</v>
      </c>
      <c r="D490" t="s">
        <v>20</v>
      </c>
      <c r="E490" t="s">
        <v>79</v>
      </c>
      <c r="F490">
        <v>1</v>
      </c>
      <c r="G490">
        <v>459.9</v>
      </c>
      <c r="H490">
        <v>16.97</v>
      </c>
      <c r="I490" t="s">
        <v>44</v>
      </c>
      <c r="J490">
        <v>7</v>
      </c>
      <c r="K490" t="s">
        <v>51</v>
      </c>
      <c r="L490">
        <v>4</v>
      </c>
      <c r="M490" t="str">
        <f>VLOOKUP(D490,State_Lookup!$A$2:$B$28,2,FALSE)</f>
        <v>Parana</v>
      </c>
    </row>
    <row r="491" spans="1:13" x14ac:dyDescent="0.45">
      <c r="A491" t="s">
        <v>733</v>
      </c>
      <c r="B491" t="s">
        <v>729</v>
      </c>
      <c r="C491" t="s">
        <v>637</v>
      </c>
      <c r="D491" t="s">
        <v>19</v>
      </c>
      <c r="E491" t="s">
        <v>220</v>
      </c>
      <c r="F491">
        <v>1</v>
      </c>
      <c r="G491">
        <v>112.99</v>
      </c>
      <c r="H491">
        <v>34.15</v>
      </c>
      <c r="I491" t="s">
        <v>50</v>
      </c>
      <c r="J491">
        <v>16</v>
      </c>
      <c r="K491" t="s">
        <v>51</v>
      </c>
      <c r="L491">
        <v>3</v>
      </c>
      <c r="M491" t="str">
        <f>VLOOKUP(D491,State_Lookup!$A$2:$B$28,2,FALSE)</f>
        <v>Rio Grande do Sul</v>
      </c>
    </row>
    <row r="492" spans="1:13" x14ac:dyDescent="0.45">
      <c r="A492" t="s">
        <v>734</v>
      </c>
      <c r="B492" t="s">
        <v>729</v>
      </c>
      <c r="C492" t="s">
        <v>637</v>
      </c>
      <c r="D492" t="s">
        <v>16</v>
      </c>
      <c r="E492" t="s">
        <v>132</v>
      </c>
      <c r="F492">
        <v>1</v>
      </c>
      <c r="G492">
        <v>21.99</v>
      </c>
      <c r="H492">
        <v>8.27</v>
      </c>
      <c r="I492" t="s">
        <v>44</v>
      </c>
      <c r="K492" t="s">
        <v>45</v>
      </c>
      <c r="M492" t="str">
        <f>VLOOKUP(D492,State_Lookup!$A$2:$B$28,2,FALSE)</f>
        <v>Sao Paulo</v>
      </c>
    </row>
    <row r="493" spans="1:13" x14ac:dyDescent="0.45">
      <c r="A493" t="s">
        <v>735</v>
      </c>
      <c r="B493" t="s">
        <v>729</v>
      </c>
      <c r="C493" t="s">
        <v>637</v>
      </c>
      <c r="D493" t="s">
        <v>16</v>
      </c>
      <c r="E493" t="s">
        <v>100</v>
      </c>
      <c r="F493">
        <v>1</v>
      </c>
      <c r="G493">
        <v>447</v>
      </c>
      <c r="H493">
        <v>19.84</v>
      </c>
      <c r="I493" t="s">
        <v>50</v>
      </c>
      <c r="J493">
        <v>16</v>
      </c>
      <c r="K493" t="s">
        <v>51</v>
      </c>
      <c r="L493">
        <v>3</v>
      </c>
      <c r="M493" t="str">
        <f>VLOOKUP(D493,State_Lookup!$A$2:$B$28,2,FALSE)</f>
        <v>Sao Paulo</v>
      </c>
    </row>
    <row r="494" spans="1:13" x14ac:dyDescent="0.45">
      <c r="A494" t="s">
        <v>736</v>
      </c>
      <c r="B494" t="s">
        <v>729</v>
      </c>
      <c r="C494" t="s">
        <v>637</v>
      </c>
      <c r="D494" t="s">
        <v>16</v>
      </c>
      <c r="E494" t="s">
        <v>49</v>
      </c>
      <c r="F494">
        <v>1</v>
      </c>
      <c r="G494">
        <v>104</v>
      </c>
      <c r="H494">
        <v>13.07</v>
      </c>
      <c r="I494" t="s">
        <v>50</v>
      </c>
      <c r="J494">
        <v>4</v>
      </c>
      <c r="K494" t="s">
        <v>51</v>
      </c>
      <c r="L494">
        <v>5</v>
      </c>
      <c r="M494" t="str">
        <f>VLOOKUP(D494,State_Lookup!$A$2:$B$28,2,FALSE)</f>
        <v>Sao Paulo</v>
      </c>
    </row>
    <row r="495" spans="1:13" x14ac:dyDescent="0.45">
      <c r="A495" t="s">
        <v>737</v>
      </c>
      <c r="B495" t="s">
        <v>738</v>
      </c>
      <c r="C495" t="s">
        <v>637</v>
      </c>
      <c r="D495" t="s">
        <v>63</v>
      </c>
      <c r="E495" t="s">
        <v>66</v>
      </c>
      <c r="F495">
        <v>1</v>
      </c>
      <c r="G495">
        <v>25.99</v>
      </c>
      <c r="H495">
        <v>17.63</v>
      </c>
      <c r="I495" t="s">
        <v>44</v>
      </c>
      <c r="J495">
        <v>6</v>
      </c>
      <c r="K495" t="s">
        <v>51</v>
      </c>
      <c r="L495">
        <v>2</v>
      </c>
      <c r="M495" t="str">
        <f>VLOOKUP(D495,State_Lookup!$A$2:$B$28,2,FALSE)</f>
        <v>Pernambuco</v>
      </c>
    </row>
    <row r="496" spans="1:13" x14ac:dyDescent="0.45">
      <c r="A496" t="s">
        <v>739</v>
      </c>
      <c r="B496" t="s">
        <v>738</v>
      </c>
      <c r="C496" t="s">
        <v>637</v>
      </c>
      <c r="D496" t="s">
        <v>16</v>
      </c>
      <c r="E496" t="s">
        <v>66</v>
      </c>
      <c r="F496">
        <v>1</v>
      </c>
      <c r="G496">
        <v>290</v>
      </c>
      <c r="H496">
        <v>13.53</v>
      </c>
      <c r="I496" t="s">
        <v>44</v>
      </c>
      <c r="J496">
        <v>6</v>
      </c>
      <c r="K496" t="s">
        <v>51</v>
      </c>
      <c r="L496">
        <v>4</v>
      </c>
      <c r="M496" t="str">
        <f>VLOOKUP(D496,State_Lookup!$A$2:$B$28,2,FALSE)</f>
        <v>Sao Paulo</v>
      </c>
    </row>
    <row r="497" spans="1:13" x14ac:dyDescent="0.45">
      <c r="A497" t="s">
        <v>740</v>
      </c>
      <c r="B497" t="s">
        <v>738</v>
      </c>
      <c r="C497" t="s">
        <v>637</v>
      </c>
      <c r="D497" t="s">
        <v>21</v>
      </c>
      <c r="E497" t="s">
        <v>43</v>
      </c>
      <c r="F497">
        <v>1</v>
      </c>
      <c r="G497">
        <v>207.06</v>
      </c>
      <c r="H497">
        <v>17.89</v>
      </c>
      <c r="I497" t="s">
        <v>44</v>
      </c>
      <c r="J497">
        <v>6</v>
      </c>
      <c r="K497" t="s">
        <v>51</v>
      </c>
      <c r="L497">
        <v>5</v>
      </c>
      <c r="M497" t="str">
        <f>VLOOKUP(D497,State_Lookup!$A$2:$B$28,2,FALSE)</f>
        <v>Santa Catarina</v>
      </c>
    </row>
    <row r="498" spans="1:13" x14ac:dyDescent="0.45">
      <c r="A498" t="s">
        <v>741</v>
      </c>
      <c r="B498" t="s">
        <v>738</v>
      </c>
      <c r="C498" t="s">
        <v>637</v>
      </c>
      <c r="D498" t="s">
        <v>19</v>
      </c>
      <c r="E498" t="s">
        <v>61</v>
      </c>
      <c r="F498">
        <v>1</v>
      </c>
      <c r="G498">
        <v>99</v>
      </c>
      <c r="H498">
        <v>14.42</v>
      </c>
      <c r="I498" t="s">
        <v>44</v>
      </c>
      <c r="J498">
        <v>6</v>
      </c>
      <c r="K498" t="s">
        <v>51</v>
      </c>
      <c r="L498">
        <v>5</v>
      </c>
      <c r="M498" t="str">
        <f>VLOOKUP(D498,State_Lookup!$A$2:$B$28,2,FALSE)</f>
        <v>Rio Grande do Sul</v>
      </c>
    </row>
    <row r="499" spans="1:13" x14ac:dyDescent="0.45">
      <c r="A499" t="s">
        <v>742</v>
      </c>
      <c r="B499" t="s">
        <v>738</v>
      </c>
      <c r="C499" t="s">
        <v>637</v>
      </c>
      <c r="D499" t="s">
        <v>21</v>
      </c>
      <c r="E499" t="s">
        <v>244</v>
      </c>
      <c r="F499">
        <v>1</v>
      </c>
      <c r="G499">
        <v>63</v>
      </c>
      <c r="H499">
        <v>15.19</v>
      </c>
      <c r="I499" t="s">
        <v>50</v>
      </c>
      <c r="J499">
        <v>6</v>
      </c>
      <c r="K499" t="s">
        <v>51</v>
      </c>
      <c r="L499">
        <v>4</v>
      </c>
      <c r="M499" t="str">
        <f>VLOOKUP(D499,State_Lookup!$A$2:$B$28,2,FALSE)</f>
        <v>Santa Catarina</v>
      </c>
    </row>
    <row r="500" spans="1:13" x14ac:dyDescent="0.45">
      <c r="A500" t="s">
        <v>743</v>
      </c>
      <c r="B500" t="s">
        <v>738</v>
      </c>
      <c r="C500" t="s">
        <v>637</v>
      </c>
      <c r="D500" t="s">
        <v>18</v>
      </c>
      <c r="E500" t="s">
        <v>49</v>
      </c>
      <c r="F500">
        <v>1</v>
      </c>
      <c r="G500">
        <v>79.989999999999995</v>
      </c>
      <c r="H500">
        <v>12.69</v>
      </c>
      <c r="I500" t="s">
        <v>44</v>
      </c>
      <c r="J500">
        <v>5</v>
      </c>
      <c r="K500" t="s">
        <v>51</v>
      </c>
      <c r="L500">
        <v>4</v>
      </c>
      <c r="M500" t="str">
        <f>VLOOKUP(D500,State_Lookup!$A$2:$B$28,2,FALSE)</f>
        <v>Minas Gerais</v>
      </c>
    </row>
    <row r="501" spans="1:13" x14ac:dyDescent="0.45">
      <c r="A501" t="s">
        <v>744</v>
      </c>
      <c r="B501" t="s">
        <v>738</v>
      </c>
      <c r="C501" t="s">
        <v>637</v>
      </c>
      <c r="D501" t="s">
        <v>17</v>
      </c>
      <c r="E501" t="s">
        <v>49</v>
      </c>
      <c r="F501">
        <v>4</v>
      </c>
      <c r="G501">
        <v>416</v>
      </c>
      <c r="H501">
        <v>65.959999999999994</v>
      </c>
      <c r="I501" t="s">
        <v>44</v>
      </c>
      <c r="J501">
        <v>6</v>
      </c>
      <c r="K501" t="s">
        <v>51</v>
      </c>
      <c r="L501">
        <v>1</v>
      </c>
      <c r="M501" t="str">
        <f>VLOOKUP(D501,State_Lookup!$A$2:$B$28,2,FALSE)</f>
        <v>Rio de Janeiro</v>
      </c>
    </row>
    <row r="502" spans="1:13" x14ac:dyDescent="0.45">
      <c r="A502" t="s">
        <v>745</v>
      </c>
      <c r="B502" t="s">
        <v>746</v>
      </c>
      <c r="C502" t="s">
        <v>637</v>
      </c>
      <c r="D502" t="s">
        <v>16</v>
      </c>
      <c r="E502" t="s">
        <v>103</v>
      </c>
      <c r="F502">
        <v>1</v>
      </c>
      <c r="G502">
        <v>109.9</v>
      </c>
      <c r="H502">
        <v>18.02</v>
      </c>
      <c r="I502" t="s">
        <v>44</v>
      </c>
      <c r="J502">
        <v>11</v>
      </c>
      <c r="K502" t="s">
        <v>51</v>
      </c>
      <c r="L502">
        <v>4</v>
      </c>
      <c r="M502" t="str">
        <f>VLOOKUP(D502,State_Lookup!$A$2:$B$28,2,FALSE)</f>
        <v>Sao Paulo</v>
      </c>
    </row>
    <row r="503" spans="1:13" x14ac:dyDescent="0.45">
      <c r="A503" t="s">
        <v>747</v>
      </c>
      <c r="B503" t="s">
        <v>746</v>
      </c>
      <c r="C503" t="s">
        <v>637</v>
      </c>
      <c r="D503" t="s">
        <v>17</v>
      </c>
      <c r="E503" t="s">
        <v>748</v>
      </c>
      <c r="F503">
        <v>1</v>
      </c>
      <c r="G503">
        <v>110</v>
      </c>
      <c r="H503">
        <v>14.52</v>
      </c>
      <c r="I503" t="s">
        <v>44</v>
      </c>
      <c r="J503">
        <v>2</v>
      </c>
      <c r="K503" t="s">
        <v>51</v>
      </c>
      <c r="L503">
        <v>5</v>
      </c>
      <c r="M503" t="str">
        <f>VLOOKUP(D503,State_Lookup!$A$2:$B$28,2,FALSE)</f>
        <v>Rio de Janeiro</v>
      </c>
    </row>
    <row r="504" spans="1:13" x14ac:dyDescent="0.45">
      <c r="A504" t="s">
        <v>749</v>
      </c>
      <c r="B504" t="s">
        <v>746</v>
      </c>
      <c r="C504" t="s">
        <v>637</v>
      </c>
      <c r="D504" t="s">
        <v>22</v>
      </c>
      <c r="E504" t="s">
        <v>142</v>
      </c>
      <c r="F504">
        <v>1</v>
      </c>
      <c r="G504">
        <v>85.99</v>
      </c>
      <c r="H504">
        <v>16.04</v>
      </c>
      <c r="I504" t="s">
        <v>44</v>
      </c>
      <c r="J504">
        <v>21</v>
      </c>
      <c r="K504" t="s">
        <v>51</v>
      </c>
      <c r="L504">
        <v>3</v>
      </c>
      <c r="M504" t="str">
        <f>VLOOKUP(D504,State_Lookup!$A$2:$B$28,2,FALSE)</f>
        <v>Bahia</v>
      </c>
    </row>
    <row r="505" spans="1:13" x14ac:dyDescent="0.45">
      <c r="A505" t="s">
        <v>750</v>
      </c>
      <c r="B505" t="s">
        <v>746</v>
      </c>
      <c r="C505" t="s">
        <v>637</v>
      </c>
      <c r="D505" t="s">
        <v>16</v>
      </c>
      <c r="E505" t="s">
        <v>142</v>
      </c>
      <c r="F505">
        <v>1</v>
      </c>
      <c r="G505">
        <v>59.9</v>
      </c>
      <c r="H505">
        <v>11.73</v>
      </c>
      <c r="I505" t="s">
        <v>44</v>
      </c>
      <c r="J505">
        <v>1</v>
      </c>
      <c r="K505" t="s">
        <v>51</v>
      </c>
      <c r="L505">
        <v>1</v>
      </c>
      <c r="M505" t="str">
        <f>VLOOKUP(D505,State_Lookup!$A$2:$B$28,2,FALSE)</f>
        <v>Sao Paulo</v>
      </c>
    </row>
    <row r="506" spans="1:13" x14ac:dyDescent="0.45">
      <c r="A506" t="s">
        <v>751</v>
      </c>
      <c r="B506" t="s">
        <v>746</v>
      </c>
      <c r="C506" t="s">
        <v>637</v>
      </c>
      <c r="D506" t="s">
        <v>16</v>
      </c>
      <c r="E506" t="s">
        <v>79</v>
      </c>
      <c r="F506">
        <v>1</v>
      </c>
      <c r="G506">
        <v>299.99</v>
      </c>
      <c r="H506">
        <v>10.29</v>
      </c>
      <c r="I506" t="s">
        <v>44</v>
      </c>
      <c r="J506">
        <v>7</v>
      </c>
      <c r="K506" t="s">
        <v>51</v>
      </c>
      <c r="L506">
        <v>4</v>
      </c>
      <c r="M506" t="str">
        <f>VLOOKUP(D506,State_Lookup!$A$2:$B$28,2,FALSE)</f>
        <v>Sao Paulo</v>
      </c>
    </row>
    <row r="507" spans="1:13" x14ac:dyDescent="0.45">
      <c r="A507" t="s">
        <v>752</v>
      </c>
      <c r="B507" t="s">
        <v>746</v>
      </c>
      <c r="C507" t="s">
        <v>637</v>
      </c>
      <c r="D507" t="s">
        <v>18</v>
      </c>
      <c r="E507" t="s">
        <v>142</v>
      </c>
      <c r="F507">
        <v>1</v>
      </c>
      <c r="G507">
        <v>47.25</v>
      </c>
      <c r="H507">
        <v>15.1</v>
      </c>
      <c r="I507" t="s">
        <v>50</v>
      </c>
      <c r="J507">
        <v>7</v>
      </c>
      <c r="K507" t="s">
        <v>51</v>
      </c>
      <c r="L507">
        <v>4</v>
      </c>
      <c r="M507" t="str">
        <f>VLOOKUP(D507,State_Lookup!$A$2:$B$28,2,FALSE)</f>
        <v>Minas Gerais</v>
      </c>
    </row>
    <row r="508" spans="1:13" x14ac:dyDescent="0.45">
      <c r="A508" t="s">
        <v>753</v>
      </c>
      <c r="B508" t="s">
        <v>754</v>
      </c>
      <c r="C508" t="s">
        <v>637</v>
      </c>
      <c r="D508" t="s">
        <v>20</v>
      </c>
      <c r="E508" t="s">
        <v>152</v>
      </c>
      <c r="F508">
        <v>1</v>
      </c>
      <c r="G508">
        <v>139.9</v>
      </c>
      <c r="H508">
        <v>49.51</v>
      </c>
      <c r="I508" t="s">
        <v>44</v>
      </c>
      <c r="J508">
        <v>11</v>
      </c>
      <c r="K508" t="s">
        <v>51</v>
      </c>
      <c r="L508">
        <v>5</v>
      </c>
      <c r="M508" t="str">
        <f>VLOOKUP(D508,State_Lookup!$A$2:$B$28,2,FALSE)</f>
        <v>Parana</v>
      </c>
    </row>
    <row r="509" spans="1:13" x14ac:dyDescent="0.45">
      <c r="A509" t="s">
        <v>755</v>
      </c>
      <c r="B509" t="s">
        <v>754</v>
      </c>
      <c r="C509" t="s">
        <v>637</v>
      </c>
      <c r="D509" t="s">
        <v>17</v>
      </c>
      <c r="E509" t="s">
        <v>142</v>
      </c>
      <c r="F509">
        <v>1</v>
      </c>
      <c r="G509">
        <v>79</v>
      </c>
      <c r="H509">
        <v>16.309999999999999</v>
      </c>
      <c r="I509" t="s">
        <v>44</v>
      </c>
      <c r="J509">
        <v>14</v>
      </c>
      <c r="K509" t="s">
        <v>51</v>
      </c>
      <c r="L509">
        <v>5</v>
      </c>
      <c r="M509" t="str">
        <f>VLOOKUP(D509,State_Lookup!$A$2:$B$28,2,FALSE)</f>
        <v>Rio de Janeiro</v>
      </c>
    </row>
    <row r="510" spans="1:13" x14ac:dyDescent="0.45">
      <c r="A510" t="s">
        <v>756</v>
      </c>
      <c r="B510" t="s">
        <v>754</v>
      </c>
      <c r="C510" t="s">
        <v>637</v>
      </c>
      <c r="D510" t="s">
        <v>16</v>
      </c>
      <c r="E510" t="s">
        <v>49</v>
      </c>
      <c r="F510">
        <v>2</v>
      </c>
      <c r="G510">
        <v>490</v>
      </c>
      <c r="H510">
        <v>32.08</v>
      </c>
      <c r="I510" t="s">
        <v>44</v>
      </c>
      <c r="J510">
        <v>8</v>
      </c>
      <c r="K510" t="s">
        <v>51</v>
      </c>
      <c r="L510">
        <v>5</v>
      </c>
      <c r="M510" t="str">
        <f>VLOOKUP(D510,State_Lookup!$A$2:$B$28,2,FALSE)</f>
        <v>Sao Paulo</v>
      </c>
    </row>
    <row r="511" spans="1:13" x14ac:dyDescent="0.45">
      <c r="A511" t="s">
        <v>757</v>
      </c>
      <c r="B511" t="s">
        <v>758</v>
      </c>
      <c r="C511" t="s">
        <v>637</v>
      </c>
      <c r="D511" t="s">
        <v>16</v>
      </c>
      <c r="E511" t="s">
        <v>79</v>
      </c>
      <c r="F511">
        <v>1</v>
      </c>
      <c r="G511">
        <v>89.9</v>
      </c>
      <c r="H511">
        <v>17.2</v>
      </c>
      <c r="I511" t="s">
        <v>44</v>
      </c>
      <c r="J511">
        <v>10</v>
      </c>
      <c r="K511" t="s">
        <v>51</v>
      </c>
      <c r="L511">
        <v>5</v>
      </c>
      <c r="M511" t="str">
        <f>VLOOKUP(D511,State_Lookup!$A$2:$B$28,2,FALSE)</f>
        <v>Sao Paulo</v>
      </c>
    </row>
    <row r="512" spans="1:13" x14ac:dyDescent="0.45">
      <c r="A512" t="s">
        <v>759</v>
      </c>
      <c r="B512" t="s">
        <v>758</v>
      </c>
      <c r="C512" t="s">
        <v>637</v>
      </c>
      <c r="D512" t="s">
        <v>18</v>
      </c>
      <c r="E512" t="s">
        <v>148</v>
      </c>
      <c r="F512">
        <v>1</v>
      </c>
      <c r="G512">
        <v>119.99</v>
      </c>
      <c r="H512">
        <v>13.86</v>
      </c>
      <c r="I512" t="s">
        <v>44</v>
      </c>
      <c r="J512">
        <v>6</v>
      </c>
      <c r="K512" t="s">
        <v>51</v>
      </c>
      <c r="L512">
        <v>5</v>
      </c>
      <c r="M512" t="str">
        <f>VLOOKUP(D512,State_Lookup!$A$2:$B$28,2,FALSE)</f>
        <v>Minas Gerais</v>
      </c>
    </row>
    <row r="513" spans="1:13" x14ac:dyDescent="0.45">
      <c r="A513" t="s">
        <v>760</v>
      </c>
      <c r="B513" t="s">
        <v>758</v>
      </c>
      <c r="C513" t="s">
        <v>637</v>
      </c>
      <c r="D513" t="s">
        <v>16</v>
      </c>
      <c r="E513" t="s">
        <v>64</v>
      </c>
      <c r="F513">
        <v>1</v>
      </c>
      <c r="G513">
        <v>19.989999999999998</v>
      </c>
      <c r="H513">
        <v>7.78</v>
      </c>
      <c r="I513" t="s">
        <v>44</v>
      </c>
      <c r="J513">
        <v>4</v>
      </c>
      <c r="K513" t="s">
        <v>51</v>
      </c>
      <c r="L513">
        <v>5</v>
      </c>
      <c r="M513" t="str">
        <f>VLOOKUP(D513,State_Lookup!$A$2:$B$28,2,FALSE)</f>
        <v>Sao Paulo</v>
      </c>
    </row>
    <row r="514" spans="1:13" x14ac:dyDescent="0.45">
      <c r="A514" t="s">
        <v>761</v>
      </c>
      <c r="B514" t="s">
        <v>758</v>
      </c>
      <c r="C514" t="s">
        <v>637</v>
      </c>
      <c r="D514" t="s">
        <v>16</v>
      </c>
      <c r="E514" t="s">
        <v>61</v>
      </c>
      <c r="F514">
        <v>1</v>
      </c>
      <c r="G514">
        <v>349</v>
      </c>
      <c r="H514">
        <v>14.78</v>
      </c>
      <c r="I514" t="s">
        <v>44</v>
      </c>
      <c r="J514">
        <v>12</v>
      </c>
      <c r="K514" t="s">
        <v>51</v>
      </c>
      <c r="L514">
        <v>5</v>
      </c>
      <c r="M514" t="str">
        <f>VLOOKUP(D514,State_Lookup!$A$2:$B$28,2,FALSE)</f>
        <v>Sao Paulo</v>
      </c>
    </row>
    <row r="515" spans="1:13" x14ac:dyDescent="0.45">
      <c r="A515" t="s">
        <v>762</v>
      </c>
      <c r="B515" t="s">
        <v>758</v>
      </c>
      <c r="C515" t="s">
        <v>637</v>
      </c>
      <c r="D515" t="s">
        <v>17</v>
      </c>
      <c r="E515" t="s">
        <v>43</v>
      </c>
      <c r="F515">
        <v>1</v>
      </c>
      <c r="G515">
        <v>135</v>
      </c>
      <c r="H515">
        <v>20.440000000000001</v>
      </c>
      <c r="I515" t="s">
        <v>44</v>
      </c>
      <c r="J515">
        <v>10</v>
      </c>
      <c r="K515" t="s">
        <v>51</v>
      </c>
      <c r="L515">
        <v>5</v>
      </c>
      <c r="M515" t="str">
        <f>VLOOKUP(D515,State_Lookup!$A$2:$B$28,2,FALSE)</f>
        <v>Rio de Janeiro</v>
      </c>
    </row>
    <row r="516" spans="1:13" x14ac:dyDescent="0.45">
      <c r="A516" t="s">
        <v>763</v>
      </c>
      <c r="B516" t="s">
        <v>764</v>
      </c>
      <c r="C516" t="s">
        <v>637</v>
      </c>
      <c r="D516" t="s">
        <v>18</v>
      </c>
      <c r="E516" t="s">
        <v>53</v>
      </c>
      <c r="F516">
        <v>1</v>
      </c>
      <c r="G516">
        <v>52.9</v>
      </c>
      <c r="H516">
        <v>20.86</v>
      </c>
      <c r="I516" t="s">
        <v>44</v>
      </c>
      <c r="J516">
        <v>8</v>
      </c>
      <c r="K516" t="s">
        <v>51</v>
      </c>
      <c r="L516">
        <v>5</v>
      </c>
      <c r="M516" t="str">
        <f>VLOOKUP(D516,State_Lookup!$A$2:$B$28,2,FALSE)</f>
        <v>Minas Gerais</v>
      </c>
    </row>
    <row r="517" spans="1:13" x14ac:dyDescent="0.45">
      <c r="A517" t="s">
        <v>765</v>
      </c>
      <c r="B517" t="s">
        <v>764</v>
      </c>
      <c r="C517" t="s">
        <v>637</v>
      </c>
      <c r="D517" t="s">
        <v>16</v>
      </c>
      <c r="E517" t="s">
        <v>148</v>
      </c>
      <c r="F517">
        <v>1</v>
      </c>
      <c r="G517">
        <v>99.99</v>
      </c>
      <c r="H517">
        <v>9.51</v>
      </c>
      <c r="I517" t="s">
        <v>44</v>
      </c>
      <c r="J517">
        <v>3</v>
      </c>
      <c r="K517" t="s">
        <v>51</v>
      </c>
      <c r="L517">
        <v>5</v>
      </c>
      <c r="M517" t="str">
        <f>VLOOKUP(D517,State_Lookup!$A$2:$B$28,2,FALSE)</f>
        <v>Sao Paulo</v>
      </c>
    </row>
    <row r="518" spans="1:13" x14ac:dyDescent="0.45">
      <c r="A518" t="s">
        <v>766</v>
      </c>
      <c r="B518" t="s">
        <v>764</v>
      </c>
      <c r="C518" t="s">
        <v>637</v>
      </c>
      <c r="D518" t="s">
        <v>18</v>
      </c>
      <c r="E518" t="s">
        <v>53</v>
      </c>
      <c r="F518">
        <v>1</v>
      </c>
      <c r="G518">
        <v>144.9</v>
      </c>
      <c r="H518">
        <v>13.14</v>
      </c>
      <c r="I518" t="s">
        <v>44</v>
      </c>
      <c r="J518">
        <v>4</v>
      </c>
      <c r="K518" t="s">
        <v>51</v>
      </c>
      <c r="L518">
        <v>5</v>
      </c>
      <c r="M518" t="str">
        <f>VLOOKUP(D518,State_Lookup!$A$2:$B$28,2,FALSE)</f>
        <v>Minas Gerais</v>
      </c>
    </row>
    <row r="519" spans="1:13" x14ac:dyDescent="0.45">
      <c r="A519" t="s">
        <v>767</v>
      </c>
      <c r="B519" t="s">
        <v>764</v>
      </c>
      <c r="C519" t="s">
        <v>637</v>
      </c>
      <c r="D519" t="s">
        <v>17</v>
      </c>
      <c r="E519" t="s">
        <v>61</v>
      </c>
      <c r="F519">
        <v>1</v>
      </c>
      <c r="G519">
        <v>93.9</v>
      </c>
      <c r="H519">
        <v>17.100000000000001</v>
      </c>
      <c r="I519" t="s">
        <v>44</v>
      </c>
      <c r="J519">
        <v>8</v>
      </c>
      <c r="K519" t="s">
        <v>51</v>
      </c>
      <c r="L519">
        <v>4</v>
      </c>
      <c r="M519" t="str">
        <f>VLOOKUP(D519,State_Lookup!$A$2:$B$28,2,FALSE)</f>
        <v>Rio de Janeiro</v>
      </c>
    </row>
    <row r="520" spans="1:13" x14ac:dyDescent="0.45">
      <c r="A520" t="s">
        <v>768</v>
      </c>
      <c r="B520" t="s">
        <v>764</v>
      </c>
      <c r="C520" t="s">
        <v>637</v>
      </c>
      <c r="D520" t="s">
        <v>18</v>
      </c>
      <c r="E520" t="s">
        <v>152</v>
      </c>
      <c r="F520">
        <v>1</v>
      </c>
      <c r="G520">
        <v>259.89999999999998</v>
      </c>
      <c r="H520">
        <v>86.98</v>
      </c>
      <c r="I520" t="s">
        <v>44</v>
      </c>
      <c r="J520">
        <v>10</v>
      </c>
      <c r="K520" t="s">
        <v>51</v>
      </c>
      <c r="L520">
        <v>5</v>
      </c>
      <c r="M520" t="str">
        <f>VLOOKUP(D520,State_Lookup!$A$2:$B$28,2,FALSE)</f>
        <v>Minas Gerais</v>
      </c>
    </row>
    <row r="521" spans="1:13" x14ac:dyDescent="0.45">
      <c r="A521" t="s">
        <v>769</v>
      </c>
      <c r="B521" t="s">
        <v>764</v>
      </c>
      <c r="C521" t="s">
        <v>637</v>
      </c>
      <c r="D521" t="s">
        <v>16</v>
      </c>
      <c r="E521" t="s">
        <v>142</v>
      </c>
      <c r="F521">
        <v>1</v>
      </c>
      <c r="G521">
        <v>89.99</v>
      </c>
      <c r="H521">
        <v>13.65</v>
      </c>
      <c r="I521" t="s">
        <v>44</v>
      </c>
      <c r="J521">
        <v>6</v>
      </c>
      <c r="K521" t="s">
        <v>51</v>
      </c>
      <c r="L521">
        <v>5</v>
      </c>
      <c r="M521" t="str">
        <f>VLOOKUP(D521,State_Lookup!$A$2:$B$28,2,FALSE)</f>
        <v>Sao Paulo</v>
      </c>
    </row>
    <row r="522" spans="1:13" x14ac:dyDescent="0.45">
      <c r="A522" t="s">
        <v>770</v>
      </c>
      <c r="B522" t="s">
        <v>771</v>
      </c>
      <c r="C522" t="s">
        <v>637</v>
      </c>
      <c r="D522" t="s">
        <v>20</v>
      </c>
      <c r="E522" t="s">
        <v>49</v>
      </c>
      <c r="F522">
        <v>1</v>
      </c>
      <c r="G522">
        <v>59.99</v>
      </c>
      <c r="H522">
        <v>16.18</v>
      </c>
      <c r="I522" t="s">
        <v>50</v>
      </c>
      <c r="J522">
        <v>8</v>
      </c>
      <c r="K522" t="s">
        <v>51</v>
      </c>
      <c r="L522">
        <v>5</v>
      </c>
      <c r="M522" t="str">
        <f>VLOOKUP(D522,State_Lookup!$A$2:$B$28,2,FALSE)</f>
        <v>Parana</v>
      </c>
    </row>
    <row r="523" spans="1:13" x14ac:dyDescent="0.45">
      <c r="A523" t="s">
        <v>772</v>
      </c>
      <c r="B523" t="s">
        <v>771</v>
      </c>
      <c r="C523" t="s">
        <v>637</v>
      </c>
      <c r="D523" t="s">
        <v>16</v>
      </c>
      <c r="E523" t="s">
        <v>66</v>
      </c>
      <c r="F523">
        <v>1</v>
      </c>
      <c r="G523">
        <v>37.99</v>
      </c>
      <c r="H523">
        <v>11.85</v>
      </c>
      <c r="I523" t="s">
        <v>44</v>
      </c>
      <c r="J523">
        <v>5</v>
      </c>
      <c r="K523" t="s">
        <v>51</v>
      </c>
      <c r="L523">
        <v>3</v>
      </c>
      <c r="M523" t="str">
        <f>VLOOKUP(D523,State_Lookup!$A$2:$B$28,2,FALSE)</f>
        <v>Sao Paulo</v>
      </c>
    </row>
    <row r="524" spans="1:13" x14ac:dyDescent="0.45">
      <c r="A524" t="s">
        <v>773</v>
      </c>
      <c r="B524" t="s">
        <v>771</v>
      </c>
      <c r="C524" t="s">
        <v>637</v>
      </c>
      <c r="D524" t="s">
        <v>16</v>
      </c>
      <c r="E524" t="s">
        <v>110</v>
      </c>
      <c r="F524">
        <v>1</v>
      </c>
      <c r="G524">
        <v>59.9</v>
      </c>
      <c r="H524">
        <v>18</v>
      </c>
      <c r="I524" t="s">
        <v>133</v>
      </c>
      <c r="J524">
        <v>8</v>
      </c>
      <c r="K524" t="s">
        <v>51</v>
      </c>
      <c r="L524">
        <v>5</v>
      </c>
      <c r="M524" t="str">
        <f>VLOOKUP(D524,State_Lookup!$A$2:$B$28,2,FALSE)</f>
        <v>Sao Paulo</v>
      </c>
    </row>
    <row r="525" spans="1:13" x14ac:dyDescent="0.45">
      <c r="A525" t="s">
        <v>774</v>
      </c>
      <c r="B525" t="s">
        <v>771</v>
      </c>
      <c r="C525" t="s">
        <v>637</v>
      </c>
      <c r="D525" t="s">
        <v>17</v>
      </c>
      <c r="E525" t="s">
        <v>110</v>
      </c>
      <c r="F525">
        <v>1</v>
      </c>
      <c r="G525">
        <v>158.19999999999999</v>
      </c>
      <c r="H525">
        <v>18.36</v>
      </c>
      <c r="I525" t="s">
        <v>44</v>
      </c>
      <c r="J525">
        <v>9</v>
      </c>
      <c r="K525" t="s">
        <v>51</v>
      </c>
      <c r="L525">
        <v>5</v>
      </c>
      <c r="M525" t="str">
        <f>VLOOKUP(D525,State_Lookup!$A$2:$B$28,2,FALSE)</f>
        <v>Rio de Janeiro</v>
      </c>
    </row>
    <row r="526" spans="1:13" x14ac:dyDescent="0.45">
      <c r="A526" t="s">
        <v>775</v>
      </c>
      <c r="B526" t="s">
        <v>771</v>
      </c>
      <c r="C526" t="s">
        <v>637</v>
      </c>
      <c r="D526" t="s">
        <v>16</v>
      </c>
      <c r="E526" t="s">
        <v>132</v>
      </c>
      <c r="F526">
        <v>1</v>
      </c>
      <c r="G526">
        <v>19.899999999999999</v>
      </c>
      <c r="H526">
        <v>14.1</v>
      </c>
      <c r="I526" t="s">
        <v>133</v>
      </c>
      <c r="J526">
        <v>9</v>
      </c>
      <c r="K526" t="s">
        <v>51</v>
      </c>
      <c r="L526">
        <v>5</v>
      </c>
      <c r="M526" t="str">
        <f>VLOOKUP(D526,State_Lookup!$A$2:$B$28,2,FALSE)</f>
        <v>Sao Paulo</v>
      </c>
    </row>
    <row r="527" spans="1:13" x14ac:dyDescent="0.45">
      <c r="A527" t="s">
        <v>776</v>
      </c>
      <c r="B527" t="s">
        <v>771</v>
      </c>
      <c r="C527" t="s">
        <v>637</v>
      </c>
      <c r="D527" t="s">
        <v>20</v>
      </c>
      <c r="E527" t="s">
        <v>199</v>
      </c>
      <c r="F527">
        <v>1</v>
      </c>
      <c r="G527">
        <v>69.900000000000006</v>
      </c>
      <c r="H527">
        <v>19.73</v>
      </c>
      <c r="I527" t="s">
        <v>50</v>
      </c>
      <c r="J527">
        <v>15</v>
      </c>
      <c r="K527" t="s">
        <v>51</v>
      </c>
      <c r="L527">
        <v>4</v>
      </c>
      <c r="M527" t="str">
        <f>VLOOKUP(D527,State_Lookup!$A$2:$B$28,2,FALSE)</f>
        <v>Parana</v>
      </c>
    </row>
    <row r="528" spans="1:13" x14ac:dyDescent="0.45">
      <c r="A528" t="s">
        <v>777</v>
      </c>
      <c r="B528" t="s">
        <v>771</v>
      </c>
      <c r="C528" t="s">
        <v>637</v>
      </c>
      <c r="D528" t="s">
        <v>16</v>
      </c>
      <c r="E528" t="s">
        <v>107</v>
      </c>
      <c r="F528">
        <v>1</v>
      </c>
      <c r="G528">
        <v>1199.99</v>
      </c>
      <c r="H528">
        <v>33.43</v>
      </c>
      <c r="I528" t="s">
        <v>44</v>
      </c>
      <c r="J528">
        <v>8</v>
      </c>
      <c r="K528" t="s">
        <v>51</v>
      </c>
      <c r="L528">
        <v>2</v>
      </c>
      <c r="M528" t="str">
        <f>VLOOKUP(D528,State_Lookup!$A$2:$B$28,2,FALSE)</f>
        <v>Sao Paulo</v>
      </c>
    </row>
    <row r="529" spans="1:13" x14ac:dyDescent="0.45">
      <c r="A529" t="s">
        <v>778</v>
      </c>
      <c r="B529" t="s">
        <v>771</v>
      </c>
      <c r="C529" t="s">
        <v>637</v>
      </c>
      <c r="D529" t="s">
        <v>17</v>
      </c>
      <c r="E529" t="s">
        <v>152</v>
      </c>
      <c r="F529">
        <v>1</v>
      </c>
      <c r="G529">
        <v>109.9</v>
      </c>
      <c r="H529">
        <v>14.52</v>
      </c>
      <c r="I529" t="s">
        <v>44</v>
      </c>
      <c r="J529">
        <v>7</v>
      </c>
      <c r="K529" t="s">
        <v>51</v>
      </c>
      <c r="L529">
        <v>5</v>
      </c>
      <c r="M529" t="str">
        <f>VLOOKUP(D529,State_Lookup!$A$2:$B$28,2,FALSE)</f>
        <v>Rio de Janeiro</v>
      </c>
    </row>
    <row r="530" spans="1:13" x14ac:dyDescent="0.45">
      <c r="A530" t="s">
        <v>779</v>
      </c>
      <c r="B530" t="s">
        <v>771</v>
      </c>
      <c r="C530" t="s">
        <v>637</v>
      </c>
      <c r="D530" t="s">
        <v>18</v>
      </c>
      <c r="E530" t="s">
        <v>157</v>
      </c>
      <c r="F530">
        <v>1</v>
      </c>
      <c r="G530">
        <v>795</v>
      </c>
      <c r="H530">
        <v>21.33</v>
      </c>
      <c r="I530" t="s">
        <v>50</v>
      </c>
      <c r="J530">
        <v>8</v>
      </c>
      <c r="K530" t="s">
        <v>51</v>
      </c>
      <c r="L530">
        <v>5</v>
      </c>
      <c r="M530" t="str">
        <f>VLOOKUP(D530,State_Lookup!$A$2:$B$28,2,FALSE)</f>
        <v>Minas Gerais</v>
      </c>
    </row>
    <row r="531" spans="1:13" x14ac:dyDescent="0.45">
      <c r="A531" t="s">
        <v>780</v>
      </c>
      <c r="B531" t="s">
        <v>781</v>
      </c>
      <c r="C531" t="s">
        <v>637</v>
      </c>
      <c r="D531" t="s">
        <v>20</v>
      </c>
      <c r="E531" t="s">
        <v>64</v>
      </c>
      <c r="F531">
        <v>1</v>
      </c>
      <c r="G531">
        <v>129.9</v>
      </c>
      <c r="H531">
        <v>18.16</v>
      </c>
      <c r="I531" t="s">
        <v>44</v>
      </c>
      <c r="J531">
        <v>6</v>
      </c>
      <c r="K531" t="s">
        <v>51</v>
      </c>
      <c r="L531">
        <v>4</v>
      </c>
      <c r="M531" t="str">
        <f>VLOOKUP(D531,State_Lookup!$A$2:$B$28,2,FALSE)</f>
        <v>Parana</v>
      </c>
    </row>
    <row r="532" spans="1:13" x14ac:dyDescent="0.45">
      <c r="A532" t="s">
        <v>782</v>
      </c>
      <c r="B532" t="s">
        <v>781</v>
      </c>
      <c r="C532" t="s">
        <v>637</v>
      </c>
      <c r="D532" t="s">
        <v>19</v>
      </c>
      <c r="E532" t="s">
        <v>118</v>
      </c>
      <c r="F532">
        <v>1</v>
      </c>
      <c r="G532">
        <v>29.9</v>
      </c>
      <c r="H532">
        <v>14.1</v>
      </c>
      <c r="I532" t="s">
        <v>44</v>
      </c>
      <c r="J532">
        <v>10</v>
      </c>
      <c r="K532" t="s">
        <v>51</v>
      </c>
      <c r="L532">
        <v>5</v>
      </c>
      <c r="M532" t="str">
        <f>VLOOKUP(D532,State_Lookup!$A$2:$B$28,2,FALSE)</f>
        <v>Rio Grande do Sul</v>
      </c>
    </row>
    <row r="533" spans="1:13" x14ac:dyDescent="0.45">
      <c r="A533" t="s">
        <v>783</v>
      </c>
      <c r="B533" t="s">
        <v>781</v>
      </c>
      <c r="C533" t="s">
        <v>637</v>
      </c>
      <c r="D533" t="s">
        <v>16</v>
      </c>
      <c r="E533" t="s">
        <v>148</v>
      </c>
      <c r="F533">
        <v>1</v>
      </c>
      <c r="G533">
        <v>45.9</v>
      </c>
      <c r="H533">
        <v>8.7200000000000006</v>
      </c>
      <c r="I533" t="s">
        <v>44</v>
      </c>
      <c r="J533">
        <v>3</v>
      </c>
      <c r="K533" t="s">
        <v>51</v>
      </c>
      <c r="L533">
        <v>5</v>
      </c>
      <c r="M533" t="str">
        <f>VLOOKUP(D533,State_Lookup!$A$2:$B$28,2,FALSE)</f>
        <v>Sao Paulo</v>
      </c>
    </row>
    <row r="534" spans="1:13" x14ac:dyDescent="0.45">
      <c r="A534" t="s">
        <v>784</v>
      </c>
      <c r="B534" t="s">
        <v>781</v>
      </c>
      <c r="C534" t="s">
        <v>637</v>
      </c>
      <c r="D534" t="s">
        <v>20</v>
      </c>
      <c r="E534" t="s">
        <v>69</v>
      </c>
      <c r="F534">
        <v>1</v>
      </c>
      <c r="G534">
        <v>28.28</v>
      </c>
      <c r="H534">
        <v>16.11</v>
      </c>
      <c r="I534" t="s">
        <v>133</v>
      </c>
      <c r="J534">
        <v>7</v>
      </c>
      <c r="K534" t="s">
        <v>51</v>
      </c>
      <c r="L534">
        <v>5</v>
      </c>
      <c r="M534" t="str">
        <f>VLOOKUP(D534,State_Lookup!$A$2:$B$28,2,FALSE)</f>
        <v>Parana</v>
      </c>
    </row>
    <row r="535" spans="1:13" x14ac:dyDescent="0.45">
      <c r="A535" t="s">
        <v>785</v>
      </c>
      <c r="B535" t="s">
        <v>781</v>
      </c>
      <c r="C535" t="s">
        <v>637</v>
      </c>
      <c r="D535" t="s">
        <v>16</v>
      </c>
      <c r="E535" t="s">
        <v>110</v>
      </c>
      <c r="F535">
        <v>1</v>
      </c>
      <c r="G535">
        <v>114.99</v>
      </c>
      <c r="H535">
        <v>17.510000000000002</v>
      </c>
      <c r="I535" t="s">
        <v>44</v>
      </c>
      <c r="J535">
        <v>9</v>
      </c>
      <c r="K535" t="s">
        <v>51</v>
      </c>
      <c r="L535">
        <v>5</v>
      </c>
      <c r="M535" t="str">
        <f>VLOOKUP(D535,State_Lookup!$A$2:$B$28,2,FALSE)</f>
        <v>Sao Paulo</v>
      </c>
    </row>
    <row r="536" spans="1:13" x14ac:dyDescent="0.45">
      <c r="A536" t="s">
        <v>786</v>
      </c>
      <c r="B536" t="s">
        <v>781</v>
      </c>
      <c r="C536" t="s">
        <v>637</v>
      </c>
      <c r="D536" t="s">
        <v>16</v>
      </c>
      <c r="E536" t="s">
        <v>537</v>
      </c>
      <c r="F536">
        <v>1</v>
      </c>
      <c r="G536">
        <v>219</v>
      </c>
      <c r="H536">
        <v>17.579999999999998</v>
      </c>
      <c r="I536" t="s">
        <v>50</v>
      </c>
      <c r="J536">
        <v>2</v>
      </c>
      <c r="K536" t="s">
        <v>51</v>
      </c>
      <c r="L536">
        <v>5</v>
      </c>
      <c r="M536" t="str">
        <f>VLOOKUP(D536,State_Lookup!$A$2:$B$28,2,FALSE)</f>
        <v>Sao Paulo</v>
      </c>
    </row>
    <row r="537" spans="1:13" x14ac:dyDescent="0.45">
      <c r="A537" t="s">
        <v>787</v>
      </c>
      <c r="B537" t="s">
        <v>781</v>
      </c>
      <c r="C537" t="s">
        <v>637</v>
      </c>
      <c r="D537" t="s">
        <v>17</v>
      </c>
      <c r="E537" t="s">
        <v>49</v>
      </c>
      <c r="F537">
        <v>1</v>
      </c>
      <c r="G537">
        <v>1299.99</v>
      </c>
      <c r="H537">
        <v>126.82</v>
      </c>
      <c r="I537" t="s">
        <v>44</v>
      </c>
      <c r="K537" t="s">
        <v>45</v>
      </c>
      <c r="L537">
        <v>1</v>
      </c>
      <c r="M537" t="str">
        <f>VLOOKUP(D537,State_Lookup!$A$2:$B$28,2,FALSE)</f>
        <v>Rio de Janeiro</v>
      </c>
    </row>
    <row r="538" spans="1:13" x14ac:dyDescent="0.45">
      <c r="A538" t="s">
        <v>788</v>
      </c>
      <c r="B538" t="s">
        <v>781</v>
      </c>
      <c r="C538" t="s">
        <v>637</v>
      </c>
      <c r="D538" t="s">
        <v>16</v>
      </c>
      <c r="E538" t="s">
        <v>69</v>
      </c>
      <c r="F538">
        <v>1</v>
      </c>
      <c r="G538">
        <v>449</v>
      </c>
      <c r="H538">
        <v>23.63</v>
      </c>
      <c r="I538" t="s">
        <v>44</v>
      </c>
      <c r="J538">
        <v>6</v>
      </c>
      <c r="K538" t="s">
        <v>51</v>
      </c>
      <c r="L538">
        <v>5</v>
      </c>
      <c r="M538" t="str">
        <f>VLOOKUP(D538,State_Lookup!$A$2:$B$28,2,FALSE)</f>
        <v>Sao Paulo</v>
      </c>
    </row>
    <row r="539" spans="1:13" x14ac:dyDescent="0.45">
      <c r="A539" t="s">
        <v>789</v>
      </c>
      <c r="B539" t="s">
        <v>790</v>
      </c>
      <c r="C539" t="s">
        <v>637</v>
      </c>
      <c r="D539" t="s">
        <v>17</v>
      </c>
      <c r="E539" t="s">
        <v>110</v>
      </c>
      <c r="F539">
        <v>1</v>
      </c>
      <c r="G539">
        <v>139.9</v>
      </c>
      <c r="H539">
        <v>25.82</v>
      </c>
      <c r="I539" t="s">
        <v>44</v>
      </c>
      <c r="J539">
        <v>6</v>
      </c>
      <c r="K539" t="s">
        <v>51</v>
      </c>
      <c r="L539">
        <v>1</v>
      </c>
      <c r="M539" t="str">
        <f>VLOOKUP(D539,State_Lookup!$A$2:$B$28,2,FALSE)</f>
        <v>Rio de Janeiro</v>
      </c>
    </row>
    <row r="540" spans="1:13" x14ac:dyDescent="0.45">
      <c r="A540" t="s">
        <v>791</v>
      </c>
      <c r="B540" t="s">
        <v>790</v>
      </c>
      <c r="C540" t="s">
        <v>637</v>
      </c>
      <c r="D540" t="s">
        <v>16</v>
      </c>
      <c r="E540" t="s">
        <v>43</v>
      </c>
      <c r="F540">
        <v>1</v>
      </c>
      <c r="G540">
        <v>29.99</v>
      </c>
      <c r="H540">
        <v>7.78</v>
      </c>
      <c r="I540" t="s">
        <v>50</v>
      </c>
      <c r="J540">
        <v>2</v>
      </c>
      <c r="K540" t="s">
        <v>51</v>
      </c>
      <c r="L540">
        <v>5</v>
      </c>
      <c r="M540" t="str">
        <f>VLOOKUP(D540,State_Lookup!$A$2:$B$28,2,FALSE)</f>
        <v>Sao Paulo</v>
      </c>
    </row>
    <row r="541" spans="1:13" x14ac:dyDescent="0.45">
      <c r="A541" t="s">
        <v>792</v>
      </c>
      <c r="B541" t="s">
        <v>790</v>
      </c>
      <c r="C541" t="s">
        <v>637</v>
      </c>
      <c r="D541" t="s">
        <v>16</v>
      </c>
      <c r="E541" t="s">
        <v>132</v>
      </c>
      <c r="F541">
        <v>2</v>
      </c>
      <c r="G541">
        <v>34.799999999999997</v>
      </c>
      <c r="H541">
        <v>30.2</v>
      </c>
      <c r="I541" t="s">
        <v>50</v>
      </c>
      <c r="J541">
        <v>9</v>
      </c>
      <c r="K541" t="s">
        <v>51</v>
      </c>
      <c r="L541">
        <v>5</v>
      </c>
      <c r="M541" t="str">
        <f>VLOOKUP(D541,State_Lookup!$A$2:$B$28,2,FALSE)</f>
        <v>Sao Paulo</v>
      </c>
    </row>
    <row r="542" spans="1:13" x14ac:dyDescent="0.45">
      <c r="A542" t="s">
        <v>793</v>
      </c>
      <c r="B542" t="s">
        <v>790</v>
      </c>
      <c r="C542" t="s">
        <v>637</v>
      </c>
      <c r="D542" t="s">
        <v>16</v>
      </c>
      <c r="E542" t="s">
        <v>43</v>
      </c>
      <c r="F542">
        <v>2</v>
      </c>
      <c r="G542">
        <v>46.98</v>
      </c>
      <c r="H542">
        <v>49.32</v>
      </c>
      <c r="I542" t="s">
        <v>50</v>
      </c>
      <c r="J542">
        <v>7</v>
      </c>
      <c r="K542" t="s">
        <v>51</v>
      </c>
      <c r="L542">
        <v>5</v>
      </c>
      <c r="M542" t="str">
        <f>VLOOKUP(D542,State_Lookup!$A$2:$B$28,2,FALSE)</f>
        <v>Sao Paulo</v>
      </c>
    </row>
    <row r="543" spans="1:13" x14ac:dyDescent="0.45">
      <c r="A543" t="s">
        <v>794</v>
      </c>
      <c r="B543" t="s">
        <v>790</v>
      </c>
      <c r="C543" t="s">
        <v>637</v>
      </c>
      <c r="D543" t="s">
        <v>24</v>
      </c>
      <c r="E543" t="s">
        <v>49</v>
      </c>
      <c r="F543">
        <v>1</v>
      </c>
      <c r="G543">
        <v>85</v>
      </c>
      <c r="H543">
        <v>15.34</v>
      </c>
      <c r="I543" t="s">
        <v>50</v>
      </c>
      <c r="K543" t="s">
        <v>45</v>
      </c>
      <c r="L543">
        <v>1</v>
      </c>
      <c r="M543" t="str">
        <f>VLOOKUP(D543,State_Lookup!$A$2:$B$28,2,FALSE)</f>
        <v>Distrito Federal</v>
      </c>
    </row>
    <row r="544" spans="1:13" x14ac:dyDescent="0.45">
      <c r="A544" t="s">
        <v>795</v>
      </c>
      <c r="B544" t="s">
        <v>790</v>
      </c>
      <c r="C544" t="s">
        <v>637</v>
      </c>
      <c r="D544" t="s">
        <v>18</v>
      </c>
      <c r="E544" t="s">
        <v>64</v>
      </c>
      <c r="F544">
        <v>2</v>
      </c>
      <c r="G544">
        <v>113.98</v>
      </c>
      <c r="H544">
        <v>28.3</v>
      </c>
      <c r="I544" t="s">
        <v>44</v>
      </c>
      <c r="J544">
        <v>6</v>
      </c>
      <c r="K544" t="s">
        <v>51</v>
      </c>
      <c r="L544">
        <v>1</v>
      </c>
      <c r="M544" t="str">
        <f>VLOOKUP(D544,State_Lookup!$A$2:$B$28,2,FALSE)</f>
        <v>Minas Gerais</v>
      </c>
    </row>
    <row r="545" spans="1:13" x14ac:dyDescent="0.45">
      <c r="A545" t="s">
        <v>796</v>
      </c>
      <c r="B545" t="s">
        <v>790</v>
      </c>
      <c r="C545" t="s">
        <v>637</v>
      </c>
      <c r="D545" t="s">
        <v>21</v>
      </c>
      <c r="E545" t="s">
        <v>49</v>
      </c>
      <c r="F545">
        <v>1</v>
      </c>
      <c r="G545">
        <v>18.899999999999999</v>
      </c>
      <c r="H545">
        <v>15.1</v>
      </c>
      <c r="I545" t="s">
        <v>50</v>
      </c>
      <c r="J545">
        <v>10</v>
      </c>
      <c r="K545" t="s">
        <v>51</v>
      </c>
      <c r="L545">
        <v>5</v>
      </c>
      <c r="M545" t="str">
        <f>VLOOKUP(D545,State_Lookup!$A$2:$B$28,2,FALSE)</f>
        <v>Santa Catarina</v>
      </c>
    </row>
    <row r="546" spans="1:13" x14ac:dyDescent="0.45">
      <c r="A546" t="s">
        <v>797</v>
      </c>
      <c r="B546" t="s">
        <v>790</v>
      </c>
      <c r="C546" t="s">
        <v>637</v>
      </c>
      <c r="D546" t="s">
        <v>16</v>
      </c>
      <c r="E546" t="s">
        <v>110</v>
      </c>
      <c r="F546">
        <v>2</v>
      </c>
      <c r="G546">
        <v>159.80000000000001</v>
      </c>
      <c r="H546">
        <v>69.44</v>
      </c>
      <c r="I546" t="s">
        <v>44</v>
      </c>
      <c r="J546">
        <v>36</v>
      </c>
      <c r="K546" t="s">
        <v>143</v>
      </c>
      <c r="L546">
        <v>4</v>
      </c>
      <c r="M546" t="str">
        <f>VLOOKUP(D546,State_Lookup!$A$2:$B$28,2,FALSE)</f>
        <v>Sao Paulo</v>
      </c>
    </row>
    <row r="547" spans="1:13" x14ac:dyDescent="0.45">
      <c r="A547" t="s">
        <v>798</v>
      </c>
      <c r="B547" t="s">
        <v>790</v>
      </c>
      <c r="C547" t="s">
        <v>637</v>
      </c>
      <c r="D547" t="s">
        <v>16</v>
      </c>
      <c r="E547" t="s">
        <v>49</v>
      </c>
      <c r="F547">
        <v>1</v>
      </c>
      <c r="G547">
        <v>65</v>
      </c>
      <c r="H547">
        <v>15.2</v>
      </c>
      <c r="I547" t="s">
        <v>44</v>
      </c>
      <c r="J547">
        <v>10</v>
      </c>
      <c r="K547" t="s">
        <v>51</v>
      </c>
      <c r="L547">
        <v>5</v>
      </c>
      <c r="M547" t="str">
        <f>VLOOKUP(D547,State_Lookup!$A$2:$B$28,2,FALSE)</f>
        <v>Sao Paulo</v>
      </c>
    </row>
    <row r="548" spans="1:13" x14ac:dyDescent="0.45">
      <c r="A548" t="s">
        <v>799</v>
      </c>
      <c r="B548" t="s">
        <v>800</v>
      </c>
      <c r="C548" t="s">
        <v>637</v>
      </c>
      <c r="D548" t="s">
        <v>219</v>
      </c>
      <c r="E548" t="s">
        <v>66</v>
      </c>
      <c r="F548">
        <v>1</v>
      </c>
      <c r="G548">
        <v>27.9</v>
      </c>
      <c r="H548">
        <v>21.15</v>
      </c>
      <c r="I548" t="s">
        <v>50</v>
      </c>
      <c r="J548">
        <v>19</v>
      </c>
      <c r="K548" t="s">
        <v>51</v>
      </c>
      <c r="M548" t="str">
        <f>VLOOKUP(D548,State_Lookup!$A$2:$B$28,2,FALSE)</f>
        <v>Rondonia</v>
      </c>
    </row>
    <row r="549" spans="1:13" x14ac:dyDescent="0.45">
      <c r="A549" t="s">
        <v>801</v>
      </c>
      <c r="B549" t="s">
        <v>800</v>
      </c>
      <c r="C549" t="s">
        <v>637</v>
      </c>
      <c r="D549" t="s">
        <v>24</v>
      </c>
      <c r="E549" t="s">
        <v>61</v>
      </c>
      <c r="F549">
        <v>1</v>
      </c>
      <c r="G549">
        <v>31.9</v>
      </c>
      <c r="H549">
        <v>14.1</v>
      </c>
      <c r="I549" t="s">
        <v>133</v>
      </c>
      <c r="J549">
        <v>12</v>
      </c>
      <c r="K549" t="s">
        <v>51</v>
      </c>
      <c r="L549">
        <v>5</v>
      </c>
      <c r="M549" t="str">
        <f>VLOOKUP(D549,State_Lookup!$A$2:$B$28,2,FALSE)</f>
        <v>Distrito Federal</v>
      </c>
    </row>
    <row r="550" spans="1:13" x14ac:dyDescent="0.45">
      <c r="A550" t="s">
        <v>802</v>
      </c>
      <c r="B550" t="s">
        <v>800</v>
      </c>
      <c r="C550" t="s">
        <v>637</v>
      </c>
      <c r="D550" t="s">
        <v>17</v>
      </c>
      <c r="E550" t="s">
        <v>148</v>
      </c>
      <c r="F550">
        <v>1</v>
      </c>
      <c r="G550">
        <v>99.99</v>
      </c>
      <c r="H550">
        <v>16.95</v>
      </c>
      <c r="I550" t="s">
        <v>44</v>
      </c>
      <c r="J550">
        <v>6</v>
      </c>
      <c r="K550" t="s">
        <v>51</v>
      </c>
      <c r="L550">
        <v>4</v>
      </c>
      <c r="M550" t="str">
        <f>VLOOKUP(D550,State_Lookup!$A$2:$B$28,2,FALSE)</f>
        <v>Rio de Janeiro</v>
      </c>
    </row>
    <row r="551" spans="1:13" x14ac:dyDescent="0.45">
      <c r="A551" t="s">
        <v>803</v>
      </c>
      <c r="B551" t="s">
        <v>800</v>
      </c>
      <c r="C551" t="s">
        <v>637</v>
      </c>
      <c r="D551" t="s">
        <v>16</v>
      </c>
      <c r="E551" t="s">
        <v>49</v>
      </c>
      <c r="F551">
        <v>1</v>
      </c>
      <c r="G551">
        <v>39.9</v>
      </c>
      <c r="H551">
        <v>15.1</v>
      </c>
      <c r="I551" t="s">
        <v>44</v>
      </c>
      <c r="J551">
        <v>8</v>
      </c>
      <c r="K551" t="s">
        <v>51</v>
      </c>
      <c r="L551">
        <v>5</v>
      </c>
      <c r="M551" t="str">
        <f>VLOOKUP(D551,State_Lookup!$A$2:$B$28,2,FALSE)</f>
        <v>Sao Paulo</v>
      </c>
    </row>
    <row r="552" spans="1:13" x14ac:dyDescent="0.45">
      <c r="A552" t="s">
        <v>804</v>
      </c>
      <c r="B552" t="s">
        <v>800</v>
      </c>
      <c r="C552" t="s">
        <v>637</v>
      </c>
      <c r="D552" t="s">
        <v>20</v>
      </c>
      <c r="E552" t="s">
        <v>107</v>
      </c>
      <c r="F552">
        <v>1</v>
      </c>
      <c r="G552">
        <v>147.9</v>
      </c>
      <c r="H552">
        <v>27.36</v>
      </c>
      <c r="I552" t="s">
        <v>44</v>
      </c>
      <c r="J552">
        <v>14</v>
      </c>
      <c r="K552" t="s">
        <v>51</v>
      </c>
      <c r="L552">
        <v>5</v>
      </c>
      <c r="M552" t="str">
        <f>VLOOKUP(D552,State_Lookup!$A$2:$B$28,2,FALSE)</f>
        <v>Parana</v>
      </c>
    </row>
    <row r="553" spans="1:13" x14ac:dyDescent="0.45">
      <c r="A553" t="s">
        <v>805</v>
      </c>
      <c r="B553" t="s">
        <v>800</v>
      </c>
      <c r="C553" t="s">
        <v>637</v>
      </c>
      <c r="D553" t="s">
        <v>16</v>
      </c>
      <c r="E553" t="s">
        <v>157</v>
      </c>
      <c r="F553">
        <v>1</v>
      </c>
      <c r="G553">
        <v>198</v>
      </c>
      <c r="H553">
        <v>16.14</v>
      </c>
      <c r="I553" t="s">
        <v>44</v>
      </c>
      <c r="J553">
        <v>2</v>
      </c>
      <c r="K553" t="s">
        <v>51</v>
      </c>
      <c r="L553">
        <v>5</v>
      </c>
      <c r="M553" t="str">
        <f>VLOOKUP(D553,State_Lookup!$A$2:$B$28,2,FALSE)</f>
        <v>Sao Paulo</v>
      </c>
    </row>
    <row r="554" spans="1:13" x14ac:dyDescent="0.45">
      <c r="A554" t="s">
        <v>806</v>
      </c>
      <c r="B554" t="s">
        <v>800</v>
      </c>
      <c r="C554" t="s">
        <v>637</v>
      </c>
      <c r="D554" t="s">
        <v>16</v>
      </c>
      <c r="E554" t="s">
        <v>148</v>
      </c>
      <c r="F554">
        <v>1</v>
      </c>
      <c r="G554">
        <v>239</v>
      </c>
      <c r="H554">
        <v>17.43</v>
      </c>
      <c r="I554" t="s">
        <v>50</v>
      </c>
      <c r="J554">
        <v>11</v>
      </c>
      <c r="K554" t="s">
        <v>51</v>
      </c>
      <c r="L554">
        <v>5</v>
      </c>
      <c r="M554" t="str">
        <f>VLOOKUP(D554,State_Lookup!$A$2:$B$28,2,FALSE)</f>
        <v>Sao Paulo</v>
      </c>
    </row>
    <row r="555" spans="1:13" x14ac:dyDescent="0.45">
      <c r="A555" t="s">
        <v>807</v>
      </c>
      <c r="B555" t="s">
        <v>800</v>
      </c>
      <c r="C555" t="s">
        <v>637</v>
      </c>
      <c r="D555" t="s">
        <v>17</v>
      </c>
      <c r="E555" t="s">
        <v>157</v>
      </c>
      <c r="F555">
        <v>1</v>
      </c>
      <c r="G555">
        <v>125.93</v>
      </c>
      <c r="H555">
        <v>14.63</v>
      </c>
      <c r="I555" t="s">
        <v>44</v>
      </c>
      <c r="J555">
        <v>6</v>
      </c>
      <c r="K555" t="s">
        <v>51</v>
      </c>
      <c r="L555">
        <v>4</v>
      </c>
      <c r="M555" t="str">
        <f>VLOOKUP(D555,State_Lookup!$A$2:$B$28,2,FALSE)</f>
        <v>Rio de Janeiro</v>
      </c>
    </row>
    <row r="556" spans="1:13" x14ac:dyDescent="0.45">
      <c r="A556" t="s">
        <v>808</v>
      </c>
      <c r="B556" t="s">
        <v>809</v>
      </c>
      <c r="C556" t="s">
        <v>637</v>
      </c>
      <c r="D556" t="s">
        <v>17</v>
      </c>
      <c r="E556" t="s">
        <v>61</v>
      </c>
      <c r="F556">
        <v>1</v>
      </c>
      <c r="G556">
        <v>790.9</v>
      </c>
      <c r="H556">
        <v>36.29</v>
      </c>
      <c r="I556" t="s">
        <v>50</v>
      </c>
      <c r="J556">
        <v>18</v>
      </c>
      <c r="K556" t="s">
        <v>51</v>
      </c>
      <c r="L556">
        <v>4</v>
      </c>
      <c r="M556" t="str">
        <f>VLOOKUP(D556,State_Lookup!$A$2:$B$28,2,FALSE)</f>
        <v>Rio de Janeiro</v>
      </c>
    </row>
    <row r="557" spans="1:13" x14ac:dyDescent="0.45">
      <c r="A557" t="s">
        <v>810</v>
      </c>
      <c r="B557" t="s">
        <v>809</v>
      </c>
      <c r="C557" t="s">
        <v>637</v>
      </c>
      <c r="D557" t="s">
        <v>18</v>
      </c>
      <c r="E557" t="s">
        <v>148</v>
      </c>
      <c r="F557">
        <v>1</v>
      </c>
      <c r="G557">
        <v>99.99</v>
      </c>
      <c r="H557">
        <v>16.46</v>
      </c>
      <c r="I557" t="s">
        <v>44</v>
      </c>
      <c r="J557">
        <v>6</v>
      </c>
      <c r="K557" t="s">
        <v>51</v>
      </c>
      <c r="L557">
        <v>5</v>
      </c>
      <c r="M557" t="str">
        <f>VLOOKUP(D557,State_Lookup!$A$2:$B$28,2,FALSE)</f>
        <v>Minas Gerais</v>
      </c>
    </row>
    <row r="558" spans="1:13" x14ac:dyDescent="0.45">
      <c r="A558" t="s">
        <v>811</v>
      </c>
      <c r="B558" t="s">
        <v>812</v>
      </c>
      <c r="C558" t="s">
        <v>637</v>
      </c>
      <c r="D558" t="s">
        <v>21</v>
      </c>
      <c r="E558" t="s">
        <v>79</v>
      </c>
      <c r="F558">
        <v>1</v>
      </c>
      <c r="G558">
        <v>37.9</v>
      </c>
      <c r="H558">
        <v>16.79</v>
      </c>
      <c r="I558" t="s">
        <v>44</v>
      </c>
      <c r="J558">
        <v>32</v>
      </c>
      <c r="K558" t="s">
        <v>143</v>
      </c>
      <c r="L558">
        <v>3</v>
      </c>
      <c r="M558" t="str">
        <f>VLOOKUP(D558,State_Lookup!$A$2:$B$28,2,FALSE)</f>
        <v>Santa Catarina</v>
      </c>
    </row>
    <row r="559" spans="1:13" x14ac:dyDescent="0.45">
      <c r="A559" t="s">
        <v>813</v>
      </c>
      <c r="B559" t="s">
        <v>812</v>
      </c>
      <c r="C559" t="s">
        <v>637</v>
      </c>
      <c r="D559" t="s">
        <v>16</v>
      </c>
      <c r="E559" t="s">
        <v>53</v>
      </c>
      <c r="F559">
        <v>1</v>
      </c>
      <c r="G559">
        <v>158.9</v>
      </c>
      <c r="H559">
        <v>16.739999999999998</v>
      </c>
      <c r="I559" t="s">
        <v>44</v>
      </c>
      <c r="J559">
        <v>6</v>
      </c>
      <c r="K559" t="s">
        <v>51</v>
      </c>
      <c r="L559">
        <v>1</v>
      </c>
      <c r="M559" t="str">
        <f>VLOOKUP(D559,State_Lookup!$A$2:$B$28,2,FALSE)</f>
        <v>Sao Paulo</v>
      </c>
    </row>
    <row r="560" spans="1:13" x14ac:dyDescent="0.45">
      <c r="A560" t="s">
        <v>814</v>
      </c>
      <c r="B560" t="s">
        <v>812</v>
      </c>
      <c r="C560" t="s">
        <v>637</v>
      </c>
      <c r="D560" t="s">
        <v>20</v>
      </c>
      <c r="E560" t="s">
        <v>110</v>
      </c>
      <c r="F560">
        <v>1</v>
      </c>
      <c r="G560">
        <v>49.9</v>
      </c>
      <c r="H560">
        <v>15.1</v>
      </c>
      <c r="I560" t="s">
        <v>44</v>
      </c>
      <c r="J560">
        <v>16</v>
      </c>
      <c r="K560" t="s">
        <v>51</v>
      </c>
      <c r="L560">
        <v>2</v>
      </c>
      <c r="M560" t="str">
        <f>VLOOKUP(D560,State_Lookup!$A$2:$B$28,2,FALSE)</f>
        <v>Parana</v>
      </c>
    </row>
    <row r="561" spans="1:13" x14ac:dyDescent="0.45">
      <c r="A561" t="s">
        <v>815</v>
      </c>
      <c r="B561" t="s">
        <v>816</v>
      </c>
      <c r="C561" t="s">
        <v>637</v>
      </c>
      <c r="D561" t="s">
        <v>16</v>
      </c>
      <c r="E561" t="s">
        <v>79</v>
      </c>
      <c r="F561">
        <v>1</v>
      </c>
      <c r="G561">
        <v>419.99</v>
      </c>
      <c r="H561">
        <v>14.44</v>
      </c>
      <c r="I561" t="s">
        <v>44</v>
      </c>
      <c r="J561">
        <v>8</v>
      </c>
      <c r="K561" t="s">
        <v>51</v>
      </c>
      <c r="L561">
        <v>5</v>
      </c>
      <c r="M561" t="str">
        <f>VLOOKUP(D561,State_Lookup!$A$2:$B$28,2,FALSE)</f>
        <v>Sao Paulo</v>
      </c>
    </row>
    <row r="562" spans="1:13" x14ac:dyDescent="0.45">
      <c r="A562" t="s">
        <v>817</v>
      </c>
      <c r="B562" t="s">
        <v>816</v>
      </c>
      <c r="C562" t="s">
        <v>637</v>
      </c>
      <c r="D562" t="s">
        <v>19</v>
      </c>
      <c r="E562" t="s">
        <v>244</v>
      </c>
      <c r="F562">
        <v>1</v>
      </c>
      <c r="G562">
        <v>69.900000000000006</v>
      </c>
      <c r="H562">
        <v>17.739999999999998</v>
      </c>
      <c r="I562" t="s">
        <v>44</v>
      </c>
      <c r="J562">
        <v>12</v>
      </c>
      <c r="K562" t="s">
        <v>51</v>
      </c>
      <c r="L562">
        <v>4</v>
      </c>
      <c r="M562" t="str">
        <f>VLOOKUP(D562,State_Lookup!$A$2:$B$28,2,FALSE)</f>
        <v>Rio Grande do Sul</v>
      </c>
    </row>
    <row r="563" spans="1:13" x14ac:dyDescent="0.45">
      <c r="A563" t="s">
        <v>818</v>
      </c>
      <c r="B563" t="s">
        <v>816</v>
      </c>
      <c r="C563" t="s">
        <v>637</v>
      </c>
      <c r="D563" t="s">
        <v>16</v>
      </c>
      <c r="E563" t="s">
        <v>53</v>
      </c>
      <c r="F563">
        <v>1</v>
      </c>
      <c r="G563">
        <v>94.9</v>
      </c>
      <c r="H563">
        <v>7.92</v>
      </c>
      <c r="I563" t="s">
        <v>133</v>
      </c>
      <c r="J563">
        <v>2</v>
      </c>
      <c r="K563" t="s">
        <v>51</v>
      </c>
      <c r="L563">
        <v>5</v>
      </c>
      <c r="M563" t="str">
        <f>VLOOKUP(D563,State_Lookup!$A$2:$B$28,2,FALSE)</f>
        <v>Sao Paulo</v>
      </c>
    </row>
    <row r="564" spans="1:13" x14ac:dyDescent="0.45">
      <c r="A564" t="s">
        <v>819</v>
      </c>
      <c r="B564" t="s">
        <v>816</v>
      </c>
      <c r="C564" t="s">
        <v>637</v>
      </c>
      <c r="D564" t="s">
        <v>19</v>
      </c>
      <c r="E564" t="s">
        <v>49</v>
      </c>
      <c r="F564">
        <v>1</v>
      </c>
      <c r="G564">
        <v>154.9</v>
      </c>
      <c r="H564">
        <v>18.329999999999998</v>
      </c>
      <c r="I564" t="s">
        <v>44</v>
      </c>
      <c r="J564">
        <v>8</v>
      </c>
      <c r="K564" t="s">
        <v>51</v>
      </c>
      <c r="L564">
        <v>5</v>
      </c>
      <c r="M564" t="str">
        <f>VLOOKUP(D564,State_Lookup!$A$2:$B$28,2,FALSE)</f>
        <v>Rio Grande do Sul</v>
      </c>
    </row>
    <row r="565" spans="1:13" x14ac:dyDescent="0.45">
      <c r="A565" t="s">
        <v>820</v>
      </c>
      <c r="B565" t="s">
        <v>816</v>
      </c>
      <c r="C565" t="s">
        <v>637</v>
      </c>
      <c r="D565" t="s">
        <v>18</v>
      </c>
      <c r="E565" t="s">
        <v>61</v>
      </c>
      <c r="F565">
        <v>1</v>
      </c>
      <c r="G565">
        <v>31.9</v>
      </c>
      <c r="H565">
        <v>12.48</v>
      </c>
      <c r="I565" t="s">
        <v>44</v>
      </c>
      <c r="J565">
        <v>5</v>
      </c>
      <c r="K565" t="s">
        <v>51</v>
      </c>
      <c r="L565">
        <v>5</v>
      </c>
      <c r="M565" t="str">
        <f>VLOOKUP(D565,State_Lookup!$A$2:$B$28,2,FALSE)</f>
        <v>Minas Gerais</v>
      </c>
    </row>
    <row r="566" spans="1:13" x14ac:dyDescent="0.45">
      <c r="A566" t="s">
        <v>821</v>
      </c>
      <c r="B566" t="s">
        <v>822</v>
      </c>
      <c r="C566" t="s">
        <v>637</v>
      </c>
      <c r="D566" t="s">
        <v>16</v>
      </c>
      <c r="E566" t="s">
        <v>103</v>
      </c>
      <c r="F566">
        <v>1</v>
      </c>
      <c r="G566">
        <v>29.9</v>
      </c>
      <c r="H566">
        <v>14.1</v>
      </c>
      <c r="I566" t="s">
        <v>44</v>
      </c>
      <c r="J566">
        <v>14</v>
      </c>
      <c r="K566" t="s">
        <v>51</v>
      </c>
      <c r="L566">
        <v>5</v>
      </c>
      <c r="M566" t="str">
        <f>VLOOKUP(D566,State_Lookup!$A$2:$B$28,2,FALSE)</f>
        <v>Sao Paulo</v>
      </c>
    </row>
    <row r="567" spans="1:13" x14ac:dyDescent="0.45">
      <c r="A567" t="s">
        <v>823</v>
      </c>
      <c r="B567" t="s">
        <v>822</v>
      </c>
      <c r="C567" t="s">
        <v>637</v>
      </c>
      <c r="D567" t="s">
        <v>19</v>
      </c>
      <c r="E567" t="s">
        <v>148</v>
      </c>
      <c r="F567">
        <v>1</v>
      </c>
      <c r="G567">
        <v>119.99</v>
      </c>
      <c r="H567">
        <v>16.600000000000001</v>
      </c>
      <c r="I567" t="s">
        <v>50</v>
      </c>
      <c r="J567">
        <v>10</v>
      </c>
      <c r="K567" t="s">
        <v>51</v>
      </c>
      <c r="L567">
        <v>5</v>
      </c>
      <c r="M567" t="str">
        <f>VLOOKUP(D567,State_Lookup!$A$2:$B$28,2,FALSE)</f>
        <v>Rio Grande do Sul</v>
      </c>
    </row>
    <row r="568" spans="1:13" x14ac:dyDescent="0.45">
      <c r="A568" t="s">
        <v>824</v>
      </c>
      <c r="B568" t="s">
        <v>822</v>
      </c>
      <c r="C568" t="s">
        <v>637</v>
      </c>
      <c r="D568" t="s">
        <v>24</v>
      </c>
      <c r="E568" t="s">
        <v>110</v>
      </c>
      <c r="F568">
        <v>2</v>
      </c>
      <c r="G568">
        <v>179.8</v>
      </c>
      <c r="H568">
        <v>30.76</v>
      </c>
      <c r="I568" t="s">
        <v>44</v>
      </c>
      <c r="J568">
        <v>10</v>
      </c>
      <c r="K568" t="s">
        <v>51</v>
      </c>
      <c r="L568">
        <v>5</v>
      </c>
      <c r="M568" t="str">
        <f>VLOOKUP(D568,State_Lookup!$A$2:$B$28,2,FALSE)</f>
        <v>Distrito Federal</v>
      </c>
    </row>
    <row r="569" spans="1:13" x14ac:dyDescent="0.45">
      <c r="A569" t="s">
        <v>825</v>
      </c>
      <c r="B569" t="s">
        <v>822</v>
      </c>
      <c r="C569" t="s">
        <v>637</v>
      </c>
      <c r="D569" t="s">
        <v>18</v>
      </c>
      <c r="E569" t="s">
        <v>157</v>
      </c>
      <c r="F569">
        <v>1</v>
      </c>
      <c r="G569">
        <v>58.71</v>
      </c>
      <c r="H569">
        <v>28.81</v>
      </c>
      <c r="I569" t="s">
        <v>44</v>
      </c>
      <c r="J569">
        <v>9</v>
      </c>
      <c r="K569" t="s">
        <v>51</v>
      </c>
      <c r="L569">
        <v>4</v>
      </c>
      <c r="M569" t="str">
        <f>VLOOKUP(D569,State_Lookup!$A$2:$B$28,2,FALSE)</f>
        <v>Minas Gerais</v>
      </c>
    </row>
    <row r="570" spans="1:13" x14ac:dyDescent="0.45">
      <c r="A570" t="s">
        <v>826</v>
      </c>
      <c r="B570" t="s">
        <v>822</v>
      </c>
      <c r="C570" t="s">
        <v>637</v>
      </c>
      <c r="D570" t="s">
        <v>16</v>
      </c>
      <c r="E570" t="s">
        <v>152</v>
      </c>
      <c r="F570">
        <v>1</v>
      </c>
      <c r="G570">
        <v>89.9</v>
      </c>
      <c r="H570">
        <v>21.28</v>
      </c>
      <c r="I570" t="s">
        <v>44</v>
      </c>
      <c r="J570">
        <v>2</v>
      </c>
      <c r="K570" t="s">
        <v>51</v>
      </c>
      <c r="L570">
        <v>5</v>
      </c>
      <c r="M570" t="str">
        <f>VLOOKUP(D570,State_Lookup!$A$2:$B$28,2,FALSE)</f>
        <v>Sao Paulo</v>
      </c>
    </row>
    <row r="571" spans="1:13" x14ac:dyDescent="0.45">
      <c r="A571" t="s">
        <v>827</v>
      </c>
      <c r="B571" t="s">
        <v>822</v>
      </c>
      <c r="C571" t="s">
        <v>637</v>
      </c>
      <c r="D571" t="s">
        <v>16</v>
      </c>
      <c r="E571" t="s">
        <v>64</v>
      </c>
      <c r="F571">
        <v>1</v>
      </c>
      <c r="G571">
        <v>56.99</v>
      </c>
      <c r="H571">
        <v>11.9</v>
      </c>
      <c r="I571" t="s">
        <v>50</v>
      </c>
      <c r="J571">
        <v>7</v>
      </c>
      <c r="K571" t="s">
        <v>51</v>
      </c>
      <c r="L571">
        <v>3</v>
      </c>
      <c r="M571" t="str">
        <f>VLOOKUP(D571,State_Lookup!$A$2:$B$28,2,FALSE)</f>
        <v>Sao Paulo</v>
      </c>
    </row>
    <row r="572" spans="1:13" x14ac:dyDescent="0.45">
      <c r="A572" t="s">
        <v>828</v>
      </c>
      <c r="B572" t="s">
        <v>829</v>
      </c>
      <c r="C572" t="s">
        <v>637</v>
      </c>
      <c r="D572" t="s">
        <v>17</v>
      </c>
      <c r="E572" t="s">
        <v>43</v>
      </c>
      <c r="F572">
        <v>1</v>
      </c>
      <c r="G572">
        <v>59.9</v>
      </c>
      <c r="H572">
        <v>14.15</v>
      </c>
      <c r="I572" t="s">
        <v>44</v>
      </c>
      <c r="J572">
        <v>15</v>
      </c>
      <c r="K572" t="s">
        <v>51</v>
      </c>
      <c r="L572">
        <v>1</v>
      </c>
      <c r="M572" t="str">
        <f>VLOOKUP(D572,State_Lookup!$A$2:$B$28,2,FALSE)</f>
        <v>Rio de Janeiro</v>
      </c>
    </row>
    <row r="573" spans="1:13" x14ac:dyDescent="0.45">
      <c r="A573" t="s">
        <v>830</v>
      </c>
      <c r="B573" t="s">
        <v>829</v>
      </c>
      <c r="C573" t="s">
        <v>637</v>
      </c>
      <c r="D573" t="s">
        <v>16</v>
      </c>
      <c r="E573" t="s">
        <v>142</v>
      </c>
      <c r="F573">
        <v>1</v>
      </c>
      <c r="G573">
        <v>43.98</v>
      </c>
      <c r="H573">
        <v>17.600000000000001</v>
      </c>
      <c r="I573" t="s">
        <v>133</v>
      </c>
      <c r="J573">
        <v>7</v>
      </c>
      <c r="K573" t="s">
        <v>51</v>
      </c>
      <c r="L573">
        <v>4</v>
      </c>
      <c r="M573" t="str">
        <f>VLOOKUP(D573,State_Lookup!$A$2:$B$28,2,FALSE)</f>
        <v>Sao Paulo</v>
      </c>
    </row>
    <row r="574" spans="1:13" x14ac:dyDescent="0.45">
      <c r="A574" t="s">
        <v>831</v>
      </c>
      <c r="B574" t="s">
        <v>829</v>
      </c>
      <c r="C574" t="s">
        <v>637</v>
      </c>
      <c r="D574" t="s">
        <v>22</v>
      </c>
      <c r="E574" t="s">
        <v>199</v>
      </c>
      <c r="F574">
        <v>1</v>
      </c>
      <c r="G574">
        <v>49.9</v>
      </c>
      <c r="H574">
        <v>16.79</v>
      </c>
      <c r="I574" t="s">
        <v>44</v>
      </c>
      <c r="J574">
        <v>10</v>
      </c>
      <c r="K574" t="s">
        <v>51</v>
      </c>
      <c r="L574">
        <v>3</v>
      </c>
      <c r="M574" t="str">
        <f>VLOOKUP(D574,State_Lookup!$A$2:$B$28,2,FALSE)</f>
        <v>Bahia</v>
      </c>
    </row>
    <row r="575" spans="1:13" x14ac:dyDescent="0.45">
      <c r="A575" t="s">
        <v>832</v>
      </c>
      <c r="B575" t="s">
        <v>829</v>
      </c>
      <c r="C575" t="s">
        <v>637</v>
      </c>
      <c r="D575" t="s">
        <v>17</v>
      </c>
      <c r="E575" t="s">
        <v>157</v>
      </c>
      <c r="F575">
        <v>1</v>
      </c>
      <c r="G575">
        <v>168</v>
      </c>
      <c r="H575">
        <v>16.62</v>
      </c>
      <c r="I575" t="s">
        <v>44</v>
      </c>
      <c r="K575" t="s">
        <v>45</v>
      </c>
      <c r="L575">
        <v>4</v>
      </c>
      <c r="M575" t="str">
        <f>VLOOKUP(D575,State_Lookup!$A$2:$B$28,2,FALSE)</f>
        <v>Rio de Janeiro</v>
      </c>
    </row>
    <row r="576" spans="1:13" x14ac:dyDescent="0.45">
      <c r="A576" t="s">
        <v>833</v>
      </c>
      <c r="B576" t="s">
        <v>834</v>
      </c>
      <c r="C576" t="s">
        <v>637</v>
      </c>
      <c r="D576" t="s">
        <v>16</v>
      </c>
      <c r="E576" t="s">
        <v>79</v>
      </c>
      <c r="F576">
        <v>1</v>
      </c>
      <c r="G576">
        <v>64.989999999999995</v>
      </c>
      <c r="H576">
        <v>11.95</v>
      </c>
      <c r="I576" t="s">
        <v>44</v>
      </c>
      <c r="J576">
        <v>6</v>
      </c>
      <c r="K576" t="s">
        <v>51</v>
      </c>
      <c r="L576">
        <v>5</v>
      </c>
      <c r="M576" t="str">
        <f>VLOOKUP(D576,State_Lookup!$A$2:$B$28,2,FALSE)</f>
        <v>Sao Paulo</v>
      </c>
    </row>
    <row r="577" spans="1:13" x14ac:dyDescent="0.45">
      <c r="A577" t="s">
        <v>835</v>
      </c>
      <c r="B577" t="s">
        <v>834</v>
      </c>
      <c r="C577" t="s">
        <v>637</v>
      </c>
      <c r="D577" t="s">
        <v>22</v>
      </c>
      <c r="E577" t="s">
        <v>79</v>
      </c>
      <c r="F577">
        <v>1</v>
      </c>
      <c r="G577">
        <v>66.900000000000006</v>
      </c>
      <c r="H577">
        <v>19.71</v>
      </c>
      <c r="I577" t="s">
        <v>44</v>
      </c>
      <c r="J577">
        <v>9</v>
      </c>
      <c r="K577" t="s">
        <v>51</v>
      </c>
      <c r="L577">
        <v>5</v>
      </c>
      <c r="M577" t="str">
        <f>VLOOKUP(D577,State_Lookup!$A$2:$B$28,2,FALSE)</f>
        <v>Bahia</v>
      </c>
    </row>
    <row r="578" spans="1:13" x14ac:dyDescent="0.45">
      <c r="A578" t="s">
        <v>836</v>
      </c>
      <c r="B578" t="s">
        <v>834</v>
      </c>
      <c r="C578" t="s">
        <v>637</v>
      </c>
      <c r="D578" t="s">
        <v>24</v>
      </c>
      <c r="E578" t="s">
        <v>142</v>
      </c>
      <c r="F578">
        <v>1</v>
      </c>
      <c r="G578">
        <v>59.9</v>
      </c>
      <c r="H578">
        <v>16.670000000000002</v>
      </c>
      <c r="I578" t="s">
        <v>44</v>
      </c>
      <c r="J578">
        <v>22</v>
      </c>
      <c r="K578" t="s">
        <v>51</v>
      </c>
      <c r="L578">
        <v>5</v>
      </c>
      <c r="M578" t="str">
        <f>VLOOKUP(D578,State_Lookup!$A$2:$B$28,2,FALSE)</f>
        <v>Distrito Federal</v>
      </c>
    </row>
    <row r="579" spans="1:13" x14ac:dyDescent="0.45">
      <c r="A579" t="s">
        <v>837</v>
      </c>
      <c r="B579" t="s">
        <v>834</v>
      </c>
      <c r="C579" t="s">
        <v>637</v>
      </c>
      <c r="D579" t="s">
        <v>16</v>
      </c>
      <c r="E579" t="s">
        <v>100</v>
      </c>
      <c r="F579">
        <v>1</v>
      </c>
      <c r="G579">
        <v>549.9</v>
      </c>
      <c r="H579">
        <v>30.17</v>
      </c>
      <c r="I579" t="s">
        <v>44</v>
      </c>
      <c r="J579">
        <v>8</v>
      </c>
      <c r="K579" t="s">
        <v>51</v>
      </c>
      <c r="L579">
        <v>5</v>
      </c>
      <c r="M579" t="str">
        <f>VLOOKUP(D579,State_Lookup!$A$2:$B$28,2,FALSE)</f>
        <v>Sao Paulo</v>
      </c>
    </row>
    <row r="580" spans="1:13" x14ac:dyDescent="0.45">
      <c r="A580" t="s">
        <v>838</v>
      </c>
      <c r="B580" t="s">
        <v>834</v>
      </c>
      <c r="C580" t="s">
        <v>637</v>
      </c>
      <c r="D580" t="s">
        <v>19</v>
      </c>
      <c r="E580" t="s">
        <v>148</v>
      </c>
      <c r="F580">
        <v>1</v>
      </c>
      <c r="G580">
        <v>69.989999999999995</v>
      </c>
      <c r="H580">
        <v>17.739999999999998</v>
      </c>
      <c r="I580" t="s">
        <v>50</v>
      </c>
      <c r="J580">
        <v>6</v>
      </c>
      <c r="K580" t="s">
        <v>51</v>
      </c>
      <c r="L580">
        <v>4</v>
      </c>
      <c r="M580" t="str">
        <f>VLOOKUP(D580,State_Lookup!$A$2:$B$28,2,FALSE)</f>
        <v>Rio Grande do Sul</v>
      </c>
    </row>
    <row r="581" spans="1:13" x14ac:dyDescent="0.45">
      <c r="A581" t="s">
        <v>839</v>
      </c>
      <c r="B581" t="s">
        <v>834</v>
      </c>
      <c r="C581" t="s">
        <v>637</v>
      </c>
      <c r="D581" t="s">
        <v>16</v>
      </c>
      <c r="E581" t="s">
        <v>61</v>
      </c>
      <c r="F581">
        <v>5</v>
      </c>
      <c r="G581">
        <v>977.5</v>
      </c>
      <c r="H581">
        <v>80.600000000000009</v>
      </c>
      <c r="I581" t="s">
        <v>44</v>
      </c>
      <c r="J581">
        <v>5</v>
      </c>
      <c r="K581" t="s">
        <v>51</v>
      </c>
      <c r="L581">
        <v>5</v>
      </c>
      <c r="M581" t="str">
        <f>VLOOKUP(D581,State_Lookup!$A$2:$B$28,2,FALSE)</f>
        <v>Sao Paulo</v>
      </c>
    </row>
    <row r="582" spans="1:13" x14ac:dyDescent="0.45">
      <c r="A582" t="s">
        <v>840</v>
      </c>
      <c r="B582" t="s">
        <v>834</v>
      </c>
      <c r="C582" t="s">
        <v>637</v>
      </c>
      <c r="D582" t="s">
        <v>16</v>
      </c>
      <c r="E582" t="s">
        <v>142</v>
      </c>
      <c r="F582">
        <v>1</v>
      </c>
      <c r="G582">
        <v>46.99</v>
      </c>
      <c r="H582">
        <v>17.600000000000001</v>
      </c>
      <c r="I582" t="s">
        <v>50</v>
      </c>
      <c r="J582">
        <v>13</v>
      </c>
      <c r="K582" t="s">
        <v>51</v>
      </c>
      <c r="L582">
        <v>3</v>
      </c>
      <c r="M582" t="str">
        <f>VLOOKUP(D582,State_Lookup!$A$2:$B$28,2,FALSE)</f>
        <v>Sao Paulo</v>
      </c>
    </row>
    <row r="583" spans="1:13" x14ac:dyDescent="0.45">
      <c r="A583" t="s">
        <v>841</v>
      </c>
      <c r="B583" t="s">
        <v>834</v>
      </c>
      <c r="C583" t="s">
        <v>637</v>
      </c>
      <c r="D583" t="s">
        <v>16</v>
      </c>
      <c r="E583" t="s">
        <v>142</v>
      </c>
      <c r="F583">
        <v>1</v>
      </c>
      <c r="G583">
        <v>50.9</v>
      </c>
      <c r="H583">
        <v>9.27</v>
      </c>
      <c r="I583" t="s">
        <v>44</v>
      </c>
      <c r="J583">
        <v>1</v>
      </c>
      <c r="K583" t="s">
        <v>51</v>
      </c>
      <c r="L583">
        <v>5</v>
      </c>
      <c r="M583" t="str">
        <f>VLOOKUP(D583,State_Lookup!$A$2:$B$28,2,FALSE)</f>
        <v>Sao Paulo</v>
      </c>
    </row>
    <row r="584" spans="1:13" x14ac:dyDescent="0.45">
      <c r="A584" t="s">
        <v>842</v>
      </c>
      <c r="B584" t="s">
        <v>834</v>
      </c>
      <c r="C584" t="s">
        <v>637</v>
      </c>
      <c r="D584" t="s">
        <v>16</v>
      </c>
      <c r="E584" t="s">
        <v>132</v>
      </c>
      <c r="F584">
        <v>1</v>
      </c>
      <c r="G584">
        <v>24.99</v>
      </c>
      <c r="H584">
        <v>16.79</v>
      </c>
      <c r="I584" t="s">
        <v>50</v>
      </c>
      <c r="J584">
        <v>5</v>
      </c>
      <c r="K584" t="s">
        <v>51</v>
      </c>
      <c r="L584">
        <v>5</v>
      </c>
      <c r="M584" t="str">
        <f>VLOOKUP(D584,State_Lookup!$A$2:$B$28,2,FALSE)</f>
        <v>Sao Paulo</v>
      </c>
    </row>
    <row r="585" spans="1:13" x14ac:dyDescent="0.45">
      <c r="A585" t="s">
        <v>843</v>
      </c>
      <c r="B585" t="s">
        <v>834</v>
      </c>
      <c r="C585" t="s">
        <v>637</v>
      </c>
      <c r="D585" t="s">
        <v>17</v>
      </c>
      <c r="E585" t="s">
        <v>61</v>
      </c>
      <c r="F585">
        <v>1</v>
      </c>
      <c r="G585">
        <v>49.99</v>
      </c>
      <c r="H585">
        <v>16.11</v>
      </c>
      <c r="I585" t="s">
        <v>50</v>
      </c>
      <c r="J585">
        <v>7</v>
      </c>
      <c r="K585" t="s">
        <v>51</v>
      </c>
      <c r="L585">
        <v>4</v>
      </c>
      <c r="M585" t="str">
        <f>VLOOKUP(D585,State_Lookup!$A$2:$B$28,2,FALSE)</f>
        <v>Rio de Janeiro</v>
      </c>
    </row>
    <row r="586" spans="1:13" x14ac:dyDescent="0.45">
      <c r="A586" t="s">
        <v>844</v>
      </c>
      <c r="B586" t="s">
        <v>834</v>
      </c>
      <c r="C586" t="s">
        <v>637</v>
      </c>
      <c r="D586" t="s">
        <v>19</v>
      </c>
      <c r="E586" t="s">
        <v>43</v>
      </c>
      <c r="F586">
        <v>1</v>
      </c>
      <c r="G586">
        <v>49</v>
      </c>
      <c r="H586">
        <v>15.1</v>
      </c>
      <c r="I586" t="s">
        <v>44</v>
      </c>
      <c r="J586">
        <v>15</v>
      </c>
      <c r="K586" t="s">
        <v>51</v>
      </c>
      <c r="L586">
        <v>4</v>
      </c>
      <c r="M586" t="str">
        <f>VLOOKUP(D586,State_Lookup!$A$2:$B$28,2,FALSE)</f>
        <v>Rio Grande do Sul</v>
      </c>
    </row>
    <row r="587" spans="1:13" x14ac:dyDescent="0.45">
      <c r="A587" t="s">
        <v>845</v>
      </c>
      <c r="B587" t="s">
        <v>846</v>
      </c>
      <c r="C587" t="s">
        <v>637</v>
      </c>
      <c r="D587" t="s">
        <v>20</v>
      </c>
      <c r="E587" t="s">
        <v>61</v>
      </c>
      <c r="F587">
        <v>1</v>
      </c>
      <c r="G587">
        <v>49.99</v>
      </c>
      <c r="H587">
        <v>12.48</v>
      </c>
      <c r="I587" t="s">
        <v>50</v>
      </c>
      <c r="J587">
        <v>12</v>
      </c>
      <c r="K587" t="s">
        <v>51</v>
      </c>
      <c r="L587">
        <v>1</v>
      </c>
      <c r="M587" t="str">
        <f>VLOOKUP(D587,State_Lookup!$A$2:$B$28,2,FALSE)</f>
        <v>Parana</v>
      </c>
    </row>
    <row r="588" spans="1:13" x14ac:dyDescent="0.45">
      <c r="A588" t="s">
        <v>847</v>
      </c>
      <c r="B588" t="s">
        <v>846</v>
      </c>
      <c r="C588" t="s">
        <v>637</v>
      </c>
      <c r="D588" t="s">
        <v>21</v>
      </c>
      <c r="E588" t="s">
        <v>66</v>
      </c>
      <c r="F588">
        <v>1</v>
      </c>
      <c r="G588">
        <v>39.99</v>
      </c>
      <c r="H588">
        <v>15.1</v>
      </c>
      <c r="I588" t="s">
        <v>44</v>
      </c>
      <c r="J588">
        <v>11</v>
      </c>
      <c r="K588" t="s">
        <v>51</v>
      </c>
      <c r="L588">
        <v>2</v>
      </c>
      <c r="M588" t="str">
        <f>VLOOKUP(D588,State_Lookup!$A$2:$B$28,2,FALSE)</f>
        <v>Santa Catarina</v>
      </c>
    </row>
    <row r="589" spans="1:13" x14ac:dyDescent="0.45">
      <c r="A589" t="s">
        <v>848</v>
      </c>
      <c r="B589" t="s">
        <v>846</v>
      </c>
      <c r="C589" t="s">
        <v>637</v>
      </c>
      <c r="D589" t="s">
        <v>16</v>
      </c>
      <c r="E589" t="s">
        <v>61</v>
      </c>
      <c r="F589">
        <v>1</v>
      </c>
      <c r="G589">
        <v>36.9</v>
      </c>
      <c r="H589">
        <v>11.85</v>
      </c>
      <c r="I589" t="s">
        <v>44</v>
      </c>
      <c r="J589">
        <v>5</v>
      </c>
      <c r="K589" t="s">
        <v>51</v>
      </c>
      <c r="L589">
        <v>5</v>
      </c>
      <c r="M589" t="str">
        <f>VLOOKUP(D589,State_Lookup!$A$2:$B$28,2,FALSE)</f>
        <v>Sao Paulo</v>
      </c>
    </row>
    <row r="590" spans="1:13" x14ac:dyDescent="0.45">
      <c r="A590" t="s">
        <v>849</v>
      </c>
      <c r="B590" t="s">
        <v>846</v>
      </c>
      <c r="C590" t="s">
        <v>637</v>
      </c>
      <c r="D590" t="s">
        <v>25</v>
      </c>
      <c r="E590" t="s">
        <v>157</v>
      </c>
      <c r="F590">
        <v>1</v>
      </c>
      <c r="G590">
        <v>49</v>
      </c>
      <c r="H590">
        <v>14.1</v>
      </c>
      <c r="I590" t="s">
        <v>50</v>
      </c>
      <c r="J590">
        <v>9</v>
      </c>
      <c r="K590" t="s">
        <v>51</v>
      </c>
      <c r="L590">
        <v>5</v>
      </c>
      <c r="M590" t="str">
        <f>VLOOKUP(D590,State_Lookup!$A$2:$B$28,2,FALSE)</f>
        <v>Goias</v>
      </c>
    </row>
    <row r="591" spans="1:13" x14ac:dyDescent="0.45">
      <c r="A591" t="s">
        <v>850</v>
      </c>
      <c r="B591" t="s">
        <v>851</v>
      </c>
      <c r="C591" t="s">
        <v>852</v>
      </c>
      <c r="D591" t="s">
        <v>17</v>
      </c>
      <c r="E591" t="s">
        <v>64</v>
      </c>
      <c r="F591">
        <v>1</v>
      </c>
      <c r="G591">
        <v>179</v>
      </c>
      <c r="H591">
        <v>16</v>
      </c>
      <c r="I591" t="s">
        <v>44</v>
      </c>
      <c r="J591">
        <v>11</v>
      </c>
      <c r="K591" t="s">
        <v>51</v>
      </c>
      <c r="L591">
        <v>5</v>
      </c>
      <c r="M591" t="str">
        <f>VLOOKUP(D591,State_Lookup!$A$2:$B$28,2,FALSE)</f>
        <v>Rio de Janeiro</v>
      </c>
    </row>
    <row r="592" spans="1:13" x14ac:dyDescent="0.45">
      <c r="A592" t="s">
        <v>853</v>
      </c>
      <c r="B592" t="s">
        <v>851</v>
      </c>
      <c r="C592" t="s">
        <v>852</v>
      </c>
      <c r="D592" t="s">
        <v>23</v>
      </c>
      <c r="E592" t="s">
        <v>125</v>
      </c>
      <c r="F592">
        <v>1</v>
      </c>
      <c r="G592">
        <v>239</v>
      </c>
      <c r="H592">
        <v>18.11</v>
      </c>
      <c r="I592" t="s">
        <v>44</v>
      </c>
      <c r="J592">
        <v>12</v>
      </c>
      <c r="K592" t="s">
        <v>51</v>
      </c>
      <c r="L592">
        <v>3</v>
      </c>
      <c r="M592" t="str">
        <f>VLOOKUP(D592,State_Lookup!$A$2:$B$28,2,FALSE)</f>
        <v>Espirito Santo</v>
      </c>
    </row>
    <row r="593" spans="1:13" x14ac:dyDescent="0.45">
      <c r="A593" t="s">
        <v>854</v>
      </c>
      <c r="B593" t="s">
        <v>851</v>
      </c>
      <c r="C593" t="s">
        <v>852</v>
      </c>
      <c r="D593" t="s">
        <v>19</v>
      </c>
      <c r="E593" t="s">
        <v>110</v>
      </c>
      <c r="F593">
        <v>1</v>
      </c>
      <c r="G593">
        <v>34.9</v>
      </c>
      <c r="H593">
        <v>16.11</v>
      </c>
      <c r="I593" t="s">
        <v>44</v>
      </c>
      <c r="J593">
        <v>10</v>
      </c>
      <c r="K593" t="s">
        <v>51</v>
      </c>
      <c r="L593">
        <v>5</v>
      </c>
      <c r="M593" t="str">
        <f>VLOOKUP(D593,State_Lookup!$A$2:$B$28,2,FALSE)</f>
        <v>Rio Grande do Sul</v>
      </c>
    </row>
    <row r="594" spans="1:13" x14ac:dyDescent="0.45">
      <c r="A594" t="s">
        <v>855</v>
      </c>
      <c r="B594" t="s">
        <v>851</v>
      </c>
      <c r="C594" t="s">
        <v>852</v>
      </c>
      <c r="D594" t="s">
        <v>208</v>
      </c>
      <c r="E594" t="s">
        <v>152</v>
      </c>
      <c r="F594">
        <v>1</v>
      </c>
      <c r="G594">
        <v>259.99</v>
      </c>
      <c r="H594">
        <v>19.39</v>
      </c>
      <c r="I594" t="s">
        <v>44</v>
      </c>
      <c r="J594">
        <v>12</v>
      </c>
      <c r="K594" t="s">
        <v>51</v>
      </c>
      <c r="L594">
        <v>5</v>
      </c>
      <c r="M594" t="str">
        <f>VLOOKUP(D594,State_Lookup!$A$2:$B$28,2,FALSE)</f>
        <v>Mato Grosso</v>
      </c>
    </row>
    <row r="595" spans="1:13" x14ac:dyDescent="0.45">
      <c r="A595" t="s">
        <v>856</v>
      </c>
      <c r="B595" t="s">
        <v>851</v>
      </c>
      <c r="C595" t="s">
        <v>852</v>
      </c>
      <c r="D595" t="s">
        <v>672</v>
      </c>
      <c r="E595" t="s">
        <v>64</v>
      </c>
      <c r="F595">
        <v>1</v>
      </c>
      <c r="G595">
        <v>219.9</v>
      </c>
      <c r="H595">
        <v>22.34</v>
      </c>
      <c r="I595" t="s">
        <v>44</v>
      </c>
      <c r="J595">
        <v>7</v>
      </c>
      <c r="K595" t="s">
        <v>51</v>
      </c>
      <c r="L595">
        <v>5</v>
      </c>
      <c r="M595" t="str">
        <f>VLOOKUP(D595,State_Lookup!$A$2:$B$28,2,FALSE)</f>
        <v>Paraiba</v>
      </c>
    </row>
    <row r="596" spans="1:13" x14ac:dyDescent="0.45">
      <c r="A596" t="s">
        <v>857</v>
      </c>
      <c r="B596" t="s">
        <v>858</v>
      </c>
      <c r="C596" t="s">
        <v>852</v>
      </c>
      <c r="D596" t="s">
        <v>16</v>
      </c>
      <c r="E596" t="s">
        <v>148</v>
      </c>
      <c r="F596">
        <v>1</v>
      </c>
      <c r="G596">
        <v>2649</v>
      </c>
      <c r="H596">
        <v>32.29</v>
      </c>
      <c r="I596" t="s">
        <v>44</v>
      </c>
      <c r="J596">
        <v>26</v>
      </c>
      <c r="K596" t="s">
        <v>143</v>
      </c>
      <c r="L596">
        <v>5</v>
      </c>
      <c r="M596" t="str">
        <f>VLOOKUP(D596,State_Lookup!$A$2:$B$28,2,FALSE)</f>
        <v>Sao Paulo</v>
      </c>
    </row>
    <row r="597" spans="1:13" x14ac:dyDescent="0.45">
      <c r="A597" t="s">
        <v>859</v>
      </c>
      <c r="B597" t="s">
        <v>858</v>
      </c>
      <c r="C597" t="s">
        <v>852</v>
      </c>
      <c r="D597" t="s">
        <v>16</v>
      </c>
      <c r="E597" t="s">
        <v>79</v>
      </c>
      <c r="F597">
        <v>1</v>
      </c>
      <c r="G597">
        <v>59.99</v>
      </c>
      <c r="H597">
        <v>7.78</v>
      </c>
      <c r="I597" t="s">
        <v>44</v>
      </c>
      <c r="J597">
        <v>5</v>
      </c>
      <c r="K597" t="s">
        <v>51</v>
      </c>
      <c r="L597">
        <v>1</v>
      </c>
      <c r="M597" t="str">
        <f>VLOOKUP(D597,State_Lookup!$A$2:$B$28,2,FALSE)</f>
        <v>Sao Paulo</v>
      </c>
    </row>
    <row r="598" spans="1:13" x14ac:dyDescent="0.45">
      <c r="A598" t="s">
        <v>860</v>
      </c>
      <c r="B598" t="s">
        <v>858</v>
      </c>
      <c r="C598" t="s">
        <v>852</v>
      </c>
      <c r="D598" t="s">
        <v>19</v>
      </c>
      <c r="E598" t="s">
        <v>199</v>
      </c>
      <c r="F598">
        <v>2</v>
      </c>
      <c r="G598">
        <v>79.8</v>
      </c>
      <c r="H598">
        <v>33.58</v>
      </c>
      <c r="I598" t="s">
        <v>44</v>
      </c>
      <c r="J598">
        <v>10</v>
      </c>
      <c r="K598" t="s">
        <v>51</v>
      </c>
      <c r="L598">
        <v>5</v>
      </c>
      <c r="M598" t="str">
        <f>VLOOKUP(D598,State_Lookup!$A$2:$B$28,2,FALSE)</f>
        <v>Rio Grande do Sul</v>
      </c>
    </row>
    <row r="599" spans="1:13" x14ac:dyDescent="0.45">
      <c r="A599" t="s">
        <v>861</v>
      </c>
      <c r="B599" t="s">
        <v>858</v>
      </c>
      <c r="C599" t="s">
        <v>852</v>
      </c>
      <c r="D599" t="s">
        <v>16</v>
      </c>
      <c r="E599" t="s">
        <v>43</v>
      </c>
      <c r="F599">
        <v>1</v>
      </c>
      <c r="G599">
        <v>59.99</v>
      </c>
      <c r="H599">
        <v>9.34</v>
      </c>
      <c r="I599" t="s">
        <v>50</v>
      </c>
      <c r="J599">
        <v>5</v>
      </c>
      <c r="K599" t="s">
        <v>51</v>
      </c>
      <c r="L599">
        <v>5</v>
      </c>
      <c r="M599" t="str">
        <f>VLOOKUP(D599,State_Lookup!$A$2:$B$28,2,FALSE)</f>
        <v>Sao Paulo</v>
      </c>
    </row>
    <row r="600" spans="1:13" x14ac:dyDescent="0.45">
      <c r="A600" t="s">
        <v>862</v>
      </c>
      <c r="B600" t="s">
        <v>858</v>
      </c>
      <c r="C600" t="s">
        <v>852</v>
      </c>
      <c r="D600" t="s">
        <v>16</v>
      </c>
      <c r="E600" t="s">
        <v>157</v>
      </c>
      <c r="F600">
        <v>1</v>
      </c>
      <c r="G600">
        <v>492.04</v>
      </c>
      <c r="H600">
        <v>12.26</v>
      </c>
      <c r="I600" t="s">
        <v>44</v>
      </c>
      <c r="J600">
        <v>5</v>
      </c>
      <c r="K600" t="s">
        <v>51</v>
      </c>
      <c r="L600">
        <v>3</v>
      </c>
      <c r="M600" t="str">
        <f>VLOOKUP(D600,State_Lookup!$A$2:$B$28,2,FALSE)</f>
        <v>Sao Paulo</v>
      </c>
    </row>
    <row r="601" spans="1:13" x14ac:dyDescent="0.45">
      <c r="A601" t="s">
        <v>863</v>
      </c>
      <c r="B601" t="s">
        <v>858</v>
      </c>
      <c r="C601" t="s">
        <v>852</v>
      </c>
      <c r="D601" t="s">
        <v>16</v>
      </c>
      <c r="E601" t="s">
        <v>662</v>
      </c>
      <c r="F601">
        <v>1</v>
      </c>
      <c r="G601">
        <v>179</v>
      </c>
      <c r="H601">
        <v>12.46</v>
      </c>
      <c r="I601" t="s">
        <v>44</v>
      </c>
      <c r="J601">
        <v>4</v>
      </c>
      <c r="K601" t="s">
        <v>51</v>
      </c>
      <c r="L601">
        <v>5</v>
      </c>
      <c r="M601" t="str">
        <f>VLOOKUP(D601,State_Lookup!$A$2:$B$28,2,FALSE)</f>
        <v>Sao Paulo</v>
      </c>
    </row>
    <row r="602" spans="1:13" x14ac:dyDescent="0.45">
      <c r="A602" t="s">
        <v>864</v>
      </c>
      <c r="B602" t="s">
        <v>865</v>
      </c>
      <c r="C602" t="s">
        <v>852</v>
      </c>
      <c r="D602" t="s">
        <v>18</v>
      </c>
      <c r="E602" t="s">
        <v>53</v>
      </c>
      <c r="F602">
        <v>1</v>
      </c>
      <c r="G602">
        <v>229.99</v>
      </c>
      <c r="H602">
        <v>16.36</v>
      </c>
      <c r="I602" t="s">
        <v>44</v>
      </c>
      <c r="J602">
        <v>9</v>
      </c>
      <c r="K602" t="s">
        <v>51</v>
      </c>
      <c r="L602">
        <v>5</v>
      </c>
      <c r="M602" t="str">
        <f>VLOOKUP(D602,State_Lookup!$A$2:$B$28,2,FALSE)</f>
        <v>Minas Gerais</v>
      </c>
    </row>
    <row r="603" spans="1:13" x14ac:dyDescent="0.45">
      <c r="A603" t="s">
        <v>866</v>
      </c>
      <c r="B603" t="s">
        <v>865</v>
      </c>
      <c r="C603" t="s">
        <v>852</v>
      </c>
      <c r="D603" t="s">
        <v>17</v>
      </c>
      <c r="E603" t="s">
        <v>142</v>
      </c>
      <c r="F603">
        <v>1</v>
      </c>
      <c r="G603">
        <v>34.9</v>
      </c>
      <c r="H603">
        <v>20.84</v>
      </c>
      <c r="I603" t="s">
        <v>44</v>
      </c>
      <c r="J603">
        <v>10</v>
      </c>
      <c r="K603" t="s">
        <v>51</v>
      </c>
      <c r="L603">
        <v>5</v>
      </c>
      <c r="M603" t="str">
        <f>VLOOKUP(D603,State_Lookup!$A$2:$B$28,2,FALSE)</f>
        <v>Rio de Janeiro</v>
      </c>
    </row>
    <row r="604" spans="1:13" x14ac:dyDescent="0.45">
      <c r="A604" t="s">
        <v>867</v>
      </c>
      <c r="B604" t="s">
        <v>868</v>
      </c>
      <c r="C604" t="s">
        <v>852</v>
      </c>
      <c r="D604" t="s">
        <v>18</v>
      </c>
      <c r="E604" t="s">
        <v>157</v>
      </c>
      <c r="F604">
        <v>1</v>
      </c>
      <c r="G604">
        <v>66.89</v>
      </c>
      <c r="H604">
        <v>27.01</v>
      </c>
      <c r="I604" t="s">
        <v>50</v>
      </c>
      <c r="J604">
        <v>15</v>
      </c>
      <c r="K604" t="s">
        <v>51</v>
      </c>
      <c r="L604">
        <v>4</v>
      </c>
      <c r="M604" t="str">
        <f>VLOOKUP(D604,State_Lookup!$A$2:$B$28,2,FALSE)</f>
        <v>Minas Gerais</v>
      </c>
    </row>
    <row r="605" spans="1:13" x14ac:dyDescent="0.45">
      <c r="A605" t="s">
        <v>869</v>
      </c>
      <c r="B605" t="s">
        <v>868</v>
      </c>
      <c r="C605" t="s">
        <v>852</v>
      </c>
      <c r="D605" t="s">
        <v>16</v>
      </c>
      <c r="E605" t="s">
        <v>142</v>
      </c>
      <c r="F605">
        <v>1</v>
      </c>
      <c r="G605">
        <v>32</v>
      </c>
      <c r="H605">
        <v>7.78</v>
      </c>
      <c r="I605" t="s">
        <v>44</v>
      </c>
      <c r="J605">
        <v>3</v>
      </c>
      <c r="K605" t="s">
        <v>51</v>
      </c>
      <c r="L605">
        <v>4</v>
      </c>
      <c r="M605" t="str">
        <f>VLOOKUP(D605,State_Lookup!$A$2:$B$28,2,FALSE)</f>
        <v>Sao Paulo</v>
      </c>
    </row>
    <row r="606" spans="1:13" x14ac:dyDescent="0.45">
      <c r="A606" t="s">
        <v>870</v>
      </c>
      <c r="B606" t="s">
        <v>868</v>
      </c>
      <c r="C606" t="s">
        <v>852</v>
      </c>
      <c r="D606" t="s">
        <v>16</v>
      </c>
      <c r="E606" t="s">
        <v>49</v>
      </c>
      <c r="F606">
        <v>1</v>
      </c>
      <c r="G606">
        <v>199</v>
      </c>
      <c r="H606">
        <v>20.12</v>
      </c>
      <c r="I606" t="s">
        <v>44</v>
      </c>
      <c r="J606">
        <v>2</v>
      </c>
      <c r="K606" t="s">
        <v>51</v>
      </c>
      <c r="L606">
        <v>5</v>
      </c>
      <c r="M606" t="str">
        <f>VLOOKUP(D606,State_Lookup!$A$2:$B$28,2,FALSE)</f>
        <v>Sao Paulo</v>
      </c>
    </row>
    <row r="607" spans="1:13" x14ac:dyDescent="0.45">
      <c r="A607" t="s">
        <v>871</v>
      </c>
      <c r="B607" t="s">
        <v>868</v>
      </c>
      <c r="C607" t="s">
        <v>852</v>
      </c>
      <c r="D607" t="s">
        <v>16</v>
      </c>
      <c r="E607" t="s">
        <v>49</v>
      </c>
      <c r="F607">
        <v>1</v>
      </c>
      <c r="G607">
        <v>59.9</v>
      </c>
      <c r="H607">
        <v>9.34</v>
      </c>
      <c r="I607" t="s">
        <v>44</v>
      </c>
      <c r="J607">
        <v>4</v>
      </c>
      <c r="K607" t="s">
        <v>51</v>
      </c>
      <c r="L607">
        <v>5</v>
      </c>
      <c r="M607" t="str">
        <f>VLOOKUP(D607,State_Lookup!$A$2:$B$28,2,FALSE)</f>
        <v>Sao Paulo</v>
      </c>
    </row>
    <row r="608" spans="1:13" x14ac:dyDescent="0.45">
      <c r="A608" t="s">
        <v>872</v>
      </c>
      <c r="B608" t="s">
        <v>868</v>
      </c>
      <c r="C608" t="s">
        <v>852</v>
      </c>
      <c r="D608" t="s">
        <v>128</v>
      </c>
      <c r="E608" t="s">
        <v>66</v>
      </c>
      <c r="F608">
        <v>1</v>
      </c>
      <c r="G608">
        <v>25.99</v>
      </c>
      <c r="H608">
        <v>17.63</v>
      </c>
      <c r="I608" t="s">
        <v>44</v>
      </c>
      <c r="J608">
        <v>7</v>
      </c>
      <c r="K608" t="s">
        <v>51</v>
      </c>
      <c r="L608">
        <v>5</v>
      </c>
      <c r="M608" t="str">
        <f>VLOOKUP(D608,State_Lookup!$A$2:$B$28,2,FALSE)</f>
        <v>Ceara</v>
      </c>
    </row>
    <row r="609" spans="1:13" x14ac:dyDescent="0.45">
      <c r="A609" t="s">
        <v>873</v>
      </c>
      <c r="B609" t="s">
        <v>874</v>
      </c>
      <c r="C609" t="s">
        <v>852</v>
      </c>
      <c r="D609" t="s">
        <v>16</v>
      </c>
      <c r="E609" t="s">
        <v>192</v>
      </c>
      <c r="F609">
        <v>1</v>
      </c>
      <c r="G609">
        <v>51.99</v>
      </c>
      <c r="H609">
        <v>14.11</v>
      </c>
      <c r="I609" t="s">
        <v>44</v>
      </c>
      <c r="J609">
        <v>7</v>
      </c>
      <c r="K609" t="s">
        <v>51</v>
      </c>
      <c r="L609">
        <v>5</v>
      </c>
      <c r="M609" t="str">
        <f>VLOOKUP(D609,State_Lookup!$A$2:$B$28,2,FALSE)</f>
        <v>Sao Paulo</v>
      </c>
    </row>
    <row r="610" spans="1:13" x14ac:dyDescent="0.45">
      <c r="A610" t="s">
        <v>875</v>
      </c>
      <c r="B610" t="s">
        <v>874</v>
      </c>
      <c r="C610" t="s">
        <v>852</v>
      </c>
      <c r="D610" t="s">
        <v>20</v>
      </c>
      <c r="E610" t="s">
        <v>43</v>
      </c>
      <c r="F610">
        <v>1</v>
      </c>
      <c r="G610">
        <v>59.55</v>
      </c>
      <c r="H610">
        <v>16.18</v>
      </c>
      <c r="I610" t="s">
        <v>44</v>
      </c>
      <c r="J610">
        <v>14</v>
      </c>
      <c r="K610" t="s">
        <v>51</v>
      </c>
      <c r="L610">
        <v>4</v>
      </c>
      <c r="M610" t="str">
        <f>VLOOKUP(D610,State_Lookup!$A$2:$B$28,2,FALSE)</f>
        <v>Parana</v>
      </c>
    </row>
    <row r="611" spans="1:13" x14ac:dyDescent="0.45">
      <c r="A611" t="s">
        <v>876</v>
      </c>
      <c r="B611" t="s">
        <v>874</v>
      </c>
      <c r="C611" t="s">
        <v>852</v>
      </c>
      <c r="D611" t="s">
        <v>16</v>
      </c>
      <c r="E611" t="s">
        <v>79</v>
      </c>
      <c r="F611">
        <v>1</v>
      </c>
      <c r="G611">
        <v>19.989999999999998</v>
      </c>
      <c r="H611">
        <v>7.78</v>
      </c>
      <c r="I611" t="s">
        <v>44</v>
      </c>
      <c r="J611">
        <v>2</v>
      </c>
      <c r="K611" t="s">
        <v>51</v>
      </c>
      <c r="L611">
        <v>5</v>
      </c>
      <c r="M611" t="str">
        <f>VLOOKUP(D611,State_Lookup!$A$2:$B$28,2,FALSE)</f>
        <v>Sao Paulo</v>
      </c>
    </row>
    <row r="612" spans="1:13" x14ac:dyDescent="0.45">
      <c r="A612" t="s">
        <v>877</v>
      </c>
      <c r="B612" t="s">
        <v>874</v>
      </c>
      <c r="C612" t="s">
        <v>852</v>
      </c>
      <c r="D612" t="s">
        <v>21</v>
      </c>
      <c r="E612" t="s">
        <v>142</v>
      </c>
      <c r="F612">
        <v>1</v>
      </c>
      <c r="G612">
        <v>47.99</v>
      </c>
      <c r="H612">
        <v>16.11</v>
      </c>
      <c r="I612" t="s">
        <v>50</v>
      </c>
      <c r="J612">
        <v>20</v>
      </c>
      <c r="K612" t="s">
        <v>51</v>
      </c>
      <c r="L612">
        <v>5</v>
      </c>
      <c r="M612" t="str">
        <f>VLOOKUP(D612,State_Lookup!$A$2:$B$28,2,FALSE)</f>
        <v>Santa Catarina</v>
      </c>
    </row>
    <row r="613" spans="1:13" x14ac:dyDescent="0.45">
      <c r="A613" t="s">
        <v>878</v>
      </c>
      <c r="B613" t="s">
        <v>874</v>
      </c>
      <c r="C613" t="s">
        <v>852</v>
      </c>
      <c r="D613" t="s">
        <v>24</v>
      </c>
      <c r="E613" t="s">
        <v>110</v>
      </c>
      <c r="F613">
        <v>2</v>
      </c>
      <c r="G613">
        <v>37.979999999999997</v>
      </c>
      <c r="H613">
        <v>30.2</v>
      </c>
      <c r="I613" t="s">
        <v>44</v>
      </c>
      <c r="J613">
        <v>22</v>
      </c>
      <c r="K613" t="s">
        <v>51</v>
      </c>
      <c r="L613">
        <v>2</v>
      </c>
      <c r="M613" t="str">
        <f>VLOOKUP(D613,State_Lookup!$A$2:$B$28,2,FALSE)</f>
        <v>Distrito Federal</v>
      </c>
    </row>
    <row r="614" spans="1:13" x14ac:dyDescent="0.45">
      <c r="A614" t="s">
        <v>879</v>
      </c>
      <c r="B614" t="s">
        <v>874</v>
      </c>
      <c r="C614" t="s">
        <v>852</v>
      </c>
      <c r="D614" t="s">
        <v>18</v>
      </c>
      <c r="E614" t="s">
        <v>66</v>
      </c>
      <c r="F614">
        <v>1</v>
      </c>
      <c r="G614">
        <v>18.989999999999998</v>
      </c>
      <c r="H614">
        <v>15.1</v>
      </c>
      <c r="I614" t="s">
        <v>50</v>
      </c>
      <c r="J614">
        <v>10</v>
      </c>
      <c r="K614" t="s">
        <v>51</v>
      </c>
      <c r="L614">
        <v>5</v>
      </c>
      <c r="M614" t="str">
        <f>VLOOKUP(D614,State_Lookup!$A$2:$B$28,2,FALSE)</f>
        <v>Minas Gerais</v>
      </c>
    </row>
    <row r="615" spans="1:13" x14ac:dyDescent="0.45">
      <c r="A615" t="s">
        <v>880</v>
      </c>
      <c r="B615" t="s">
        <v>874</v>
      </c>
      <c r="C615" t="s">
        <v>852</v>
      </c>
      <c r="D615" t="s">
        <v>16</v>
      </c>
      <c r="E615" t="s">
        <v>66</v>
      </c>
      <c r="F615">
        <v>1</v>
      </c>
      <c r="G615">
        <v>16.5</v>
      </c>
      <c r="H615">
        <v>7.78</v>
      </c>
      <c r="I615" t="s">
        <v>44</v>
      </c>
      <c r="J615">
        <v>6</v>
      </c>
      <c r="K615" t="s">
        <v>51</v>
      </c>
      <c r="L615">
        <v>5</v>
      </c>
      <c r="M615" t="str">
        <f>VLOOKUP(D615,State_Lookup!$A$2:$B$28,2,FALSE)</f>
        <v>Sao Paulo</v>
      </c>
    </row>
    <row r="616" spans="1:13" x14ac:dyDescent="0.45">
      <c r="A616" t="s">
        <v>881</v>
      </c>
      <c r="B616" t="s">
        <v>874</v>
      </c>
      <c r="C616" t="s">
        <v>852</v>
      </c>
      <c r="D616" t="s">
        <v>63</v>
      </c>
      <c r="E616" t="s">
        <v>148</v>
      </c>
      <c r="F616">
        <v>1</v>
      </c>
      <c r="G616">
        <v>55.9</v>
      </c>
      <c r="H616">
        <v>35.71</v>
      </c>
      <c r="I616" t="s">
        <v>44</v>
      </c>
      <c r="J616">
        <v>21</v>
      </c>
      <c r="K616" t="s">
        <v>51</v>
      </c>
      <c r="L616">
        <v>1</v>
      </c>
      <c r="M616" t="str">
        <f>VLOOKUP(D616,State_Lookup!$A$2:$B$28,2,FALSE)</f>
        <v>Pernambuco</v>
      </c>
    </row>
    <row r="617" spans="1:13" x14ac:dyDescent="0.45">
      <c r="A617" t="s">
        <v>882</v>
      </c>
      <c r="B617" t="s">
        <v>874</v>
      </c>
      <c r="C617" t="s">
        <v>852</v>
      </c>
      <c r="D617" t="s">
        <v>16</v>
      </c>
      <c r="E617" t="s">
        <v>43</v>
      </c>
      <c r="F617">
        <v>1</v>
      </c>
      <c r="G617">
        <v>44.35</v>
      </c>
      <c r="H617">
        <v>13.37</v>
      </c>
      <c r="I617" t="s">
        <v>44</v>
      </c>
      <c r="J617">
        <v>10</v>
      </c>
      <c r="K617" t="s">
        <v>51</v>
      </c>
      <c r="L617">
        <v>2</v>
      </c>
      <c r="M617" t="str">
        <f>VLOOKUP(D617,State_Lookup!$A$2:$B$28,2,FALSE)</f>
        <v>Sao Paulo</v>
      </c>
    </row>
    <row r="618" spans="1:13" x14ac:dyDescent="0.45">
      <c r="A618" t="s">
        <v>883</v>
      </c>
      <c r="B618" t="s">
        <v>874</v>
      </c>
      <c r="C618" t="s">
        <v>852</v>
      </c>
      <c r="D618" t="s">
        <v>19</v>
      </c>
      <c r="E618" t="s">
        <v>79</v>
      </c>
      <c r="F618">
        <v>1</v>
      </c>
      <c r="G618">
        <v>74.900000000000006</v>
      </c>
      <c r="H618">
        <v>21.01</v>
      </c>
      <c r="I618" t="s">
        <v>44</v>
      </c>
      <c r="J618">
        <v>7</v>
      </c>
      <c r="K618" t="s">
        <v>51</v>
      </c>
      <c r="L618">
        <v>5</v>
      </c>
      <c r="M618" t="str">
        <f>VLOOKUP(D618,State_Lookup!$A$2:$B$28,2,FALSE)</f>
        <v>Rio Grande do Sul</v>
      </c>
    </row>
    <row r="619" spans="1:13" x14ac:dyDescent="0.45">
      <c r="A619" t="s">
        <v>884</v>
      </c>
      <c r="B619" t="s">
        <v>885</v>
      </c>
      <c r="C619" t="s">
        <v>852</v>
      </c>
      <c r="D619" t="s">
        <v>16</v>
      </c>
      <c r="E619" t="s">
        <v>220</v>
      </c>
      <c r="F619">
        <v>1</v>
      </c>
      <c r="G619">
        <v>269.99</v>
      </c>
      <c r="H619">
        <v>32.19</v>
      </c>
      <c r="I619" t="s">
        <v>44</v>
      </c>
      <c r="J619">
        <v>13</v>
      </c>
      <c r="K619" t="s">
        <v>51</v>
      </c>
      <c r="L619">
        <v>5</v>
      </c>
      <c r="M619" t="str">
        <f>VLOOKUP(D619,State_Lookup!$A$2:$B$28,2,FALSE)</f>
        <v>Sao Paulo</v>
      </c>
    </row>
    <row r="620" spans="1:13" x14ac:dyDescent="0.45">
      <c r="A620" t="s">
        <v>886</v>
      </c>
      <c r="B620" t="s">
        <v>885</v>
      </c>
      <c r="C620" t="s">
        <v>852</v>
      </c>
      <c r="D620" t="s">
        <v>16</v>
      </c>
      <c r="E620" t="s">
        <v>66</v>
      </c>
      <c r="F620">
        <v>1</v>
      </c>
      <c r="G620">
        <v>17.989999999999998</v>
      </c>
      <c r="H620">
        <v>11.85</v>
      </c>
      <c r="I620" t="s">
        <v>50</v>
      </c>
      <c r="J620">
        <v>16</v>
      </c>
      <c r="K620" t="s">
        <v>51</v>
      </c>
      <c r="L620">
        <v>5</v>
      </c>
      <c r="M620" t="str">
        <f>VLOOKUP(D620,State_Lookup!$A$2:$B$28,2,FALSE)</f>
        <v>Sao Paulo</v>
      </c>
    </row>
    <row r="621" spans="1:13" x14ac:dyDescent="0.45">
      <c r="A621" t="s">
        <v>887</v>
      </c>
      <c r="B621" t="s">
        <v>885</v>
      </c>
      <c r="C621" t="s">
        <v>852</v>
      </c>
      <c r="D621" t="s">
        <v>16</v>
      </c>
      <c r="E621" t="s">
        <v>132</v>
      </c>
      <c r="F621">
        <v>1</v>
      </c>
      <c r="G621">
        <v>109.9</v>
      </c>
      <c r="H621">
        <v>14.52</v>
      </c>
      <c r="I621" t="s">
        <v>44</v>
      </c>
      <c r="J621">
        <v>5</v>
      </c>
      <c r="K621" t="s">
        <v>51</v>
      </c>
      <c r="L621">
        <v>3</v>
      </c>
      <c r="M621" t="str">
        <f>VLOOKUP(D621,State_Lookup!$A$2:$B$28,2,FALSE)</f>
        <v>Sao Paulo</v>
      </c>
    </row>
    <row r="622" spans="1:13" x14ac:dyDescent="0.45">
      <c r="A622" t="s">
        <v>888</v>
      </c>
      <c r="B622" t="s">
        <v>885</v>
      </c>
      <c r="C622" t="s">
        <v>852</v>
      </c>
      <c r="D622" t="s">
        <v>63</v>
      </c>
      <c r="E622" t="s">
        <v>110</v>
      </c>
      <c r="F622">
        <v>1</v>
      </c>
      <c r="G622">
        <v>18.899999999999999</v>
      </c>
      <c r="H622">
        <v>25.63</v>
      </c>
      <c r="I622" t="s">
        <v>44</v>
      </c>
      <c r="J622">
        <v>22</v>
      </c>
      <c r="K622" t="s">
        <v>51</v>
      </c>
      <c r="L622">
        <v>5</v>
      </c>
      <c r="M622" t="str">
        <f>VLOOKUP(D622,State_Lookup!$A$2:$B$28,2,FALSE)</f>
        <v>Pernambuco</v>
      </c>
    </row>
    <row r="623" spans="1:13" x14ac:dyDescent="0.45">
      <c r="A623" t="s">
        <v>889</v>
      </c>
      <c r="B623" t="s">
        <v>885</v>
      </c>
      <c r="C623" t="s">
        <v>852</v>
      </c>
      <c r="D623" t="s">
        <v>21</v>
      </c>
      <c r="E623" t="s">
        <v>61</v>
      </c>
      <c r="F623">
        <v>2</v>
      </c>
      <c r="G623">
        <v>49.96</v>
      </c>
      <c r="H623">
        <v>25.2</v>
      </c>
      <c r="I623" t="s">
        <v>50</v>
      </c>
      <c r="J623">
        <v>5</v>
      </c>
      <c r="K623" t="s">
        <v>51</v>
      </c>
      <c r="L623">
        <v>4</v>
      </c>
      <c r="M623" t="str">
        <f>VLOOKUP(D623,State_Lookup!$A$2:$B$28,2,FALSE)</f>
        <v>Santa Catarina</v>
      </c>
    </row>
    <row r="624" spans="1:13" x14ac:dyDescent="0.45">
      <c r="A624" t="s">
        <v>890</v>
      </c>
      <c r="B624" t="s">
        <v>885</v>
      </c>
      <c r="C624" t="s">
        <v>852</v>
      </c>
      <c r="D624" t="s">
        <v>20</v>
      </c>
      <c r="E624" t="s">
        <v>148</v>
      </c>
      <c r="F624">
        <v>1</v>
      </c>
      <c r="G624">
        <v>78.099999999999994</v>
      </c>
      <c r="H624">
        <v>15.31</v>
      </c>
      <c r="I624" t="s">
        <v>50</v>
      </c>
      <c r="J624">
        <v>12</v>
      </c>
      <c r="K624" t="s">
        <v>51</v>
      </c>
      <c r="L624">
        <v>4</v>
      </c>
      <c r="M624" t="str">
        <f>VLOOKUP(D624,State_Lookup!$A$2:$B$28,2,FALSE)</f>
        <v>Parana</v>
      </c>
    </row>
    <row r="625" spans="1:13" x14ac:dyDescent="0.45">
      <c r="A625" t="s">
        <v>891</v>
      </c>
      <c r="B625" t="s">
        <v>885</v>
      </c>
      <c r="C625" t="s">
        <v>852</v>
      </c>
      <c r="D625" t="s">
        <v>18</v>
      </c>
      <c r="E625" t="s">
        <v>49</v>
      </c>
      <c r="F625">
        <v>1</v>
      </c>
      <c r="G625">
        <v>59.9</v>
      </c>
      <c r="H625">
        <v>16.86</v>
      </c>
      <c r="I625" t="s">
        <v>44</v>
      </c>
      <c r="J625">
        <v>8</v>
      </c>
      <c r="K625" t="s">
        <v>51</v>
      </c>
      <c r="L625">
        <v>4</v>
      </c>
      <c r="M625" t="str">
        <f>VLOOKUP(D625,State_Lookup!$A$2:$B$28,2,FALSE)</f>
        <v>Minas Gerais</v>
      </c>
    </row>
    <row r="626" spans="1:13" x14ac:dyDescent="0.45">
      <c r="A626" t="s">
        <v>892</v>
      </c>
      <c r="B626" t="s">
        <v>885</v>
      </c>
      <c r="C626" t="s">
        <v>852</v>
      </c>
      <c r="D626" t="s">
        <v>16</v>
      </c>
      <c r="E626" t="s">
        <v>43</v>
      </c>
      <c r="F626">
        <v>1</v>
      </c>
      <c r="G626">
        <v>73.349999999999994</v>
      </c>
      <c r="H626">
        <v>12.85</v>
      </c>
      <c r="I626" t="s">
        <v>44</v>
      </c>
      <c r="J626">
        <v>28</v>
      </c>
      <c r="K626" t="s">
        <v>143</v>
      </c>
      <c r="L626">
        <v>1</v>
      </c>
      <c r="M626" t="str">
        <f>VLOOKUP(D626,State_Lookup!$A$2:$B$28,2,FALSE)</f>
        <v>Sao Paulo</v>
      </c>
    </row>
    <row r="627" spans="1:13" x14ac:dyDescent="0.45">
      <c r="A627" t="s">
        <v>893</v>
      </c>
      <c r="B627" t="s">
        <v>894</v>
      </c>
      <c r="C627" t="s">
        <v>852</v>
      </c>
      <c r="D627" t="s">
        <v>18</v>
      </c>
      <c r="E627" t="s">
        <v>110</v>
      </c>
      <c r="F627">
        <v>1</v>
      </c>
      <c r="G627">
        <v>89.9</v>
      </c>
      <c r="H627">
        <v>17.88</v>
      </c>
      <c r="I627" t="s">
        <v>44</v>
      </c>
      <c r="J627">
        <v>11</v>
      </c>
      <c r="K627" t="s">
        <v>51</v>
      </c>
      <c r="L627">
        <v>5</v>
      </c>
      <c r="M627" t="str">
        <f>VLOOKUP(D627,State_Lookup!$A$2:$B$28,2,FALSE)</f>
        <v>Minas Gerais</v>
      </c>
    </row>
    <row r="628" spans="1:13" x14ac:dyDescent="0.45">
      <c r="A628" t="s">
        <v>895</v>
      </c>
      <c r="B628" t="s">
        <v>894</v>
      </c>
      <c r="C628" t="s">
        <v>852</v>
      </c>
      <c r="D628" t="s">
        <v>63</v>
      </c>
      <c r="E628" t="s">
        <v>43</v>
      </c>
      <c r="F628">
        <v>1</v>
      </c>
      <c r="G628">
        <v>69.900000000000006</v>
      </c>
      <c r="H628">
        <v>25.77</v>
      </c>
      <c r="I628" t="s">
        <v>44</v>
      </c>
      <c r="J628">
        <v>47</v>
      </c>
      <c r="K628" t="s">
        <v>143</v>
      </c>
      <c r="L628">
        <v>1</v>
      </c>
      <c r="M628" t="str">
        <f>VLOOKUP(D628,State_Lookup!$A$2:$B$28,2,FALSE)</f>
        <v>Pernambuco</v>
      </c>
    </row>
    <row r="629" spans="1:13" x14ac:dyDescent="0.45">
      <c r="A629" t="s">
        <v>896</v>
      </c>
      <c r="B629" t="s">
        <v>894</v>
      </c>
      <c r="C629" t="s">
        <v>852</v>
      </c>
      <c r="D629" t="s">
        <v>16</v>
      </c>
      <c r="E629" t="s">
        <v>192</v>
      </c>
      <c r="F629">
        <v>1</v>
      </c>
      <c r="G629">
        <v>61.9</v>
      </c>
      <c r="H629">
        <v>12.77</v>
      </c>
      <c r="I629" t="s">
        <v>133</v>
      </c>
      <c r="J629">
        <v>4</v>
      </c>
      <c r="K629" t="s">
        <v>51</v>
      </c>
      <c r="L629">
        <v>5</v>
      </c>
      <c r="M629" t="str">
        <f>VLOOKUP(D629,State_Lookup!$A$2:$B$28,2,FALSE)</f>
        <v>Sao Paulo</v>
      </c>
    </row>
    <row r="630" spans="1:13" x14ac:dyDescent="0.45">
      <c r="A630" t="s">
        <v>897</v>
      </c>
      <c r="B630" t="s">
        <v>894</v>
      </c>
      <c r="C630" t="s">
        <v>852</v>
      </c>
      <c r="D630" t="s">
        <v>21</v>
      </c>
      <c r="E630" t="s">
        <v>49</v>
      </c>
      <c r="F630">
        <v>2</v>
      </c>
      <c r="G630">
        <v>59.98</v>
      </c>
      <c r="H630">
        <v>19.88</v>
      </c>
      <c r="I630" t="s">
        <v>44</v>
      </c>
      <c r="J630">
        <v>2</v>
      </c>
      <c r="K630" t="s">
        <v>51</v>
      </c>
      <c r="L630">
        <v>4</v>
      </c>
      <c r="M630" t="str">
        <f>VLOOKUP(D630,State_Lookup!$A$2:$B$28,2,FALSE)</f>
        <v>Santa Catarina</v>
      </c>
    </row>
    <row r="631" spans="1:13" x14ac:dyDescent="0.45">
      <c r="A631" t="s">
        <v>898</v>
      </c>
      <c r="B631" t="s">
        <v>894</v>
      </c>
      <c r="C631" t="s">
        <v>852</v>
      </c>
      <c r="D631" t="s">
        <v>18</v>
      </c>
      <c r="E631" t="s">
        <v>49</v>
      </c>
      <c r="F631">
        <v>1</v>
      </c>
      <c r="G631">
        <v>36</v>
      </c>
      <c r="H631">
        <v>17.600000000000001</v>
      </c>
      <c r="I631" t="s">
        <v>133</v>
      </c>
      <c r="J631">
        <v>11</v>
      </c>
      <c r="K631" t="s">
        <v>51</v>
      </c>
      <c r="L631">
        <v>4</v>
      </c>
      <c r="M631" t="str">
        <f>VLOOKUP(D631,State_Lookup!$A$2:$B$28,2,FALSE)</f>
        <v>Minas Gerais</v>
      </c>
    </row>
    <row r="632" spans="1:13" x14ac:dyDescent="0.45">
      <c r="A632" t="s">
        <v>899</v>
      </c>
      <c r="B632" t="s">
        <v>894</v>
      </c>
      <c r="C632" t="s">
        <v>852</v>
      </c>
      <c r="D632" t="s">
        <v>16</v>
      </c>
      <c r="E632" t="s">
        <v>598</v>
      </c>
      <c r="F632">
        <v>1</v>
      </c>
      <c r="G632">
        <v>28.99</v>
      </c>
      <c r="H632">
        <v>7.78</v>
      </c>
      <c r="I632" t="s">
        <v>44</v>
      </c>
      <c r="J632">
        <v>7</v>
      </c>
      <c r="K632" t="s">
        <v>51</v>
      </c>
      <c r="L632">
        <v>4</v>
      </c>
      <c r="M632" t="str">
        <f>VLOOKUP(D632,State_Lookup!$A$2:$B$28,2,FALSE)</f>
        <v>Sao Paulo</v>
      </c>
    </row>
    <row r="633" spans="1:13" x14ac:dyDescent="0.45">
      <c r="A633" t="s">
        <v>900</v>
      </c>
      <c r="B633" t="s">
        <v>894</v>
      </c>
      <c r="C633" t="s">
        <v>852</v>
      </c>
      <c r="D633" t="s">
        <v>19</v>
      </c>
      <c r="E633" t="s">
        <v>69</v>
      </c>
      <c r="F633">
        <v>3</v>
      </c>
      <c r="G633">
        <v>185.99</v>
      </c>
      <c r="H633">
        <v>69.17</v>
      </c>
      <c r="I633" t="s">
        <v>44</v>
      </c>
      <c r="J633">
        <v>12</v>
      </c>
      <c r="K633" t="s">
        <v>51</v>
      </c>
      <c r="L633">
        <v>5</v>
      </c>
      <c r="M633" t="str">
        <f>VLOOKUP(D633,State_Lookup!$A$2:$B$28,2,FALSE)</f>
        <v>Rio Grande do Sul</v>
      </c>
    </row>
    <row r="634" spans="1:13" x14ac:dyDescent="0.45">
      <c r="A634" t="s">
        <v>901</v>
      </c>
      <c r="B634" t="s">
        <v>902</v>
      </c>
      <c r="C634" t="s">
        <v>852</v>
      </c>
      <c r="D634" t="s">
        <v>17</v>
      </c>
      <c r="E634" t="s">
        <v>598</v>
      </c>
      <c r="F634">
        <v>2</v>
      </c>
      <c r="G634">
        <v>125.6</v>
      </c>
      <c r="H634">
        <v>28.38</v>
      </c>
      <c r="I634" t="s">
        <v>44</v>
      </c>
      <c r="J634">
        <v>11</v>
      </c>
      <c r="K634" t="s">
        <v>51</v>
      </c>
      <c r="L634">
        <v>1</v>
      </c>
      <c r="M634" t="str">
        <f>VLOOKUP(D634,State_Lookup!$A$2:$B$28,2,FALSE)</f>
        <v>Rio de Janeiro</v>
      </c>
    </row>
    <row r="635" spans="1:13" x14ac:dyDescent="0.45">
      <c r="A635" t="s">
        <v>903</v>
      </c>
      <c r="B635" t="s">
        <v>902</v>
      </c>
      <c r="C635" t="s">
        <v>852</v>
      </c>
      <c r="D635" t="s">
        <v>16</v>
      </c>
      <c r="E635" t="s">
        <v>53</v>
      </c>
      <c r="F635">
        <v>1</v>
      </c>
      <c r="G635">
        <v>119.8</v>
      </c>
      <c r="H635">
        <v>18</v>
      </c>
      <c r="I635" t="s">
        <v>50</v>
      </c>
      <c r="J635">
        <v>8</v>
      </c>
      <c r="K635" t="s">
        <v>51</v>
      </c>
      <c r="L635">
        <v>5</v>
      </c>
      <c r="M635" t="str">
        <f>VLOOKUP(D635,State_Lookup!$A$2:$B$28,2,FALSE)</f>
        <v>Sao Paulo</v>
      </c>
    </row>
    <row r="636" spans="1:13" x14ac:dyDescent="0.45">
      <c r="A636" t="s">
        <v>904</v>
      </c>
      <c r="B636" t="s">
        <v>902</v>
      </c>
      <c r="C636" t="s">
        <v>852</v>
      </c>
      <c r="D636" t="s">
        <v>16</v>
      </c>
      <c r="E636" t="s">
        <v>107</v>
      </c>
      <c r="F636">
        <v>1</v>
      </c>
      <c r="G636">
        <v>379.9</v>
      </c>
      <c r="H636">
        <v>13.86</v>
      </c>
      <c r="I636" t="s">
        <v>44</v>
      </c>
      <c r="J636">
        <v>3</v>
      </c>
      <c r="K636" t="s">
        <v>51</v>
      </c>
      <c r="L636">
        <v>4</v>
      </c>
      <c r="M636" t="str">
        <f>VLOOKUP(D636,State_Lookup!$A$2:$B$28,2,FALSE)</f>
        <v>Sao Paulo</v>
      </c>
    </row>
    <row r="637" spans="1:13" x14ac:dyDescent="0.45">
      <c r="A637" t="s">
        <v>905</v>
      </c>
      <c r="B637" t="s">
        <v>902</v>
      </c>
      <c r="C637" t="s">
        <v>852</v>
      </c>
      <c r="D637" t="s">
        <v>16</v>
      </c>
      <c r="E637" t="s">
        <v>61</v>
      </c>
      <c r="F637">
        <v>1</v>
      </c>
      <c r="G637">
        <v>199.9</v>
      </c>
      <c r="H637">
        <v>18.649999999999999</v>
      </c>
      <c r="I637" t="s">
        <v>44</v>
      </c>
      <c r="J637">
        <v>6</v>
      </c>
      <c r="K637" t="s">
        <v>51</v>
      </c>
      <c r="L637">
        <v>5</v>
      </c>
      <c r="M637" t="str">
        <f>VLOOKUP(D637,State_Lookup!$A$2:$B$28,2,FALSE)</f>
        <v>Sao Paulo</v>
      </c>
    </row>
    <row r="638" spans="1:13" x14ac:dyDescent="0.45">
      <c r="A638" t="s">
        <v>906</v>
      </c>
      <c r="B638" t="s">
        <v>902</v>
      </c>
      <c r="C638" t="s">
        <v>852</v>
      </c>
      <c r="D638" t="s">
        <v>17</v>
      </c>
      <c r="E638" t="s">
        <v>142</v>
      </c>
      <c r="F638">
        <v>1</v>
      </c>
      <c r="G638">
        <v>25.9</v>
      </c>
      <c r="H638">
        <v>15.1</v>
      </c>
      <c r="I638" t="s">
        <v>44</v>
      </c>
      <c r="J638">
        <v>6</v>
      </c>
      <c r="K638" t="s">
        <v>51</v>
      </c>
      <c r="L638">
        <v>5</v>
      </c>
      <c r="M638" t="str">
        <f>VLOOKUP(D638,State_Lookup!$A$2:$B$28,2,FALSE)</f>
        <v>Rio de Janeiro</v>
      </c>
    </row>
    <row r="639" spans="1:13" x14ac:dyDescent="0.45">
      <c r="A639" t="s">
        <v>907</v>
      </c>
      <c r="B639" t="s">
        <v>902</v>
      </c>
      <c r="C639" t="s">
        <v>852</v>
      </c>
      <c r="D639" t="s">
        <v>19</v>
      </c>
      <c r="E639" t="s">
        <v>132</v>
      </c>
      <c r="F639">
        <v>1</v>
      </c>
      <c r="G639">
        <v>74.989999999999995</v>
      </c>
      <c r="H639">
        <v>17.77</v>
      </c>
      <c r="I639" t="s">
        <v>133</v>
      </c>
      <c r="J639">
        <v>13</v>
      </c>
      <c r="K639" t="s">
        <v>51</v>
      </c>
      <c r="L639">
        <v>3</v>
      </c>
      <c r="M639" t="str">
        <f>VLOOKUP(D639,State_Lookup!$A$2:$B$28,2,FALSE)</f>
        <v>Rio Grande do Sul</v>
      </c>
    </row>
    <row r="640" spans="1:13" x14ac:dyDescent="0.45">
      <c r="A640" t="s">
        <v>908</v>
      </c>
      <c r="B640" t="s">
        <v>902</v>
      </c>
      <c r="C640" t="s">
        <v>852</v>
      </c>
      <c r="D640" t="s">
        <v>16</v>
      </c>
      <c r="E640" t="s">
        <v>132</v>
      </c>
      <c r="F640">
        <v>1</v>
      </c>
      <c r="G640">
        <v>49.9</v>
      </c>
      <c r="H640">
        <v>11.85</v>
      </c>
      <c r="I640" t="s">
        <v>44</v>
      </c>
      <c r="J640">
        <v>13</v>
      </c>
      <c r="K640" t="s">
        <v>51</v>
      </c>
      <c r="L640">
        <v>5</v>
      </c>
      <c r="M640" t="str">
        <f>VLOOKUP(D640,State_Lookup!$A$2:$B$28,2,FALSE)</f>
        <v>Sao Paulo</v>
      </c>
    </row>
    <row r="641" spans="1:13" x14ac:dyDescent="0.45">
      <c r="A641" t="s">
        <v>909</v>
      </c>
      <c r="B641" t="s">
        <v>902</v>
      </c>
      <c r="C641" t="s">
        <v>852</v>
      </c>
      <c r="D641" t="s">
        <v>16</v>
      </c>
      <c r="E641" t="s">
        <v>69</v>
      </c>
      <c r="F641">
        <v>1</v>
      </c>
      <c r="G641">
        <v>99.5</v>
      </c>
      <c r="H641">
        <v>35.07</v>
      </c>
      <c r="I641" t="s">
        <v>44</v>
      </c>
      <c r="J641">
        <v>6</v>
      </c>
      <c r="K641" t="s">
        <v>51</v>
      </c>
      <c r="L641">
        <v>5</v>
      </c>
      <c r="M641" t="str">
        <f>VLOOKUP(D641,State_Lookup!$A$2:$B$28,2,FALSE)</f>
        <v>Sao Paulo</v>
      </c>
    </row>
    <row r="642" spans="1:13" x14ac:dyDescent="0.45">
      <c r="A642" t="s">
        <v>910</v>
      </c>
      <c r="B642" t="s">
        <v>911</v>
      </c>
      <c r="C642" t="s">
        <v>852</v>
      </c>
      <c r="D642" t="s">
        <v>17</v>
      </c>
      <c r="E642" t="s">
        <v>107</v>
      </c>
      <c r="F642">
        <v>1</v>
      </c>
      <c r="G642">
        <v>99</v>
      </c>
      <c r="H642">
        <v>15.45</v>
      </c>
      <c r="I642" t="s">
        <v>50</v>
      </c>
      <c r="J642">
        <v>13</v>
      </c>
      <c r="K642" t="s">
        <v>51</v>
      </c>
      <c r="L642">
        <v>5</v>
      </c>
      <c r="M642" t="str">
        <f>VLOOKUP(D642,State_Lookup!$A$2:$B$28,2,FALSE)</f>
        <v>Rio de Janeiro</v>
      </c>
    </row>
    <row r="643" spans="1:13" x14ac:dyDescent="0.45">
      <c r="A643" t="s">
        <v>912</v>
      </c>
      <c r="B643" t="s">
        <v>911</v>
      </c>
      <c r="C643" t="s">
        <v>852</v>
      </c>
      <c r="D643" t="s">
        <v>16</v>
      </c>
      <c r="E643" t="s">
        <v>69</v>
      </c>
      <c r="F643">
        <v>1</v>
      </c>
      <c r="G643">
        <v>89</v>
      </c>
      <c r="H643">
        <v>36.700000000000003</v>
      </c>
      <c r="I643" t="s">
        <v>44</v>
      </c>
      <c r="J643">
        <v>10</v>
      </c>
      <c r="K643" t="s">
        <v>51</v>
      </c>
      <c r="L643">
        <v>5</v>
      </c>
      <c r="M643" t="str">
        <f>VLOOKUP(D643,State_Lookup!$A$2:$B$28,2,FALSE)</f>
        <v>Sao Paulo</v>
      </c>
    </row>
    <row r="644" spans="1:13" x14ac:dyDescent="0.45">
      <c r="A644" t="s">
        <v>913</v>
      </c>
      <c r="B644" t="s">
        <v>911</v>
      </c>
      <c r="C644" t="s">
        <v>852</v>
      </c>
      <c r="D644" t="s">
        <v>487</v>
      </c>
      <c r="E644" t="s">
        <v>79</v>
      </c>
      <c r="F644">
        <v>1</v>
      </c>
      <c r="G644">
        <v>59.99</v>
      </c>
      <c r="H644">
        <v>21.22</v>
      </c>
      <c r="I644" t="s">
        <v>44</v>
      </c>
      <c r="J644">
        <v>13</v>
      </c>
      <c r="K644" t="s">
        <v>51</v>
      </c>
      <c r="L644">
        <v>5</v>
      </c>
      <c r="M644" t="str">
        <f>VLOOKUP(D644,State_Lookup!$A$2:$B$28,2,FALSE)</f>
        <v>Rio Grande do Norte</v>
      </c>
    </row>
    <row r="645" spans="1:13" x14ac:dyDescent="0.45">
      <c r="A645" t="s">
        <v>914</v>
      </c>
      <c r="B645" t="s">
        <v>911</v>
      </c>
      <c r="C645" t="s">
        <v>852</v>
      </c>
      <c r="D645" t="s">
        <v>25</v>
      </c>
      <c r="E645" t="s">
        <v>79</v>
      </c>
      <c r="F645">
        <v>1</v>
      </c>
      <c r="G645">
        <v>59.99</v>
      </c>
      <c r="H645">
        <v>14.17</v>
      </c>
      <c r="I645" t="s">
        <v>44</v>
      </c>
      <c r="J645">
        <v>20</v>
      </c>
      <c r="K645" t="s">
        <v>51</v>
      </c>
      <c r="L645">
        <v>5</v>
      </c>
      <c r="M645" t="str">
        <f>VLOOKUP(D645,State_Lookup!$A$2:$B$28,2,FALSE)</f>
        <v>Goias</v>
      </c>
    </row>
    <row r="646" spans="1:13" x14ac:dyDescent="0.45">
      <c r="A646" t="s">
        <v>915</v>
      </c>
      <c r="B646" t="s">
        <v>911</v>
      </c>
      <c r="C646" t="s">
        <v>852</v>
      </c>
      <c r="D646" t="s">
        <v>16</v>
      </c>
      <c r="E646" t="s">
        <v>199</v>
      </c>
      <c r="F646">
        <v>1</v>
      </c>
      <c r="G646">
        <v>39.9</v>
      </c>
      <c r="H646">
        <v>11.85</v>
      </c>
      <c r="I646" t="s">
        <v>44</v>
      </c>
      <c r="J646">
        <v>12</v>
      </c>
      <c r="K646" t="s">
        <v>51</v>
      </c>
      <c r="L646">
        <v>1</v>
      </c>
      <c r="M646" t="str">
        <f>VLOOKUP(D646,State_Lookup!$A$2:$B$28,2,FALSE)</f>
        <v>Sao Paulo</v>
      </c>
    </row>
    <row r="647" spans="1:13" x14ac:dyDescent="0.45">
      <c r="A647" t="s">
        <v>916</v>
      </c>
      <c r="B647" t="s">
        <v>917</v>
      </c>
      <c r="C647" t="s">
        <v>852</v>
      </c>
      <c r="D647" t="s">
        <v>16</v>
      </c>
      <c r="E647" t="s">
        <v>157</v>
      </c>
      <c r="F647">
        <v>1</v>
      </c>
      <c r="G647">
        <v>78.55</v>
      </c>
      <c r="H647">
        <v>17.8</v>
      </c>
      <c r="I647" t="s">
        <v>44</v>
      </c>
      <c r="J647">
        <v>9</v>
      </c>
      <c r="K647" t="s">
        <v>51</v>
      </c>
      <c r="L647">
        <v>5</v>
      </c>
      <c r="M647" t="str">
        <f>VLOOKUP(D647,State_Lookup!$A$2:$B$28,2,FALSE)</f>
        <v>Sao Paulo</v>
      </c>
    </row>
    <row r="648" spans="1:13" x14ac:dyDescent="0.45">
      <c r="A648" t="s">
        <v>918</v>
      </c>
      <c r="B648" t="s">
        <v>917</v>
      </c>
      <c r="C648" t="s">
        <v>852</v>
      </c>
      <c r="D648" t="s">
        <v>16</v>
      </c>
      <c r="E648" t="s">
        <v>64</v>
      </c>
      <c r="F648">
        <v>1</v>
      </c>
      <c r="G648">
        <v>179</v>
      </c>
      <c r="H648">
        <v>9.4499999999999993</v>
      </c>
      <c r="I648" t="s">
        <v>44</v>
      </c>
      <c r="J648">
        <v>5</v>
      </c>
      <c r="K648" t="s">
        <v>51</v>
      </c>
      <c r="L648">
        <v>3</v>
      </c>
      <c r="M648" t="str">
        <f>VLOOKUP(D648,State_Lookup!$A$2:$B$28,2,FALSE)</f>
        <v>Sao Paulo</v>
      </c>
    </row>
    <row r="649" spans="1:13" x14ac:dyDescent="0.45">
      <c r="A649" t="s">
        <v>919</v>
      </c>
      <c r="B649" t="s">
        <v>920</v>
      </c>
      <c r="C649" t="s">
        <v>852</v>
      </c>
      <c r="D649" t="s">
        <v>18</v>
      </c>
      <c r="E649" t="s">
        <v>132</v>
      </c>
      <c r="F649">
        <v>1</v>
      </c>
      <c r="G649">
        <v>49</v>
      </c>
      <c r="H649">
        <v>15.1</v>
      </c>
      <c r="I649" t="s">
        <v>44</v>
      </c>
      <c r="K649" t="s">
        <v>45</v>
      </c>
      <c r="L649">
        <v>5</v>
      </c>
      <c r="M649" t="str">
        <f>VLOOKUP(D649,State_Lookup!$A$2:$B$28,2,FALSE)</f>
        <v>Minas Gerais</v>
      </c>
    </row>
    <row r="650" spans="1:13" x14ac:dyDescent="0.45">
      <c r="A650" t="s">
        <v>921</v>
      </c>
      <c r="B650" t="s">
        <v>920</v>
      </c>
      <c r="C650" t="s">
        <v>852</v>
      </c>
      <c r="D650" t="s">
        <v>19</v>
      </c>
      <c r="E650" t="s">
        <v>192</v>
      </c>
      <c r="F650">
        <v>1</v>
      </c>
      <c r="G650">
        <v>99.99</v>
      </c>
      <c r="H650">
        <v>16.46</v>
      </c>
      <c r="I650" t="s">
        <v>50</v>
      </c>
      <c r="J650">
        <v>19</v>
      </c>
      <c r="K650" t="s">
        <v>51</v>
      </c>
      <c r="L650">
        <v>5</v>
      </c>
      <c r="M650" t="str">
        <f>VLOOKUP(D650,State_Lookup!$A$2:$B$28,2,FALSE)</f>
        <v>Rio Grande do Sul</v>
      </c>
    </row>
    <row r="651" spans="1:13" x14ac:dyDescent="0.45">
      <c r="A651" t="s">
        <v>922</v>
      </c>
      <c r="B651" t="s">
        <v>920</v>
      </c>
      <c r="C651" t="s">
        <v>852</v>
      </c>
      <c r="D651" t="s">
        <v>18</v>
      </c>
      <c r="E651" t="s">
        <v>142</v>
      </c>
      <c r="F651">
        <v>1</v>
      </c>
      <c r="G651">
        <v>129.99</v>
      </c>
      <c r="H651">
        <v>23.71</v>
      </c>
      <c r="I651" t="s">
        <v>44</v>
      </c>
      <c r="J651">
        <v>22</v>
      </c>
      <c r="K651" t="s">
        <v>143</v>
      </c>
      <c r="L651">
        <v>4</v>
      </c>
      <c r="M651" t="str">
        <f>VLOOKUP(D651,State_Lookup!$A$2:$B$28,2,FALSE)</f>
        <v>Minas Gerais</v>
      </c>
    </row>
    <row r="652" spans="1:13" x14ac:dyDescent="0.45">
      <c r="A652" t="s">
        <v>923</v>
      </c>
      <c r="B652" t="s">
        <v>924</v>
      </c>
      <c r="C652" t="s">
        <v>852</v>
      </c>
      <c r="D652" t="s">
        <v>21</v>
      </c>
      <c r="E652" t="s">
        <v>66</v>
      </c>
      <c r="F652">
        <v>1</v>
      </c>
      <c r="G652">
        <v>19.899999999999999</v>
      </c>
      <c r="H652">
        <v>15.1</v>
      </c>
      <c r="I652" t="s">
        <v>50</v>
      </c>
      <c r="J652">
        <v>16</v>
      </c>
      <c r="K652" t="s">
        <v>51</v>
      </c>
      <c r="L652">
        <v>5</v>
      </c>
      <c r="M652" t="str">
        <f>VLOOKUP(D652,State_Lookup!$A$2:$B$28,2,FALSE)</f>
        <v>Santa Catarina</v>
      </c>
    </row>
    <row r="653" spans="1:13" x14ac:dyDescent="0.45">
      <c r="A653" t="s">
        <v>925</v>
      </c>
      <c r="B653" t="s">
        <v>924</v>
      </c>
      <c r="C653" t="s">
        <v>852</v>
      </c>
      <c r="D653" t="s">
        <v>16</v>
      </c>
      <c r="E653" t="s">
        <v>110</v>
      </c>
      <c r="F653">
        <v>1</v>
      </c>
      <c r="G653">
        <v>89.9</v>
      </c>
      <c r="H653">
        <v>13.65</v>
      </c>
      <c r="I653" t="s">
        <v>44</v>
      </c>
      <c r="J653">
        <v>7</v>
      </c>
      <c r="K653" t="s">
        <v>51</v>
      </c>
      <c r="L653">
        <v>5</v>
      </c>
      <c r="M653" t="str">
        <f>VLOOKUP(D653,State_Lookup!$A$2:$B$28,2,FALSE)</f>
        <v>Sao Paulo</v>
      </c>
    </row>
    <row r="654" spans="1:13" x14ac:dyDescent="0.45">
      <c r="A654" t="s">
        <v>926</v>
      </c>
      <c r="B654" t="s">
        <v>924</v>
      </c>
      <c r="C654" t="s">
        <v>852</v>
      </c>
      <c r="D654" t="s">
        <v>18</v>
      </c>
      <c r="E654" t="s">
        <v>43</v>
      </c>
      <c r="F654">
        <v>1</v>
      </c>
      <c r="G654">
        <v>79.900000000000006</v>
      </c>
      <c r="H654">
        <v>17.809999999999999</v>
      </c>
      <c r="I654" t="s">
        <v>44</v>
      </c>
      <c r="J654">
        <v>15</v>
      </c>
      <c r="K654" t="s">
        <v>51</v>
      </c>
      <c r="L654">
        <v>5</v>
      </c>
      <c r="M654" t="str">
        <f>VLOOKUP(D654,State_Lookup!$A$2:$B$28,2,FALSE)</f>
        <v>Minas Gerais</v>
      </c>
    </row>
    <row r="655" spans="1:13" x14ac:dyDescent="0.45">
      <c r="A655" t="s">
        <v>927</v>
      </c>
      <c r="B655" t="s">
        <v>928</v>
      </c>
      <c r="C655" t="s">
        <v>852</v>
      </c>
      <c r="D655" t="s">
        <v>18</v>
      </c>
      <c r="E655" t="s">
        <v>64</v>
      </c>
      <c r="F655">
        <v>1</v>
      </c>
      <c r="G655">
        <v>279</v>
      </c>
      <c r="H655">
        <v>13.45</v>
      </c>
      <c r="I655" t="s">
        <v>44</v>
      </c>
      <c r="J655">
        <v>8</v>
      </c>
      <c r="K655" t="s">
        <v>51</v>
      </c>
      <c r="L655">
        <v>5</v>
      </c>
      <c r="M655" t="str">
        <f>VLOOKUP(D655,State_Lookup!$A$2:$B$28,2,FALSE)</f>
        <v>Minas Gerais</v>
      </c>
    </row>
    <row r="656" spans="1:13" x14ac:dyDescent="0.45">
      <c r="A656" t="s">
        <v>929</v>
      </c>
      <c r="B656" t="s">
        <v>928</v>
      </c>
      <c r="C656" t="s">
        <v>852</v>
      </c>
      <c r="D656" t="s">
        <v>16</v>
      </c>
      <c r="E656" t="s">
        <v>142</v>
      </c>
      <c r="F656">
        <v>1</v>
      </c>
      <c r="G656">
        <v>199</v>
      </c>
      <c r="H656">
        <v>48.1</v>
      </c>
      <c r="I656" t="s">
        <v>50</v>
      </c>
      <c r="J656">
        <v>9</v>
      </c>
      <c r="K656" t="s">
        <v>51</v>
      </c>
      <c r="L656">
        <v>2</v>
      </c>
      <c r="M656" t="str">
        <f>VLOOKUP(D656,State_Lookup!$A$2:$B$28,2,FALSE)</f>
        <v>Sao Paulo</v>
      </c>
    </row>
    <row r="657" spans="1:13" x14ac:dyDescent="0.45">
      <c r="A657" t="s">
        <v>930</v>
      </c>
      <c r="B657" t="s">
        <v>928</v>
      </c>
      <c r="C657" t="s">
        <v>852</v>
      </c>
      <c r="D657" t="s">
        <v>128</v>
      </c>
      <c r="E657" t="s">
        <v>49</v>
      </c>
      <c r="F657">
        <v>1</v>
      </c>
      <c r="G657">
        <v>99</v>
      </c>
      <c r="H657">
        <v>36.86</v>
      </c>
      <c r="I657" t="s">
        <v>44</v>
      </c>
      <c r="J657">
        <v>13</v>
      </c>
      <c r="K657" t="s">
        <v>51</v>
      </c>
      <c r="L657">
        <v>4</v>
      </c>
      <c r="M657" t="str">
        <f>VLOOKUP(D657,State_Lookup!$A$2:$B$28,2,FALSE)</f>
        <v>Ceara</v>
      </c>
    </row>
    <row r="658" spans="1:13" x14ac:dyDescent="0.45">
      <c r="A658" t="s">
        <v>931</v>
      </c>
      <c r="B658" t="s">
        <v>928</v>
      </c>
      <c r="C658" t="s">
        <v>852</v>
      </c>
      <c r="D658" t="s">
        <v>16</v>
      </c>
      <c r="E658" t="s">
        <v>123</v>
      </c>
      <c r="F658">
        <v>1</v>
      </c>
      <c r="G658">
        <v>45.5</v>
      </c>
      <c r="H658">
        <v>15.1</v>
      </c>
      <c r="I658" t="s">
        <v>108</v>
      </c>
      <c r="J658">
        <v>16</v>
      </c>
      <c r="K658" t="s">
        <v>51</v>
      </c>
      <c r="L658">
        <v>5</v>
      </c>
      <c r="M658" t="str">
        <f>VLOOKUP(D658,State_Lookup!$A$2:$B$28,2,FALSE)</f>
        <v>Sao Paulo</v>
      </c>
    </row>
    <row r="659" spans="1:13" x14ac:dyDescent="0.45">
      <c r="A659" t="s">
        <v>932</v>
      </c>
      <c r="B659" t="s">
        <v>928</v>
      </c>
      <c r="C659" t="s">
        <v>852</v>
      </c>
      <c r="D659" t="s">
        <v>16</v>
      </c>
      <c r="E659" t="s">
        <v>66</v>
      </c>
      <c r="F659">
        <v>1</v>
      </c>
      <c r="G659">
        <v>17.989999999999998</v>
      </c>
      <c r="H659">
        <v>7.78</v>
      </c>
      <c r="I659" t="s">
        <v>50</v>
      </c>
      <c r="J659">
        <v>9</v>
      </c>
      <c r="K659" t="s">
        <v>51</v>
      </c>
      <c r="L659">
        <v>1</v>
      </c>
      <c r="M659" t="str">
        <f>VLOOKUP(D659,State_Lookup!$A$2:$B$28,2,FALSE)</f>
        <v>Sao Paulo</v>
      </c>
    </row>
    <row r="660" spans="1:13" x14ac:dyDescent="0.45">
      <c r="A660" t="s">
        <v>933</v>
      </c>
      <c r="B660" t="s">
        <v>934</v>
      </c>
      <c r="C660" t="s">
        <v>852</v>
      </c>
      <c r="D660" t="s">
        <v>18</v>
      </c>
      <c r="E660" t="s">
        <v>43</v>
      </c>
      <c r="F660">
        <v>1</v>
      </c>
      <c r="G660">
        <v>47.49</v>
      </c>
      <c r="H660">
        <v>16.600000000000001</v>
      </c>
      <c r="I660" t="s">
        <v>44</v>
      </c>
      <c r="J660">
        <v>7</v>
      </c>
      <c r="K660" t="s">
        <v>51</v>
      </c>
      <c r="L660">
        <v>5</v>
      </c>
      <c r="M660" t="str">
        <f>VLOOKUP(D660,State_Lookup!$A$2:$B$28,2,FALSE)</f>
        <v>Minas Gerais</v>
      </c>
    </row>
    <row r="661" spans="1:13" x14ac:dyDescent="0.45">
      <c r="A661" t="s">
        <v>935</v>
      </c>
      <c r="B661" t="s">
        <v>934</v>
      </c>
      <c r="C661" t="s">
        <v>852</v>
      </c>
      <c r="D661" t="s">
        <v>17</v>
      </c>
      <c r="E661" t="s">
        <v>53</v>
      </c>
      <c r="F661">
        <v>1</v>
      </c>
      <c r="G661">
        <v>54.9</v>
      </c>
      <c r="H661">
        <v>16.14</v>
      </c>
      <c r="I661" t="s">
        <v>44</v>
      </c>
      <c r="J661">
        <v>5</v>
      </c>
      <c r="K661" t="s">
        <v>51</v>
      </c>
      <c r="L661">
        <v>5</v>
      </c>
      <c r="M661" t="str">
        <f>VLOOKUP(D661,State_Lookup!$A$2:$B$28,2,FALSE)</f>
        <v>Rio de Janeiro</v>
      </c>
    </row>
    <row r="662" spans="1:13" x14ac:dyDescent="0.45">
      <c r="A662" t="s">
        <v>936</v>
      </c>
      <c r="B662" t="s">
        <v>934</v>
      </c>
      <c r="C662" t="s">
        <v>852</v>
      </c>
      <c r="D662" t="s">
        <v>17</v>
      </c>
      <c r="E662" t="s">
        <v>49</v>
      </c>
      <c r="F662">
        <v>1</v>
      </c>
      <c r="G662">
        <v>69.900000000000006</v>
      </c>
      <c r="H662">
        <v>20.98</v>
      </c>
      <c r="I662" t="s">
        <v>50</v>
      </c>
      <c r="J662">
        <v>12</v>
      </c>
      <c r="K662" t="s">
        <v>51</v>
      </c>
      <c r="L662">
        <v>5</v>
      </c>
      <c r="M662" t="str">
        <f>VLOOKUP(D662,State_Lookup!$A$2:$B$28,2,FALSE)</f>
        <v>Rio de Janeiro</v>
      </c>
    </row>
    <row r="663" spans="1:13" x14ac:dyDescent="0.45">
      <c r="A663" t="s">
        <v>937</v>
      </c>
      <c r="B663" t="s">
        <v>934</v>
      </c>
      <c r="C663" t="s">
        <v>852</v>
      </c>
      <c r="D663" t="s">
        <v>141</v>
      </c>
      <c r="E663" t="s">
        <v>148</v>
      </c>
      <c r="F663">
        <v>1</v>
      </c>
      <c r="G663">
        <v>45.9</v>
      </c>
      <c r="H663">
        <v>35.67</v>
      </c>
      <c r="I663" t="s">
        <v>44</v>
      </c>
      <c r="J663">
        <v>19</v>
      </c>
      <c r="K663" t="s">
        <v>51</v>
      </c>
      <c r="L663">
        <v>5</v>
      </c>
      <c r="M663" t="str">
        <f>VLOOKUP(D663,State_Lookup!$A$2:$B$28,2,FALSE)</f>
        <v>Maranhao</v>
      </c>
    </row>
    <row r="664" spans="1:13" x14ac:dyDescent="0.45">
      <c r="A664" t="s">
        <v>938</v>
      </c>
      <c r="B664" t="s">
        <v>934</v>
      </c>
      <c r="C664" t="s">
        <v>852</v>
      </c>
      <c r="D664" t="s">
        <v>16</v>
      </c>
      <c r="E664" t="s">
        <v>79</v>
      </c>
      <c r="F664">
        <v>1</v>
      </c>
      <c r="G664">
        <v>19.989999999999998</v>
      </c>
      <c r="H664">
        <v>7.78</v>
      </c>
      <c r="I664" t="s">
        <v>44</v>
      </c>
      <c r="J664">
        <v>5</v>
      </c>
      <c r="K664" t="s">
        <v>51</v>
      </c>
      <c r="L664">
        <v>5</v>
      </c>
      <c r="M664" t="str">
        <f>VLOOKUP(D664,State_Lookup!$A$2:$B$28,2,FALSE)</f>
        <v>Sao Paulo</v>
      </c>
    </row>
    <row r="665" spans="1:13" x14ac:dyDescent="0.45">
      <c r="A665" t="s">
        <v>939</v>
      </c>
      <c r="B665" t="s">
        <v>934</v>
      </c>
      <c r="C665" t="s">
        <v>852</v>
      </c>
      <c r="D665" t="s">
        <v>16</v>
      </c>
      <c r="E665" t="s">
        <v>157</v>
      </c>
      <c r="F665">
        <v>1</v>
      </c>
      <c r="G665">
        <v>188</v>
      </c>
      <c r="H665">
        <v>12.82</v>
      </c>
      <c r="I665" t="s">
        <v>44</v>
      </c>
      <c r="J665">
        <v>8</v>
      </c>
      <c r="K665" t="s">
        <v>51</v>
      </c>
      <c r="L665">
        <v>5</v>
      </c>
      <c r="M665" t="str">
        <f>VLOOKUP(D665,State_Lookup!$A$2:$B$28,2,FALSE)</f>
        <v>Sao Paulo</v>
      </c>
    </row>
    <row r="666" spans="1:13" x14ac:dyDescent="0.45">
      <c r="A666" t="s">
        <v>940</v>
      </c>
      <c r="B666" t="s">
        <v>941</v>
      </c>
      <c r="C666" t="s">
        <v>852</v>
      </c>
      <c r="D666" t="s">
        <v>17</v>
      </c>
      <c r="E666" t="s">
        <v>69</v>
      </c>
      <c r="F666">
        <v>1</v>
      </c>
      <c r="G666">
        <v>179.9</v>
      </c>
      <c r="H666">
        <v>17.02</v>
      </c>
      <c r="I666" t="s">
        <v>44</v>
      </c>
      <c r="J666">
        <v>14</v>
      </c>
      <c r="K666" t="s">
        <v>51</v>
      </c>
      <c r="L666">
        <v>5</v>
      </c>
      <c r="M666" t="str">
        <f>VLOOKUP(D666,State_Lookup!$A$2:$B$28,2,FALSE)</f>
        <v>Rio de Janeiro</v>
      </c>
    </row>
    <row r="667" spans="1:13" x14ac:dyDescent="0.45">
      <c r="A667" t="s">
        <v>942</v>
      </c>
      <c r="B667" t="s">
        <v>941</v>
      </c>
      <c r="C667" t="s">
        <v>852</v>
      </c>
      <c r="D667" t="s">
        <v>18</v>
      </c>
      <c r="E667" t="s">
        <v>79</v>
      </c>
      <c r="F667">
        <v>1</v>
      </c>
      <c r="G667">
        <v>59.99</v>
      </c>
      <c r="H667">
        <v>15.17</v>
      </c>
      <c r="I667" t="s">
        <v>44</v>
      </c>
      <c r="J667">
        <v>10</v>
      </c>
      <c r="K667" t="s">
        <v>51</v>
      </c>
      <c r="L667">
        <v>5</v>
      </c>
      <c r="M667" t="str">
        <f>VLOOKUP(D667,State_Lookup!$A$2:$B$28,2,FALSE)</f>
        <v>Minas Gerais</v>
      </c>
    </row>
    <row r="668" spans="1:13" x14ac:dyDescent="0.45">
      <c r="A668" t="s">
        <v>943</v>
      </c>
      <c r="B668" t="s">
        <v>941</v>
      </c>
      <c r="C668" t="s">
        <v>852</v>
      </c>
      <c r="D668" t="s">
        <v>208</v>
      </c>
      <c r="E668" t="s">
        <v>107</v>
      </c>
      <c r="F668">
        <v>1</v>
      </c>
      <c r="G668">
        <v>1199.9000000000001</v>
      </c>
      <c r="H668">
        <v>47.39</v>
      </c>
      <c r="I668" t="s">
        <v>44</v>
      </c>
      <c r="J668">
        <v>27</v>
      </c>
      <c r="K668" t="s">
        <v>51</v>
      </c>
      <c r="L668">
        <v>5</v>
      </c>
      <c r="M668" t="str">
        <f>VLOOKUP(D668,State_Lookup!$A$2:$B$28,2,FALSE)</f>
        <v>Mato Grosso</v>
      </c>
    </row>
    <row r="669" spans="1:13" x14ac:dyDescent="0.45">
      <c r="A669" t="s">
        <v>944</v>
      </c>
      <c r="B669" t="s">
        <v>941</v>
      </c>
      <c r="C669" t="s">
        <v>852</v>
      </c>
      <c r="D669" t="s">
        <v>18</v>
      </c>
      <c r="E669" t="s">
        <v>61</v>
      </c>
      <c r="F669">
        <v>1</v>
      </c>
      <c r="G669">
        <v>24.99</v>
      </c>
      <c r="H669">
        <v>16.79</v>
      </c>
      <c r="I669" t="s">
        <v>44</v>
      </c>
      <c r="J669">
        <v>10</v>
      </c>
      <c r="K669" t="s">
        <v>51</v>
      </c>
      <c r="L669">
        <v>1</v>
      </c>
      <c r="M669" t="str">
        <f>VLOOKUP(D669,State_Lookup!$A$2:$B$28,2,FALSE)</f>
        <v>Minas Gerais</v>
      </c>
    </row>
    <row r="670" spans="1:13" x14ac:dyDescent="0.45">
      <c r="A670" t="s">
        <v>945</v>
      </c>
      <c r="B670" t="s">
        <v>941</v>
      </c>
      <c r="C670" t="s">
        <v>852</v>
      </c>
      <c r="D670" t="s">
        <v>128</v>
      </c>
      <c r="E670" t="s">
        <v>142</v>
      </c>
      <c r="F670">
        <v>1</v>
      </c>
      <c r="G670">
        <v>169.9</v>
      </c>
      <c r="H670">
        <v>25.64</v>
      </c>
      <c r="I670" t="s">
        <v>44</v>
      </c>
      <c r="J670">
        <v>7</v>
      </c>
      <c r="K670" t="s">
        <v>51</v>
      </c>
      <c r="L670">
        <v>5</v>
      </c>
      <c r="M670" t="str">
        <f>VLOOKUP(D670,State_Lookup!$A$2:$B$28,2,FALSE)</f>
        <v>Ceara</v>
      </c>
    </row>
    <row r="671" spans="1:13" x14ac:dyDescent="0.45">
      <c r="A671" t="s">
        <v>946</v>
      </c>
      <c r="B671" t="s">
        <v>947</v>
      </c>
      <c r="C671" t="s">
        <v>852</v>
      </c>
      <c r="D671" t="s">
        <v>21</v>
      </c>
      <c r="E671" t="s">
        <v>148</v>
      </c>
      <c r="F671">
        <v>1</v>
      </c>
      <c r="G671">
        <v>43.99</v>
      </c>
      <c r="H671">
        <v>17.600000000000001</v>
      </c>
      <c r="I671" t="s">
        <v>133</v>
      </c>
      <c r="J671">
        <v>13</v>
      </c>
      <c r="K671" t="s">
        <v>51</v>
      </c>
      <c r="L671">
        <v>5</v>
      </c>
      <c r="M671" t="str">
        <f>VLOOKUP(D671,State_Lookup!$A$2:$B$28,2,FALSE)</f>
        <v>Santa Catarina</v>
      </c>
    </row>
    <row r="672" spans="1:13" x14ac:dyDescent="0.45">
      <c r="A672" t="s">
        <v>948</v>
      </c>
      <c r="B672" t="s">
        <v>947</v>
      </c>
      <c r="C672" t="s">
        <v>852</v>
      </c>
      <c r="D672" t="s">
        <v>19</v>
      </c>
      <c r="E672" t="s">
        <v>199</v>
      </c>
      <c r="F672">
        <v>1</v>
      </c>
      <c r="G672">
        <v>27</v>
      </c>
      <c r="H672">
        <v>12.48</v>
      </c>
      <c r="I672" t="s">
        <v>44</v>
      </c>
      <c r="K672" t="s">
        <v>45</v>
      </c>
      <c r="L672">
        <v>2</v>
      </c>
      <c r="M672" t="str">
        <f>VLOOKUP(D672,State_Lookup!$A$2:$B$28,2,FALSE)</f>
        <v>Rio Grande do Sul</v>
      </c>
    </row>
    <row r="673" spans="1:13" x14ac:dyDescent="0.45">
      <c r="A673" t="s">
        <v>949</v>
      </c>
      <c r="B673" t="s">
        <v>947</v>
      </c>
      <c r="C673" t="s">
        <v>852</v>
      </c>
      <c r="D673" t="s">
        <v>16</v>
      </c>
      <c r="E673" t="s">
        <v>950</v>
      </c>
      <c r="F673">
        <v>1</v>
      </c>
      <c r="G673">
        <v>269.99</v>
      </c>
      <c r="H673">
        <v>32.92</v>
      </c>
      <c r="I673" t="s">
        <v>44</v>
      </c>
      <c r="J673">
        <v>6</v>
      </c>
      <c r="K673" t="s">
        <v>51</v>
      </c>
      <c r="L673">
        <v>3</v>
      </c>
      <c r="M673" t="str">
        <f>VLOOKUP(D673,State_Lookup!$A$2:$B$28,2,FALSE)</f>
        <v>Sao Paulo</v>
      </c>
    </row>
    <row r="674" spans="1:13" x14ac:dyDescent="0.45">
      <c r="A674" t="s">
        <v>951</v>
      </c>
      <c r="B674" t="s">
        <v>947</v>
      </c>
      <c r="C674" t="s">
        <v>852</v>
      </c>
      <c r="D674" t="s">
        <v>19</v>
      </c>
      <c r="E674" t="s">
        <v>61</v>
      </c>
      <c r="F674">
        <v>1</v>
      </c>
      <c r="G674">
        <v>27.9</v>
      </c>
      <c r="H674">
        <v>17.63</v>
      </c>
      <c r="I674" t="s">
        <v>50</v>
      </c>
      <c r="J674">
        <v>18</v>
      </c>
      <c r="K674" t="s">
        <v>51</v>
      </c>
      <c r="L674">
        <v>4</v>
      </c>
      <c r="M674" t="str">
        <f>VLOOKUP(D674,State_Lookup!$A$2:$B$28,2,FALSE)</f>
        <v>Rio Grande do Sul</v>
      </c>
    </row>
    <row r="675" spans="1:13" x14ac:dyDescent="0.45">
      <c r="A675" t="s">
        <v>952</v>
      </c>
      <c r="B675" t="s">
        <v>947</v>
      </c>
      <c r="C675" t="s">
        <v>852</v>
      </c>
      <c r="D675" t="s">
        <v>16</v>
      </c>
      <c r="E675" t="s">
        <v>66</v>
      </c>
      <c r="F675">
        <v>1</v>
      </c>
      <c r="G675">
        <v>25.99</v>
      </c>
      <c r="H675">
        <v>7.78</v>
      </c>
      <c r="I675" t="s">
        <v>50</v>
      </c>
      <c r="J675">
        <v>12</v>
      </c>
      <c r="K675" t="s">
        <v>143</v>
      </c>
      <c r="L675">
        <v>3</v>
      </c>
      <c r="M675" t="str">
        <f>VLOOKUP(D675,State_Lookup!$A$2:$B$28,2,FALSE)</f>
        <v>Sao Paulo</v>
      </c>
    </row>
    <row r="676" spans="1:13" x14ac:dyDescent="0.45">
      <c r="A676" t="s">
        <v>953</v>
      </c>
      <c r="B676" t="s">
        <v>947</v>
      </c>
      <c r="C676" t="s">
        <v>852</v>
      </c>
      <c r="D676" t="s">
        <v>25</v>
      </c>
      <c r="E676" t="s">
        <v>43</v>
      </c>
      <c r="F676">
        <v>1</v>
      </c>
      <c r="G676">
        <v>45.9</v>
      </c>
      <c r="H676">
        <v>16.11</v>
      </c>
      <c r="I676" t="s">
        <v>44</v>
      </c>
      <c r="J676">
        <v>17</v>
      </c>
      <c r="K676" t="s">
        <v>51</v>
      </c>
      <c r="L676">
        <v>3</v>
      </c>
      <c r="M676" t="str">
        <f>VLOOKUP(D676,State_Lookup!$A$2:$B$28,2,FALSE)</f>
        <v>Goias</v>
      </c>
    </row>
    <row r="677" spans="1:13" x14ac:dyDescent="0.45">
      <c r="A677" t="s">
        <v>954</v>
      </c>
      <c r="B677" t="s">
        <v>947</v>
      </c>
      <c r="C677" t="s">
        <v>852</v>
      </c>
      <c r="D677" t="s">
        <v>16</v>
      </c>
      <c r="E677" t="s">
        <v>152</v>
      </c>
      <c r="F677">
        <v>1</v>
      </c>
      <c r="G677">
        <v>89.9</v>
      </c>
      <c r="H677">
        <v>32.86</v>
      </c>
      <c r="I677" t="s">
        <v>50</v>
      </c>
      <c r="J677">
        <v>5</v>
      </c>
      <c r="K677" t="s">
        <v>51</v>
      </c>
      <c r="L677">
        <v>5</v>
      </c>
      <c r="M677" t="str">
        <f>VLOOKUP(D677,State_Lookup!$A$2:$B$28,2,FALSE)</f>
        <v>Sao Paulo</v>
      </c>
    </row>
    <row r="678" spans="1:13" x14ac:dyDescent="0.45">
      <c r="A678" t="s">
        <v>955</v>
      </c>
      <c r="B678" t="s">
        <v>956</v>
      </c>
      <c r="C678" t="s">
        <v>852</v>
      </c>
      <c r="D678" t="s">
        <v>18</v>
      </c>
      <c r="E678" t="s">
        <v>157</v>
      </c>
      <c r="F678">
        <v>1</v>
      </c>
      <c r="G678">
        <v>379.99</v>
      </c>
      <c r="H678">
        <v>18.420000000000002</v>
      </c>
      <c r="I678" t="s">
        <v>44</v>
      </c>
      <c r="J678">
        <v>4</v>
      </c>
      <c r="K678" t="s">
        <v>51</v>
      </c>
      <c r="L678">
        <v>4</v>
      </c>
      <c r="M678" t="str">
        <f>VLOOKUP(D678,State_Lookup!$A$2:$B$28,2,FALSE)</f>
        <v>Minas Gerais</v>
      </c>
    </row>
    <row r="679" spans="1:13" x14ac:dyDescent="0.45">
      <c r="A679" t="s">
        <v>957</v>
      </c>
      <c r="B679" t="s">
        <v>956</v>
      </c>
      <c r="C679" t="s">
        <v>852</v>
      </c>
      <c r="D679" t="s">
        <v>20</v>
      </c>
      <c r="E679" t="s">
        <v>49</v>
      </c>
      <c r="F679">
        <v>1</v>
      </c>
      <c r="G679">
        <v>129.9</v>
      </c>
      <c r="H679">
        <v>18.16</v>
      </c>
      <c r="I679" t="s">
        <v>44</v>
      </c>
      <c r="K679" t="s">
        <v>45</v>
      </c>
      <c r="L679">
        <v>1</v>
      </c>
      <c r="M679" t="str">
        <f>VLOOKUP(D679,State_Lookup!$A$2:$B$28,2,FALSE)</f>
        <v>Parana</v>
      </c>
    </row>
    <row r="680" spans="1:13" x14ac:dyDescent="0.45">
      <c r="A680" t="s">
        <v>958</v>
      </c>
      <c r="B680" t="s">
        <v>956</v>
      </c>
      <c r="C680" t="s">
        <v>852</v>
      </c>
      <c r="D680" t="s">
        <v>24</v>
      </c>
      <c r="E680" t="s">
        <v>66</v>
      </c>
      <c r="F680">
        <v>1</v>
      </c>
      <c r="G680">
        <v>15.99</v>
      </c>
      <c r="H680">
        <v>14.1</v>
      </c>
      <c r="I680" t="s">
        <v>44</v>
      </c>
      <c r="J680">
        <v>5</v>
      </c>
      <c r="K680" t="s">
        <v>51</v>
      </c>
      <c r="L680">
        <v>5</v>
      </c>
      <c r="M680" t="str">
        <f>VLOOKUP(D680,State_Lookup!$A$2:$B$28,2,FALSE)</f>
        <v>Distrito Federal</v>
      </c>
    </row>
    <row r="681" spans="1:13" x14ac:dyDescent="0.45">
      <c r="A681" t="s">
        <v>959</v>
      </c>
      <c r="B681" t="s">
        <v>960</v>
      </c>
      <c r="C681" t="s">
        <v>852</v>
      </c>
      <c r="D681" t="s">
        <v>16</v>
      </c>
      <c r="E681" t="s">
        <v>142</v>
      </c>
      <c r="F681">
        <v>1</v>
      </c>
      <c r="G681">
        <v>59.9</v>
      </c>
      <c r="H681">
        <v>13.44</v>
      </c>
      <c r="I681" t="s">
        <v>44</v>
      </c>
      <c r="J681">
        <v>4</v>
      </c>
      <c r="K681" t="s">
        <v>51</v>
      </c>
      <c r="L681">
        <v>4</v>
      </c>
      <c r="M681" t="str">
        <f>VLOOKUP(D681,State_Lookup!$A$2:$B$28,2,FALSE)</f>
        <v>Sao Paulo</v>
      </c>
    </row>
    <row r="682" spans="1:13" x14ac:dyDescent="0.45">
      <c r="A682" t="s">
        <v>961</v>
      </c>
      <c r="B682" t="s">
        <v>960</v>
      </c>
      <c r="C682" t="s">
        <v>852</v>
      </c>
      <c r="D682" t="s">
        <v>16</v>
      </c>
      <c r="E682" t="s">
        <v>61</v>
      </c>
      <c r="F682">
        <v>1</v>
      </c>
      <c r="G682">
        <v>18.899999999999999</v>
      </c>
      <c r="H682">
        <v>11.85</v>
      </c>
      <c r="I682" t="s">
        <v>44</v>
      </c>
      <c r="J682">
        <v>9</v>
      </c>
      <c r="K682" t="s">
        <v>51</v>
      </c>
      <c r="L682">
        <v>5</v>
      </c>
      <c r="M682" t="str">
        <f>VLOOKUP(D682,State_Lookup!$A$2:$B$28,2,FALSE)</f>
        <v>Sao Paulo</v>
      </c>
    </row>
    <row r="683" spans="1:13" x14ac:dyDescent="0.45">
      <c r="A683" t="s">
        <v>962</v>
      </c>
      <c r="B683" t="s">
        <v>960</v>
      </c>
      <c r="C683" t="s">
        <v>852</v>
      </c>
      <c r="D683" t="s">
        <v>17</v>
      </c>
      <c r="E683" t="s">
        <v>69</v>
      </c>
      <c r="F683">
        <v>1</v>
      </c>
      <c r="G683">
        <v>109.99</v>
      </c>
      <c r="H683">
        <v>34.130000000000003</v>
      </c>
      <c r="I683" t="s">
        <v>44</v>
      </c>
      <c r="J683">
        <v>11</v>
      </c>
      <c r="K683" t="s">
        <v>51</v>
      </c>
      <c r="L683">
        <v>5</v>
      </c>
      <c r="M683" t="str">
        <f>VLOOKUP(D683,State_Lookup!$A$2:$B$28,2,FALSE)</f>
        <v>Rio de Janeiro</v>
      </c>
    </row>
    <row r="684" spans="1:13" x14ac:dyDescent="0.45">
      <c r="A684" t="s">
        <v>963</v>
      </c>
      <c r="B684" t="s">
        <v>960</v>
      </c>
      <c r="C684" t="s">
        <v>852</v>
      </c>
      <c r="D684" t="s">
        <v>17</v>
      </c>
      <c r="E684" t="s">
        <v>79</v>
      </c>
      <c r="F684">
        <v>4</v>
      </c>
      <c r="G684">
        <v>59.56</v>
      </c>
      <c r="H684">
        <v>56.4</v>
      </c>
      <c r="I684" t="s">
        <v>44</v>
      </c>
      <c r="J684">
        <v>10</v>
      </c>
      <c r="K684" t="s">
        <v>51</v>
      </c>
      <c r="L684">
        <v>5</v>
      </c>
      <c r="M684" t="str">
        <f>VLOOKUP(D684,State_Lookup!$A$2:$B$28,2,FALSE)</f>
        <v>Rio de Janeiro</v>
      </c>
    </row>
    <row r="685" spans="1:13" x14ac:dyDescent="0.45">
      <c r="A685" t="s">
        <v>964</v>
      </c>
      <c r="B685" t="s">
        <v>960</v>
      </c>
      <c r="C685" t="s">
        <v>852</v>
      </c>
      <c r="D685" t="s">
        <v>16</v>
      </c>
      <c r="E685" t="s">
        <v>148</v>
      </c>
      <c r="F685">
        <v>1</v>
      </c>
      <c r="G685">
        <v>59.9</v>
      </c>
      <c r="H685">
        <v>17.670000000000002</v>
      </c>
      <c r="I685" t="s">
        <v>44</v>
      </c>
      <c r="J685">
        <v>1</v>
      </c>
      <c r="K685" t="s">
        <v>51</v>
      </c>
      <c r="L685">
        <v>5</v>
      </c>
      <c r="M685" t="str">
        <f>VLOOKUP(D685,State_Lookup!$A$2:$B$28,2,FALSE)</f>
        <v>Sao Paulo</v>
      </c>
    </row>
    <row r="686" spans="1:13" x14ac:dyDescent="0.45">
      <c r="A686" t="s">
        <v>965</v>
      </c>
      <c r="B686" t="s">
        <v>966</v>
      </c>
      <c r="C686" t="s">
        <v>852</v>
      </c>
      <c r="D686" t="s">
        <v>16</v>
      </c>
      <c r="E686" t="s">
        <v>142</v>
      </c>
      <c r="F686">
        <v>2</v>
      </c>
      <c r="G686">
        <v>99.8</v>
      </c>
      <c r="H686">
        <v>25.28</v>
      </c>
      <c r="I686" t="s">
        <v>44</v>
      </c>
      <c r="J686">
        <v>4</v>
      </c>
      <c r="K686" t="s">
        <v>51</v>
      </c>
      <c r="L686">
        <v>1</v>
      </c>
      <c r="M686" t="str">
        <f>VLOOKUP(D686,State_Lookup!$A$2:$B$28,2,FALSE)</f>
        <v>Sao Paulo</v>
      </c>
    </row>
    <row r="687" spans="1:13" x14ac:dyDescent="0.45">
      <c r="A687" t="s">
        <v>967</v>
      </c>
      <c r="B687" t="s">
        <v>966</v>
      </c>
      <c r="C687" t="s">
        <v>852</v>
      </c>
      <c r="D687" t="s">
        <v>18</v>
      </c>
      <c r="E687" t="s">
        <v>148</v>
      </c>
      <c r="F687">
        <v>1</v>
      </c>
      <c r="G687">
        <v>93.5</v>
      </c>
      <c r="H687">
        <v>15.4</v>
      </c>
      <c r="I687" t="s">
        <v>44</v>
      </c>
      <c r="J687">
        <v>6</v>
      </c>
      <c r="K687" t="s">
        <v>51</v>
      </c>
      <c r="L687">
        <v>4</v>
      </c>
      <c r="M687" t="str">
        <f>VLOOKUP(D687,State_Lookup!$A$2:$B$28,2,FALSE)</f>
        <v>Minas Gerais</v>
      </c>
    </row>
    <row r="688" spans="1:13" x14ac:dyDescent="0.45">
      <c r="A688" t="s">
        <v>968</v>
      </c>
      <c r="B688" t="s">
        <v>966</v>
      </c>
      <c r="C688" t="s">
        <v>852</v>
      </c>
      <c r="D688" t="s">
        <v>16</v>
      </c>
      <c r="E688" t="s">
        <v>103</v>
      </c>
      <c r="F688">
        <v>2</v>
      </c>
      <c r="G688">
        <v>39.799999999999997</v>
      </c>
      <c r="H688">
        <v>23.7</v>
      </c>
      <c r="I688" t="s">
        <v>50</v>
      </c>
      <c r="J688">
        <v>14</v>
      </c>
      <c r="K688" t="s">
        <v>51</v>
      </c>
      <c r="L688">
        <v>3</v>
      </c>
      <c r="M688" t="str">
        <f>VLOOKUP(D688,State_Lookup!$A$2:$B$28,2,FALSE)</f>
        <v>Sao Paulo</v>
      </c>
    </row>
    <row r="689" spans="1:13" x14ac:dyDescent="0.45">
      <c r="A689" t="s">
        <v>969</v>
      </c>
      <c r="B689" t="s">
        <v>966</v>
      </c>
      <c r="C689" t="s">
        <v>852</v>
      </c>
      <c r="D689" t="s">
        <v>20</v>
      </c>
      <c r="E689" t="s">
        <v>61</v>
      </c>
      <c r="F689">
        <v>1</v>
      </c>
      <c r="G689">
        <v>61.9</v>
      </c>
      <c r="H689">
        <v>12.56</v>
      </c>
      <c r="I689" t="s">
        <v>50</v>
      </c>
      <c r="J689">
        <v>7</v>
      </c>
      <c r="K689" t="s">
        <v>51</v>
      </c>
      <c r="L689">
        <v>5</v>
      </c>
      <c r="M689" t="str">
        <f>VLOOKUP(D689,State_Lookup!$A$2:$B$28,2,FALSE)</f>
        <v>Parana</v>
      </c>
    </row>
    <row r="690" spans="1:13" x14ac:dyDescent="0.45">
      <c r="A690" t="s">
        <v>970</v>
      </c>
      <c r="B690" t="s">
        <v>966</v>
      </c>
      <c r="C690" t="s">
        <v>852</v>
      </c>
      <c r="D690" t="s">
        <v>16</v>
      </c>
      <c r="E690" t="s">
        <v>366</v>
      </c>
      <c r="F690">
        <v>1</v>
      </c>
      <c r="G690">
        <v>161.6</v>
      </c>
      <c r="H690">
        <v>8.8800000000000008</v>
      </c>
      <c r="I690" t="s">
        <v>44</v>
      </c>
      <c r="J690">
        <v>3</v>
      </c>
      <c r="K690" t="s">
        <v>51</v>
      </c>
      <c r="L690">
        <v>1</v>
      </c>
      <c r="M690" t="str">
        <f>VLOOKUP(D690,State_Lookup!$A$2:$B$28,2,FALSE)</f>
        <v>Sao Paulo</v>
      </c>
    </row>
    <row r="691" spans="1:13" x14ac:dyDescent="0.45">
      <c r="A691" t="s">
        <v>971</v>
      </c>
      <c r="B691" t="s">
        <v>966</v>
      </c>
      <c r="C691" t="s">
        <v>852</v>
      </c>
      <c r="D691" t="s">
        <v>19</v>
      </c>
      <c r="E691" t="s">
        <v>61</v>
      </c>
      <c r="F691">
        <v>1</v>
      </c>
      <c r="G691">
        <v>155</v>
      </c>
      <c r="H691">
        <v>15.84</v>
      </c>
      <c r="I691" t="s">
        <v>50</v>
      </c>
      <c r="J691">
        <v>18</v>
      </c>
      <c r="K691" t="s">
        <v>51</v>
      </c>
      <c r="L691">
        <v>4</v>
      </c>
      <c r="M691" t="str">
        <f>VLOOKUP(D691,State_Lookup!$A$2:$B$28,2,FALSE)</f>
        <v>Rio Grande do Sul</v>
      </c>
    </row>
    <row r="692" spans="1:13" x14ac:dyDescent="0.45">
      <c r="A692" t="s">
        <v>972</v>
      </c>
      <c r="B692" t="s">
        <v>966</v>
      </c>
      <c r="C692" t="s">
        <v>852</v>
      </c>
      <c r="D692" t="s">
        <v>22</v>
      </c>
      <c r="E692" t="s">
        <v>107</v>
      </c>
      <c r="F692">
        <v>1</v>
      </c>
      <c r="G692">
        <v>1999.99</v>
      </c>
      <c r="H692">
        <v>35.869999999999997</v>
      </c>
      <c r="I692" t="s">
        <v>44</v>
      </c>
      <c r="J692">
        <v>39</v>
      </c>
      <c r="K692" t="s">
        <v>143</v>
      </c>
      <c r="L692">
        <v>1</v>
      </c>
      <c r="M692" t="str">
        <f>VLOOKUP(D692,State_Lookup!$A$2:$B$28,2,FALSE)</f>
        <v>Bahia</v>
      </c>
    </row>
    <row r="693" spans="1:13" x14ac:dyDescent="0.45">
      <c r="A693" t="s">
        <v>973</v>
      </c>
      <c r="B693" t="s">
        <v>966</v>
      </c>
      <c r="C693" t="s">
        <v>852</v>
      </c>
      <c r="D693" t="s">
        <v>17</v>
      </c>
      <c r="E693" t="s">
        <v>157</v>
      </c>
      <c r="F693">
        <v>1</v>
      </c>
      <c r="G693">
        <v>59.6</v>
      </c>
      <c r="H693">
        <v>16.86</v>
      </c>
      <c r="I693" t="s">
        <v>44</v>
      </c>
      <c r="J693">
        <v>14</v>
      </c>
      <c r="K693" t="s">
        <v>51</v>
      </c>
      <c r="L693">
        <v>5</v>
      </c>
      <c r="M693" t="str">
        <f>VLOOKUP(D693,State_Lookup!$A$2:$B$28,2,FALSE)</f>
        <v>Rio de Janeiro</v>
      </c>
    </row>
    <row r="694" spans="1:13" x14ac:dyDescent="0.45">
      <c r="A694" t="s">
        <v>974</v>
      </c>
      <c r="B694" t="s">
        <v>966</v>
      </c>
      <c r="C694" t="s">
        <v>852</v>
      </c>
      <c r="D694" t="s">
        <v>16</v>
      </c>
      <c r="E694" t="s">
        <v>43</v>
      </c>
      <c r="F694">
        <v>1</v>
      </c>
      <c r="G694">
        <v>10.9</v>
      </c>
      <c r="H694">
        <v>11.85</v>
      </c>
      <c r="I694" t="s">
        <v>50</v>
      </c>
      <c r="J694">
        <v>10</v>
      </c>
      <c r="K694" t="s">
        <v>51</v>
      </c>
      <c r="L694">
        <v>5</v>
      </c>
      <c r="M694" t="str">
        <f>VLOOKUP(D694,State_Lookup!$A$2:$B$28,2,FALSE)</f>
        <v>Sao Paulo</v>
      </c>
    </row>
    <row r="695" spans="1:13" x14ac:dyDescent="0.45">
      <c r="A695" t="s">
        <v>975</v>
      </c>
      <c r="B695" t="s">
        <v>976</v>
      </c>
      <c r="C695" t="s">
        <v>852</v>
      </c>
      <c r="D695" t="s">
        <v>17</v>
      </c>
      <c r="E695" t="s">
        <v>142</v>
      </c>
      <c r="F695">
        <v>1</v>
      </c>
      <c r="G695">
        <v>59.9</v>
      </c>
      <c r="H695">
        <v>16.670000000000002</v>
      </c>
      <c r="I695" t="s">
        <v>44</v>
      </c>
      <c r="J695">
        <v>3</v>
      </c>
      <c r="K695" t="s">
        <v>51</v>
      </c>
      <c r="L695">
        <v>5</v>
      </c>
      <c r="M695" t="str">
        <f>VLOOKUP(D695,State_Lookup!$A$2:$B$28,2,FALSE)</f>
        <v>Rio de Janeiro</v>
      </c>
    </row>
    <row r="696" spans="1:13" x14ac:dyDescent="0.45">
      <c r="A696" t="s">
        <v>977</v>
      </c>
      <c r="B696" t="s">
        <v>976</v>
      </c>
      <c r="C696" t="s">
        <v>852</v>
      </c>
      <c r="D696" t="s">
        <v>19</v>
      </c>
      <c r="E696" t="s">
        <v>148</v>
      </c>
      <c r="F696">
        <v>1</v>
      </c>
      <c r="G696">
        <v>229.99</v>
      </c>
      <c r="H696">
        <v>21.1</v>
      </c>
      <c r="I696" t="s">
        <v>44</v>
      </c>
      <c r="J696">
        <v>6</v>
      </c>
      <c r="K696" t="s">
        <v>51</v>
      </c>
      <c r="L696">
        <v>5</v>
      </c>
      <c r="M696" t="str">
        <f>VLOOKUP(D696,State_Lookup!$A$2:$B$28,2,FALSE)</f>
        <v>Rio Grande do Sul</v>
      </c>
    </row>
    <row r="697" spans="1:13" x14ac:dyDescent="0.45">
      <c r="A697" t="s">
        <v>978</v>
      </c>
      <c r="B697" t="s">
        <v>976</v>
      </c>
      <c r="C697" t="s">
        <v>852</v>
      </c>
      <c r="D697" t="s">
        <v>16</v>
      </c>
      <c r="E697" t="s">
        <v>103</v>
      </c>
      <c r="F697">
        <v>1</v>
      </c>
      <c r="G697">
        <v>79.900000000000006</v>
      </c>
      <c r="H697">
        <v>7.81</v>
      </c>
      <c r="I697" t="s">
        <v>44</v>
      </c>
      <c r="J697">
        <v>6</v>
      </c>
      <c r="K697" t="s">
        <v>51</v>
      </c>
      <c r="L697">
        <v>4</v>
      </c>
      <c r="M697" t="str">
        <f>VLOOKUP(D697,State_Lookup!$A$2:$B$28,2,FALSE)</f>
        <v>Sao Paulo</v>
      </c>
    </row>
    <row r="698" spans="1:13" x14ac:dyDescent="0.45">
      <c r="A698" t="s">
        <v>979</v>
      </c>
      <c r="B698" t="s">
        <v>976</v>
      </c>
      <c r="C698" t="s">
        <v>852</v>
      </c>
      <c r="D698" t="s">
        <v>16</v>
      </c>
      <c r="E698" t="s">
        <v>110</v>
      </c>
      <c r="F698">
        <v>1</v>
      </c>
      <c r="G698">
        <v>22.99</v>
      </c>
      <c r="H698">
        <v>11.85</v>
      </c>
      <c r="I698" t="s">
        <v>44</v>
      </c>
      <c r="J698">
        <v>21</v>
      </c>
      <c r="K698" t="s">
        <v>143</v>
      </c>
      <c r="L698">
        <v>3</v>
      </c>
      <c r="M698" t="str">
        <f>VLOOKUP(D698,State_Lookup!$A$2:$B$28,2,FALSE)</f>
        <v>Sao Paulo</v>
      </c>
    </row>
    <row r="699" spans="1:13" x14ac:dyDescent="0.45">
      <c r="A699" t="s">
        <v>980</v>
      </c>
      <c r="B699" t="s">
        <v>976</v>
      </c>
      <c r="C699" t="s">
        <v>852</v>
      </c>
      <c r="D699" t="s">
        <v>16</v>
      </c>
      <c r="E699" t="s">
        <v>61</v>
      </c>
      <c r="F699">
        <v>2</v>
      </c>
      <c r="G699">
        <v>299.68</v>
      </c>
      <c r="H699">
        <v>36.6</v>
      </c>
      <c r="I699" t="s">
        <v>44</v>
      </c>
      <c r="J699">
        <v>6</v>
      </c>
      <c r="K699" t="s">
        <v>51</v>
      </c>
      <c r="L699">
        <v>5</v>
      </c>
      <c r="M699" t="str">
        <f>VLOOKUP(D699,State_Lookup!$A$2:$B$28,2,FALSE)</f>
        <v>Sao Paulo</v>
      </c>
    </row>
    <row r="700" spans="1:13" x14ac:dyDescent="0.45">
      <c r="A700" t="s">
        <v>981</v>
      </c>
      <c r="B700" t="s">
        <v>982</v>
      </c>
      <c r="C700" t="s">
        <v>852</v>
      </c>
      <c r="D700" t="s">
        <v>16</v>
      </c>
      <c r="E700" t="s">
        <v>107</v>
      </c>
      <c r="F700">
        <v>1</v>
      </c>
      <c r="G700">
        <v>19.95</v>
      </c>
      <c r="H700">
        <v>28.06</v>
      </c>
      <c r="I700" t="s">
        <v>44</v>
      </c>
      <c r="J700">
        <v>8</v>
      </c>
      <c r="K700" t="s">
        <v>51</v>
      </c>
      <c r="L700">
        <v>5</v>
      </c>
      <c r="M700" t="str">
        <f>VLOOKUP(D700,State_Lookup!$A$2:$B$28,2,FALSE)</f>
        <v>Sao Paulo</v>
      </c>
    </row>
    <row r="701" spans="1:13" x14ac:dyDescent="0.45">
      <c r="A701" t="s">
        <v>983</v>
      </c>
      <c r="B701" t="s">
        <v>982</v>
      </c>
      <c r="C701" t="s">
        <v>852</v>
      </c>
      <c r="D701" t="s">
        <v>16</v>
      </c>
      <c r="E701" t="s">
        <v>107</v>
      </c>
      <c r="F701">
        <v>1</v>
      </c>
      <c r="G701">
        <v>75</v>
      </c>
      <c r="H701">
        <v>11.73</v>
      </c>
      <c r="I701" t="s">
        <v>44</v>
      </c>
      <c r="J701">
        <v>3</v>
      </c>
      <c r="K701" t="s">
        <v>51</v>
      </c>
      <c r="L701">
        <v>5</v>
      </c>
      <c r="M701" t="str">
        <f>VLOOKUP(D701,State_Lookup!$A$2:$B$28,2,FALSE)</f>
        <v>Sao Paulo</v>
      </c>
    </row>
    <row r="702" spans="1:13" x14ac:dyDescent="0.45">
      <c r="A702" t="s">
        <v>984</v>
      </c>
      <c r="B702" t="s">
        <v>982</v>
      </c>
      <c r="C702" t="s">
        <v>852</v>
      </c>
      <c r="D702" t="s">
        <v>19</v>
      </c>
      <c r="E702" t="s">
        <v>142</v>
      </c>
      <c r="F702">
        <v>1</v>
      </c>
      <c r="G702">
        <v>69.900000000000006</v>
      </c>
      <c r="H702">
        <v>40.99</v>
      </c>
      <c r="I702" t="s">
        <v>44</v>
      </c>
      <c r="J702">
        <v>23</v>
      </c>
      <c r="K702" t="s">
        <v>51</v>
      </c>
      <c r="L702">
        <v>3</v>
      </c>
      <c r="M702" t="str">
        <f>VLOOKUP(D702,State_Lookup!$A$2:$B$28,2,FALSE)</f>
        <v>Rio Grande do Sul</v>
      </c>
    </row>
    <row r="703" spans="1:13" x14ac:dyDescent="0.45">
      <c r="A703" t="s">
        <v>985</v>
      </c>
      <c r="B703" t="s">
        <v>986</v>
      </c>
      <c r="C703" t="s">
        <v>852</v>
      </c>
      <c r="D703" t="s">
        <v>16</v>
      </c>
      <c r="E703" t="s">
        <v>66</v>
      </c>
      <c r="F703">
        <v>1</v>
      </c>
      <c r="G703">
        <v>94.99</v>
      </c>
      <c r="H703">
        <v>8.86</v>
      </c>
      <c r="I703" t="s">
        <v>44</v>
      </c>
      <c r="J703">
        <v>7</v>
      </c>
      <c r="K703" t="s">
        <v>51</v>
      </c>
      <c r="L703">
        <v>1</v>
      </c>
      <c r="M703" t="str">
        <f>VLOOKUP(D703,State_Lookup!$A$2:$B$28,2,FALSE)</f>
        <v>Sao Paulo</v>
      </c>
    </row>
    <row r="704" spans="1:13" x14ac:dyDescent="0.45">
      <c r="A704" t="s">
        <v>987</v>
      </c>
      <c r="B704" t="s">
        <v>986</v>
      </c>
      <c r="C704" t="s">
        <v>852</v>
      </c>
      <c r="D704" t="s">
        <v>20</v>
      </c>
      <c r="E704" t="s">
        <v>69</v>
      </c>
      <c r="F704">
        <v>1</v>
      </c>
      <c r="G704">
        <v>32.9</v>
      </c>
      <c r="H704">
        <v>17.600000000000001</v>
      </c>
      <c r="I704" t="s">
        <v>44</v>
      </c>
      <c r="J704">
        <v>11</v>
      </c>
      <c r="K704" t="s">
        <v>51</v>
      </c>
      <c r="L704">
        <v>5</v>
      </c>
      <c r="M704" t="str">
        <f>VLOOKUP(D704,State_Lookup!$A$2:$B$28,2,FALSE)</f>
        <v>Parana</v>
      </c>
    </row>
    <row r="705" spans="1:13" x14ac:dyDescent="0.45">
      <c r="A705" t="s">
        <v>988</v>
      </c>
      <c r="B705" t="s">
        <v>986</v>
      </c>
      <c r="C705" t="s">
        <v>852</v>
      </c>
      <c r="D705" t="s">
        <v>17</v>
      </c>
      <c r="E705" t="s">
        <v>49</v>
      </c>
      <c r="F705">
        <v>1</v>
      </c>
      <c r="G705">
        <v>99</v>
      </c>
      <c r="H705">
        <v>21.09</v>
      </c>
      <c r="I705" t="s">
        <v>44</v>
      </c>
      <c r="J705">
        <v>19</v>
      </c>
      <c r="K705" t="s">
        <v>51</v>
      </c>
      <c r="L705">
        <v>3</v>
      </c>
      <c r="M705" t="str">
        <f>VLOOKUP(D705,State_Lookup!$A$2:$B$28,2,FALSE)</f>
        <v>Rio de Janeiro</v>
      </c>
    </row>
    <row r="706" spans="1:13" x14ac:dyDescent="0.45">
      <c r="A706" t="s">
        <v>989</v>
      </c>
      <c r="B706" t="s">
        <v>986</v>
      </c>
      <c r="C706" t="s">
        <v>852</v>
      </c>
      <c r="D706" t="s">
        <v>18</v>
      </c>
      <c r="E706" t="s">
        <v>142</v>
      </c>
      <c r="F706">
        <v>1</v>
      </c>
      <c r="G706">
        <v>89.9</v>
      </c>
      <c r="H706">
        <v>21.12</v>
      </c>
      <c r="I706" t="s">
        <v>44</v>
      </c>
      <c r="J706">
        <v>7</v>
      </c>
      <c r="K706" t="s">
        <v>51</v>
      </c>
      <c r="L706">
        <v>5</v>
      </c>
      <c r="M706" t="str">
        <f>VLOOKUP(D706,State_Lookup!$A$2:$B$28,2,FALSE)</f>
        <v>Minas Gerais</v>
      </c>
    </row>
    <row r="707" spans="1:13" x14ac:dyDescent="0.45">
      <c r="A707" t="s">
        <v>990</v>
      </c>
      <c r="B707" t="s">
        <v>986</v>
      </c>
      <c r="C707" t="s">
        <v>852</v>
      </c>
      <c r="D707" t="s">
        <v>16</v>
      </c>
      <c r="E707" t="s">
        <v>61</v>
      </c>
      <c r="F707">
        <v>1</v>
      </c>
      <c r="G707">
        <v>35.99</v>
      </c>
      <c r="H707">
        <v>8.7200000000000006</v>
      </c>
      <c r="I707" t="s">
        <v>44</v>
      </c>
      <c r="J707">
        <v>5</v>
      </c>
      <c r="K707" t="s">
        <v>51</v>
      </c>
      <c r="L707">
        <v>5</v>
      </c>
      <c r="M707" t="str">
        <f>VLOOKUP(D707,State_Lookup!$A$2:$B$28,2,FALSE)</f>
        <v>Sao Paulo</v>
      </c>
    </row>
    <row r="708" spans="1:13" x14ac:dyDescent="0.45">
      <c r="A708" t="s">
        <v>991</v>
      </c>
      <c r="B708" t="s">
        <v>992</v>
      </c>
      <c r="C708" t="s">
        <v>852</v>
      </c>
      <c r="D708" t="s">
        <v>17</v>
      </c>
      <c r="E708" t="s">
        <v>53</v>
      </c>
      <c r="F708">
        <v>1</v>
      </c>
      <c r="G708">
        <v>99.99</v>
      </c>
      <c r="H708">
        <v>27.24</v>
      </c>
      <c r="I708" t="s">
        <v>44</v>
      </c>
      <c r="J708">
        <v>9</v>
      </c>
      <c r="K708" t="s">
        <v>51</v>
      </c>
      <c r="L708">
        <v>1</v>
      </c>
      <c r="M708" t="str">
        <f>VLOOKUP(D708,State_Lookup!$A$2:$B$28,2,FALSE)</f>
        <v>Rio de Janeiro</v>
      </c>
    </row>
    <row r="709" spans="1:13" x14ac:dyDescent="0.45">
      <c r="A709" t="s">
        <v>993</v>
      </c>
      <c r="B709" t="s">
        <v>992</v>
      </c>
      <c r="C709" t="s">
        <v>852</v>
      </c>
      <c r="D709" t="s">
        <v>17</v>
      </c>
      <c r="E709" t="s">
        <v>110</v>
      </c>
      <c r="F709">
        <v>1</v>
      </c>
      <c r="G709">
        <v>220</v>
      </c>
      <c r="H709">
        <v>26.38</v>
      </c>
      <c r="I709" t="s">
        <v>44</v>
      </c>
      <c r="J709">
        <v>10</v>
      </c>
      <c r="K709" t="s">
        <v>51</v>
      </c>
      <c r="L709">
        <v>4</v>
      </c>
      <c r="M709" t="str">
        <f>VLOOKUP(D709,State_Lookup!$A$2:$B$28,2,FALSE)</f>
        <v>Rio de Janeiro</v>
      </c>
    </row>
    <row r="710" spans="1:13" x14ac:dyDescent="0.45">
      <c r="A710" t="s">
        <v>994</v>
      </c>
      <c r="B710" t="s">
        <v>992</v>
      </c>
      <c r="C710" t="s">
        <v>852</v>
      </c>
      <c r="D710" t="s">
        <v>17</v>
      </c>
      <c r="E710" t="s">
        <v>142</v>
      </c>
      <c r="F710">
        <v>1</v>
      </c>
      <c r="G710">
        <v>59.9</v>
      </c>
      <c r="H710">
        <v>21.26</v>
      </c>
      <c r="I710" t="s">
        <v>44</v>
      </c>
      <c r="J710">
        <v>10</v>
      </c>
      <c r="K710" t="s">
        <v>51</v>
      </c>
      <c r="L710">
        <v>5</v>
      </c>
      <c r="M710" t="str">
        <f>VLOOKUP(D710,State_Lookup!$A$2:$B$28,2,FALSE)</f>
        <v>Rio de Janeiro</v>
      </c>
    </row>
    <row r="711" spans="1:13" x14ac:dyDescent="0.45">
      <c r="A711" t="s">
        <v>995</v>
      </c>
      <c r="B711" t="s">
        <v>996</v>
      </c>
      <c r="C711" t="s">
        <v>852</v>
      </c>
      <c r="D711" t="s">
        <v>16</v>
      </c>
      <c r="E711" t="s">
        <v>107</v>
      </c>
      <c r="F711">
        <v>1</v>
      </c>
      <c r="G711">
        <v>3.49</v>
      </c>
      <c r="H711">
        <v>16.79</v>
      </c>
      <c r="I711" t="s">
        <v>44</v>
      </c>
      <c r="J711">
        <v>8</v>
      </c>
      <c r="K711" t="s">
        <v>51</v>
      </c>
      <c r="L711">
        <v>5</v>
      </c>
      <c r="M711" t="str">
        <f>VLOOKUP(D711,State_Lookup!$A$2:$B$28,2,FALSE)</f>
        <v>Sao Paulo</v>
      </c>
    </row>
    <row r="712" spans="1:13" x14ac:dyDescent="0.45">
      <c r="A712" t="s">
        <v>997</v>
      </c>
      <c r="B712" t="s">
        <v>996</v>
      </c>
      <c r="C712" t="s">
        <v>852</v>
      </c>
      <c r="D712" t="s">
        <v>16</v>
      </c>
      <c r="E712" t="s">
        <v>142</v>
      </c>
      <c r="F712">
        <v>1</v>
      </c>
      <c r="G712">
        <v>149.9</v>
      </c>
      <c r="H712">
        <v>12.25</v>
      </c>
      <c r="I712" t="s">
        <v>44</v>
      </c>
      <c r="J712">
        <v>3</v>
      </c>
      <c r="K712" t="s">
        <v>51</v>
      </c>
      <c r="L712">
        <v>3</v>
      </c>
      <c r="M712" t="str">
        <f>VLOOKUP(D712,State_Lookup!$A$2:$B$28,2,FALSE)</f>
        <v>Sao Paulo</v>
      </c>
    </row>
    <row r="713" spans="1:13" x14ac:dyDescent="0.45">
      <c r="A713" t="s">
        <v>998</v>
      </c>
      <c r="B713" t="s">
        <v>999</v>
      </c>
      <c r="C713" t="s">
        <v>852</v>
      </c>
      <c r="D713" t="s">
        <v>23</v>
      </c>
      <c r="E713" t="s">
        <v>244</v>
      </c>
      <c r="F713">
        <v>1</v>
      </c>
      <c r="G713">
        <v>99</v>
      </c>
      <c r="H713">
        <v>17.940000000000001</v>
      </c>
      <c r="I713" t="s">
        <v>44</v>
      </c>
      <c r="J713">
        <v>11</v>
      </c>
      <c r="K713" t="s">
        <v>51</v>
      </c>
      <c r="L713">
        <v>4</v>
      </c>
      <c r="M713" t="str">
        <f>VLOOKUP(D713,State_Lookup!$A$2:$B$28,2,FALSE)</f>
        <v>Espirito Santo</v>
      </c>
    </row>
    <row r="714" spans="1:13" x14ac:dyDescent="0.45">
      <c r="A714" t="s">
        <v>1000</v>
      </c>
      <c r="B714" t="s">
        <v>999</v>
      </c>
      <c r="C714" t="s">
        <v>852</v>
      </c>
      <c r="D714" t="s">
        <v>16</v>
      </c>
      <c r="E714" t="s">
        <v>142</v>
      </c>
      <c r="F714">
        <v>1</v>
      </c>
      <c r="G714">
        <v>59.9</v>
      </c>
      <c r="H714">
        <v>14.13</v>
      </c>
      <c r="I714" t="s">
        <v>50</v>
      </c>
      <c r="J714">
        <v>3</v>
      </c>
      <c r="K714" t="s">
        <v>51</v>
      </c>
      <c r="L714">
        <v>5</v>
      </c>
      <c r="M714" t="str">
        <f>VLOOKUP(D714,State_Lookup!$A$2:$B$28,2,FALSE)</f>
        <v>Sao Paulo</v>
      </c>
    </row>
    <row r="715" spans="1:13" x14ac:dyDescent="0.45">
      <c r="A715" t="s">
        <v>1001</v>
      </c>
      <c r="B715" t="s">
        <v>999</v>
      </c>
      <c r="C715" t="s">
        <v>852</v>
      </c>
      <c r="D715" t="s">
        <v>19</v>
      </c>
      <c r="E715" t="s">
        <v>43</v>
      </c>
      <c r="F715">
        <v>1</v>
      </c>
      <c r="G715">
        <v>24.75</v>
      </c>
      <c r="H715">
        <v>16.11</v>
      </c>
      <c r="I715" t="s">
        <v>44</v>
      </c>
      <c r="J715">
        <v>16</v>
      </c>
      <c r="K715" t="s">
        <v>51</v>
      </c>
      <c r="L715">
        <v>5</v>
      </c>
      <c r="M715" t="str">
        <f>VLOOKUP(D715,State_Lookup!$A$2:$B$28,2,FALSE)</f>
        <v>Rio Grande do Sul</v>
      </c>
    </row>
    <row r="716" spans="1:13" x14ac:dyDescent="0.45">
      <c r="A716" t="s">
        <v>1002</v>
      </c>
      <c r="B716" t="s">
        <v>999</v>
      </c>
      <c r="C716" t="s">
        <v>852</v>
      </c>
      <c r="D716" t="s">
        <v>18</v>
      </c>
      <c r="E716" t="s">
        <v>662</v>
      </c>
      <c r="F716">
        <v>1</v>
      </c>
      <c r="G716">
        <v>269</v>
      </c>
      <c r="H716">
        <v>26.72</v>
      </c>
      <c r="I716" t="s">
        <v>44</v>
      </c>
      <c r="J716">
        <v>12</v>
      </c>
      <c r="K716" t="s">
        <v>51</v>
      </c>
      <c r="L716">
        <v>4</v>
      </c>
      <c r="M716" t="str">
        <f>VLOOKUP(D716,State_Lookup!$A$2:$B$28,2,FALSE)</f>
        <v>Minas Gerais</v>
      </c>
    </row>
    <row r="717" spans="1:13" x14ac:dyDescent="0.45">
      <c r="A717" t="s">
        <v>1003</v>
      </c>
      <c r="B717" t="s">
        <v>999</v>
      </c>
      <c r="C717" t="s">
        <v>852</v>
      </c>
      <c r="D717" t="s">
        <v>16</v>
      </c>
      <c r="E717" t="s">
        <v>53</v>
      </c>
      <c r="F717">
        <v>1</v>
      </c>
      <c r="G717">
        <v>64.900000000000006</v>
      </c>
      <c r="H717">
        <v>17.7</v>
      </c>
      <c r="I717" t="s">
        <v>44</v>
      </c>
      <c r="J717">
        <v>8</v>
      </c>
      <c r="K717" t="s">
        <v>51</v>
      </c>
      <c r="L717">
        <v>5</v>
      </c>
      <c r="M717" t="str">
        <f>VLOOKUP(D717,State_Lookup!$A$2:$B$28,2,FALSE)</f>
        <v>Sao Paulo</v>
      </c>
    </row>
    <row r="718" spans="1:13" x14ac:dyDescent="0.45">
      <c r="A718" t="s">
        <v>1004</v>
      </c>
      <c r="B718" t="s">
        <v>999</v>
      </c>
      <c r="C718" t="s">
        <v>852</v>
      </c>
      <c r="D718" t="s">
        <v>16</v>
      </c>
      <c r="E718" t="s">
        <v>192</v>
      </c>
      <c r="F718">
        <v>1</v>
      </c>
      <c r="G718">
        <v>59.9</v>
      </c>
      <c r="H718">
        <v>15.17</v>
      </c>
      <c r="I718" t="s">
        <v>44</v>
      </c>
      <c r="J718">
        <v>3</v>
      </c>
      <c r="K718" t="s">
        <v>51</v>
      </c>
      <c r="L718">
        <v>5</v>
      </c>
      <c r="M718" t="str">
        <f>VLOOKUP(D718,State_Lookup!$A$2:$B$28,2,FALSE)</f>
        <v>Sao Paulo</v>
      </c>
    </row>
    <row r="719" spans="1:13" x14ac:dyDescent="0.45">
      <c r="A719" t="s">
        <v>1005</v>
      </c>
      <c r="B719" t="s">
        <v>1006</v>
      </c>
      <c r="C719" t="s">
        <v>852</v>
      </c>
      <c r="D719" t="s">
        <v>18</v>
      </c>
      <c r="E719" t="s">
        <v>157</v>
      </c>
      <c r="F719">
        <v>1</v>
      </c>
      <c r="G719">
        <v>45</v>
      </c>
      <c r="H719">
        <v>14.1</v>
      </c>
      <c r="I719" t="s">
        <v>44</v>
      </c>
      <c r="J719">
        <v>9</v>
      </c>
      <c r="K719" t="s">
        <v>51</v>
      </c>
      <c r="L719">
        <v>5</v>
      </c>
      <c r="M719" t="str">
        <f>VLOOKUP(D719,State_Lookup!$A$2:$B$28,2,FALSE)</f>
        <v>Minas Gerais</v>
      </c>
    </row>
    <row r="720" spans="1:13" x14ac:dyDescent="0.45">
      <c r="A720" t="s">
        <v>1007</v>
      </c>
      <c r="B720" t="s">
        <v>1006</v>
      </c>
      <c r="C720" t="s">
        <v>852</v>
      </c>
      <c r="D720" t="s">
        <v>16</v>
      </c>
      <c r="E720" t="s">
        <v>61</v>
      </c>
      <c r="F720">
        <v>3</v>
      </c>
      <c r="G720">
        <v>521.80999999999995</v>
      </c>
      <c r="H720">
        <v>31.9</v>
      </c>
      <c r="I720" t="s">
        <v>44</v>
      </c>
      <c r="J720">
        <v>6</v>
      </c>
      <c r="K720" t="s">
        <v>51</v>
      </c>
      <c r="L720">
        <v>5</v>
      </c>
      <c r="M720" t="str">
        <f>VLOOKUP(D720,State_Lookup!$A$2:$B$28,2,FALSE)</f>
        <v>Sao Paulo</v>
      </c>
    </row>
    <row r="721" spans="1:13" x14ac:dyDescent="0.45">
      <c r="A721" t="s">
        <v>1008</v>
      </c>
      <c r="B721" t="s">
        <v>1006</v>
      </c>
      <c r="C721" t="s">
        <v>852</v>
      </c>
      <c r="D721" t="s">
        <v>19</v>
      </c>
      <c r="E721" t="s">
        <v>69</v>
      </c>
      <c r="F721">
        <v>1</v>
      </c>
      <c r="G721">
        <v>59.9</v>
      </c>
      <c r="H721">
        <v>17.670000000000002</v>
      </c>
      <c r="I721" t="s">
        <v>44</v>
      </c>
      <c r="J721">
        <v>14</v>
      </c>
      <c r="K721" t="s">
        <v>51</v>
      </c>
      <c r="L721">
        <v>5</v>
      </c>
      <c r="M721" t="str">
        <f>VLOOKUP(D721,State_Lookup!$A$2:$B$28,2,FALSE)</f>
        <v>Rio Grande do Sul</v>
      </c>
    </row>
    <row r="722" spans="1:13" x14ac:dyDescent="0.45">
      <c r="A722" t="s">
        <v>1009</v>
      </c>
      <c r="B722" t="s">
        <v>1006</v>
      </c>
      <c r="C722" t="s">
        <v>852</v>
      </c>
      <c r="D722" t="s">
        <v>672</v>
      </c>
      <c r="E722" t="s">
        <v>199</v>
      </c>
      <c r="F722">
        <v>1</v>
      </c>
      <c r="G722">
        <v>69</v>
      </c>
      <c r="H722">
        <v>38.03</v>
      </c>
      <c r="I722" t="s">
        <v>50</v>
      </c>
      <c r="J722">
        <v>14</v>
      </c>
      <c r="K722" t="s">
        <v>51</v>
      </c>
      <c r="L722">
        <v>5</v>
      </c>
      <c r="M722" t="str">
        <f>VLOOKUP(D722,State_Lookup!$A$2:$B$28,2,FALSE)</f>
        <v>Paraiba</v>
      </c>
    </row>
    <row r="723" spans="1:13" x14ac:dyDescent="0.45">
      <c r="A723" t="s">
        <v>1010</v>
      </c>
      <c r="B723" t="s">
        <v>1011</v>
      </c>
      <c r="C723" t="s">
        <v>852</v>
      </c>
      <c r="D723" t="s">
        <v>21</v>
      </c>
      <c r="E723" t="s">
        <v>100</v>
      </c>
      <c r="F723">
        <v>1</v>
      </c>
      <c r="G723">
        <v>319</v>
      </c>
      <c r="H723">
        <v>83.32</v>
      </c>
      <c r="I723" t="s">
        <v>44</v>
      </c>
      <c r="J723">
        <v>13</v>
      </c>
      <c r="K723" t="s">
        <v>51</v>
      </c>
      <c r="L723">
        <v>5</v>
      </c>
      <c r="M723" t="str">
        <f>VLOOKUP(D723,State_Lookup!$A$2:$B$28,2,FALSE)</f>
        <v>Santa Catarina</v>
      </c>
    </row>
    <row r="724" spans="1:13" x14ac:dyDescent="0.45">
      <c r="A724" t="s">
        <v>1012</v>
      </c>
      <c r="B724" t="s">
        <v>1011</v>
      </c>
      <c r="C724" t="s">
        <v>852</v>
      </c>
      <c r="D724" t="s">
        <v>22</v>
      </c>
      <c r="E724" t="s">
        <v>100</v>
      </c>
      <c r="F724">
        <v>1</v>
      </c>
      <c r="G724">
        <v>64</v>
      </c>
      <c r="H724">
        <v>19.690000000000001</v>
      </c>
      <c r="I724" t="s">
        <v>44</v>
      </c>
      <c r="J724">
        <v>17</v>
      </c>
      <c r="K724" t="s">
        <v>51</v>
      </c>
      <c r="L724">
        <v>5</v>
      </c>
      <c r="M724" t="str">
        <f>VLOOKUP(D724,State_Lookup!$A$2:$B$28,2,FALSE)</f>
        <v>Bahia</v>
      </c>
    </row>
    <row r="725" spans="1:13" x14ac:dyDescent="0.45">
      <c r="A725" t="s">
        <v>1013</v>
      </c>
      <c r="B725" t="s">
        <v>1011</v>
      </c>
      <c r="C725" t="s">
        <v>852</v>
      </c>
      <c r="D725" t="s">
        <v>16</v>
      </c>
      <c r="E725" t="s">
        <v>192</v>
      </c>
      <c r="F725">
        <v>1</v>
      </c>
      <c r="G725">
        <v>12.99</v>
      </c>
      <c r="H725">
        <v>9.74</v>
      </c>
      <c r="I725" t="s">
        <v>44</v>
      </c>
      <c r="J725">
        <v>2</v>
      </c>
      <c r="K725" t="s">
        <v>51</v>
      </c>
      <c r="L725">
        <v>5</v>
      </c>
      <c r="M725" t="str">
        <f>VLOOKUP(D725,State_Lookup!$A$2:$B$28,2,FALSE)</f>
        <v>Sao Paulo</v>
      </c>
    </row>
    <row r="726" spans="1:13" x14ac:dyDescent="0.45">
      <c r="A726" t="s">
        <v>1014</v>
      </c>
      <c r="B726" t="s">
        <v>1011</v>
      </c>
      <c r="C726" t="s">
        <v>852</v>
      </c>
      <c r="D726" t="s">
        <v>22</v>
      </c>
      <c r="E726" t="s">
        <v>148</v>
      </c>
      <c r="F726">
        <v>1</v>
      </c>
      <c r="G726">
        <v>499.9</v>
      </c>
      <c r="H726">
        <v>22.74</v>
      </c>
      <c r="I726" t="s">
        <v>44</v>
      </c>
      <c r="J726">
        <v>13</v>
      </c>
      <c r="K726" t="s">
        <v>51</v>
      </c>
      <c r="L726">
        <v>5</v>
      </c>
      <c r="M726" t="str">
        <f>VLOOKUP(D726,State_Lookup!$A$2:$B$28,2,FALSE)</f>
        <v>Bahia</v>
      </c>
    </row>
    <row r="727" spans="1:13" x14ac:dyDescent="0.45">
      <c r="A727" t="s">
        <v>1015</v>
      </c>
      <c r="B727" t="s">
        <v>1011</v>
      </c>
      <c r="C727" t="s">
        <v>852</v>
      </c>
      <c r="D727" t="s">
        <v>16</v>
      </c>
      <c r="E727" t="s">
        <v>79</v>
      </c>
      <c r="F727">
        <v>1</v>
      </c>
      <c r="G727">
        <v>18.989999999999998</v>
      </c>
      <c r="H727">
        <v>7.78</v>
      </c>
      <c r="I727" t="s">
        <v>44</v>
      </c>
      <c r="J727">
        <v>1</v>
      </c>
      <c r="K727" t="s">
        <v>51</v>
      </c>
      <c r="L727">
        <v>4</v>
      </c>
      <c r="M727" t="str">
        <f>VLOOKUP(D727,State_Lookup!$A$2:$B$28,2,FALSE)</f>
        <v>Sao Paulo</v>
      </c>
    </row>
    <row r="728" spans="1:13" x14ac:dyDescent="0.45">
      <c r="A728" t="s">
        <v>1016</v>
      </c>
      <c r="B728" t="s">
        <v>1017</v>
      </c>
      <c r="C728" t="s">
        <v>852</v>
      </c>
      <c r="D728" t="s">
        <v>122</v>
      </c>
      <c r="E728" t="s">
        <v>66</v>
      </c>
      <c r="F728">
        <v>1</v>
      </c>
      <c r="G728">
        <v>12.5</v>
      </c>
      <c r="H728">
        <v>25.63</v>
      </c>
      <c r="I728" t="s">
        <v>50</v>
      </c>
      <c r="J728">
        <v>36</v>
      </c>
      <c r="K728" t="s">
        <v>143</v>
      </c>
      <c r="L728">
        <v>5</v>
      </c>
      <c r="M728" t="str">
        <f>VLOOKUP(D728,State_Lookup!$A$2:$B$28,2,FALSE)</f>
        <v>Para</v>
      </c>
    </row>
    <row r="729" spans="1:13" x14ac:dyDescent="0.45">
      <c r="A729" t="s">
        <v>1018</v>
      </c>
      <c r="B729" t="s">
        <v>1017</v>
      </c>
      <c r="C729" t="s">
        <v>852</v>
      </c>
      <c r="D729" t="s">
        <v>17</v>
      </c>
      <c r="E729" t="s">
        <v>61</v>
      </c>
      <c r="F729">
        <v>1</v>
      </c>
      <c r="G729">
        <v>46.9</v>
      </c>
      <c r="H729">
        <v>16.600000000000001</v>
      </c>
      <c r="I729" t="s">
        <v>44</v>
      </c>
      <c r="J729">
        <v>6</v>
      </c>
      <c r="K729" t="s">
        <v>51</v>
      </c>
      <c r="L729">
        <v>5</v>
      </c>
      <c r="M729" t="str">
        <f>VLOOKUP(D729,State_Lookup!$A$2:$B$28,2,FALSE)</f>
        <v>Rio de Janeiro</v>
      </c>
    </row>
    <row r="730" spans="1:13" x14ac:dyDescent="0.45">
      <c r="A730" t="s">
        <v>1019</v>
      </c>
      <c r="B730" t="s">
        <v>1017</v>
      </c>
      <c r="C730" t="s">
        <v>852</v>
      </c>
      <c r="D730" t="s">
        <v>21</v>
      </c>
      <c r="E730" t="s">
        <v>125</v>
      </c>
      <c r="F730">
        <v>1</v>
      </c>
      <c r="G730">
        <v>49</v>
      </c>
      <c r="H730">
        <v>15.1</v>
      </c>
      <c r="I730" t="s">
        <v>44</v>
      </c>
      <c r="J730">
        <v>14</v>
      </c>
      <c r="K730" t="s">
        <v>51</v>
      </c>
      <c r="L730">
        <v>5</v>
      </c>
      <c r="M730" t="str">
        <f>VLOOKUP(D730,State_Lookup!$A$2:$B$28,2,FALSE)</f>
        <v>Santa Catarina</v>
      </c>
    </row>
    <row r="731" spans="1:13" x14ac:dyDescent="0.45">
      <c r="A731" t="s">
        <v>1020</v>
      </c>
      <c r="B731" t="s">
        <v>1017</v>
      </c>
      <c r="C731" t="s">
        <v>852</v>
      </c>
      <c r="D731" t="s">
        <v>18</v>
      </c>
      <c r="E731" t="s">
        <v>58</v>
      </c>
      <c r="F731">
        <v>1</v>
      </c>
      <c r="G731">
        <v>79.989999999999995</v>
      </c>
      <c r="H731">
        <v>12.69</v>
      </c>
      <c r="I731" t="s">
        <v>44</v>
      </c>
      <c r="J731">
        <v>5</v>
      </c>
      <c r="K731" t="s">
        <v>51</v>
      </c>
      <c r="L731">
        <v>5</v>
      </c>
      <c r="M731" t="str">
        <f>VLOOKUP(D731,State_Lookup!$A$2:$B$28,2,FALSE)</f>
        <v>Minas Gerais</v>
      </c>
    </row>
    <row r="732" spans="1:13" x14ac:dyDescent="0.45">
      <c r="A732" t="s">
        <v>1021</v>
      </c>
      <c r="B732" t="s">
        <v>1022</v>
      </c>
      <c r="C732" t="s">
        <v>852</v>
      </c>
      <c r="D732" t="s">
        <v>25</v>
      </c>
      <c r="E732" t="s">
        <v>79</v>
      </c>
      <c r="F732">
        <v>1</v>
      </c>
      <c r="G732">
        <v>97.9</v>
      </c>
      <c r="H732">
        <v>21.18</v>
      </c>
      <c r="I732" t="s">
        <v>50</v>
      </c>
      <c r="J732">
        <v>13</v>
      </c>
      <c r="K732" t="s">
        <v>51</v>
      </c>
      <c r="L732">
        <v>5</v>
      </c>
      <c r="M732" t="str">
        <f>VLOOKUP(D732,State_Lookup!$A$2:$B$28,2,FALSE)</f>
        <v>Goias</v>
      </c>
    </row>
    <row r="733" spans="1:13" x14ac:dyDescent="0.45">
      <c r="A733" t="s">
        <v>1023</v>
      </c>
      <c r="B733" t="s">
        <v>1022</v>
      </c>
      <c r="C733" t="s">
        <v>852</v>
      </c>
      <c r="D733" t="s">
        <v>25</v>
      </c>
      <c r="E733" t="s">
        <v>66</v>
      </c>
      <c r="F733">
        <v>1</v>
      </c>
      <c r="G733">
        <v>15.9</v>
      </c>
      <c r="H733">
        <v>14.1</v>
      </c>
      <c r="I733" t="s">
        <v>50</v>
      </c>
      <c r="J733">
        <v>7</v>
      </c>
      <c r="K733" t="s">
        <v>51</v>
      </c>
      <c r="L733">
        <v>5</v>
      </c>
      <c r="M733" t="str">
        <f>VLOOKUP(D733,State_Lookup!$A$2:$B$28,2,FALSE)</f>
        <v>Goias</v>
      </c>
    </row>
    <row r="734" spans="1:13" x14ac:dyDescent="0.45">
      <c r="A734" t="s">
        <v>1024</v>
      </c>
      <c r="B734" t="s">
        <v>1022</v>
      </c>
      <c r="C734" t="s">
        <v>852</v>
      </c>
      <c r="D734" t="s">
        <v>16</v>
      </c>
      <c r="E734" t="s">
        <v>79</v>
      </c>
      <c r="F734">
        <v>1</v>
      </c>
      <c r="G734">
        <v>73.900000000000006</v>
      </c>
      <c r="H734">
        <v>13.54</v>
      </c>
      <c r="I734" t="s">
        <v>44</v>
      </c>
      <c r="J734">
        <v>10</v>
      </c>
      <c r="K734" t="s">
        <v>51</v>
      </c>
      <c r="L734">
        <v>5</v>
      </c>
      <c r="M734" t="str">
        <f>VLOOKUP(D734,State_Lookup!$A$2:$B$28,2,FALSE)</f>
        <v>Sao Paulo</v>
      </c>
    </row>
    <row r="735" spans="1:13" x14ac:dyDescent="0.45">
      <c r="A735" t="s">
        <v>1025</v>
      </c>
      <c r="B735" t="s">
        <v>1022</v>
      </c>
      <c r="C735" t="s">
        <v>852</v>
      </c>
      <c r="D735" t="s">
        <v>16</v>
      </c>
      <c r="E735" t="s">
        <v>662</v>
      </c>
      <c r="F735">
        <v>2</v>
      </c>
      <c r="G735">
        <v>179.8</v>
      </c>
      <c r="H735">
        <v>24.26</v>
      </c>
      <c r="I735" t="s">
        <v>44</v>
      </c>
      <c r="J735">
        <v>11</v>
      </c>
      <c r="K735" t="s">
        <v>51</v>
      </c>
      <c r="L735">
        <v>5</v>
      </c>
      <c r="M735" t="str">
        <f>VLOOKUP(D735,State_Lookup!$A$2:$B$28,2,FALSE)</f>
        <v>Sao Paulo</v>
      </c>
    </row>
    <row r="736" spans="1:13" x14ac:dyDescent="0.45">
      <c r="A736" t="s">
        <v>1026</v>
      </c>
      <c r="B736" t="s">
        <v>1022</v>
      </c>
      <c r="C736" t="s">
        <v>852</v>
      </c>
      <c r="D736" t="s">
        <v>16</v>
      </c>
      <c r="E736" t="s">
        <v>49</v>
      </c>
      <c r="F736">
        <v>2</v>
      </c>
      <c r="G736">
        <v>35.1</v>
      </c>
      <c r="H736">
        <v>50.38</v>
      </c>
      <c r="I736" t="s">
        <v>50</v>
      </c>
      <c r="J736">
        <v>34</v>
      </c>
      <c r="K736" t="s">
        <v>143</v>
      </c>
      <c r="L736">
        <v>5</v>
      </c>
      <c r="M736" t="str">
        <f>VLOOKUP(D736,State_Lookup!$A$2:$B$28,2,FALSE)</f>
        <v>Sao Paulo</v>
      </c>
    </row>
    <row r="737" spans="1:13" x14ac:dyDescent="0.45">
      <c r="A737" t="s">
        <v>1027</v>
      </c>
      <c r="B737" t="s">
        <v>1022</v>
      </c>
      <c r="C737" t="s">
        <v>852</v>
      </c>
      <c r="D737" t="s">
        <v>17</v>
      </c>
      <c r="E737" t="s">
        <v>148</v>
      </c>
      <c r="F737">
        <v>1</v>
      </c>
      <c r="G737">
        <v>444</v>
      </c>
      <c r="H737">
        <v>18.87</v>
      </c>
      <c r="I737" t="s">
        <v>44</v>
      </c>
      <c r="J737">
        <v>13</v>
      </c>
      <c r="K737" t="s">
        <v>51</v>
      </c>
      <c r="L737">
        <v>5</v>
      </c>
      <c r="M737" t="str">
        <f>VLOOKUP(D737,State_Lookup!$A$2:$B$28,2,FALSE)</f>
        <v>Rio de Janeiro</v>
      </c>
    </row>
    <row r="738" spans="1:13" x14ac:dyDescent="0.45">
      <c r="A738" t="s">
        <v>1028</v>
      </c>
      <c r="B738" t="s">
        <v>1022</v>
      </c>
      <c r="C738" t="s">
        <v>852</v>
      </c>
      <c r="D738" t="s">
        <v>18</v>
      </c>
      <c r="E738" t="s">
        <v>192</v>
      </c>
      <c r="F738">
        <v>1</v>
      </c>
      <c r="G738">
        <v>59.99</v>
      </c>
      <c r="H738">
        <v>16.18</v>
      </c>
      <c r="I738" t="s">
        <v>44</v>
      </c>
      <c r="J738">
        <v>4</v>
      </c>
      <c r="K738" t="s">
        <v>51</v>
      </c>
      <c r="L738">
        <v>5</v>
      </c>
      <c r="M738" t="str">
        <f>VLOOKUP(D738,State_Lookup!$A$2:$B$28,2,FALSE)</f>
        <v>Minas Gerais</v>
      </c>
    </row>
    <row r="739" spans="1:13" x14ac:dyDescent="0.45">
      <c r="A739" t="s">
        <v>1029</v>
      </c>
      <c r="B739" t="s">
        <v>1030</v>
      </c>
      <c r="C739" t="s">
        <v>852</v>
      </c>
      <c r="D739" t="s">
        <v>18</v>
      </c>
      <c r="E739" t="s">
        <v>1031</v>
      </c>
      <c r="F739">
        <v>1</v>
      </c>
      <c r="G739">
        <v>32.99</v>
      </c>
      <c r="H739">
        <v>15.1</v>
      </c>
      <c r="I739" t="s">
        <v>50</v>
      </c>
      <c r="J739">
        <v>7</v>
      </c>
      <c r="K739" t="s">
        <v>51</v>
      </c>
      <c r="L739">
        <v>5</v>
      </c>
      <c r="M739" t="str">
        <f>VLOOKUP(D739,State_Lookup!$A$2:$B$28,2,FALSE)</f>
        <v>Minas Gerais</v>
      </c>
    </row>
    <row r="740" spans="1:13" x14ac:dyDescent="0.45">
      <c r="A740" t="s">
        <v>1032</v>
      </c>
      <c r="B740" t="s">
        <v>1030</v>
      </c>
      <c r="C740" t="s">
        <v>852</v>
      </c>
      <c r="D740" t="s">
        <v>17</v>
      </c>
      <c r="E740" t="s">
        <v>53</v>
      </c>
      <c r="F740">
        <v>1</v>
      </c>
      <c r="G740">
        <v>152.9</v>
      </c>
      <c r="H740">
        <v>18.32</v>
      </c>
      <c r="I740" t="s">
        <v>44</v>
      </c>
      <c r="J740">
        <v>11</v>
      </c>
      <c r="K740" t="s">
        <v>51</v>
      </c>
      <c r="L740">
        <v>5</v>
      </c>
      <c r="M740" t="str">
        <f>VLOOKUP(D740,State_Lookup!$A$2:$B$28,2,FALSE)</f>
        <v>Rio de Janeiro</v>
      </c>
    </row>
    <row r="741" spans="1:13" x14ac:dyDescent="0.45">
      <c r="A741" t="s">
        <v>1033</v>
      </c>
      <c r="B741" t="s">
        <v>1030</v>
      </c>
      <c r="C741" t="s">
        <v>852</v>
      </c>
      <c r="D741" t="s">
        <v>17</v>
      </c>
      <c r="E741" t="s">
        <v>58</v>
      </c>
      <c r="F741">
        <v>1</v>
      </c>
      <c r="G741">
        <v>8.99</v>
      </c>
      <c r="H741">
        <v>15.1</v>
      </c>
      <c r="I741" t="s">
        <v>44</v>
      </c>
      <c r="J741">
        <v>10</v>
      </c>
      <c r="K741" t="s">
        <v>51</v>
      </c>
      <c r="L741">
        <v>5</v>
      </c>
      <c r="M741" t="str">
        <f>VLOOKUP(D741,State_Lookup!$A$2:$B$28,2,FALSE)</f>
        <v>Rio de Janeiro</v>
      </c>
    </row>
    <row r="742" spans="1:13" x14ac:dyDescent="0.45">
      <c r="A742" t="s">
        <v>1034</v>
      </c>
      <c r="B742" t="s">
        <v>1030</v>
      </c>
      <c r="C742" t="s">
        <v>852</v>
      </c>
      <c r="D742" t="s">
        <v>25</v>
      </c>
      <c r="E742" t="s">
        <v>220</v>
      </c>
      <c r="F742">
        <v>1</v>
      </c>
      <c r="G742">
        <v>144.94</v>
      </c>
      <c r="H742">
        <v>30.85</v>
      </c>
      <c r="I742" t="s">
        <v>44</v>
      </c>
      <c r="J742">
        <v>20</v>
      </c>
      <c r="K742" t="s">
        <v>51</v>
      </c>
      <c r="L742">
        <v>5</v>
      </c>
      <c r="M742" t="str">
        <f>VLOOKUP(D742,State_Lookup!$A$2:$B$28,2,FALSE)</f>
        <v>Goias</v>
      </c>
    </row>
    <row r="743" spans="1:13" x14ac:dyDescent="0.45">
      <c r="A743" t="s">
        <v>1035</v>
      </c>
      <c r="B743" t="s">
        <v>1030</v>
      </c>
      <c r="C743" t="s">
        <v>852</v>
      </c>
      <c r="D743" t="s">
        <v>17</v>
      </c>
      <c r="E743" t="s">
        <v>269</v>
      </c>
      <c r="F743">
        <v>1</v>
      </c>
      <c r="G743">
        <v>99.99</v>
      </c>
      <c r="H743">
        <v>32.03</v>
      </c>
      <c r="I743" t="s">
        <v>44</v>
      </c>
      <c r="J743">
        <v>7</v>
      </c>
      <c r="K743" t="s">
        <v>51</v>
      </c>
      <c r="L743">
        <v>5</v>
      </c>
      <c r="M743" t="str">
        <f>VLOOKUP(D743,State_Lookup!$A$2:$B$28,2,FALSE)</f>
        <v>Rio de Janeiro</v>
      </c>
    </row>
    <row r="744" spans="1:13" x14ac:dyDescent="0.45">
      <c r="A744" t="s">
        <v>1036</v>
      </c>
      <c r="B744" t="s">
        <v>1030</v>
      </c>
      <c r="C744" t="s">
        <v>852</v>
      </c>
      <c r="D744" t="s">
        <v>16</v>
      </c>
      <c r="E744" t="s">
        <v>107</v>
      </c>
      <c r="F744">
        <v>1</v>
      </c>
      <c r="G744">
        <v>143.80000000000001</v>
      </c>
      <c r="H744">
        <v>15.76</v>
      </c>
      <c r="I744" t="s">
        <v>44</v>
      </c>
      <c r="J744">
        <v>27</v>
      </c>
      <c r="K744" t="s">
        <v>143</v>
      </c>
      <c r="L744">
        <v>1</v>
      </c>
      <c r="M744" t="str">
        <f>VLOOKUP(D744,State_Lookup!$A$2:$B$28,2,FALSE)</f>
        <v>Sao Paulo</v>
      </c>
    </row>
    <row r="745" spans="1:13" x14ac:dyDescent="0.45">
      <c r="A745" t="s">
        <v>1037</v>
      </c>
      <c r="B745" t="s">
        <v>1038</v>
      </c>
      <c r="C745" t="s">
        <v>1039</v>
      </c>
      <c r="D745" t="s">
        <v>19</v>
      </c>
      <c r="E745" t="s">
        <v>103</v>
      </c>
      <c r="F745">
        <v>1</v>
      </c>
      <c r="G745">
        <v>349.99</v>
      </c>
      <c r="H745">
        <v>20.69</v>
      </c>
      <c r="I745" t="s">
        <v>133</v>
      </c>
      <c r="J745">
        <v>12</v>
      </c>
      <c r="K745" t="s">
        <v>51</v>
      </c>
      <c r="L745">
        <v>5</v>
      </c>
      <c r="M745" t="str">
        <f>VLOOKUP(D745,State_Lookup!$A$2:$B$28,2,FALSE)</f>
        <v>Rio Grande do Sul</v>
      </c>
    </row>
    <row r="746" spans="1:13" x14ac:dyDescent="0.45">
      <c r="A746" t="s">
        <v>1040</v>
      </c>
      <c r="B746" t="s">
        <v>1038</v>
      </c>
      <c r="C746" t="s">
        <v>1039</v>
      </c>
      <c r="D746" t="s">
        <v>16</v>
      </c>
      <c r="E746" t="s">
        <v>148</v>
      </c>
      <c r="F746">
        <v>1</v>
      </c>
      <c r="G746">
        <v>99.9</v>
      </c>
      <c r="H746">
        <v>16.46</v>
      </c>
      <c r="I746" t="s">
        <v>44</v>
      </c>
      <c r="J746">
        <v>4</v>
      </c>
      <c r="K746" t="s">
        <v>51</v>
      </c>
      <c r="L746">
        <v>5</v>
      </c>
      <c r="M746" t="str">
        <f>VLOOKUP(D746,State_Lookup!$A$2:$B$28,2,FALSE)</f>
        <v>Sao Paulo</v>
      </c>
    </row>
    <row r="747" spans="1:13" x14ac:dyDescent="0.45">
      <c r="A747" t="s">
        <v>1041</v>
      </c>
      <c r="B747" t="s">
        <v>1038</v>
      </c>
      <c r="C747" t="s">
        <v>1039</v>
      </c>
      <c r="D747" t="s">
        <v>16</v>
      </c>
      <c r="E747" t="s">
        <v>110</v>
      </c>
      <c r="F747">
        <v>1</v>
      </c>
      <c r="G747">
        <v>205</v>
      </c>
      <c r="H747">
        <v>15.04</v>
      </c>
      <c r="I747" t="s">
        <v>44</v>
      </c>
      <c r="J747">
        <v>6</v>
      </c>
      <c r="K747" t="s">
        <v>51</v>
      </c>
      <c r="L747">
        <v>3</v>
      </c>
      <c r="M747" t="str">
        <f>VLOOKUP(D747,State_Lookup!$A$2:$B$28,2,FALSE)</f>
        <v>Sao Paulo</v>
      </c>
    </row>
    <row r="748" spans="1:13" x14ac:dyDescent="0.45">
      <c r="A748" t="s">
        <v>1042</v>
      </c>
      <c r="B748" t="s">
        <v>1043</v>
      </c>
      <c r="C748" t="s">
        <v>1039</v>
      </c>
      <c r="D748" t="s">
        <v>19</v>
      </c>
      <c r="E748" t="s">
        <v>79</v>
      </c>
      <c r="F748">
        <v>1</v>
      </c>
      <c r="G748">
        <v>54.99</v>
      </c>
      <c r="H748">
        <v>16.63</v>
      </c>
      <c r="I748" t="s">
        <v>44</v>
      </c>
      <c r="J748">
        <v>11</v>
      </c>
      <c r="K748" t="s">
        <v>51</v>
      </c>
      <c r="L748">
        <v>2</v>
      </c>
      <c r="M748" t="str">
        <f>VLOOKUP(D748,State_Lookup!$A$2:$B$28,2,FALSE)</f>
        <v>Rio Grande do Sul</v>
      </c>
    </row>
    <row r="749" spans="1:13" x14ac:dyDescent="0.45">
      <c r="A749" t="s">
        <v>1044</v>
      </c>
      <c r="B749" t="s">
        <v>1043</v>
      </c>
      <c r="C749" t="s">
        <v>1039</v>
      </c>
      <c r="D749" t="s">
        <v>19</v>
      </c>
      <c r="E749" t="s">
        <v>148</v>
      </c>
      <c r="F749">
        <v>1</v>
      </c>
      <c r="G749">
        <v>99.99</v>
      </c>
      <c r="H749">
        <v>16.95</v>
      </c>
      <c r="I749" t="s">
        <v>50</v>
      </c>
      <c r="J749">
        <v>11</v>
      </c>
      <c r="K749" t="s">
        <v>51</v>
      </c>
      <c r="L749">
        <v>5</v>
      </c>
      <c r="M749" t="str">
        <f>VLOOKUP(D749,State_Lookup!$A$2:$B$28,2,FALSE)</f>
        <v>Rio Grande do Sul</v>
      </c>
    </row>
    <row r="750" spans="1:13" x14ac:dyDescent="0.45">
      <c r="A750" t="s">
        <v>1045</v>
      </c>
      <c r="B750" t="s">
        <v>1043</v>
      </c>
      <c r="C750" t="s">
        <v>1039</v>
      </c>
      <c r="D750" t="s">
        <v>18</v>
      </c>
      <c r="E750" t="s">
        <v>244</v>
      </c>
      <c r="F750">
        <v>1</v>
      </c>
      <c r="G750">
        <v>194</v>
      </c>
      <c r="H750">
        <v>15.11</v>
      </c>
      <c r="I750" t="s">
        <v>44</v>
      </c>
      <c r="J750">
        <v>7</v>
      </c>
      <c r="K750" t="s">
        <v>51</v>
      </c>
      <c r="L750">
        <v>5</v>
      </c>
      <c r="M750" t="str">
        <f>VLOOKUP(D750,State_Lookup!$A$2:$B$28,2,FALSE)</f>
        <v>Minas Gerais</v>
      </c>
    </row>
    <row r="751" spans="1:13" x14ac:dyDescent="0.45">
      <c r="A751" t="s">
        <v>1046</v>
      </c>
      <c r="B751" t="s">
        <v>1043</v>
      </c>
      <c r="C751" t="s">
        <v>1039</v>
      </c>
      <c r="D751" t="s">
        <v>23</v>
      </c>
      <c r="E751" t="s">
        <v>61</v>
      </c>
      <c r="F751">
        <v>1</v>
      </c>
      <c r="G751">
        <v>29.4</v>
      </c>
      <c r="H751">
        <v>16.11</v>
      </c>
      <c r="I751" t="s">
        <v>44</v>
      </c>
      <c r="J751">
        <v>22</v>
      </c>
      <c r="K751" t="s">
        <v>51</v>
      </c>
      <c r="L751">
        <v>5</v>
      </c>
      <c r="M751" t="str">
        <f>VLOOKUP(D751,State_Lookup!$A$2:$B$28,2,FALSE)</f>
        <v>Espirito Santo</v>
      </c>
    </row>
    <row r="752" spans="1:13" x14ac:dyDescent="0.45">
      <c r="A752" t="s">
        <v>1047</v>
      </c>
      <c r="B752" t="s">
        <v>1043</v>
      </c>
      <c r="C752" t="s">
        <v>1039</v>
      </c>
      <c r="D752" t="s">
        <v>16</v>
      </c>
      <c r="E752" t="s">
        <v>110</v>
      </c>
      <c r="F752">
        <v>1</v>
      </c>
      <c r="G752">
        <v>69.900000000000006</v>
      </c>
      <c r="H752">
        <v>11.99</v>
      </c>
      <c r="I752" t="s">
        <v>50</v>
      </c>
      <c r="J752">
        <v>10</v>
      </c>
      <c r="K752" t="s">
        <v>51</v>
      </c>
      <c r="L752">
        <v>5</v>
      </c>
      <c r="M752" t="str">
        <f>VLOOKUP(D752,State_Lookup!$A$2:$B$28,2,FALSE)</f>
        <v>Sao Paulo</v>
      </c>
    </row>
    <row r="753" spans="1:13" x14ac:dyDescent="0.45">
      <c r="A753" t="s">
        <v>1048</v>
      </c>
      <c r="B753" t="s">
        <v>1043</v>
      </c>
      <c r="C753" t="s">
        <v>1039</v>
      </c>
      <c r="D753" t="s">
        <v>16</v>
      </c>
      <c r="E753" t="s">
        <v>157</v>
      </c>
      <c r="F753">
        <v>1</v>
      </c>
      <c r="G753">
        <v>66.89</v>
      </c>
      <c r="H753">
        <v>17.72</v>
      </c>
      <c r="I753" t="s">
        <v>133</v>
      </c>
      <c r="J753">
        <v>10</v>
      </c>
      <c r="K753" t="s">
        <v>51</v>
      </c>
      <c r="L753">
        <v>5</v>
      </c>
      <c r="M753" t="str">
        <f>VLOOKUP(D753,State_Lookup!$A$2:$B$28,2,FALSE)</f>
        <v>Sao Paulo</v>
      </c>
    </row>
    <row r="754" spans="1:13" x14ac:dyDescent="0.45">
      <c r="A754" t="s">
        <v>1049</v>
      </c>
      <c r="B754" t="s">
        <v>1050</v>
      </c>
      <c r="C754" t="s">
        <v>1039</v>
      </c>
      <c r="D754" t="s">
        <v>17</v>
      </c>
      <c r="E754" t="s">
        <v>186</v>
      </c>
      <c r="F754">
        <v>1</v>
      </c>
      <c r="G754">
        <v>329.9</v>
      </c>
      <c r="H754">
        <v>40.15</v>
      </c>
      <c r="I754" t="s">
        <v>44</v>
      </c>
      <c r="J754">
        <v>17</v>
      </c>
      <c r="K754" t="s">
        <v>51</v>
      </c>
      <c r="L754">
        <v>3</v>
      </c>
      <c r="M754" t="str">
        <f>VLOOKUP(D754,State_Lookup!$A$2:$B$28,2,FALSE)</f>
        <v>Rio de Janeiro</v>
      </c>
    </row>
    <row r="755" spans="1:13" x14ac:dyDescent="0.45">
      <c r="A755" t="s">
        <v>1051</v>
      </c>
      <c r="B755" t="s">
        <v>1050</v>
      </c>
      <c r="C755" t="s">
        <v>1039</v>
      </c>
      <c r="D755" t="s">
        <v>17</v>
      </c>
      <c r="E755" t="s">
        <v>125</v>
      </c>
      <c r="F755">
        <v>1</v>
      </c>
      <c r="G755">
        <v>12.9</v>
      </c>
      <c r="H755">
        <v>16.79</v>
      </c>
      <c r="I755" t="s">
        <v>44</v>
      </c>
      <c r="J755">
        <v>14</v>
      </c>
      <c r="K755" t="s">
        <v>51</v>
      </c>
      <c r="L755">
        <v>5</v>
      </c>
      <c r="M755" t="str">
        <f>VLOOKUP(D755,State_Lookup!$A$2:$B$28,2,FALSE)</f>
        <v>Rio de Janeiro</v>
      </c>
    </row>
    <row r="756" spans="1:13" x14ac:dyDescent="0.45">
      <c r="A756" t="s">
        <v>1052</v>
      </c>
      <c r="B756" t="s">
        <v>1050</v>
      </c>
      <c r="C756" t="s">
        <v>1039</v>
      </c>
      <c r="D756" t="s">
        <v>122</v>
      </c>
      <c r="E756" t="s">
        <v>49</v>
      </c>
      <c r="F756">
        <v>1</v>
      </c>
      <c r="G756">
        <v>189.5</v>
      </c>
      <c r="H756">
        <v>29.73</v>
      </c>
      <c r="I756" t="s">
        <v>50</v>
      </c>
      <c r="J756">
        <v>17</v>
      </c>
      <c r="K756" t="s">
        <v>51</v>
      </c>
      <c r="L756">
        <v>5</v>
      </c>
      <c r="M756" t="str">
        <f>VLOOKUP(D756,State_Lookup!$A$2:$B$28,2,FALSE)</f>
        <v>Para</v>
      </c>
    </row>
    <row r="757" spans="1:13" x14ac:dyDescent="0.45">
      <c r="A757" t="s">
        <v>1053</v>
      </c>
      <c r="B757" t="s">
        <v>1050</v>
      </c>
      <c r="C757" t="s">
        <v>1039</v>
      </c>
      <c r="D757" t="s">
        <v>17</v>
      </c>
      <c r="E757" t="s">
        <v>53</v>
      </c>
      <c r="F757">
        <v>1</v>
      </c>
      <c r="G757">
        <v>218.9</v>
      </c>
      <c r="H757">
        <v>18.78</v>
      </c>
      <c r="I757" t="s">
        <v>44</v>
      </c>
      <c r="K757" t="s">
        <v>45</v>
      </c>
      <c r="L757">
        <v>1</v>
      </c>
      <c r="M757" t="str">
        <f>VLOOKUP(D757,State_Lookup!$A$2:$B$28,2,FALSE)</f>
        <v>Rio de Janeiro</v>
      </c>
    </row>
    <row r="758" spans="1:13" x14ac:dyDescent="0.45">
      <c r="A758" t="s">
        <v>1054</v>
      </c>
      <c r="B758" t="s">
        <v>1050</v>
      </c>
      <c r="C758" t="s">
        <v>1039</v>
      </c>
      <c r="D758" t="s">
        <v>141</v>
      </c>
      <c r="E758" t="s">
        <v>49</v>
      </c>
      <c r="F758">
        <v>1</v>
      </c>
      <c r="G758">
        <v>39.9</v>
      </c>
      <c r="H758">
        <v>21.15</v>
      </c>
      <c r="I758" t="s">
        <v>50</v>
      </c>
      <c r="J758">
        <v>18</v>
      </c>
      <c r="K758" t="s">
        <v>51</v>
      </c>
      <c r="L758">
        <v>5</v>
      </c>
      <c r="M758" t="str">
        <f>VLOOKUP(D758,State_Lookup!$A$2:$B$28,2,FALSE)</f>
        <v>Maranhao</v>
      </c>
    </row>
    <row r="759" spans="1:13" x14ac:dyDescent="0.45">
      <c r="A759" t="s">
        <v>1055</v>
      </c>
      <c r="B759" t="s">
        <v>1050</v>
      </c>
      <c r="C759" t="s">
        <v>1039</v>
      </c>
      <c r="D759" t="s">
        <v>19</v>
      </c>
      <c r="E759" t="s">
        <v>1056</v>
      </c>
      <c r="F759">
        <v>1</v>
      </c>
      <c r="G759">
        <v>41.5</v>
      </c>
      <c r="H759">
        <v>16.11</v>
      </c>
      <c r="I759" t="s">
        <v>44</v>
      </c>
      <c r="J759">
        <v>8</v>
      </c>
      <c r="K759" t="s">
        <v>51</v>
      </c>
      <c r="L759">
        <v>5</v>
      </c>
      <c r="M759" t="str">
        <f>VLOOKUP(D759,State_Lookup!$A$2:$B$28,2,FALSE)</f>
        <v>Rio Grande do Sul</v>
      </c>
    </row>
    <row r="760" spans="1:13" x14ac:dyDescent="0.45">
      <c r="A760" t="s">
        <v>1057</v>
      </c>
      <c r="B760" t="s">
        <v>1050</v>
      </c>
      <c r="C760" t="s">
        <v>1039</v>
      </c>
      <c r="D760" t="s">
        <v>17</v>
      </c>
      <c r="E760" t="s">
        <v>148</v>
      </c>
      <c r="F760">
        <v>1</v>
      </c>
      <c r="G760">
        <v>249.9</v>
      </c>
      <c r="H760">
        <v>78.77</v>
      </c>
      <c r="I760" t="s">
        <v>50</v>
      </c>
      <c r="J760">
        <v>7</v>
      </c>
      <c r="K760" t="s">
        <v>51</v>
      </c>
      <c r="L760">
        <v>5</v>
      </c>
      <c r="M760" t="str">
        <f>VLOOKUP(D760,State_Lookup!$A$2:$B$28,2,FALSE)</f>
        <v>Rio de Janeiro</v>
      </c>
    </row>
    <row r="761" spans="1:13" x14ac:dyDescent="0.45">
      <c r="A761" t="s">
        <v>1058</v>
      </c>
      <c r="B761" t="s">
        <v>1050</v>
      </c>
      <c r="C761" t="s">
        <v>1039</v>
      </c>
      <c r="D761" t="s">
        <v>16</v>
      </c>
      <c r="E761" t="s">
        <v>192</v>
      </c>
      <c r="F761">
        <v>2</v>
      </c>
      <c r="G761">
        <v>155.4</v>
      </c>
      <c r="H761">
        <v>23.5</v>
      </c>
      <c r="I761" t="s">
        <v>44</v>
      </c>
      <c r="J761">
        <v>8</v>
      </c>
      <c r="K761" t="s">
        <v>51</v>
      </c>
      <c r="L761">
        <v>5</v>
      </c>
      <c r="M761" t="str">
        <f>VLOOKUP(D761,State_Lookup!$A$2:$B$28,2,FALSE)</f>
        <v>Sao Paulo</v>
      </c>
    </row>
    <row r="762" spans="1:13" x14ac:dyDescent="0.45">
      <c r="A762" t="s">
        <v>1059</v>
      </c>
      <c r="B762" t="s">
        <v>1060</v>
      </c>
      <c r="C762" t="s">
        <v>1039</v>
      </c>
      <c r="D762" t="s">
        <v>16</v>
      </c>
      <c r="E762" t="s">
        <v>61</v>
      </c>
      <c r="F762">
        <v>1</v>
      </c>
      <c r="G762">
        <v>39.9</v>
      </c>
      <c r="H762">
        <v>15.1</v>
      </c>
      <c r="I762" t="s">
        <v>44</v>
      </c>
      <c r="J762">
        <v>7</v>
      </c>
      <c r="K762" t="s">
        <v>51</v>
      </c>
      <c r="L762">
        <v>4</v>
      </c>
      <c r="M762" t="str">
        <f>VLOOKUP(D762,State_Lookup!$A$2:$B$28,2,FALSE)</f>
        <v>Sao Paulo</v>
      </c>
    </row>
    <row r="763" spans="1:13" x14ac:dyDescent="0.45">
      <c r="A763" t="s">
        <v>1061</v>
      </c>
      <c r="B763" t="s">
        <v>1060</v>
      </c>
      <c r="C763" t="s">
        <v>1039</v>
      </c>
      <c r="D763" t="s">
        <v>21</v>
      </c>
      <c r="E763" t="s">
        <v>110</v>
      </c>
      <c r="F763">
        <v>1</v>
      </c>
      <c r="G763">
        <v>69.900000000000006</v>
      </c>
      <c r="H763">
        <v>14.36</v>
      </c>
      <c r="I763" t="s">
        <v>50</v>
      </c>
      <c r="J763">
        <v>13</v>
      </c>
      <c r="K763" t="s">
        <v>51</v>
      </c>
      <c r="L763">
        <v>4</v>
      </c>
      <c r="M763" t="str">
        <f>VLOOKUP(D763,State_Lookup!$A$2:$B$28,2,FALSE)</f>
        <v>Santa Catarina</v>
      </c>
    </row>
    <row r="764" spans="1:13" x14ac:dyDescent="0.45">
      <c r="A764" t="s">
        <v>1062</v>
      </c>
      <c r="B764" t="s">
        <v>1060</v>
      </c>
      <c r="C764" t="s">
        <v>1039</v>
      </c>
      <c r="D764" t="s">
        <v>17</v>
      </c>
      <c r="E764" t="s">
        <v>61</v>
      </c>
      <c r="F764">
        <v>1</v>
      </c>
      <c r="G764">
        <v>708</v>
      </c>
      <c r="H764">
        <v>18.71</v>
      </c>
      <c r="I764" t="s">
        <v>44</v>
      </c>
      <c r="J764">
        <v>5</v>
      </c>
      <c r="K764" t="s">
        <v>51</v>
      </c>
      <c r="L764">
        <v>4</v>
      </c>
      <c r="M764" t="str">
        <f>VLOOKUP(D764,State_Lookup!$A$2:$B$28,2,FALSE)</f>
        <v>Rio de Janeiro</v>
      </c>
    </row>
    <row r="765" spans="1:13" x14ac:dyDescent="0.45">
      <c r="A765" t="s">
        <v>1063</v>
      </c>
      <c r="B765" t="s">
        <v>1060</v>
      </c>
      <c r="C765" t="s">
        <v>1039</v>
      </c>
      <c r="D765" t="s">
        <v>19</v>
      </c>
      <c r="E765" t="s">
        <v>267</v>
      </c>
      <c r="F765">
        <v>1</v>
      </c>
      <c r="G765">
        <v>10.9</v>
      </c>
      <c r="H765">
        <v>15.1</v>
      </c>
      <c r="I765" t="s">
        <v>44</v>
      </c>
      <c r="J765">
        <v>7</v>
      </c>
      <c r="K765" t="s">
        <v>51</v>
      </c>
      <c r="L765">
        <v>1</v>
      </c>
      <c r="M765" t="str">
        <f>VLOOKUP(D765,State_Lookup!$A$2:$B$28,2,FALSE)</f>
        <v>Rio Grande do Sul</v>
      </c>
    </row>
    <row r="766" spans="1:13" x14ac:dyDescent="0.45">
      <c r="A766" t="s">
        <v>1064</v>
      </c>
      <c r="B766" t="s">
        <v>1060</v>
      </c>
      <c r="C766" t="s">
        <v>1039</v>
      </c>
      <c r="D766" t="s">
        <v>24</v>
      </c>
      <c r="E766" t="s">
        <v>49</v>
      </c>
      <c r="F766">
        <v>1</v>
      </c>
      <c r="G766">
        <v>65</v>
      </c>
      <c r="H766">
        <v>25.73</v>
      </c>
      <c r="I766" t="s">
        <v>50</v>
      </c>
      <c r="J766">
        <v>13</v>
      </c>
      <c r="K766" t="s">
        <v>51</v>
      </c>
      <c r="L766">
        <v>4</v>
      </c>
      <c r="M766" t="str">
        <f>VLOOKUP(D766,State_Lookup!$A$2:$B$28,2,FALSE)</f>
        <v>Distrito Federal</v>
      </c>
    </row>
    <row r="767" spans="1:13" x14ac:dyDescent="0.45">
      <c r="A767" t="s">
        <v>1065</v>
      </c>
      <c r="B767" t="s">
        <v>1060</v>
      </c>
      <c r="C767" t="s">
        <v>1039</v>
      </c>
      <c r="D767" t="s">
        <v>19</v>
      </c>
      <c r="E767" t="s">
        <v>103</v>
      </c>
      <c r="F767">
        <v>1</v>
      </c>
      <c r="G767">
        <v>34.99</v>
      </c>
      <c r="H767">
        <v>12.48</v>
      </c>
      <c r="I767" t="s">
        <v>44</v>
      </c>
      <c r="J767">
        <v>6</v>
      </c>
      <c r="K767" t="s">
        <v>51</v>
      </c>
      <c r="L767">
        <v>5</v>
      </c>
      <c r="M767" t="str">
        <f>VLOOKUP(D767,State_Lookup!$A$2:$B$28,2,FALSE)</f>
        <v>Rio Grande do Sul</v>
      </c>
    </row>
    <row r="768" spans="1:13" x14ac:dyDescent="0.45">
      <c r="A768" t="s">
        <v>1066</v>
      </c>
      <c r="B768" t="s">
        <v>1060</v>
      </c>
      <c r="C768" t="s">
        <v>1039</v>
      </c>
      <c r="D768" t="s">
        <v>21</v>
      </c>
      <c r="E768" t="s">
        <v>107</v>
      </c>
      <c r="F768">
        <v>1</v>
      </c>
      <c r="G768">
        <v>99</v>
      </c>
      <c r="H768">
        <v>17.940000000000001</v>
      </c>
      <c r="I768" t="s">
        <v>50</v>
      </c>
      <c r="J768">
        <v>7</v>
      </c>
      <c r="K768" t="s">
        <v>51</v>
      </c>
      <c r="L768">
        <v>3</v>
      </c>
      <c r="M768" t="str">
        <f>VLOOKUP(D768,State_Lookup!$A$2:$B$28,2,FALSE)</f>
        <v>Santa Catarina</v>
      </c>
    </row>
    <row r="769" spans="1:13" x14ac:dyDescent="0.45">
      <c r="A769" t="s">
        <v>1067</v>
      </c>
      <c r="B769" t="s">
        <v>1068</v>
      </c>
      <c r="C769" t="s">
        <v>1039</v>
      </c>
      <c r="D769" t="s">
        <v>21</v>
      </c>
      <c r="E769" t="s">
        <v>192</v>
      </c>
      <c r="F769">
        <v>1</v>
      </c>
      <c r="G769">
        <v>144.9</v>
      </c>
      <c r="H769">
        <v>21.5</v>
      </c>
      <c r="I769" t="s">
        <v>44</v>
      </c>
      <c r="J769">
        <v>12</v>
      </c>
      <c r="K769" t="s">
        <v>51</v>
      </c>
      <c r="L769">
        <v>5</v>
      </c>
      <c r="M769" t="str">
        <f>VLOOKUP(D769,State_Lookup!$A$2:$B$28,2,FALSE)</f>
        <v>Santa Catarina</v>
      </c>
    </row>
    <row r="770" spans="1:13" x14ac:dyDescent="0.45">
      <c r="A770" t="s">
        <v>1069</v>
      </c>
      <c r="B770" t="s">
        <v>1068</v>
      </c>
      <c r="C770" t="s">
        <v>1039</v>
      </c>
      <c r="D770" t="s">
        <v>17</v>
      </c>
      <c r="E770" t="s">
        <v>142</v>
      </c>
      <c r="F770">
        <v>1</v>
      </c>
      <c r="G770">
        <v>24</v>
      </c>
      <c r="H770">
        <v>15.1</v>
      </c>
      <c r="I770" t="s">
        <v>44</v>
      </c>
      <c r="J770">
        <v>12</v>
      </c>
      <c r="K770" t="s">
        <v>51</v>
      </c>
      <c r="L770">
        <v>5</v>
      </c>
      <c r="M770" t="str">
        <f>VLOOKUP(D770,State_Lookup!$A$2:$B$28,2,FALSE)</f>
        <v>Rio de Janeiro</v>
      </c>
    </row>
    <row r="771" spans="1:13" x14ac:dyDescent="0.45">
      <c r="A771" t="s">
        <v>1070</v>
      </c>
      <c r="B771" t="s">
        <v>1068</v>
      </c>
      <c r="C771" t="s">
        <v>1039</v>
      </c>
      <c r="D771" t="s">
        <v>24</v>
      </c>
      <c r="E771" t="s">
        <v>61</v>
      </c>
      <c r="F771">
        <v>1</v>
      </c>
      <c r="G771">
        <v>149.84</v>
      </c>
      <c r="H771">
        <v>18.3</v>
      </c>
      <c r="I771" t="s">
        <v>44</v>
      </c>
      <c r="J771">
        <v>19</v>
      </c>
      <c r="K771" t="s">
        <v>51</v>
      </c>
      <c r="L771">
        <v>4</v>
      </c>
      <c r="M771" t="str">
        <f>VLOOKUP(D771,State_Lookup!$A$2:$B$28,2,FALSE)</f>
        <v>Distrito Federal</v>
      </c>
    </row>
    <row r="772" spans="1:13" x14ac:dyDescent="0.45">
      <c r="A772" t="s">
        <v>1071</v>
      </c>
      <c r="B772" t="s">
        <v>1068</v>
      </c>
      <c r="C772" t="s">
        <v>1039</v>
      </c>
      <c r="D772" t="s">
        <v>17</v>
      </c>
      <c r="E772" t="s">
        <v>110</v>
      </c>
      <c r="F772">
        <v>1</v>
      </c>
      <c r="G772">
        <v>54.9</v>
      </c>
      <c r="H772">
        <v>19.87</v>
      </c>
      <c r="I772" t="s">
        <v>44</v>
      </c>
      <c r="J772">
        <v>8</v>
      </c>
      <c r="K772" t="s">
        <v>51</v>
      </c>
      <c r="L772">
        <v>5</v>
      </c>
      <c r="M772" t="str">
        <f>VLOOKUP(D772,State_Lookup!$A$2:$B$28,2,FALSE)</f>
        <v>Rio de Janeiro</v>
      </c>
    </row>
    <row r="773" spans="1:13" x14ac:dyDescent="0.45">
      <c r="A773" t="s">
        <v>1072</v>
      </c>
      <c r="B773" t="s">
        <v>1068</v>
      </c>
      <c r="C773" t="s">
        <v>1039</v>
      </c>
      <c r="D773" t="s">
        <v>19</v>
      </c>
      <c r="E773" t="s">
        <v>110</v>
      </c>
      <c r="F773">
        <v>2</v>
      </c>
      <c r="G773">
        <v>79.8</v>
      </c>
      <c r="H773">
        <v>32.22</v>
      </c>
      <c r="I773" t="s">
        <v>44</v>
      </c>
      <c r="J773">
        <v>7</v>
      </c>
      <c r="K773" t="s">
        <v>51</v>
      </c>
      <c r="L773">
        <v>4</v>
      </c>
      <c r="M773" t="str">
        <f>VLOOKUP(D773,State_Lookup!$A$2:$B$28,2,FALSE)</f>
        <v>Rio Grande do Sul</v>
      </c>
    </row>
    <row r="774" spans="1:13" x14ac:dyDescent="0.45">
      <c r="A774" t="s">
        <v>1073</v>
      </c>
      <c r="B774" t="s">
        <v>1068</v>
      </c>
      <c r="C774" t="s">
        <v>1039</v>
      </c>
      <c r="D774" t="s">
        <v>16</v>
      </c>
      <c r="E774" t="s">
        <v>148</v>
      </c>
      <c r="F774">
        <v>1</v>
      </c>
      <c r="G774">
        <v>44.99</v>
      </c>
      <c r="H774">
        <v>7.78</v>
      </c>
      <c r="I774" t="s">
        <v>44</v>
      </c>
      <c r="J774">
        <v>2</v>
      </c>
      <c r="K774" t="s">
        <v>51</v>
      </c>
      <c r="L774">
        <v>5</v>
      </c>
      <c r="M774" t="str">
        <f>VLOOKUP(D774,State_Lookup!$A$2:$B$28,2,FALSE)</f>
        <v>Sao Paulo</v>
      </c>
    </row>
    <row r="775" spans="1:13" x14ac:dyDescent="0.45">
      <c r="A775" t="s">
        <v>1074</v>
      </c>
      <c r="B775" t="s">
        <v>1075</v>
      </c>
      <c r="C775" t="s">
        <v>1039</v>
      </c>
      <c r="D775" t="s">
        <v>487</v>
      </c>
      <c r="E775" t="s">
        <v>148</v>
      </c>
      <c r="F775">
        <v>1</v>
      </c>
      <c r="G775">
        <v>129.99</v>
      </c>
      <c r="H775">
        <v>38.46</v>
      </c>
      <c r="I775" t="s">
        <v>44</v>
      </c>
      <c r="J775">
        <v>27</v>
      </c>
      <c r="K775" t="s">
        <v>51</v>
      </c>
      <c r="L775">
        <v>5</v>
      </c>
      <c r="M775" t="str">
        <f>VLOOKUP(D775,State_Lookup!$A$2:$B$28,2,FALSE)</f>
        <v>Rio Grande do Norte</v>
      </c>
    </row>
    <row r="776" spans="1:13" x14ac:dyDescent="0.45">
      <c r="A776" t="s">
        <v>1076</v>
      </c>
      <c r="B776" t="s">
        <v>1075</v>
      </c>
      <c r="C776" t="s">
        <v>1039</v>
      </c>
      <c r="D776" t="s">
        <v>18</v>
      </c>
      <c r="E776" t="s">
        <v>152</v>
      </c>
      <c r="F776">
        <v>1</v>
      </c>
      <c r="G776">
        <v>139.9</v>
      </c>
      <c r="H776">
        <v>78</v>
      </c>
      <c r="I776" t="s">
        <v>44</v>
      </c>
      <c r="J776">
        <v>12</v>
      </c>
      <c r="K776" t="s">
        <v>51</v>
      </c>
      <c r="L776">
        <v>5</v>
      </c>
      <c r="M776" t="str">
        <f>VLOOKUP(D776,State_Lookup!$A$2:$B$28,2,FALSE)</f>
        <v>Minas Gerais</v>
      </c>
    </row>
    <row r="777" spans="1:13" x14ac:dyDescent="0.45">
      <c r="A777" t="s">
        <v>1077</v>
      </c>
      <c r="B777" t="s">
        <v>1075</v>
      </c>
      <c r="C777" t="s">
        <v>1039</v>
      </c>
      <c r="D777" t="s">
        <v>18</v>
      </c>
      <c r="E777" t="s">
        <v>110</v>
      </c>
      <c r="F777">
        <v>1</v>
      </c>
      <c r="G777">
        <v>220</v>
      </c>
      <c r="H777">
        <v>16.29</v>
      </c>
      <c r="I777" t="s">
        <v>44</v>
      </c>
      <c r="J777">
        <v>15</v>
      </c>
      <c r="K777" t="s">
        <v>51</v>
      </c>
      <c r="L777">
        <v>5</v>
      </c>
      <c r="M777" t="str">
        <f>VLOOKUP(D777,State_Lookup!$A$2:$B$28,2,FALSE)</f>
        <v>Minas Gerais</v>
      </c>
    </row>
    <row r="778" spans="1:13" x14ac:dyDescent="0.45">
      <c r="A778" t="s">
        <v>1078</v>
      </c>
      <c r="B778" t="s">
        <v>1075</v>
      </c>
      <c r="C778" t="s">
        <v>1039</v>
      </c>
      <c r="D778" t="s">
        <v>16</v>
      </c>
      <c r="E778" t="s">
        <v>148</v>
      </c>
      <c r="F778">
        <v>1</v>
      </c>
      <c r="G778">
        <v>97</v>
      </c>
      <c r="H778">
        <v>8.42</v>
      </c>
      <c r="I778" t="s">
        <v>44</v>
      </c>
      <c r="J778">
        <v>14</v>
      </c>
      <c r="K778" t="s">
        <v>51</v>
      </c>
      <c r="L778">
        <v>3</v>
      </c>
      <c r="M778" t="str">
        <f>VLOOKUP(D778,State_Lookup!$A$2:$B$28,2,FALSE)</f>
        <v>Sao Paulo</v>
      </c>
    </row>
    <row r="779" spans="1:13" x14ac:dyDescent="0.45">
      <c r="A779" t="s">
        <v>1079</v>
      </c>
      <c r="B779" t="s">
        <v>1075</v>
      </c>
      <c r="C779" t="s">
        <v>1039</v>
      </c>
      <c r="D779" t="s">
        <v>128</v>
      </c>
      <c r="E779" t="s">
        <v>132</v>
      </c>
      <c r="F779">
        <v>1</v>
      </c>
      <c r="G779">
        <v>49.9</v>
      </c>
      <c r="H779">
        <v>25.63</v>
      </c>
      <c r="I779" t="s">
        <v>44</v>
      </c>
      <c r="J779">
        <v>15</v>
      </c>
      <c r="K779" t="s">
        <v>51</v>
      </c>
      <c r="L779">
        <v>5</v>
      </c>
      <c r="M779" t="str">
        <f>VLOOKUP(D779,State_Lookup!$A$2:$B$28,2,FALSE)</f>
        <v>Ceara</v>
      </c>
    </row>
    <row r="780" spans="1:13" x14ac:dyDescent="0.45">
      <c r="A780" t="s">
        <v>1080</v>
      </c>
      <c r="B780" t="s">
        <v>1075</v>
      </c>
      <c r="C780" t="s">
        <v>1039</v>
      </c>
      <c r="D780" t="s">
        <v>20</v>
      </c>
      <c r="E780" t="s">
        <v>148</v>
      </c>
      <c r="F780">
        <v>1</v>
      </c>
      <c r="G780">
        <v>139.9</v>
      </c>
      <c r="H780">
        <v>17.420000000000002</v>
      </c>
      <c r="I780" t="s">
        <v>44</v>
      </c>
      <c r="J780">
        <v>15</v>
      </c>
      <c r="K780" t="s">
        <v>51</v>
      </c>
      <c r="L780">
        <v>4</v>
      </c>
      <c r="M780" t="str">
        <f>VLOOKUP(D780,State_Lookup!$A$2:$B$28,2,FALSE)</f>
        <v>Parana</v>
      </c>
    </row>
    <row r="781" spans="1:13" x14ac:dyDescent="0.45">
      <c r="A781" t="s">
        <v>1081</v>
      </c>
      <c r="B781" t="s">
        <v>1075</v>
      </c>
      <c r="C781" t="s">
        <v>1039</v>
      </c>
      <c r="D781" t="s">
        <v>16</v>
      </c>
      <c r="E781" t="s">
        <v>152</v>
      </c>
      <c r="F781">
        <v>1</v>
      </c>
      <c r="G781">
        <v>102.9</v>
      </c>
      <c r="H781">
        <v>17.97</v>
      </c>
      <c r="I781" t="s">
        <v>133</v>
      </c>
      <c r="J781">
        <v>12</v>
      </c>
      <c r="K781" t="s">
        <v>51</v>
      </c>
      <c r="L781">
        <v>5</v>
      </c>
      <c r="M781" t="str">
        <f>VLOOKUP(D781,State_Lookup!$A$2:$B$28,2,FALSE)</f>
        <v>Sao Paulo</v>
      </c>
    </row>
    <row r="782" spans="1:13" x14ac:dyDescent="0.45">
      <c r="A782" t="s">
        <v>1082</v>
      </c>
      <c r="B782" t="s">
        <v>1083</v>
      </c>
      <c r="C782" t="s">
        <v>1039</v>
      </c>
      <c r="D782" t="s">
        <v>20</v>
      </c>
      <c r="E782" t="s">
        <v>125</v>
      </c>
      <c r="F782">
        <v>1</v>
      </c>
      <c r="G782">
        <v>14.9</v>
      </c>
      <c r="H782">
        <v>12.48</v>
      </c>
      <c r="I782" t="s">
        <v>50</v>
      </c>
      <c r="J782">
        <v>10</v>
      </c>
      <c r="K782" t="s">
        <v>51</v>
      </c>
      <c r="L782">
        <v>5</v>
      </c>
      <c r="M782" t="str">
        <f>VLOOKUP(D782,State_Lookup!$A$2:$B$28,2,FALSE)</f>
        <v>Parana</v>
      </c>
    </row>
    <row r="783" spans="1:13" x14ac:dyDescent="0.45">
      <c r="A783" t="s">
        <v>1084</v>
      </c>
      <c r="B783" t="s">
        <v>1083</v>
      </c>
      <c r="C783" t="s">
        <v>1039</v>
      </c>
      <c r="D783" t="s">
        <v>16</v>
      </c>
      <c r="E783" t="s">
        <v>157</v>
      </c>
      <c r="F783">
        <v>1</v>
      </c>
      <c r="G783">
        <v>129</v>
      </c>
      <c r="H783">
        <v>8.16</v>
      </c>
      <c r="I783" t="s">
        <v>44</v>
      </c>
      <c r="J783">
        <v>4</v>
      </c>
      <c r="K783" t="s">
        <v>51</v>
      </c>
      <c r="L783">
        <v>5</v>
      </c>
      <c r="M783" t="str">
        <f>VLOOKUP(D783,State_Lookup!$A$2:$B$28,2,FALSE)</f>
        <v>Sao Paulo</v>
      </c>
    </row>
    <row r="784" spans="1:13" x14ac:dyDescent="0.45">
      <c r="A784" t="s">
        <v>1085</v>
      </c>
      <c r="B784" t="s">
        <v>1083</v>
      </c>
      <c r="C784" t="s">
        <v>1039</v>
      </c>
      <c r="D784" t="s">
        <v>22</v>
      </c>
      <c r="E784" t="s">
        <v>107</v>
      </c>
      <c r="F784">
        <v>1</v>
      </c>
      <c r="G784">
        <v>45</v>
      </c>
      <c r="H784">
        <v>16.79</v>
      </c>
      <c r="I784" t="s">
        <v>44</v>
      </c>
      <c r="J784">
        <v>19</v>
      </c>
      <c r="K784" t="s">
        <v>51</v>
      </c>
      <c r="L784">
        <v>3</v>
      </c>
      <c r="M784" t="str">
        <f>VLOOKUP(D784,State_Lookup!$A$2:$B$28,2,FALSE)</f>
        <v>Bahia</v>
      </c>
    </row>
    <row r="785" spans="1:13" x14ac:dyDescent="0.45">
      <c r="A785" t="s">
        <v>1086</v>
      </c>
      <c r="B785" t="s">
        <v>1083</v>
      </c>
      <c r="C785" t="s">
        <v>1039</v>
      </c>
      <c r="D785" t="s">
        <v>16</v>
      </c>
      <c r="E785" t="s">
        <v>110</v>
      </c>
      <c r="F785">
        <v>1</v>
      </c>
      <c r="G785">
        <v>79.989999999999995</v>
      </c>
      <c r="H785">
        <v>11.76</v>
      </c>
      <c r="I785" t="s">
        <v>44</v>
      </c>
      <c r="J785">
        <v>4</v>
      </c>
      <c r="K785" t="s">
        <v>51</v>
      </c>
      <c r="L785">
        <v>5</v>
      </c>
      <c r="M785" t="str">
        <f>VLOOKUP(D785,State_Lookup!$A$2:$B$28,2,FALSE)</f>
        <v>Sao Paulo</v>
      </c>
    </row>
    <row r="786" spans="1:13" x14ac:dyDescent="0.45">
      <c r="A786" t="s">
        <v>1087</v>
      </c>
      <c r="B786" t="s">
        <v>1083</v>
      </c>
      <c r="C786" t="s">
        <v>1039</v>
      </c>
      <c r="D786" t="s">
        <v>16</v>
      </c>
      <c r="E786" t="s">
        <v>110</v>
      </c>
      <c r="F786">
        <v>1</v>
      </c>
      <c r="G786">
        <v>49.95</v>
      </c>
      <c r="H786">
        <v>11.85</v>
      </c>
      <c r="I786" t="s">
        <v>44</v>
      </c>
      <c r="J786">
        <v>14</v>
      </c>
      <c r="K786" t="s">
        <v>51</v>
      </c>
      <c r="M786" t="str">
        <f>VLOOKUP(D786,State_Lookup!$A$2:$B$28,2,FALSE)</f>
        <v>Sao Paulo</v>
      </c>
    </row>
    <row r="787" spans="1:13" x14ac:dyDescent="0.45">
      <c r="A787" t="s">
        <v>1088</v>
      </c>
      <c r="B787" t="s">
        <v>1083</v>
      </c>
      <c r="C787" t="s">
        <v>1039</v>
      </c>
      <c r="D787" t="s">
        <v>18</v>
      </c>
      <c r="E787" t="s">
        <v>110</v>
      </c>
      <c r="F787">
        <v>1</v>
      </c>
      <c r="G787">
        <v>99.9</v>
      </c>
      <c r="H787">
        <v>16.46</v>
      </c>
      <c r="I787" t="s">
        <v>44</v>
      </c>
      <c r="J787">
        <v>12</v>
      </c>
      <c r="K787" t="s">
        <v>51</v>
      </c>
      <c r="L787">
        <v>5</v>
      </c>
      <c r="M787" t="str">
        <f>VLOOKUP(D787,State_Lookup!$A$2:$B$28,2,FALSE)</f>
        <v>Minas Gerais</v>
      </c>
    </row>
    <row r="788" spans="1:13" x14ac:dyDescent="0.45">
      <c r="A788" t="s">
        <v>1089</v>
      </c>
      <c r="B788" t="s">
        <v>1083</v>
      </c>
      <c r="C788" t="s">
        <v>1039</v>
      </c>
      <c r="D788" t="s">
        <v>16</v>
      </c>
      <c r="E788" t="s">
        <v>110</v>
      </c>
      <c r="F788">
        <v>1</v>
      </c>
      <c r="G788">
        <v>24.9</v>
      </c>
      <c r="H788">
        <v>11.85</v>
      </c>
      <c r="I788" t="s">
        <v>50</v>
      </c>
      <c r="J788">
        <v>19</v>
      </c>
      <c r="K788" t="s">
        <v>51</v>
      </c>
      <c r="L788">
        <v>5</v>
      </c>
      <c r="M788" t="str">
        <f>VLOOKUP(D788,State_Lookup!$A$2:$B$28,2,FALSE)</f>
        <v>Sao Paulo</v>
      </c>
    </row>
    <row r="789" spans="1:13" x14ac:dyDescent="0.45">
      <c r="A789" t="s">
        <v>1090</v>
      </c>
      <c r="B789" t="s">
        <v>1091</v>
      </c>
      <c r="C789" t="s">
        <v>1039</v>
      </c>
      <c r="D789" t="s">
        <v>20</v>
      </c>
      <c r="E789" t="s">
        <v>142</v>
      </c>
      <c r="F789">
        <v>2</v>
      </c>
      <c r="G789">
        <v>215.97</v>
      </c>
      <c r="H789">
        <v>31.98</v>
      </c>
      <c r="I789" t="s">
        <v>44</v>
      </c>
      <c r="J789">
        <v>7</v>
      </c>
      <c r="K789" t="s">
        <v>51</v>
      </c>
      <c r="L789">
        <v>4</v>
      </c>
      <c r="M789" t="str">
        <f>VLOOKUP(D789,State_Lookup!$A$2:$B$28,2,FALSE)</f>
        <v>Parana</v>
      </c>
    </row>
    <row r="790" spans="1:13" x14ac:dyDescent="0.45">
      <c r="A790" t="s">
        <v>1092</v>
      </c>
      <c r="B790" t="s">
        <v>1091</v>
      </c>
      <c r="C790" t="s">
        <v>1039</v>
      </c>
      <c r="D790" t="s">
        <v>219</v>
      </c>
      <c r="E790" t="s">
        <v>79</v>
      </c>
      <c r="F790">
        <v>1</v>
      </c>
      <c r="G790">
        <v>258.3</v>
      </c>
      <c r="H790">
        <v>24.13</v>
      </c>
      <c r="I790" t="s">
        <v>44</v>
      </c>
      <c r="J790">
        <v>10</v>
      </c>
      <c r="K790" t="s">
        <v>51</v>
      </c>
      <c r="L790">
        <v>5</v>
      </c>
      <c r="M790" t="str">
        <f>VLOOKUP(D790,State_Lookup!$A$2:$B$28,2,FALSE)</f>
        <v>Rondonia</v>
      </c>
    </row>
    <row r="791" spans="1:13" x14ac:dyDescent="0.45">
      <c r="A791" t="s">
        <v>1093</v>
      </c>
      <c r="B791" t="s">
        <v>1091</v>
      </c>
      <c r="C791" t="s">
        <v>1039</v>
      </c>
      <c r="D791" t="s">
        <v>21</v>
      </c>
      <c r="E791" t="s">
        <v>110</v>
      </c>
      <c r="F791">
        <v>1</v>
      </c>
      <c r="G791">
        <v>79.989999999999995</v>
      </c>
      <c r="H791">
        <v>17.809999999999999</v>
      </c>
      <c r="I791" t="s">
        <v>50</v>
      </c>
      <c r="J791">
        <v>12</v>
      </c>
      <c r="K791" t="s">
        <v>51</v>
      </c>
      <c r="L791">
        <v>5</v>
      </c>
      <c r="M791" t="str">
        <f>VLOOKUP(D791,State_Lookup!$A$2:$B$28,2,FALSE)</f>
        <v>Santa Catarina</v>
      </c>
    </row>
    <row r="792" spans="1:13" x14ac:dyDescent="0.45">
      <c r="A792" t="s">
        <v>1094</v>
      </c>
      <c r="B792" t="s">
        <v>1091</v>
      </c>
      <c r="C792" t="s">
        <v>1039</v>
      </c>
      <c r="D792" t="s">
        <v>16</v>
      </c>
      <c r="E792" t="s">
        <v>199</v>
      </c>
      <c r="F792">
        <v>2</v>
      </c>
      <c r="G792">
        <v>196</v>
      </c>
      <c r="H792">
        <v>36.770000000000003</v>
      </c>
      <c r="I792" t="s">
        <v>50</v>
      </c>
      <c r="J792">
        <v>4</v>
      </c>
      <c r="K792" t="s">
        <v>51</v>
      </c>
      <c r="L792">
        <v>5</v>
      </c>
      <c r="M792" t="str">
        <f>VLOOKUP(D792,State_Lookup!$A$2:$B$28,2,FALSE)</f>
        <v>Sao Paulo</v>
      </c>
    </row>
    <row r="793" spans="1:13" x14ac:dyDescent="0.45">
      <c r="A793" t="s">
        <v>1095</v>
      </c>
      <c r="B793" t="s">
        <v>1091</v>
      </c>
      <c r="C793" t="s">
        <v>1039</v>
      </c>
      <c r="D793" t="s">
        <v>16</v>
      </c>
      <c r="E793" t="s">
        <v>148</v>
      </c>
      <c r="F793">
        <v>1</v>
      </c>
      <c r="G793">
        <v>69.989999999999995</v>
      </c>
      <c r="H793">
        <v>11.73</v>
      </c>
      <c r="I793" t="s">
        <v>44</v>
      </c>
      <c r="J793">
        <v>6</v>
      </c>
      <c r="K793" t="s">
        <v>51</v>
      </c>
      <c r="L793">
        <v>3</v>
      </c>
      <c r="M793" t="str">
        <f>VLOOKUP(D793,State_Lookup!$A$2:$B$28,2,FALSE)</f>
        <v>Sao Paulo</v>
      </c>
    </row>
    <row r="794" spans="1:13" x14ac:dyDescent="0.45">
      <c r="A794" t="s">
        <v>1096</v>
      </c>
      <c r="B794" t="s">
        <v>1097</v>
      </c>
      <c r="C794" t="s">
        <v>1039</v>
      </c>
      <c r="D794" t="s">
        <v>21</v>
      </c>
      <c r="E794" t="s">
        <v>186</v>
      </c>
      <c r="F794">
        <v>1</v>
      </c>
      <c r="G794">
        <v>49.9</v>
      </c>
      <c r="H794">
        <v>16.16</v>
      </c>
      <c r="I794" t="s">
        <v>44</v>
      </c>
      <c r="J794">
        <v>4</v>
      </c>
      <c r="K794" t="s">
        <v>51</v>
      </c>
      <c r="L794">
        <v>5</v>
      </c>
      <c r="M794" t="str">
        <f>VLOOKUP(D794,State_Lookup!$A$2:$B$28,2,FALSE)</f>
        <v>Santa Catarina</v>
      </c>
    </row>
    <row r="795" spans="1:13" x14ac:dyDescent="0.45">
      <c r="A795" t="s">
        <v>1098</v>
      </c>
      <c r="B795" t="s">
        <v>1097</v>
      </c>
      <c r="C795" t="s">
        <v>1039</v>
      </c>
      <c r="D795" t="s">
        <v>16</v>
      </c>
      <c r="E795" t="s">
        <v>125</v>
      </c>
      <c r="F795">
        <v>1</v>
      </c>
      <c r="G795">
        <v>12.9</v>
      </c>
      <c r="H795">
        <v>12.48</v>
      </c>
      <c r="I795" t="s">
        <v>50</v>
      </c>
      <c r="J795">
        <v>16</v>
      </c>
      <c r="K795" t="s">
        <v>51</v>
      </c>
      <c r="L795">
        <v>5</v>
      </c>
      <c r="M795" t="str">
        <f>VLOOKUP(D795,State_Lookup!$A$2:$B$28,2,FALSE)</f>
        <v>Sao Paulo</v>
      </c>
    </row>
    <row r="796" spans="1:13" x14ac:dyDescent="0.45">
      <c r="A796" t="s">
        <v>1099</v>
      </c>
      <c r="B796" t="s">
        <v>1097</v>
      </c>
      <c r="C796" t="s">
        <v>1039</v>
      </c>
      <c r="D796" t="s">
        <v>16</v>
      </c>
      <c r="E796" t="s">
        <v>66</v>
      </c>
      <c r="F796">
        <v>1</v>
      </c>
      <c r="G796">
        <v>25.99</v>
      </c>
      <c r="H796">
        <v>7.78</v>
      </c>
      <c r="I796" t="s">
        <v>50</v>
      </c>
      <c r="J796">
        <v>2</v>
      </c>
      <c r="K796" t="s">
        <v>51</v>
      </c>
      <c r="L796">
        <v>5</v>
      </c>
      <c r="M796" t="str">
        <f>VLOOKUP(D796,State_Lookup!$A$2:$B$28,2,FALSE)</f>
        <v>Sao Paulo</v>
      </c>
    </row>
    <row r="797" spans="1:13" x14ac:dyDescent="0.45">
      <c r="A797" t="s">
        <v>1100</v>
      </c>
      <c r="B797" t="s">
        <v>1097</v>
      </c>
      <c r="C797" t="s">
        <v>1039</v>
      </c>
      <c r="D797" t="s">
        <v>19</v>
      </c>
      <c r="E797" t="s">
        <v>53</v>
      </c>
      <c r="F797">
        <v>1</v>
      </c>
      <c r="G797">
        <v>138.9</v>
      </c>
      <c r="H797">
        <v>13.99</v>
      </c>
      <c r="I797" t="s">
        <v>44</v>
      </c>
      <c r="J797">
        <v>5</v>
      </c>
      <c r="K797" t="s">
        <v>51</v>
      </c>
      <c r="L797">
        <v>5</v>
      </c>
      <c r="M797" t="str">
        <f>VLOOKUP(D797,State_Lookup!$A$2:$B$28,2,FALSE)</f>
        <v>Rio Grande do Sul</v>
      </c>
    </row>
    <row r="798" spans="1:13" x14ac:dyDescent="0.45">
      <c r="A798" t="s">
        <v>1101</v>
      </c>
      <c r="B798" t="s">
        <v>1097</v>
      </c>
      <c r="C798" t="s">
        <v>1039</v>
      </c>
      <c r="D798" t="s">
        <v>18</v>
      </c>
      <c r="E798" t="s">
        <v>142</v>
      </c>
      <c r="F798">
        <v>1</v>
      </c>
      <c r="G798">
        <v>149.9</v>
      </c>
      <c r="H798">
        <v>18.3</v>
      </c>
      <c r="I798" t="s">
        <v>44</v>
      </c>
      <c r="J798">
        <v>15</v>
      </c>
      <c r="K798" t="s">
        <v>51</v>
      </c>
      <c r="L798">
        <v>5</v>
      </c>
      <c r="M798" t="str">
        <f>VLOOKUP(D798,State_Lookup!$A$2:$B$28,2,FALSE)</f>
        <v>Minas Gerais</v>
      </c>
    </row>
    <row r="799" spans="1:13" x14ac:dyDescent="0.45">
      <c r="A799" t="s">
        <v>1102</v>
      </c>
      <c r="B799" t="s">
        <v>1097</v>
      </c>
      <c r="C799" t="s">
        <v>1039</v>
      </c>
      <c r="D799" t="s">
        <v>63</v>
      </c>
      <c r="E799" t="s">
        <v>110</v>
      </c>
      <c r="F799">
        <v>1</v>
      </c>
      <c r="G799">
        <v>24.9</v>
      </c>
      <c r="H799">
        <v>25.63</v>
      </c>
      <c r="I799" t="s">
        <v>44</v>
      </c>
      <c r="J799">
        <v>26</v>
      </c>
      <c r="K799" t="s">
        <v>51</v>
      </c>
      <c r="L799">
        <v>4</v>
      </c>
      <c r="M799" t="str">
        <f>VLOOKUP(D799,State_Lookup!$A$2:$B$28,2,FALSE)</f>
        <v>Pernambuco</v>
      </c>
    </row>
    <row r="800" spans="1:13" x14ac:dyDescent="0.45">
      <c r="A800" t="s">
        <v>1103</v>
      </c>
      <c r="B800" t="s">
        <v>1097</v>
      </c>
      <c r="C800" t="s">
        <v>1039</v>
      </c>
      <c r="D800" t="s">
        <v>20</v>
      </c>
      <c r="E800" t="s">
        <v>79</v>
      </c>
      <c r="F800">
        <v>1</v>
      </c>
      <c r="G800">
        <v>104.99</v>
      </c>
      <c r="H800">
        <v>14.46</v>
      </c>
      <c r="I800" t="s">
        <v>44</v>
      </c>
      <c r="J800">
        <v>7</v>
      </c>
      <c r="K800" t="s">
        <v>51</v>
      </c>
      <c r="L800">
        <v>5</v>
      </c>
      <c r="M800" t="str">
        <f>VLOOKUP(D800,State_Lookup!$A$2:$B$28,2,FALSE)</f>
        <v>Parana</v>
      </c>
    </row>
    <row r="801" spans="1:13" x14ac:dyDescent="0.45">
      <c r="A801" t="s">
        <v>1104</v>
      </c>
      <c r="B801" t="s">
        <v>1105</v>
      </c>
      <c r="C801" t="s">
        <v>1039</v>
      </c>
      <c r="D801" t="s">
        <v>16</v>
      </c>
      <c r="E801" t="s">
        <v>49</v>
      </c>
      <c r="F801">
        <v>1</v>
      </c>
      <c r="G801">
        <v>99.9</v>
      </c>
      <c r="H801">
        <v>38.119999999999997</v>
      </c>
      <c r="I801" t="s">
        <v>50</v>
      </c>
      <c r="J801">
        <v>8</v>
      </c>
      <c r="K801" t="s">
        <v>51</v>
      </c>
      <c r="L801">
        <v>4</v>
      </c>
      <c r="M801" t="str">
        <f>VLOOKUP(D801,State_Lookup!$A$2:$B$28,2,FALSE)</f>
        <v>Sao Paulo</v>
      </c>
    </row>
    <row r="802" spans="1:13" x14ac:dyDescent="0.45">
      <c r="A802" t="s">
        <v>1106</v>
      </c>
      <c r="B802" t="s">
        <v>1105</v>
      </c>
      <c r="C802" t="s">
        <v>1039</v>
      </c>
      <c r="D802" t="s">
        <v>16</v>
      </c>
      <c r="E802" t="s">
        <v>220</v>
      </c>
      <c r="F802">
        <v>1</v>
      </c>
      <c r="G802">
        <v>199.97</v>
      </c>
      <c r="H802">
        <v>36.909999999999997</v>
      </c>
      <c r="I802" t="s">
        <v>44</v>
      </c>
      <c r="J802">
        <v>15</v>
      </c>
      <c r="K802" t="s">
        <v>51</v>
      </c>
      <c r="L802">
        <v>5</v>
      </c>
      <c r="M802" t="str">
        <f>VLOOKUP(D802,State_Lookup!$A$2:$B$28,2,FALSE)</f>
        <v>Sao Paulo</v>
      </c>
    </row>
    <row r="803" spans="1:13" x14ac:dyDescent="0.45">
      <c r="A803" t="s">
        <v>1107</v>
      </c>
      <c r="B803" t="s">
        <v>1105</v>
      </c>
      <c r="C803" t="s">
        <v>1039</v>
      </c>
      <c r="D803" t="s">
        <v>17</v>
      </c>
      <c r="E803" t="s">
        <v>148</v>
      </c>
      <c r="F803">
        <v>1</v>
      </c>
      <c r="G803">
        <v>87.99</v>
      </c>
      <c r="H803">
        <v>17.87</v>
      </c>
      <c r="I803" t="s">
        <v>50</v>
      </c>
      <c r="J803">
        <v>7</v>
      </c>
      <c r="K803" t="s">
        <v>51</v>
      </c>
      <c r="L803">
        <v>5</v>
      </c>
      <c r="M803" t="str">
        <f>VLOOKUP(D803,State_Lookup!$A$2:$B$28,2,FALSE)</f>
        <v>Rio de Janeiro</v>
      </c>
    </row>
    <row r="804" spans="1:13" x14ac:dyDescent="0.45">
      <c r="A804" t="s">
        <v>1108</v>
      </c>
      <c r="B804" t="s">
        <v>1105</v>
      </c>
      <c r="C804" t="s">
        <v>1039</v>
      </c>
      <c r="D804" t="s">
        <v>23</v>
      </c>
      <c r="E804" t="s">
        <v>66</v>
      </c>
      <c r="F804">
        <v>1</v>
      </c>
      <c r="G804">
        <v>28.99</v>
      </c>
      <c r="H804">
        <v>15.1</v>
      </c>
      <c r="I804" t="s">
        <v>50</v>
      </c>
      <c r="J804">
        <v>21</v>
      </c>
      <c r="K804" t="s">
        <v>51</v>
      </c>
      <c r="L804">
        <v>5</v>
      </c>
      <c r="M804" t="str">
        <f>VLOOKUP(D804,State_Lookup!$A$2:$B$28,2,FALSE)</f>
        <v>Espirito Santo</v>
      </c>
    </row>
    <row r="805" spans="1:13" x14ac:dyDescent="0.45">
      <c r="A805" t="s">
        <v>1109</v>
      </c>
      <c r="B805" t="s">
        <v>1105</v>
      </c>
      <c r="C805" t="s">
        <v>1039</v>
      </c>
      <c r="D805" t="s">
        <v>16</v>
      </c>
      <c r="E805" t="s">
        <v>103</v>
      </c>
      <c r="F805">
        <v>1</v>
      </c>
      <c r="G805">
        <v>9.99</v>
      </c>
      <c r="H805">
        <v>11.73</v>
      </c>
      <c r="I805" t="s">
        <v>44</v>
      </c>
      <c r="J805">
        <v>2</v>
      </c>
      <c r="K805" t="s">
        <v>51</v>
      </c>
      <c r="L805">
        <v>5</v>
      </c>
      <c r="M805" t="str">
        <f>VLOOKUP(D805,State_Lookup!$A$2:$B$28,2,FALSE)</f>
        <v>Sao Paulo</v>
      </c>
    </row>
    <row r="806" spans="1:13" x14ac:dyDescent="0.45">
      <c r="A806" t="s">
        <v>1110</v>
      </c>
      <c r="B806" t="s">
        <v>1105</v>
      </c>
      <c r="C806" t="s">
        <v>1039</v>
      </c>
      <c r="D806" t="s">
        <v>25</v>
      </c>
      <c r="E806" t="s">
        <v>662</v>
      </c>
      <c r="F806">
        <v>2</v>
      </c>
      <c r="G806">
        <v>179.8</v>
      </c>
      <c r="H806">
        <v>30.76</v>
      </c>
      <c r="I806" t="s">
        <v>44</v>
      </c>
      <c r="J806">
        <v>21</v>
      </c>
      <c r="K806" t="s">
        <v>51</v>
      </c>
      <c r="L806">
        <v>5</v>
      </c>
      <c r="M806" t="str">
        <f>VLOOKUP(D806,State_Lookup!$A$2:$B$28,2,FALSE)</f>
        <v>Goias</v>
      </c>
    </row>
    <row r="807" spans="1:13" x14ac:dyDescent="0.45">
      <c r="A807" t="s">
        <v>1111</v>
      </c>
      <c r="B807" t="s">
        <v>1112</v>
      </c>
      <c r="C807" t="s">
        <v>1039</v>
      </c>
      <c r="D807" t="s">
        <v>20</v>
      </c>
      <c r="E807" t="s">
        <v>148</v>
      </c>
      <c r="F807">
        <v>1</v>
      </c>
      <c r="G807">
        <v>75</v>
      </c>
      <c r="H807">
        <v>15.28</v>
      </c>
      <c r="I807" t="s">
        <v>44</v>
      </c>
      <c r="J807">
        <v>14</v>
      </c>
      <c r="K807" t="s">
        <v>51</v>
      </c>
      <c r="L807">
        <v>5</v>
      </c>
      <c r="M807" t="str">
        <f>VLOOKUP(D807,State_Lookup!$A$2:$B$28,2,FALSE)</f>
        <v>Parana</v>
      </c>
    </row>
    <row r="808" spans="1:13" x14ac:dyDescent="0.45">
      <c r="A808" t="s">
        <v>1113</v>
      </c>
      <c r="B808" t="s">
        <v>1112</v>
      </c>
      <c r="C808" t="s">
        <v>1039</v>
      </c>
      <c r="D808" t="s">
        <v>18</v>
      </c>
      <c r="E808" t="s">
        <v>69</v>
      </c>
      <c r="F808">
        <v>1</v>
      </c>
      <c r="G808">
        <v>469</v>
      </c>
      <c r="H808">
        <v>29.82</v>
      </c>
      <c r="I808" t="s">
        <v>50</v>
      </c>
      <c r="J808">
        <v>14</v>
      </c>
      <c r="K808" t="s">
        <v>51</v>
      </c>
      <c r="L808">
        <v>5</v>
      </c>
      <c r="M808" t="str">
        <f>VLOOKUP(D808,State_Lookup!$A$2:$B$28,2,FALSE)</f>
        <v>Minas Gerais</v>
      </c>
    </row>
    <row r="809" spans="1:13" x14ac:dyDescent="0.45">
      <c r="A809" t="s">
        <v>1114</v>
      </c>
      <c r="B809" t="s">
        <v>1112</v>
      </c>
      <c r="C809" t="s">
        <v>1039</v>
      </c>
      <c r="D809" t="s">
        <v>63</v>
      </c>
      <c r="E809" t="s">
        <v>244</v>
      </c>
      <c r="F809">
        <v>1</v>
      </c>
      <c r="G809">
        <v>139</v>
      </c>
      <c r="H809">
        <v>29.37</v>
      </c>
      <c r="I809" t="s">
        <v>44</v>
      </c>
      <c r="J809">
        <v>28</v>
      </c>
      <c r="K809" t="s">
        <v>51</v>
      </c>
      <c r="L809">
        <v>2</v>
      </c>
      <c r="M809" t="str">
        <f>VLOOKUP(D809,State_Lookup!$A$2:$B$28,2,FALSE)</f>
        <v>Pernambuco</v>
      </c>
    </row>
    <row r="810" spans="1:13" x14ac:dyDescent="0.45">
      <c r="A810" t="s">
        <v>1115</v>
      </c>
      <c r="B810" t="s">
        <v>1112</v>
      </c>
      <c r="C810" t="s">
        <v>1039</v>
      </c>
      <c r="D810" t="s">
        <v>20</v>
      </c>
      <c r="E810" t="s">
        <v>142</v>
      </c>
      <c r="F810">
        <v>1</v>
      </c>
      <c r="G810">
        <v>59.9</v>
      </c>
      <c r="H810">
        <v>14.15</v>
      </c>
      <c r="I810" t="s">
        <v>44</v>
      </c>
      <c r="J810">
        <v>7</v>
      </c>
      <c r="K810" t="s">
        <v>51</v>
      </c>
      <c r="L810">
        <v>5</v>
      </c>
      <c r="M810" t="str">
        <f>VLOOKUP(D810,State_Lookup!$A$2:$B$28,2,FALSE)</f>
        <v>Parana</v>
      </c>
    </row>
    <row r="811" spans="1:13" x14ac:dyDescent="0.45">
      <c r="A811" t="s">
        <v>1116</v>
      </c>
      <c r="B811" t="s">
        <v>1112</v>
      </c>
      <c r="C811" t="s">
        <v>1039</v>
      </c>
      <c r="D811" t="s">
        <v>16</v>
      </c>
      <c r="E811" t="s">
        <v>148</v>
      </c>
      <c r="F811">
        <v>1</v>
      </c>
      <c r="G811">
        <v>129.99</v>
      </c>
      <c r="H811">
        <v>13.93</v>
      </c>
      <c r="I811" t="s">
        <v>44</v>
      </c>
      <c r="J811">
        <v>8</v>
      </c>
      <c r="K811" t="s">
        <v>51</v>
      </c>
      <c r="L811">
        <v>5</v>
      </c>
      <c r="M811" t="str">
        <f>VLOOKUP(D811,State_Lookup!$A$2:$B$28,2,FALSE)</f>
        <v>Sao Paulo</v>
      </c>
    </row>
    <row r="812" spans="1:13" x14ac:dyDescent="0.45">
      <c r="A812" t="s">
        <v>1117</v>
      </c>
      <c r="B812" t="s">
        <v>1112</v>
      </c>
      <c r="C812" t="s">
        <v>1039</v>
      </c>
      <c r="D812" t="s">
        <v>194</v>
      </c>
      <c r="E812" t="s">
        <v>69</v>
      </c>
      <c r="F812">
        <v>1</v>
      </c>
      <c r="G812">
        <v>179.9</v>
      </c>
      <c r="H812">
        <v>17.02</v>
      </c>
      <c r="I812" t="s">
        <v>50</v>
      </c>
      <c r="J812">
        <v>8</v>
      </c>
      <c r="K812" t="s">
        <v>51</v>
      </c>
      <c r="L812">
        <v>5</v>
      </c>
      <c r="M812" t="str">
        <f>VLOOKUP(D812,State_Lookup!$A$2:$B$28,2,FALSE)</f>
        <v>Mato Grosso do Sul</v>
      </c>
    </row>
    <row r="813" spans="1:13" x14ac:dyDescent="0.45">
      <c r="A813" t="s">
        <v>1118</v>
      </c>
      <c r="B813" t="s">
        <v>1112</v>
      </c>
      <c r="C813" t="s">
        <v>1039</v>
      </c>
      <c r="D813" t="s">
        <v>16</v>
      </c>
      <c r="E813" t="s">
        <v>142</v>
      </c>
      <c r="F813">
        <v>1</v>
      </c>
      <c r="G813">
        <v>69.900000000000006</v>
      </c>
      <c r="H813">
        <v>16.739999999999998</v>
      </c>
      <c r="I813" t="s">
        <v>50</v>
      </c>
      <c r="J813">
        <v>8</v>
      </c>
      <c r="K813" t="s">
        <v>51</v>
      </c>
      <c r="L813">
        <v>4</v>
      </c>
      <c r="M813" t="str">
        <f>VLOOKUP(D813,State_Lookup!$A$2:$B$28,2,FALSE)</f>
        <v>Sao Paulo</v>
      </c>
    </row>
    <row r="814" spans="1:13" x14ac:dyDescent="0.45">
      <c r="A814" t="s">
        <v>1119</v>
      </c>
      <c r="B814" t="s">
        <v>1112</v>
      </c>
      <c r="C814" t="s">
        <v>1039</v>
      </c>
      <c r="D814" t="s">
        <v>194</v>
      </c>
      <c r="E814" t="s">
        <v>100</v>
      </c>
      <c r="F814">
        <v>1</v>
      </c>
      <c r="G814">
        <v>16.989999999999998</v>
      </c>
      <c r="H814">
        <v>16.79</v>
      </c>
      <c r="I814" t="s">
        <v>44</v>
      </c>
      <c r="J814">
        <v>12</v>
      </c>
      <c r="K814" t="s">
        <v>51</v>
      </c>
      <c r="L814">
        <v>5</v>
      </c>
      <c r="M814" t="str">
        <f>VLOOKUP(D814,State_Lookup!$A$2:$B$28,2,FALSE)</f>
        <v>Mato Grosso do Sul</v>
      </c>
    </row>
    <row r="815" spans="1:13" x14ac:dyDescent="0.45">
      <c r="A815" t="s">
        <v>1120</v>
      </c>
      <c r="B815" t="s">
        <v>1112</v>
      </c>
      <c r="C815" t="s">
        <v>1039</v>
      </c>
      <c r="D815" t="s">
        <v>16</v>
      </c>
      <c r="E815" t="s">
        <v>110</v>
      </c>
      <c r="F815">
        <v>1</v>
      </c>
      <c r="G815">
        <v>69.900000000000006</v>
      </c>
      <c r="H815">
        <v>11.99</v>
      </c>
      <c r="I815" t="s">
        <v>44</v>
      </c>
      <c r="J815">
        <v>6</v>
      </c>
      <c r="K815" t="s">
        <v>51</v>
      </c>
      <c r="L815">
        <v>4</v>
      </c>
      <c r="M815" t="str">
        <f>VLOOKUP(D815,State_Lookup!$A$2:$B$28,2,FALSE)</f>
        <v>Sao Paulo</v>
      </c>
    </row>
    <row r="816" spans="1:13" x14ac:dyDescent="0.45">
      <c r="A816" t="s">
        <v>1121</v>
      </c>
      <c r="B816" t="s">
        <v>1112</v>
      </c>
      <c r="C816" t="s">
        <v>1039</v>
      </c>
      <c r="D816" t="s">
        <v>16</v>
      </c>
      <c r="E816" t="s">
        <v>157</v>
      </c>
      <c r="F816">
        <v>1</v>
      </c>
      <c r="G816">
        <v>29</v>
      </c>
      <c r="H816">
        <v>7.78</v>
      </c>
      <c r="I816" t="s">
        <v>44</v>
      </c>
      <c r="J816">
        <v>19</v>
      </c>
      <c r="K816" t="s">
        <v>143</v>
      </c>
      <c r="L816">
        <v>3</v>
      </c>
      <c r="M816" t="str">
        <f>VLOOKUP(D816,State_Lookup!$A$2:$B$28,2,FALSE)</f>
        <v>Sao Paulo</v>
      </c>
    </row>
    <row r="817" spans="1:13" x14ac:dyDescent="0.45">
      <c r="A817" t="s">
        <v>1122</v>
      </c>
      <c r="B817" t="s">
        <v>1112</v>
      </c>
      <c r="C817" t="s">
        <v>1039</v>
      </c>
      <c r="D817" t="s">
        <v>19</v>
      </c>
      <c r="E817" t="s">
        <v>220</v>
      </c>
      <c r="F817">
        <v>1</v>
      </c>
      <c r="G817">
        <v>209.99</v>
      </c>
      <c r="H817">
        <v>66.28</v>
      </c>
      <c r="I817" t="s">
        <v>44</v>
      </c>
      <c r="J817">
        <v>19</v>
      </c>
      <c r="K817" t="s">
        <v>51</v>
      </c>
      <c r="L817">
        <v>3</v>
      </c>
      <c r="M817" t="str">
        <f>VLOOKUP(D817,State_Lookup!$A$2:$B$28,2,FALSE)</f>
        <v>Rio Grande do Sul</v>
      </c>
    </row>
    <row r="818" spans="1:13" x14ac:dyDescent="0.45">
      <c r="A818" t="s">
        <v>1123</v>
      </c>
      <c r="B818" t="s">
        <v>1124</v>
      </c>
      <c r="C818" t="s">
        <v>1039</v>
      </c>
      <c r="D818" t="s">
        <v>16</v>
      </c>
      <c r="E818" t="s">
        <v>199</v>
      </c>
      <c r="F818">
        <v>2</v>
      </c>
      <c r="G818">
        <v>118</v>
      </c>
      <c r="H818">
        <v>15.56</v>
      </c>
      <c r="I818" t="s">
        <v>44</v>
      </c>
      <c r="J818">
        <v>1</v>
      </c>
      <c r="K818" t="s">
        <v>51</v>
      </c>
      <c r="L818">
        <v>4</v>
      </c>
      <c r="M818" t="str">
        <f>VLOOKUP(D818,State_Lookup!$A$2:$B$28,2,FALSE)</f>
        <v>Sao Paulo</v>
      </c>
    </row>
    <row r="819" spans="1:13" x14ac:dyDescent="0.45">
      <c r="A819" t="s">
        <v>1125</v>
      </c>
      <c r="B819" t="s">
        <v>1124</v>
      </c>
      <c r="C819" t="s">
        <v>1039</v>
      </c>
      <c r="D819" t="s">
        <v>21</v>
      </c>
      <c r="E819" t="s">
        <v>107</v>
      </c>
      <c r="F819">
        <v>1</v>
      </c>
      <c r="G819">
        <v>44.9</v>
      </c>
      <c r="H819">
        <v>13.5</v>
      </c>
      <c r="I819" t="s">
        <v>44</v>
      </c>
      <c r="J819">
        <v>24</v>
      </c>
      <c r="K819" t="s">
        <v>51</v>
      </c>
      <c r="L819">
        <v>1</v>
      </c>
      <c r="M819" t="str">
        <f>VLOOKUP(D819,State_Lookup!$A$2:$B$28,2,FALSE)</f>
        <v>Santa Catarina</v>
      </c>
    </row>
    <row r="820" spans="1:13" x14ac:dyDescent="0.45">
      <c r="A820" t="s">
        <v>1126</v>
      </c>
      <c r="B820" t="s">
        <v>1124</v>
      </c>
      <c r="C820" t="s">
        <v>1039</v>
      </c>
      <c r="D820" t="s">
        <v>16</v>
      </c>
      <c r="E820" t="s">
        <v>157</v>
      </c>
      <c r="F820">
        <v>1</v>
      </c>
      <c r="G820">
        <v>209.99</v>
      </c>
      <c r="H820">
        <v>13.81</v>
      </c>
      <c r="I820" t="s">
        <v>44</v>
      </c>
      <c r="J820">
        <v>7</v>
      </c>
      <c r="K820" t="s">
        <v>51</v>
      </c>
      <c r="L820">
        <v>5</v>
      </c>
      <c r="M820" t="str">
        <f>VLOOKUP(D820,State_Lookup!$A$2:$B$28,2,FALSE)</f>
        <v>Sao Paulo</v>
      </c>
    </row>
    <row r="821" spans="1:13" x14ac:dyDescent="0.45">
      <c r="A821" t="s">
        <v>1127</v>
      </c>
      <c r="B821" t="s">
        <v>1124</v>
      </c>
      <c r="C821" t="s">
        <v>1039</v>
      </c>
      <c r="D821" t="s">
        <v>22</v>
      </c>
      <c r="E821" t="s">
        <v>49</v>
      </c>
      <c r="F821">
        <v>1</v>
      </c>
      <c r="G821">
        <v>59.99</v>
      </c>
      <c r="H821">
        <v>16.989999999999998</v>
      </c>
      <c r="I821" t="s">
        <v>44</v>
      </c>
      <c r="J821">
        <v>12</v>
      </c>
      <c r="K821" t="s">
        <v>51</v>
      </c>
      <c r="L821">
        <v>5</v>
      </c>
      <c r="M821" t="str">
        <f>VLOOKUP(D821,State_Lookup!$A$2:$B$28,2,FALSE)</f>
        <v>Bahia</v>
      </c>
    </row>
    <row r="822" spans="1:13" x14ac:dyDescent="0.45">
      <c r="A822" t="s">
        <v>1128</v>
      </c>
      <c r="B822" t="s">
        <v>1124</v>
      </c>
      <c r="C822" t="s">
        <v>1039</v>
      </c>
      <c r="D822" t="s">
        <v>21</v>
      </c>
      <c r="E822" t="s">
        <v>79</v>
      </c>
      <c r="F822">
        <v>1</v>
      </c>
      <c r="G822">
        <v>119.9</v>
      </c>
      <c r="H822">
        <v>15.59</v>
      </c>
      <c r="I822" t="s">
        <v>44</v>
      </c>
      <c r="J822">
        <v>23</v>
      </c>
      <c r="K822" t="s">
        <v>143</v>
      </c>
      <c r="L822">
        <v>1</v>
      </c>
      <c r="M822" t="str">
        <f>VLOOKUP(D822,State_Lookup!$A$2:$B$28,2,FALSE)</f>
        <v>Santa Catarina</v>
      </c>
    </row>
    <row r="823" spans="1:13" x14ac:dyDescent="0.45">
      <c r="A823" t="s">
        <v>1129</v>
      </c>
      <c r="B823" t="s">
        <v>1130</v>
      </c>
      <c r="C823" t="s">
        <v>1039</v>
      </c>
      <c r="D823" t="s">
        <v>18</v>
      </c>
      <c r="E823" t="s">
        <v>110</v>
      </c>
      <c r="F823">
        <v>1</v>
      </c>
      <c r="G823">
        <v>205</v>
      </c>
      <c r="H823">
        <v>26.27</v>
      </c>
      <c r="I823" t="s">
        <v>44</v>
      </c>
      <c r="J823">
        <v>11</v>
      </c>
      <c r="K823" t="s">
        <v>51</v>
      </c>
      <c r="L823">
        <v>5</v>
      </c>
      <c r="M823" t="str">
        <f>VLOOKUP(D823,State_Lookup!$A$2:$B$28,2,FALSE)</f>
        <v>Minas Gerais</v>
      </c>
    </row>
    <row r="824" spans="1:13" x14ac:dyDescent="0.45">
      <c r="A824" t="s">
        <v>1131</v>
      </c>
      <c r="B824" t="s">
        <v>1130</v>
      </c>
      <c r="C824" t="s">
        <v>1039</v>
      </c>
      <c r="D824" t="s">
        <v>20</v>
      </c>
      <c r="E824" t="s">
        <v>220</v>
      </c>
      <c r="F824">
        <v>2</v>
      </c>
      <c r="G824">
        <v>399.88</v>
      </c>
      <c r="H824">
        <v>173.12</v>
      </c>
      <c r="I824" t="s">
        <v>44</v>
      </c>
      <c r="J824">
        <v>17</v>
      </c>
      <c r="K824" t="s">
        <v>51</v>
      </c>
      <c r="L824">
        <v>1</v>
      </c>
      <c r="M824" t="str">
        <f>VLOOKUP(D824,State_Lookup!$A$2:$B$28,2,FALSE)</f>
        <v>Parana</v>
      </c>
    </row>
    <row r="825" spans="1:13" x14ac:dyDescent="0.45">
      <c r="A825" t="s">
        <v>1132</v>
      </c>
      <c r="B825" t="s">
        <v>1130</v>
      </c>
      <c r="C825" t="s">
        <v>1039</v>
      </c>
      <c r="D825" t="s">
        <v>16</v>
      </c>
      <c r="E825" t="s">
        <v>110</v>
      </c>
      <c r="F825">
        <v>1</v>
      </c>
      <c r="G825">
        <v>22.9</v>
      </c>
      <c r="H825">
        <v>11.85</v>
      </c>
      <c r="I825" t="s">
        <v>50</v>
      </c>
      <c r="J825">
        <v>12</v>
      </c>
      <c r="K825" t="s">
        <v>51</v>
      </c>
      <c r="L825">
        <v>1</v>
      </c>
      <c r="M825" t="str">
        <f>VLOOKUP(D825,State_Lookup!$A$2:$B$28,2,FALSE)</f>
        <v>Sao Paulo</v>
      </c>
    </row>
    <row r="826" spans="1:13" x14ac:dyDescent="0.45">
      <c r="A826" t="s">
        <v>1133</v>
      </c>
      <c r="B826" t="s">
        <v>1130</v>
      </c>
      <c r="C826" t="s">
        <v>1039</v>
      </c>
      <c r="D826" t="s">
        <v>17</v>
      </c>
      <c r="E826" t="s">
        <v>110</v>
      </c>
      <c r="F826">
        <v>1</v>
      </c>
      <c r="G826">
        <v>27.4</v>
      </c>
      <c r="H826">
        <v>15.1</v>
      </c>
      <c r="I826" t="s">
        <v>44</v>
      </c>
      <c r="J826">
        <v>14</v>
      </c>
      <c r="K826" t="s">
        <v>51</v>
      </c>
      <c r="L826">
        <v>5</v>
      </c>
      <c r="M826" t="str">
        <f>VLOOKUP(D826,State_Lookup!$A$2:$B$28,2,FALSE)</f>
        <v>Rio de Janeiro</v>
      </c>
    </row>
    <row r="827" spans="1:13" x14ac:dyDescent="0.45">
      <c r="A827" t="s">
        <v>1134</v>
      </c>
      <c r="B827" t="s">
        <v>1130</v>
      </c>
      <c r="C827" t="s">
        <v>1039</v>
      </c>
      <c r="D827" t="s">
        <v>16</v>
      </c>
      <c r="E827" t="s">
        <v>244</v>
      </c>
      <c r="F827">
        <v>1</v>
      </c>
      <c r="G827">
        <v>48.9</v>
      </c>
      <c r="H827">
        <v>13.37</v>
      </c>
      <c r="I827" t="s">
        <v>44</v>
      </c>
      <c r="J827">
        <v>6</v>
      </c>
      <c r="K827" t="s">
        <v>51</v>
      </c>
      <c r="L827">
        <v>5</v>
      </c>
      <c r="M827" t="str">
        <f>VLOOKUP(D827,State_Lookup!$A$2:$B$28,2,FALSE)</f>
        <v>Sao Paulo</v>
      </c>
    </row>
    <row r="828" spans="1:13" x14ac:dyDescent="0.45">
      <c r="A828" t="s">
        <v>1135</v>
      </c>
      <c r="B828" t="s">
        <v>1130</v>
      </c>
      <c r="C828" t="s">
        <v>1039</v>
      </c>
      <c r="D828" t="s">
        <v>25</v>
      </c>
      <c r="E828" t="s">
        <v>157</v>
      </c>
      <c r="F828">
        <v>1</v>
      </c>
      <c r="G828">
        <v>49</v>
      </c>
      <c r="H828">
        <v>14.1</v>
      </c>
      <c r="I828" t="s">
        <v>133</v>
      </c>
      <c r="J828">
        <v>7</v>
      </c>
      <c r="K828" t="s">
        <v>51</v>
      </c>
      <c r="L828">
        <v>5</v>
      </c>
      <c r="M828" t="str">
        <f>VLOOKUP(D828,State_Lookup!$A$2:$B$28,2,FALSE)</f>
        <v>Goias</v>
      </c>
    </row>
    <row r="829" spans="1:13" x14ac:dyDescent="0.45">
      <c r="A829" t="s">
        <v>1136</v>
      </c>
      <c r="B829" t="s">
        <v>1130</v>
      </c>
      <c r="C829" t="s">
        <v>1039</v>
      </c>
      <c r="D829" t="s">
        <v>16</v>
      </c>
      <c r="E829" t="s">
        <v>61</v>
      </c>
      <c r="F829">
        <v>1</v>
      </c>
      <c r="G829">
        <v>149</v>
      </c>
      <c r="H829">
        <v>16.48</v>
      </c>
      <c r="I829" t="s">
        <v>50</v>
      </c>
      <c r="J829">
        <v>8</v>
      </c>
      <c r="K829" t="s">
        <v>51</v>
      </c>
      <c r="L829">
        <v>4</v>
      </c>
      <c r="M829" t="str">
        <f>VLOOKUP(D829,State_Lookup!$A$2:$B$28,2,FALSE)</f>
        <v>Sao Paulo</v>
      </c>
    </row>
    <row r="830" spans="1:13" x14ac:dyDescent="0.45">
      <c r="A830" t="s">
        <v>1137</v>
      </c>
      <c r="B830" t="s">
        <v>1138</v>
      </c>
      <c r="C830" t="s">
        <v>1039</v>
      </c>
      <c r="D830" t="s">
        <v>16</v>
      </c>
      <c r="E830" t="s">
        <v>152</v>
      </c>
      <c r="F830">
        <v>1</v>
      </c>
      <c r="G830">
        <v>54.9</v>
      </c>
      <c r="H830">
        <v>13.4</v>
      </c>
      <c r="I830" t="s">
        <v>50</v>
      </c>
      <c r="J830">
        <v>18</v>
      </c>
      <c r="K830" t="s">
        <v>51</v>
      </c>
      <c r="L830">
        <v>5</v>
      </c>
      <c r="M830" t="str">
        <f>VLOOKUP(D830,State_Lookup!$A$2:$B$28,2,FALSE)</f>
        <v>Sao Paulo</v>
      </c>
    </row>
    <row r="831" spans="1:13" x14ac:dyDescent="0.45">
      <c r="A831" t="s">
        <v>1139</v>
      </c>
      <c r="B831" t="s">
        <v>1138</v>
      </c>
      <c r="C831" t="s">
        <v>1039</v>
      </c>
      <c r="D831" t="s">
        <v>17</v>
      </c>
      <c r="E831" t="s">
        <v>110</v>
      </c>
      <c r="F831">
        <v>1</v>
      </c>
      <c r="G831">
        <v>142</v>
      </c>
      <c r="H831">
        <v>15.74</v>
      </c>
      <c r="I831" t="s">
        <v>44</v>
      </c>
      <c r="J831">
        <v>12</v>
      </c>
      <c r="K831" t="s">
        <v>51</v>
      </c>
      <c r="L831">
        <v>5</v>
      </c>
      <c r="M831" t="str">
        <f>VLOOKUP(D831,State_Lookup!$A$2:$B$28,2,FALSE)</f>
        <v>Rio de Janeiro</v>
      </c>
    </row>
    <row r="832" spans="1:13" x14ac:dyDescent="0.45">
      <c r="A832" t="s">
        <v>1140</v>
      </c>
      <c r="B832" t="s">
        <v>1138</v>
      </c>
      <c r="C832" t="s">
        <v>1039</v>
      </c>
      <c r="D832" t="s">
        <v>18</v>
      </c>
      <c r="E832" t="s">
        <v>110</v>
      </c>
      <c r="F832">
        <v>1</v>
      </c>
      <c r="G832">
        <v>29.99</v>
      </c>
      <c r="H832">
        <v>15.1</v>
      </c>
      <c r="I832" t="s">
        <v>44</v>
      </c>
      <c r="J832">
        <v>16</v>
      </c>
      <c r="K832" t="s">
        <v>51</v>
      </c>
      <c r="L832">
        <v>5</v>
      </c>
      <c r="M832" t="str">
        <f>VLOOKUP(D832,State_Lookup!$A$2:$B$28,2,FALSE)</f>
        <v>Minas Gerais</v>
      </c>
    </row>
    <row r="833" spans="1:13" x14ac:dyDescent="0.45">
      <c r="A833" t="s">
        <v>1141</v>
      </c>
      <c r="B833" t="s">
        <v>1138</v>
      </c>
      <c r="C833" t="s">
        <v>1039</v>
      </c>
      <c r="D833" t="s">
        <v>16</v>
      </c>
      <c r="E833" t="s">
        <v>662</v>
      </c>
      <c r="F833">
        <v>1</v>
      </c>
      <c r="G833">
        <v>229</v>
      </c>
      <c r="H833">
        <v>17.23</v>
      </c>
      <c r="I833" t="s">
        <v>50</v>
      </c>
      <c r="J833">
        <v>9</v>
      </c>
      <c r="K833" t="s">
        <v>51</v>
      </c>
      <c r="L833">
        <v>1</v>
      </c>
      <c r="M833" t="str">
        <f>VLOOKUP(D833,State_Lookup!$A$2:$B$28,2,FALSE)</f>
        <v>Sao Paulo</v>
      </c>
    </row>
    <row r="834" spans="1:13" x14ac:dyDescent="0.45">
      <c r="A834" t="s">
        <v>1142</v>
      </c>
      <c r="B834" t="s">
        <v>1143</v>
      </c>
      <c r="C834" t="s">
        <v>1039</v>
      </c>
      <c r="D834" t="s">
        <v>22</v>
      </c>
      <c r="E834" t="s">
        <v>157</v>
      </c>
      <c r="F834">
        <v>1</v>
      </c>
      <c r="G834">
        <v>49</v>
      </c>
      <c r="H834">
        <v>16.79</v>
      </c>
      <c r="I834" t="s">
        <v>44</v>
      </c>
      <c r="J834">
        <v>16</v>
      </c>
      <c r="K834" t="s">
        <v>51</v>
      </c>
      <c r="L834">
        <v>5</v>
      </c>
      <c r="M834" t="str">
        <f>VLOOKUP(D834,State_Lookup!$A$2:$B$28,2,FALSE)</f>
        <v>Bahia</v>
      </c>
    </row>
    <row r="835" spans="1:13" x14ac:dyDescent="0.45">
      <c r="A835" t="s">
        <v>1144</v>
      </c>
      <c r="B835" t="s">
        <v>1143</v>
      </c>
      <c r="C835" t="s">
        <v>1039</v>
      </c>
      <c r="D835" t="s">
        <v>16</v>
      </c>
      <c r="E835" t="s">
        <v>79</v>
      </c>
      <c r="F835">
        <v>1</v>
      </c>
      <c r="G835">
        <v>31.99</v>
      </c>
      <c r="H835">
        <v>11.85</v>
      </c>
      <c r="I835" t="s">
        <v>133</v>
      </c>
      <c r="J835">
        <v>10</v>
      </c>
      <c r="K835" t="s">
        <v>51</v>
      </c>
      <c r="L835">
        <v>5</v>
      </c>
      <c r="M835" t="str">
        <f>VLOOKUP(D835,State_Lookup!$A$2:$B$28,2,FALSE)</f>
        <v>Sao Paulo</v>
      </c>
    </row>
    <row r="836" spans="1:13" x14ac:dyDescent="0.45">
      <c r="A836" t="s">
        <v>1145</v>
      </c>
      <c r="B836" t="s">
        <v>1143</v>
      </c>
      <c r="C836" t="s">
        <v>1039</v>
      </c>
      <c r="D836" t="s">
        <v>16</v>
      </c>
      <c r="E836" t="s">
        <v>110</v>
      </c>
      <c r="F836">
        <v>1</v>
      </c>
      <c r="G836">
        <v>22.9</v>
      </c>
      <c r="H836">
        <v>11.85</v>
      </c>
      <c r="I836" t="s">
        <v>50</v>
      </c>
      <c r="J836">
        <v>12</v>
      </c>
      <c r="K836" t="s">
        <v>51</v>
      </c>
      <c r="L836">
        <v>4</v>
      </c>
      <c r="M836" t="str">
        <f>VLOOKUP(D836,State_Lookup!$A$2:$B$28,2,FALSE)</f>
        <v>Sao Paulo</v>
      </c>
    </row>
    <row r="837" spans="1:13" x14ac:dyDescent="0.45">
      <c r="A837" t="s">
        <v>1146</v>
      </c>
      <c r="B837" t="s">
        <v>1143</v>
      </c>
      <c r="C837" t="s">
        <v>1039</v>
      </c>
      <c r="D837" t="s">
        <v>19</v>
      </c>
      <c r="E837" t="s">
        <v>64</v>
      </c>
      <c r="F837">
        <v>1</v>
      </c>
      <c r="G837">
        <v>56.99</v>
      </c>
      <c r="H837">
        <v>15.15</v>
      </c>
      <c r="I837" t="s">
        <v>50</v>
      </c>
      <c r="J837">
        <v>13</v>
      </c>
      <c r="K837" t="s">
        <v>51</v>
      </c>
      <c r="L837">
        <v>5</v>
      </c>
      <c r="M837" t="str">
        <f>VLOOKUP(D837,State_Lookup!$A$2:$B$28,2,FALSE)</f>
        <v>Rio Grande do Sul</v>
      </c>
    </row>
    <row r="838" spans="1:13" x14ac:dyDescent="0.45">
      <c r="A838" t="s">
        <v>1147</v>
      </c>
      <c r="B838" t="s">
        <v>1143</v>
      </c>
      <c r="C838" t="s">
        <v>1039</v>
      </c>
      <c r="D838" t="s">
        <v>16</v>
      </c>
      <c r="E838" t="s">
        <v>142</v>
      </c>
      <c r="F838">
        <v>1</v>
      </c>
      <c r="G838">
        <v>26</v>
      </c>
      <c r="H838">
        <v>8.27</v>
      </c>
      <c r="I838" t="s">
        <v>44</v>
      </c>
      <c r="J838">
        <v>2</v>
      </c>
      <c r="K838" t="s">
        <v>51</v>
      </c>
      <c r="L838">
        <v>4</v>
      </c>
      <c r="M838" t="str">
        <f>VLOOKUP(D838,State_Lookup!$A$2:$B$28,2,FALSE)</f>
        <v>Sao Paulo</v>
      </c>
    </row>
    <row r="839" spans="1:13" x14ac:dyDescent="0.45">
      <c r="A839" t="s">
        <v>1148</v>
      </c>
      <c r="B839" t="s">
        <v>1149</v>
      </c>
      <c r="C839" t="s">
        <v>1039</v>
      </c>
      <c r="D839" t="s">
        <v>24</v>
      </c>
      <c r="E839" t="s">
        <v>157</v>
      </c>
      <c r="F839">
        <v>1</v>
      </c>
      <c r="G839">
        <v>248</v>
      </c>
      <c r="H839">
        <v>19.02</v>
      </c>
      <c r="I839" t="s">
        <v>44</v>
      </c>
      <c r="J839">
        <v>8</v>
      </c>
      <c r="K839" t="s">
        <v>51</v>
      </c>
      <c r="L839">
        <v>5</v>
      </c>
      <c r="M839" t="str">
        <f>VLOOKUP(D839,State_Lookup!$A$2:$B$28,2,FALSE)</f>
        <v>Distrito Federal</v>
      </c>
    </row>
    <row r="840" spans="1:13" x14ac:dyDescent="0.45">
      <c r="A840" t="s">
        <v>1150</v>
      </c>
      <c r="B840" t="s">
        <v>1149</v>
      </c>
      <c r="C840" t="s">
        <v>1039</v>
      </c>
      <c r="D840" t="s">
        <v>16</v>
      </c>
      <c r="E840" t="s">
        <v>110</v>
      </c>
      <c r="F840">
        <v>1</v>
      </c>
      <c r="G840">
        <v>70.739999999999995</v>
      </c>
      <c r="H840">
        <v>12.84</v>
      </c>
      <c r="I840" t="s">
        <v>44</v>
      </c>
      <c r="J840">
        <v>8</v>
      </c>
      <c r="K840" t="s">
        <v>51</v>
      </c>
      <c r="L840">
        <v>2</v>
      </c>
      <c r="M840" t="str">
        <f>VLOOKUP(D840,State_Lookup!$A$2:$B$28,2,FALSE)</f>
        <v>Sao Paulo</v>
      </c>
    </row>
    <row r="841" spans="1:13" x14ac:dyDescent="0.45">
      <c r="A841" t="s">
        <v>1151</v>
      </c>
      <c r="B841" t="s">
        <v>1149</v>
      </c>
      <c r="C841" t="s">
        <v>1039</v>
      </c>
      <c r="D841" t="s">
        <v>16</v>
      </c>
      <c r="E841" t="s">
        <v>110</v>
      </c>
      <c r="F841">
        <v>1</v>
      </c>
      <c r="G841">
        <v>99.9</v>
      </c>
      <c r="H841">
        <v>13.72</v>
      </c>
      <c r="I841" t="s">
        <v>44</v>
      </c>
      <c r="J841">
        <v>5</v>
      </c>
      <c r="K841" t="s">
        <v>51</v>
      </c>
      <c r="L841">
        <v>4</v>
      </c>
      <c r="M841" t="str">
        <f>VLOOKUP(D841,State_Lookup!$A$2:$B$28,2,FALSE)</f>
        <v>Sao Paulo</v>
      </c>
    </row>
    <row r="842" spans="1:13" x14ac:dyDescent="0.45">
      <c r="A842" t="s">
        <v>1152</v>
      </c>
      <c r="B842" t="s">
        <v>1149</v>
      </c>
      <c r="C842" t="s">
        <v>1039</v>
      </c>
      <c r="D842" t="s">
        <v>16</v>
      </c>
      <c r="E842" t="s">
        <v>43</v>
      </c>
      <c r="F842">
        <v>1</v>
      </c>
      <c r="G842">
        <v>45.9</v>
      </c>
      <c r="H842">
        <v>12.69</v>
      </c>
      <c r="I842" t="s">
        <v>50</v>
      </c>
      <c r="J842">
        <v>8</v>
      </c>
      <c r="K842" t="s">
        <v>51</v>
      </c>
      <c r="L842">
        <v>5</v>
      </c>
      <c r="M842" t="str">
        <f>VLOOKUP(D842,State_Lookup!$A$2:$B$28,2,FALSE)</f>
        <v>Sao Paulo</v>
      </c>
    </row>
    <row r="843" spans="1:13" x14ac:dyDescent="0.45">
      <c r="A843" t="s">
        <v>1153</v>
      </c>
      <c r="B843" t="s">
        <v>1149</v>
      </c>
      <c r="C843" t="s">
        <v>1039</v>
      </c>
      <c r="D843" t="s">
        <v>18</v>
      </c>
      <c r="E843" t="s">
        <v>61</v>
      </c>
      <c r="F843">
        <v>1</v>
      </c>
      <c r="G843">
        <v>89</v>
      </c>
      <c r="H843">
        <v>15.37</v>
      </c>
      <c r="I843" t="s">
        <v>50</v>
      </c>
      <c r="J843">
        <v>8</v>
      </c>
      <c r="K843" t="s">
        <v>51</v>
      </c>
      <c r="L843">
        <v>2</v>
      </c>
      <c r="M843" t="str">
        <f>VLOOKUP(D843,State_Lookup!$A$2:$B$28,2,FALSE)</f>
        <v>Minas Gerais</v>
      </c>
    </row>
    <row r="844" spans="1:13" x14ac:dyDescent="0.45">
      <c r="A844" t="s">
        <v>1154</v>
      </c>
      <c r="B844" t="s">
        <v>1155</v>
      </c>
      <c r="C844" t="s">
        <v>1039</v>
      </c>
      <c r="D844" t="s">
        <v>17</v>
      </c>
      <c r="E844" t="s">
        <v>142</v>
      </c>
      <c r="F844">
        <v>1</v>
      </c>
      <c r="G844">
        <v>23.9</v>
      </c>
      <c r="H844">
        <v>15.11</v>
      </c>
      <c r="I844" t="s">
        <v>50</v>
      </c>
      <c r="J844">
        <v>11</v>
      </c>
      <c r="K844" t="s">
        <v>51</v>
      </c>
      <c r="L844">
        <v>2</v>
      </c>
      <c r="M844" t="str">
        <f>VLOOKUP(D844,State_Lookup!$A$2:$B$28,2,FALSE)</f>
        <v>Rio de Janeiro</v>
      </c>
    </row>
    <row r="845" spans="1:13" x14ac:dyDescent="0.45">
      <c r="A845" t="s">
        <v>1156</v>
      </c>
      <c r="B845" t="s">
        <v>1155</v>
      </c>
      <c r="C845" t="s">
        <v>1039</v>
      </c>
      <c r="D845" t="s">
        <v>21</v>
      </c>
      <c r="E845" t="s">
        <v>79</v>
      </c>
      <c r="F845">
        <v>1</v>
      </c>
      <c r="G845">
        <v>49.99</v>
      </c>
      <c r="H845">
        <v>15.1</v>
      </c>
      <c r="I845" t="s">
        <v>44</v>
      </c>
      <c r="J845">
        <v>8</v>
      </c>
      <c r="K845" t="s">
        <v>51</v>
      </c>
      <c r="L845">
        <v>5</v>
      </c>
      <c r="M845" t="str">
        <f>VLOOKUP(D845,State_Lookup!$A$2:$B$28,2,FALSE)</f>
        <v>Santa Catarina</v>
      </c>
    </row>
    <row r="846" spans="1:13" x14ac:dyDescent="0.45">
      <c r="A846" t="s">
        <v>1157</v>
      </c>
      <c r="B846" t="s">
        <v>1155</v>
      </c>
      <c r="C846" t="s">
        <v>1039</v>
      </c>
      <c r="D846" t="s">
        <v>16</v>
      </c>
      <c r="E846" t="s">
        <v>110</v>
      </c>
      <c r="F846">
        <v>1</v>
      </c>
      <c r="G846">
        <v>105.9</v>
      </c>
      <c r="H846">
        <v>13.76</v>
      </c>
      <c r="I846" t="s">
        <v>44</v>
      </c>
      <c r="J846">
        <v>7</v>
      </c>
      <c r="K846" t="s">
        <v>51</v>
      </c>
      <c r="L846">
        <v>4</v>
      </c>
      <c r="M846" t="str">
        <f>VLOOKUP(D846,State_Lookup!$A$2:$B$28,2,FALSE)</f>
        <v>Sao Paulo</v>
      </c>
    </row>
    <row r="847" spans="1:13" x14ac:dyDescent="0.45">
      <c r="A847" t="s">
        <v>1158</v>
      </c>
      <c r="B847" t="s">
        <v>1155</v>
      </c>
      <c r="C847" t="s">
        <v>1039</v>
      </c>
      <c r="D847" t="s">
        <v>21</v>
      </c>
      <c r="E847" t="s">
        <v>49</v>
      </c>
      <c r="F847">
        <v>1</v>
      </c>
      <c r="G847">
        <v>128.9</v>
      </c>
      <c r="H847">
        <v>20.14</v>
      </c>
      <c r="I847" t="s">
        <v>50</v>
      </c>
      <c r="J847">
        <v>15</v>
      </c>
      <c r="K847" t="s">
        <v>51</v>
      </c>
      <c r="L847">
        <v>4</v>
      </c>
      <c r="M847" t="str">
        <f>VLOOKUP(D847,State_Lookup!$A$2:$B$28,2,FALSE)</f>
        <v>Santa Catarina</v>
      </c>
    </row>
    <row r="848" spans="1:13" x14ac:dyDescent="0.45">
      <c r="A848" t="s">
        <v>1159</v>
      </c>
      <c r="B848" t="s">
        <v>1155</v>
      </c>
      <c r="C848" t="s">
        <v>1039</v>
      </c>
      <c r="D848" t="s">
        <v>18</v>
      </c>
      <c r="E848" t="s">
        <v>66</v>
      </c>
      <c r="F848">
        <v>1</v>
      </c>
      <c r="G848">
        <v>45</v>
      </c>
      <c r="H848">
        <v>11.85</v>
      </c>
      <c r="I848" t="s">
        <v>44</v>
      </c>
      <c r="J848">
        <v>10</v>
      </c>
      <c r="K848" t="s">
        <v>51</v>
      </c>
      <c r="L848">
        <v>4</v>
      </c>
      <c r="M848" t="str">
        <f>VLOOKUP(D848,State_Lookup!$A$2:$B$28,2,FALSE)</f>
        <v>Minas Gerais</v>
      </c>
    </row>
    <row r="849" spans="1:13" x14ac:dyDescent="0.45">
      <c r="A849" t="s">
        <v>1160</v>
      </c>
      <c r="B849" t="s">
        <v>1155</v>
      </c>
      <c r="C849" t="s">
        <v>1039</v>
      </c>
      <c r="D849" t="s">
        <v>16</v>
      </c>
      <c r="E849" t="s">
        <v>69</v>
      </c>
      <c r="F849">
        <v>1</v>
      </c>
      <c r="G849">
        <v>59.9</v>
      </c>
      <c r="H849">
        <v>13.44</v>
      </c>
      <c r="I849" t="s">
        <v>44</v>
      </c>
      <c r="J849">
        <v>8</v>
      </c>
      <c r="K849" t="s">
        <v>51</v>
      </c>
      <c r="L849">
        <v>4</v>
      </c>
      <c r="M849" t="str">
        <f>VLOOKUP(D849,State_Lookup!$A$2:$B$28,2,FALSE)</f>
        <v>Sao Paulo</v>
      </c>
    </row>
    <row r="850" spans="1:13" x14ac:dyDescent="0.45">
      <c r="A850" t="s">
        <v>1161</v>
      </c>
      <c r="B850" t="s">
        <v>1155</v>
      </c>
      <c r="C850" t="s">
        <v>1039</v>
      </c>
      <c r="D850" t="s">
        <v>17</v>
      </c>
      <c r="E850" t="s">
        <v>199</v>
      </c>
      <c r="F850">
        <v>1</v>
      </c>
      <c r="G850">
        <v>34.9</v>
      </c>
      <c r="H850">
        <v>14.1</v>
      </c>
      <c r="I850" t="s">
        <v>44</v>
      </c>
      <c r="J850">
        <v>8</v>
      </c>
      <c r="K850" t="s">
        <v>51</v>
      </c>
      <c r="L850">
        <v>5</v>
      </c>
      <c r="M850" t="str">
        <f>VLOOKUP(D850,State_Lookup!$A$2:$B$28,2,FALSE)</f>
        <v>Rio de Janeiro</v>
      </c>
    </row>
    <row r="851" spans="1:13" x14ac:dyDescent="0.45">
      <c r="A851" t="s">
        <v>1162</v>
      </c>
      <c r="B851" t="s">
        <v>1155</v>
      </c>
      <c r="C851" t="s">
        <v>1039</v>
      </c>
      <c r="D851" t="s">
        <v>16</v>
      </c>
      <c r="E851" t="s">
        <v>64</v>
      </c>
      <c r="F851">
        <v>1</v>
      </c>
      <c r="G851">
        <v>56.99</v>
      </c>
      <c r="H851">
        <v>7.78</v>
      </c>
      <c r="I851" t="s">
        <v>44</v>
      </c>
      <c r="J851">
        <v>3</v>
      </c>
      <c r="K851" t="s">
        <v>51</v>
      </c>
      <c r="L851">
        <v>5</v>
      </c>
      <c r="M851" t="str">
        <f>VLOOKUP(D851,State_Lookup!$A$2:$B$28,2,FALSE)</f>
        <v>Sao Paulo</v>
      </c>
    </row>
    <row r="852" spans="1:13" x14ac:dyDescent="0.45">
      <c r="A852" t="s">
        <v>1163</v>
      </c>
      <c r="B852" t="s">
        <v>1164</v>
      </c>
      <c r="C852" t="s">
        <v>1039</v>
      </c>
      <c r="D852" t="s">
        <v>632</v>
      </c>
      <c r="E852" t="s">
        <v>53</v>
      </c>
      <c r="F852">
        <v>1</v>
      </c>
      <c r="G852">
        <v>113.9</v>
      </c>
      <c r="H852">
        <v>38.35</v>
      </c>
      <c r="I852" t="s">
        <v>44</v>
      </c>
      <c r="J852">
        <v>22</v>
      </c>
      <c r="K852" t="s">
        <v>51</v>
      </c>
      <c r="L852">
        <v>5</v>
      </c>
      <c r="M852" t="str">
        <f>VLOOKUP(D852,State_Lookup!$A$2:$B$28,2,FALSE)</f>
        <v>Alagoas</v>
      </c>
    </row>
    <row r="853" spans="1:13" x14ac:dyDescent="0.45">
      <c r="A853" t="s">
        <v>1165</v>
      </c>
      <c r="B853" t="s">
        <v>1164</v>
      </c>
      <c r="C853" t="s">
        <v>1039</v>
      </c>
      <c r="D853" t="s">
        <v>24</v>
      </c>
      <c r="E853" t="s">
        <v>69</v>
      </c>
      <c r="F853">
        <v>1</v>
      </c>
      <c r="G853">
        <v>552.5</v>
      </c>
      <c r="H853">
        <v>21.12</v>
      </c>
      <c r="I853" t="s">
        <v>44</v>
      </c>
      <c r="J853">
        <v>13</v>
      </c>
      <c r="K853" t="s">
        <v>51</v>
      </c>
      <c r="L853">
        <v>5</v>
      </c>
      <c r="M853" t="str">
        <f>VLOOKUP(D853,State_Lookup!$A$2:$B$28,2,FALSE)</f>
        <v>Distrito Federal</v>
      </c>
    </row>
    <row r="854" spans="1:13" x14ac:dyDescent="0.45">
      <c r="A854" t="s">
        <v>1166</v>
      </c>
      <c r="B854" t="s">
        <v>1164</v>
      </c>
      <c r="C854" t="s">
        <v>1039</v>
      </c>
      <c r="D854" t="s">
        <v>16</v>
      </c>
      <c r="E854" t="s">
        <v>100</v>
      </c>
      <c r="F854">
        <v>1</v>
      </c>
      <c r="G854">
        <v>16.989999999999998</v>
      </c>
      <c r="H854">
        <v>15.1</v>
      </c>
      <c r="I854" t="s">
        <v>50</v>
      </c>
      <c r="J854">
        <v>14</v>
      </c>
      <c r="K854" t="s">
        <v>51</v>
      </c>
      <c r="L854">
        <v>5</v>
      </c>
      <c r="M854" t="str">
        <f>VLOOKUP(D854,State_Lookup!$A$2:$B$28,2,FALSE)</f>
        <v>Sao Paulo</v>
      </c>
    </row>
    <row r="855" spans="1:13" x14ac:dyDescent="0.45">
      <c r="A855" t="s">
        <v>1167</v>
      </c>
      <c r="B855" t="s">
        <v>1164</v>
      </c>
      <c r="C855" t="s">
        <v>1039</v>
      </c>
      <c r="D855" t="s">
        <v>16</v>
      </c>
      <c r="E855" t="s">
        <v>43</v>
      </c>
      <c r="F855">
        <v>1</v>
      </c>
      <c r="G855">
        <v>44.55</v>
      </c>
      <c r="H855">
        <v>12.69</v>
      </c>
      <c r="I855" t="s">
        <v>44</v>
      </c>
      <c r="J855">
        <v>10</v>
      </c>
      <c r="K855" t="s">
        <v>51</v>
      </c>
      <c r="L855">
        <v>5</v>
      </c>
      <c r="M855" t="str">
        <f>VLOOKUP(D855,State_Lookup!$A$2:$B$28,2,FALSE)</f>
        <v>Sao Paulo</v>
      </c>
    </row>
    <row r="856" spans="1:13" x14ac:dyDescent="0.45">
      <c r="A856" t="s">
        <v>1168</v>
      </c>
      <c r="B856" t="s">
        <v>1164</v>
      </c>
      <c r="C856" t="s">
        <v>1039</v>
      </c>
      <c r="D856" t="s">
        <v>113</v>
      </c>
      <c r="E856" t="s">
        <v>53</v>
      </c>
      <c r="F856">
        <v>1</v>
      </c>
      <c r="G856">
        <v>77.8</v>
      </c>
      <c r="H856">
        <v>38.090000000000003</v>
      </c>
      <c r="I856" t="s">
        <v>44</v>
      </c>
      <c r="J856">
        <v>10</v>
      </c>
      <c r="K856" t="s">
        <v>51</v>
      </c>
      <c r="L856">
        <v>5</v>
      </c>
      <c r="M856" t="str">
        <f>VLOOKUP(D856,State_Lookup!$A$2:$B$28,2,FALSE)</f>
        <v>Piaui</v>
      </c>
    </row>
    <row r="857" spans="1:13" x14ac:dyDescent="0.45">
      <c r="A857" t="s">
        <v>1169</v>
      </c>
      <c r="B857" t="s">
        <v>1170</v>
      </c>
      <c r="C857" t="s">
        <v>1039</v>
      </c>
      <c r="D857" t="s">
        <v>16</v>
      </c>
      <c r="E857" t="s">
        <v>110</v>
      </c>
      <c r="F857">
        <v>1</v>
      </c>
      <c r="G857">
        <v>205</v>
      </c>
      <c r="H857">
        <v>15.04</v>
      </c>
      <c r="I857" t="s">
        <v>44</v>
      </c>
      <c r="J857">
        <v>8</v>
      </c>
      <c r="K857" t="s">
        <v>51</v>
      </c>
      <c r="L857">
        <v>3</v>
      </c>
      <c r="M857" t="str">
        <f>VLOOKUP(D857,State_Lookup!$A$2:$B$28,2,FALSE)</f>
        <v>Sao Paulo</v>
      </c>
    </row>
    <row r="858" spans="1:13" x14ac:dyDescent="0.45">
      <c r="A858" t="s">
        <v>1171</v>
      </c>
      <c r="B858" t="s">
        <v>1170</v>
      </c>
      <c r="C858" t="s">
        <v>1039</v>
      </c>
      <c r="D858" t="s">
        <v>18</v>
      </c>
      <c r="E858" t="s">
        <v>142</v>
      </c>
      <c r="F858">
        <v>1</v>
      </c>
      <c r="G858">
        <v>52.9</v>
      </c>
      <c r="H858">
        <v>15.12</v>
      </c>
      <c r="I858" t="s">
        <v>44</v>
      </c>
      <c r="J858">
        <v>18</v>
      </c>
      <c r="K858" t="s">
        <v>51</v>
      </c>
      <c r="L858">
        <v>5</v>
      </c>
      <c r="M858" t="str">
        <f>VLOOKUP(D858,State_Lookup!$A$2:$B$28,2,FALSE)</f>
        <v>Minas Gerais</v>
      </c>
    </row>
    <row r="859" spans="1:13" x14ac:dyDescent="0.45">
      <c r="A859" t="s">
        <v>1172</v>
      </c>
      <c r="B859" t="s">
        <v>1170</v>
      </c>
      <c r="C859" t="s">
        <v>1039</v>
      </c>
      <c r="D859" t="s">
        <v>16</v>
      </c>
      <c r="E859" t="s">
        <v>69</v>
      </c>
      <c r="F859">
        <v>1</v>
      </c>
      <c r="G859">
        <v>65.7</v>
      </c>
      <c r="H859">
        <v>7.78</v>
      </c>
      <c r="I859" t="s">
        <v>44</v>
      </c>
      <c r="J859">
        <v>1</v>
      </c>
      <c r="K859" t="s">
        <v>51</v>
      </c>
      <c r="L859">
        <v>5</v>
      </c>
      <c r="M859" t="str">
        <f>VLOOKUP(D859,State_Lookup!$A$2:$B$28,2,FALSE)</f>
        <v>Sao Paulo</v>
      </c>
    </row>
    <row r="860" spans="1:13" x14ac:dyDescent="0.45">
      <c r="A860" t="s">
        <v>1173</v>
      </c>
      <c r="B860" t="s">
        <v>1170</v>
      </c>
      <c r="C860" t="s">
        <v>1039</v>
      </c>
      <c r="D860" t="s">
        <v>16</v>
      </c>
      <c r="E860" t="s">
        <v>79</v>
      </c>
      <c r="F860">
        <v>1</v>
      </c>
      <c r="G860">
        <v>203.6</v>
      </c>
      <c r="H860">
        <v>12.63</v>
      </c>
      <c r="I860" t="s">
        <v>50</v>
      </c>
      <c r="J860">
        <v>3</v>
      </c>
      <c r="K860" t="s">
        <v>51</v>
      </c>
      <c r="L860">
        <v>5</v>
      </c>
      <c r="M860" t="str">
        <f>VLOOKUP(D860,State_Lookup!$A$2:$B$28,2,FALSE)</f>
        <v>Sao Paulo</v>
      </c>
    </row>
    <row r="861" spans="1:13" x14ac:dyDescent="0.45">
      <c r="A861" t="s">
        <v>1174</v>
      </c>
      <c r="B861" t="s">
        <v>1175</v>
      </c>
      <c r="C861" t="s">
        <v>1039</v>
      </c>
      <c r="D861" t="s">
        <v>25</v>
      </c>
      <c r="E861" t="s">
        <v>110</v>
      </c>
      <c r="F861">
        <v>1</v>
      </c>
      <c r="G861">
        <v>205</v>
      </c>
      <c r="H861">
        <v>26.27</v>
      </c>
      <c r="I861" t="s">
        <v>44</v>
      </c>
      <c r="J861">
        <v>14</v>
      </c>
      <c r="K861" t="s">
        <v>51</v>
      </c>
      <c r="L861">
        <v>3</v>
      </c>
      <c r="M861" t="str">
        <f>VLOOKUP(D861,State_Lookup!$A$2:$B$28,2,FALSE)</f>
        <v>Goias</v>
      </c>
    </row>
    <row r="862" spans="1:13" x14ac:dyDescent="0.45">
      <c r="A862" t="s">
        <v>1176</v>
      </c>
      <c r="B862" t="s">
        <v>1175</v>
      </c>
      <c r="C862" t="s">
        <v>1039</v>
      </c>
      <c r="D862" t="s">
        <v>22</v>
      </c>
      <c r="E862" t="s">
        <v>110</v>
      </c>
      <c r="F862">
        <v>2</v>
      </c>
      <c r="G862">
        <v>179.8</v>
      </c>
      <c r="H862">
        <v>34.14</v>
      </c>
      <c r="I862" t="s">
        <v>44</v>
      </c>
      <c r="J862">
        <v>5</v>
      </c>
      <c r="K862" t="s">
        <v>51</v>
      </c>
      <c r="L862">
        <v>2</v>
      </c>
      <c r="M862" t="str">
        <f>VLOOKUP(D862,State_Lookup!$A$2:$B$28,2,FALSE)</f>
        <v>Bahia</v>
      </c>
    </row>
    <row r="863" spans="1:13" x14ac:dyDescent="0.45">
      <c r="A863" t="s">
        <v>1177</v>
      </c>
      <c r="B863" t="s">
        <v>1175</v>
      </c>
      <c r="C863" t="s">
        <v>1039</v>
      </c>
      <c r="D863" t="s">
        <v>18</v>
      </c>
      <c r="E863" t="s">
        <v>107</v>
      </c>
      <c r="F863">
        <v>1</v>
      </c>
      <c r="G863">
        <v>49.9</v>
      </c>
      <c r="H863">
        <v>26.89</v>
      </c>
      <c r="I863" t="s">
        <v>50</v>
      </c>
      <c r="J863">
        <v>6</v>
      </c>
      <c r="K863" t="s">
        <v>51</v>
      </c>
      <c r="L863">
        <v>5</v>
      </c>
      <c r="M863" t="str">
        <f>VLOOKUP(D863,State_Lookup!$A$2:$B$28,2,FALSE)</f>
        <v>Minas Gerais</v>
      </c>
    </row>
    <row r="864" spans="1:13" x14ac:dyDescent="0.45">
      <c r="A864" t="s">
        <v>1178</v>
      </c>
      <c r="B864" t="s">
        <v>1175</v>
      </c>
      <c r="C864" t="s">
        <v>1039</v>
      </c>
      <c r="D864" t="s">
        <v>16</v>
      </c>
      <c r="E864" t="s">
        <v>107</v>
      </c>
      <c r="F864">
        <v>1</v>
      </c>
      <c r="G864">
        <v>52.9</v>
      </c>
      <c r="H864">
        <v>13.39</v>
      </c>
      <c r="I864" t="s">
        <v>44</v>
      </c>
      <c r="J864">
        <v>8</v>
      </c>
      <c r="K864" t="s">
        <v>51</v>
      </c>
      <c r="L864">
        <v>5</v>
      </c>
      <c r="M864" t="str">
        <f>VLOOKUP(D864,State_Lookup!$A$2:$B$28,2,FALSE)</f>
        <v>Sao Paulo</v>
      </c>
    </row>
    <row r="865" spans="1:13" x14ac:dyDescent="0.45">
      <c r="A865" t="s">
        <v>1179</v>
      </c>
      <c r="B865" t="s">
        <v>1175</v>
      </c>
      <c r="C865" t="s">
        <v>1039</v>
      </c>
      <c r="D865" t="s">
        <v>18</v>
      </c>
      <c r="E865" t="s">
        <v>152</v>
      </c>
      <c r="F865">
        <v>1</v>
      </c>
      <c r="G865">
        <v>78.900000000000006</v>
      </c>
      <c r="H865">
        <v>13.61</v>
      </c>
      <c r="I865" t="s">
        <v>44</v>
      </c>
      <c r="J865">
        <v>6</v>
      </c>
      <c r="K865" t="s">
        <v>51</v>
      </c>
      <c r="L865">
        <v>5</v>
      </c>
      <c r="M865" t="str">
        <f>VLOOKUP(D865,State_Lookup!$A$2:$B$28,2,FALSE)</f>
        <v>Minas Gerais</v>
      </c>
    </row>
    <row r="866" spans="1:13" x14ac:dyDescent="0.45">
      <c r="A866" t="s">
        <v>1180</v>
      </c>
      <c r="B866" t="s">
        <v>1175</v>
      </c>
      <c r="C866" t="s">
        <v>1039</v>
      </c>
      <c r="D866" t="s">
        <v>19</v>
      </c>
      <c r="E866" t="s">
        <v>366</v>
      </c>
      <c r="F866">
        <v>1</v>
      </c>
      <c r="G866">
        <v>59.9</v>
      </c>
      <c r="H866">
        <v>16.18</v>
      </c>
      <c r="I866" t="s">
        <v>44</v>
      </c>
      <c r="J866">
        <v>11</v>
      </c>
      <c r="K866" t="s">
        <v>51</v>
      </c>
      <c r="L866">
        <v>5</v>
      </c>
      <c r="M866" t="str">
        <f>VLOOKUP(D866,State_Lookup!$A$2:$B$28,2,FALSE)</f>
        <v>Rio Grande do Sul</v>
      </c>
    </row>
    <row r="867" spans="1:13" x14ac:dyDescent="0.45">
      <c r="A867" t="s">
        <v>1181</v>
      </c>
      <c r="B867" t="s">
        <v>1175</v>
      </c>
      <c r="C867" t="s">
        <v>1039</v>
      </c>
      <c r="D867" t="s">
        <v>16</v>
      </c>
      <c r="E867" t="s">
        <v>142</v>
      </c>
      <c r="F867">
        <v>6</v>
      </c>
      <c r="G867">
        <v>35.400000000000013</v>
      </c>
      <c r="H867">
        <v>56.04</v>
      </c>
      <c r="I867" t="s">
        <v>44</v>
      </c>
      <c r="J867">
        <v>8</v>
      </c>
      <c r="K867" t="s">
        <v>51</v>
      </c>
      <c r="L867">
        <v>5</v>
      </c>
      <c r="M867" t="str">
        <f>VLOOKUP(D867,State_Lookup!$A$2:$B$28,2,FALSE)</f>
        <v>Sao Paulo</v>
      </c>
    </row>
    <row r="868" spans="1:13" x14ac:dyDescent="0.45">
      <c r="A868" t="s">
        <v>1182</v>
      </c>
      <c r="B868" t="s">
        <v>1175</v>
      </c>
      <c r="C868" t="s">
        <v>1039</v>
      </c>
      <c r="D868" t="s">
        <v>17</v>
      </c>
      <c r="E868" t="s">
        <v>103</v>
      </c>
      <c r="F868">
        <v>1</v>
      </c>
      <c r="G868">
        <v>79.900000000000006</v>
      </c>
      <c r="H868">
        <v>17</v>
      </c>
      <c r="I868" t="s">
        <v>44</v>
      </c>
      <c r="J868">
        <v>7</v>
      </c>
      <c r="K868" t="s">
        <v>51</v>
      </c>
      <c r="L868">
        <v>5</v>
      </c>
      <c r="M868" t="str">
        <f>VLOOKUP(D868,State_Lookup!$A$2:$B$28,2,FALSE)</f>
        <v>Rio de Janeiro</v>
      </c>
    </row>
    <row r="869" spans="1:13" x14ac:dyDescent="0.45">
      <c r="A869" t="s">
        <v>1183</v>
      </c>
      <c r="B869" t="s">
        <v>1175</v>
      </c>
      <c r="C869" t="s">
        <v>1039</v>
      </c>
      <c r="D869" t="s">
        <v>672</v>
      </c>
      <c r="E869" t="s">
        <v>152</v>
      </c>
      <c r="F869">
        <v>1</v>
      </c>
      <c r="G869">
        <v>121.9</v>
      </c>
      <c r="H869">
        <v>38.4</v>
      </c>
      <c r="I869" t="s">
        <v>50</v>
      </c>
      <c r="J869">
        <v>12</v>
      </c>
      <c r="K869" t="s">
        <v>51</v>
      </c>
      <c r="L869">
        <v>4</v>
      </c>
      <c r="M869" t="str">
        <f>VLOOKUP(D869,State_Lookup!$A$2:$B$28,2,FALSE)</f>
        <v>Paraiba</v>
      </c>
    </row>
    <row r="870" spans="1:13" x14ac:dyDescent="0.45">
      <c r="A870" t="s">
        <v>1184</v>
      </c>
      <c r="B870" t="s">
        <v>1175</v>
      </c>
      <c r="C870" t="s">
        <v>1039</v>
      </c>
      <c r="D870" t="s">
        <v>16</v>
      </c>
      <c r="E870" t="s">
        <v>103</v>
      </c>
      <c r="F870">
        <v>1</v>
      </c>
      <c r="G870">
        <v>119.9</v>
      </c>
      <c r="H870">
        <v>13.18</v>
      </c>
      <c r="I870" t="s">
        <v>44</v>
      </c>
      <c r="J870">
        <v>7</v>
      </c>
      <c r="K870" t="s">
        <v>51</v>
      </c>
      <c r="L870">
        <v>5</v>
      </c>
      <c r="M870" t="str">
        <f>VLOOKUP(D870,State_Lookup!$A$2:$B$28,2,FALSE)</f>
        <v>Sao Paulo</v>
      </c>
    </row>
    <row r="871" spans="1:13" x14ac:dyDescent="0.45">
      <c r="A871" t="s">
        <v>1185</v>
      </c>
      <c r="B871" t="s">
        <v>1186</v>
      </c>
      <c r="C871" t="s">
        <v>1039</v>
      </c>
      <c r="D871" t="s">
        <v>16</v>
      </c>
      <c r="E871" t="s">
        <v>157</v>
      </c>
      <c r="F871">
        <v>1</v>
      </c>
      <c r="G871">
        <v>29</v>
      </c>
      <c r="H871">
        <v>7.78</v>
      </c>
      <c r="I871" t="s">
        <v>44</v>
      </c>
      <c r="J871">
        <v>4</v>
      </c>
      <c r="K871" t="s">
        <v>51</v>
      </c>
      <c r="L871">
        <v>1</v>
      </c>
      <c r="M871" t="str">
        <f>VLOOKUP(D871,State_Lookup!$A$2:$B$28,2,FALSE)</f>
        <v>Sao Paulo</v>
      </c>
    </row>
    <row r="872" spans="1:13" x14ac:dyDescent="0.45">
      <c r="A872" t="s">
        <v>1187</v>
      </c>
      <c r="B872" t="s">
        <v>1186</v>
      </c>
      <c r="C872" t="s">
        <v>1039</v>
      </c>
      <c r="D872" t="s">
        <v>17</v>
      </c>
      <c r="E872" t="s">
        <v>64</v>
      </c>
      <c r="F872">
        <v>1</v>
      </c>
      <c r="G872">
        <v>56.99</v>
      </c>
      <c r="H872">
        <v>14.15</v>
      </c>
      <c r="I872" t="s">
        <v>44</v>
      </c>
      <c r="J872">
        <v>10</v>
      </c>
      <c r="K872" t="s">
        <v>51</v>
      </c>
      <c r="L872">
        <v>5</v>
      </c>
      <c r="M872" t="str">
        <f>VLOOKUP(D872,State_Lookup!$A$2:$B$28,2,FALSE)</f>
        <v>Rio de Janeiro</v>
      </c>
    </row>
    <row r="873" spans="1:13" x14ac:dyDescent="0.45">
      <c r="A873" t="s">
        <v>1188</v>
      </c>
      <c r="B873" t="s">
        <v>1186</v>
      </c>
      <c r="C873" t="s">
        <v>1039</v>
      </c>
      <c r="D873" t="s">
        <v>16</v>
      </c>
      <c r="E873" t="s">
        <v>340</v>
      </c>
      <c r="F873">
        <v>1</v>
      </c>
      <c r="G873">
        <v>72</v>
      </c>
      <c r="H873">
        <v>13.52</v>
      </c>
      <c r="I873" t="s">
        <v>44</v>
      </c>
      <c r="J873">
        <v>11</v>
      </c>
      <c r="K873" t="s">
        <v>51</v>
      </c>
      <c r="L873">
        <v>5</v>
      </c>
      <c r="M873" t="str">
        <f>VLOOKUP(D873,State_Lookup!$A$2:$B$28,2,FALSE)</f>
        <v>Sao Paulo</v>
      </c>
    </row>
    <row r="874" spans="1:13" x14ac:dyDescent="0.45">
      <c r="A874" t="s">
        <v>1189</v>
      </c>
      <c r="B874" t="s">
        <v>1186</v>
      </c>
      <c r="C874" t="s">
        <v>1039</v>
      </c>
      <c r="D874" t="s">
        <v>16</v>
      </c>
      <c r="E874" t="s">
        <v>69</v>
      </c>
      <c r="F874">
        <v>2</v>
      </c>
      <c r="G874">
        <v>119.8</v>
      </c>
      <c r="H874">
        <v>24.96</v>
      </c>
      <c r="I874" t="s">
        <v>44</v>
      </c>
      <c r="J874">
        <v>7</v>
      </c>
      <c r="K874" t="s">
        <v>51</v>
      </c>
      <c r="L874">
        <v>5</v>
      </c>
      <c r="M874" t="str">
        <f>VLOOKUP(D874,State_Lookup!$A$2:$B$28,2,FALSE)</f>
        <v>Sao Paulo</v>
      </c>
    </row>
    <row r="875" spans="1:13" x14ac:dyDescent="0.45">
      <c r="A875" t="s">
        <v>1190</v>
      </c>
      <c r="B875" t="s">
        <v>1191</v>
      </c>
      <c r="C875" t="s">
        <v>1039</v>
      </c>
      <c r="D875" t="s">
        <v>219</v>
      </c>
      <c r="E875" t="s">
        <v>125</v>
      </c>
      <c r="F875">
        <v>1</v>
      </c>
      <c r="G875">
        <v>16.899999999999999</v>
      </c>
      <c r="H875">
        <v>42.38</v>
      </c>
      <c r="I875" t="s">
        <v>44</v>
      </c>
      <c r="J875">
        <v>17</v>
      </c>
      <c r="K875" t="s">
        <v>51</v>
      </c>
      <c r="L875">
        <v>4</v>
      </c>
      <c r="M875" t="str">
        <f>VLOOKUP(D875,State_Lookup!$A$2:$B$28,2,FALSE)</f>
        <v>Rondonia</v>
      </c>
    </row>
    <row r="876" spans="1:13" x14ac:dyDescent="0.45">
      <c r="A876" t="s">
        <v>1192</v>
      </c>
      <c r="B876" t="s">
        <v>1191</v>
      </c>
      <c r="C876" t="s">
        <v>1039</v>
      </c>
      <c r="D876" t="s">
        <v>128</v>
      </c>
      <c r="E876" t="s">
        <v>110</v>
      </c>
      <c r="F876">
        <v>1</v>
      </c>
      <c r="G876">
        <v>205</v>
      </c>
      <c r="H876">
        <v>38.57</v>
      </c>
      <c r="I876" t="s">
        <v>50</v>
      </c>
      <c r="J876">
        <v>19</v>
      </c>
      <c r="K876" t="s">
        <v>51</v>
      </c>
      <c r="L876">
        <v>4</v>
      </c>
      <c r="M876" t="str">
        <f>VLOOKUP(D876,State_Lookup!$A$2:$B$28,2,FALSE)</f>
        <v>Ceara</v>
      </c>
    </row>
    <row r="877" spans="1:13" x14ac:dyDescent="0.45">
      <c r="A877" t="s">
        <v>1193</v>
      </c>
      <c r="B877" t="s">
        <v>1191</v>
      </c>
      <c r="C877" t="s">
        <v>1039</v>
      </c>
      <c r="D877" t="s">
        <v>20</v>
      </c>
      <c r="E877" t="s">
        <v>152</v>
      </c>
      <c r="F877">
        <v>1</v>
      </c>
      <c r="G877">
        <v>84.9</v>
      </c>
      <c r="H877">
        <v>19.829999999999998</v>
      </c>
      <c r="I877" t="s">
        <v>44</v>
      </c>
      <c r="J877">
        <v>10</v>
      </c>
      <c r="K877" t="s">
        <v>51</v>
      </c>
      <c r="L877">
        <v>5</v>
      </c>
      <c r="M877" t="str">
        <f>VLOOKUP(D877,State_Lookup!$A$2:$B$28,2,FALSE)</f>
        <v>Parana</v>
      </c>
    </row>
    <row r="878" spans="1:13" x14ac:dyDescent="0.45">
      <c r="A878" t="s">
        <v>1194</v>
      </c>
      <c r="B878" t="s">
        <v>1191</v>
      </c>
      <c r="C878" t="s">
        <v>1039</v>
      </c>
      <c r="D878" t="s">
        <v>128</v>
      </c>
      <c r="E878" t="s">
        <v>66</v>
      </c>
      <c r="F878">
        <v>1</v>
      </c>
      <c r="G878">
        <v>39.99</v>
      </c>
      <c r="H878">
        <v>17.63</v>
      </c>
      <c r="I878" t="s">
        <v>44</v>
      </c>
      <c r="J878">
        <v>20</v>
      </c>
      <c r="K878" t="s">
        <v>51</v>
      </c>
      <c r="L878">
        <v>5</v>
      </c>
      <c r="M878" t="str">
        <f>VLOOKUP(D878,State_Lookup!$A$2:$B$28,2,FALSE)</f>
        <v>Ceara</v>
      </c>
    </row>
    <row r="879" spans="1:13" x14ac:dyDescent="0.45">
      <c r="A879" t="s">
        <v>1195</v>
      </c>
      <c r="B879" t="s">
        <v>1191</v>
      </c>
      <c r="C879" t="s">
        <v>1039</v>
      </c>
      <c r="D879" t="s">
        <v>16</v>
      </c>
      <c r="E879" t="s">
        <v>148</v>
      </c>
      <c r="F879">
        <v>1</v>
      </c>
      <c r="G879">
        <v>499.9</v>
      </c>
      <c r="H879">
        <v>14.7</v>
      </c>
      <c r="I879" t="s">
        <v>44</v>
      </c>
      <c r="J879">
        <v>3</v>
      </c>
      <c r="K879" t="s">
        <v>51</v>
      </c>
      <c r="L879">
        <v>5</v>
      </c>
      <c r="M879" t="str">
        <f>VLOOKUP(D879,State_Lookup!$A$2:$B$28,2,FALSE)</f>
        <v>Sao Paulo</v>
      </c>
    </row>
    <row r="880" spans="1:13" x14ac:dyDescent="0.45">
      <c r="A880" t="s">
        <v>1196</v>
      </c>
      <c r="B880" t="s">
        <v>1191</v>
      </c>
      <c r="C880" t="s">
        <v>1039</v>
      </c>
      <c r="D880" t="s">
        <v>17</v>
      </c>
      <c r="E880" t="s">
        <v>110</v>
      </c>
      <c r="F880">
        <v>2</v>
      </c>
      <c r="G880">
        <v>197.98</v>
      </c>
      <c r="H880">
        <v>42.36</v>
      </c>
      <c r="I880" t="s">
        <v>50</v>
      </c>
      <c r="J880">
        <v>13</v>
      </c>
      <c r="K880" t="s">
        <v>51</v>
      </c>
      <c r="L880">
        <v>5</v>
      </c>
      <c r="M880" t="str">
        <f>VLOOKUP(D880,State_Lookup!$A$2:$B$28,2,FALSE)</f>
        <v>Rio de Janeiro</v>
      </c>
    </row>
    <row r="881" spans="1:13" x14ac:dyDescent="0.45">
      <c r="A881" t="s">
        <v>1197</v>
      </c>
      <c r="B881" t="s">
        <v>1191</v>
      </c>
      <c r="C881" t="s">
        <v>1039</v>
      </c>
      <c r="D881" t="s">
        <v>17</v>
      </c>
      <c r="E881" t="s">
        <v>110</v>
      </c>
      <c r="F881">
        <v>1</v>
      </c>
      <c r="G881">
        <v>59.9</v>
      </c>
      <c r="H881">
        <v>16.18</v>
      </c>
      <c r="I881" t="s">
        <v>133</v>
      </c>
      <c r="J881">
        <v>22</v>
      </c>
      <c r="K881" t="s">
        <v>51</v>
      </c>
      <c r="L881">
        <v>3</v>
      </c>
      <c r="M881" t="str">
        <f>VLOOKUP(D881,State_Lookup!$A$2:$B$28,2,FALSE)</f>
        <v>Rio de Janeiro</v>
      </c>
    </row>
    <row r="882" spans="1:13" x14ac:dyDescent="0.45">
      <c r="A882" t="s">
        <v>1198</v>
      </c>
      <c r="B882" t="s">
        <v>1199</v>
      </c>
      <c r="C882" t="s">
        <v>1039</v>
      </c>
      <c r="D882" t="s">
        <v>16</v>
      </c>
      <c r="E882" t="s">
        <v>110</v>
      </c>
      <c r="F882">
        <v>1</v>
      </c>
      <c r="G882">
        <v>34.9</v>
      </c>
      <c r="H882">
        <v>16.600000000000001</v>
      </c>
      <c r="I882" t="s">
        <v>44</v>
      </c>
      <c r="J882">
        <v>10</v>
      </c>
      <c r="K882" t="s">
        <v>51</v>
      </c>
      <c r="L882">
        <v>5</v>
      </c>
      <c r="M882" t="str">
        <f>VLOOKUP(D882,State_Lookup!$A$2:$B$28,2,FALSE)</f>
        <v>Sao Paulo</v>
      </c>
    </row>
    <row r="883" spans="1:13" x14ac:dyDescent="0.45">
      <c r="A883" t="s">
        <v>1200</v>
      </c>
      <c r="B883" t="s">
        <v>1199</v>
      </c>
      <c r="C883" t="s">
        <v>1039</v>
      </c>
      <c r="D883" t="s">
        <v>19</v>
      </c>
      <c r="E883" t="s">
        <v>199</v>
      </c>
      <c r="F883">
        <v>1</v>
      </c>
      <c r="G883">
        <v>29.9</v>
      </c>
      <c r="H883">
        <v>15.1</v>
      </c>
      <c r="I883" t="s">
        <v>50</v>
      </c>
      <c r="J883">
        <v>18</v>
      </c>
      <c r="K883" t="s">
        <v>51</v>
      </c>
      <c r="L883">
        <v>4</v>
      </c>
      <c r="M883" t="str">
        <f>VLOOKUP(D883,State_Lookup!$A$2:$B$28,2,FALSE)</f>
        <v>Rio Grande do Sul</v>
      </c>
    </row>
    <row r="884" spans="1:13" x14ac:dyDescent="0.45">
      <c r="A884" t="s">
        <v>1201</v>
      </c>
      <c r="B884" t="s">
        <v>1199</v>
      </c>
      <c r="C884" t="s">
        <v>1039</v>
      </c>
      <c r="D884" t="s">
        <v>16</v>
      </c>
      <c r="E884" t="s">
        <v>43</v>
      </c>
      <c r="F884">
        <v>1</v>
      </c>
      <c r="G884">
        <v>169</v>
      </c>
      <c r="H884">
        <v>14.79</v>
      </c>
      <c r="I884" t="s">
        <v>44</v>
      </c>
      <c r="J884">
        <v>2</v>
      </c>
      <c r="K884" t="s">
        <v>51</v>
      </c>
      <c r="L884">
        <v>1</v>
      </c>
      <c r="M884" t="str">
        <f>VLOOKUP(D884,State_Lookup!$A$2:$B$28,2,FALSE)</f>
        <v>Sao Paulo</v>
      </c>
    </row>
    <row r="885" spans="1:13" x14ac:dyDescent="0.45">
      <c r="A885" t="s">
        <v>1202</v>
      </c>
      <c r="B885" t="s">
        <v>1199</v>
      </c>
      <c r="C885" t="s">
        <v>1039</v>
      </c>
      <c r="D885" t="s">
        <v>16</v>
      </c>
      <c r="E885" t="s">
        <v>49</v>
      </c>
      <c r="F885">
        <v>1</v>
      </c>
      <c r="G885">
        <v>169.9</v>
      </c>
      <c r="H885">
        <v>17.440000000000001</v>
      </c>
      <c r="I885" t="s">
        <v>44</v>
      </c>
      <c r="J885">
        <v>8</v>
      </c>
      <c r="K885" t="s">
        <v>51</v>
      </c>
      <c r="L885">
        <v>4</v>
      </c>
      <c r="M885" t="str">
        <f>VLOOKUP(D885,State_Lookup!$A$2:$B$28,2,FALSE)</f>
        <v>Sao Paulo</v>
      </c>
    </row>
    <row r="886" spans="1:13" x14ac:dyDescent="0.45">
      <c r="A886" t="s">
        <v>1203</v>
      </c>
      <c r="B886" t="s">
        <v>1204</v>
      </c>
      <c r="C886" t="s">
        <v>1039</v>
      </c>
      <c r="D886" t="s">
        <v>16</v>
      </c>
      <c r="E886" t="s">
        <v>142</v>
      </c>
      <c r="F886">
        <v>1</v>
      </c>
      <c r="G886">
        <v>85</v>
      </c>
      <c r="H886">
        <v>11.8</v>
      </c>
      <c r="I886" t="s">
        <v>44</v>
      </c>
      <c r="J886">
        <v>1</v>
      </c>
      <c r="K886" t="s">
        <v>51</v>
      </c>
      <c r="L886">
        <v>5</v>
      </c>
      <c r="M886" t="str">
        <f>VLOOKUP(D886,State_Lookup!$A$2:$B$28,2,FALSE)</f>
        <v>Sao Paulo</v>
      </c>
    </row>
    <row r="887" spans="1:13" x14ac:dyDescent="0.45">
      <c r="A887" t="s">
        <v>1205</v>
      </c>
      <c r="B887" t="s">
        <v>1204</v>
      </c>
      <c r="C887" t="s">
        <v>1039</v>
      </c>
      <c r="D887" t="s">
        <v>128</v>
      </c>
      <c r="E887" t="s">
        <v>64</v>
      </c>
      <c r="F887">
        <v>1</v>
      </c>
      <c r="G887">
        <v>56.99</v>
      </c>
      <c r="H887">
        <v>17.68</v>
      </c>
      <c r="I887" t="s">
        <v>44</v>
      </c>
      <c r="J887">
        <v>16</v>
      </c>
      <c r="K887" t="s">
        <v>51</v>
      </c>
      <c r="L887">
        <v>4</v>
      </c>
      <c r="M887" t="str">
        <f>VLOOKUP(D887,State_Lookup!$A$2:$B$28,2,FALSE)</f>
        <v>Ceara</v>
      </c>
    </row>
    <row r="888" spans="1:13" x14ac:dyDescent="0.45">
      <c r="A888" t="s">
        <v>1206</v>
      </c>
      <c r="B888" t="s">
        <v>1204</v>
      </c>
      <c r="C888" t="s">
        <v>1039</v>
      </c>
      <c r="D888" t="s">
        <v>16</v>
      </c>
      <c r="E888" t="s">
        <v>132</v>
      </c>
      <c r="F888">
        <v>1</v>
      </c>
      <c r="G888">
        <v>49</v>
      </c>
      <c r="H888">
        <v>7.78</v>
      </c>
      <c r="I888" t="s">
        <v>44</v>
      </c>
      <c r="J888">
        <v>1</v>
      </c>
      <c r="K888" t="s">
        <v>51</v>
      </c>
      <c r="L888">
        <v>5</v>
      </c>
      <c r="M888" t="str">
        <f>VLOOKUP(D888,State_Lookup!$A$2:$B$28,2,FALSE)</f>
        <v>Sao Paulo</v>
      </c>
    </row>
    <row r="889" spans="1:13" x14ac:dyDescent="0.45">
      <c r="A889" t="s">
        <v>1207</v>
      </c>
      <c r="B889" t="s">
        <v>1204</v>
      </c>
      <c r="C889" t="s">
        <v>1039</v>
      </c>
      <c r="D889" t="s">
        <v>16</v>
      </c>
      <c r="E889" t="s">
        <v>152</v>
      </c>
      <c r="F889">
        <v>1</v>
      </c>
      <c r="G889">
        <v>54.9</v>
      </c>
      <c r="H889">
        <v>14.13</v>
      </c>
      <c r="I889" t="s">
        <v>44</v>
      </c>
      <c r="J889">
        <v>8</v>
      </c>
      <c r="K889" t="s">
        <v>51</v>
      </c>
      <c r="L889">
        <v>5</v>
      </c>
      <c r="M889" t="str">
        <f>VLOOKUP(D889,State_Lookup!$A$2:$B$28,2,FALSE)</f>
        <v>Sao Paulo</v>
      </c>
    </row>
    <row r="890" spans="1:13" x14ac:dyDescent="0.45">
      <c r="A890" t="s">
        <v>1208</v>
      </c>
      <c r="B890" t="s">
        <v>1204</v>
      </c>
      <c r="C890" t="s">
        <v>1039</v>
      </c>
      <c r="D890" t="s">
        <v>16</v>
      </c>
      <c r="E890" t="s">
        <v>79</v>
      </c>
      <c r="F890">
        <v>1</v>
      </c>
      <c r="G890">
        <v>79</v>
      </c>
      <c r="H890">
        <v>19.79</v>
      </c>
      <c r="I890" t="s">
        <v>44</v>
      </c>
      <c r="J890">
        <v>7</v>
      </c>
      <c r="K890" t="s">
        <v>51</v>
      </c>
      <c r="L890">
        <v>5</v>
      </c>
      <c r="M890" t="str">
        <f>VLOOKUP(D890,State_Lookup!$A$2:$B$28,2,FALSE)</f>
        <v>Sao Paulo</v>
      </c>
    </row>
    <row r="891" spans="1:13" x14ac:dyDescent="0.45">
      <c r="A891" t="s">
        <v>1209</v>
      </c>
      <c r="B891" t="s">
        <v>1204</v>
      </c>
      <c r="C891" t="s">
        <v>1039</v>
      </c>
      <c r="D891" t="s">
        <v>16</v>
      </c>
      <c r="E891" t="s">
        <v>132</v>
      </c>
      <c r="F891">
        <v>1</v>
      </c>
      <c r="G891">
        <v>69</v>
      </c>
      <c r="H891">
        <v>7.78</v>
      </c>
      <c r="I891" t="s">
        <v>44</v>
      </c>
      <c r="J891">
        <v>2</v>
      </c>
      <c r="K891" t="s">
        <v>51</v>
      </c>
      <c r="L891">
        <v>5</v>
      </c>
      <c r="M891" t="str">
        <f>VLOOKUP(D891,State_Lookup!$A$2:$B$28,2,FALSE)</f>
        <v>Sao Paulo</v>
      </c>
    </row>
    <row r="892" spans="1:13" x14ac:dyDescent="0.45">
      <c r="A892" t="s">
        <v>1210</v>
      </c>
      <c r="B892" t="s">
        <v>1204</v>
      </c>
      <c r="C892" t="s">
        <v>1039</v>
      </c>
      <c r="D892" t="s">
        <v>128</v>
      </c>
      <c r="E892" t="s">
        <v>79</v>
      </c>
      <c r="F892">
        <v>1</v>
      </c>
      <c r="G892">
        <v>98</v>
      </c>
      <c r="H892">
        <v>27.23</v>
      </c>
      <c r="I892" t="s">
        <v>44</v>
      </c>
      <c r="J892">
        <v>16</v>
      </c>
      <c r="K892" t="s">
        <v>51</v>
      </c>
      <c r="L892">
        <v>5</v>
      </c>
      <c r="M892" t="str">
        <f>VLOOKUP(D892,State_Lookup!$A$2:$B$28,2,FALSE)</f>
        <v>Ceara</v>
      </c>
    </row>
    <row r="893" spans="1:13" x14ac:dyDescent="0.45">
      <c r="A893" t="s">
        <v>1211</v>
      </c>
      <c r="B893" t="s">
        <v>1204</v>
      </c>
      <c r="C893" t="s">
        <v>1039</v>
      </c>
      <c r="D893" t="s">
        <v>194</v>
      </c>
      <c r="E893" t="s">
        <v>110</v>
      </c>
      <c r="F893">
        <v>2</v>
      </c>
      <c r="G893">
        <v>236</v>
      </c>
      <c r="H893">
        <v>33.17</v>
      </c>
      <c r="I893" t="s">
        <v>50</v>
      </c>
      <c r="J893">
        <v>7</v>
      </c>
      <c r="K893" t="s">
        <v>51</v>
      </c>
      <c r="L893">
        <v>2</v>
      </c>
      <c r="M893" t="str">
        <f>VLOOKUP(D893,State_Lookup!$A$2:$B$28,2,FALSE)</f>
        <v>Mato Grosso do Sul</v>
      </c>
    </row>
    <row r="894" spans="1:13" x14ac:dyDescent="0.45">
      <c r="A894" t="s">
        <v>1212</v>
      </c>
      <c r="B894" t="s">
        <v>1213</v>
      </c>
      <c r="C894" t="s">
        <v>1039</v>
      </c>
      <c r="D894" t="s">
        <v>113</v>
      </c>
      <c r="E894" t="s">
        <v>43</v>
      </c>
      <c r="F894">
        <v>1</v>
      </c>
      <c r="G894">
        <v>59.9</v>
      </c>
      <c r="H894">
        <v>44.27</v>
      </c>
      <c r="I894" t="s">
        <v>44</v>
      </c>
      <c r="J894">
        <v>13</v>
      </c>
      <c r="K894" t="s">
        <v>51</v>
      </c>
      <c r="L894">
        <v>5</v>
      </c>
      <c r="M894" t="str">
        <f>VLOOKUP(D894,State_Lookup!$A$2:$B$28,2,FALSE)</f>
        <v>Piaui</v>
      </c>
    </row>
    <row r="895" spans="1:13" x14ac:dyDescent="0.45">
      <c r="A895" t="s">
        <v>1214</v>
      </c>
      <c r="B895" t="s">
        <v>1213</v>
      </c>
      <c r="C895" t="s">
        <v>1039</v>
      </c>
      <c r="D895" t="s">
        <v>16</v>
      </c>
      <c r="E895" t="s">
        <v>142</v>
      </c>
      <c r="F895">
        <v>1</v>
      </c>
      <c r="G895">
        <v>79.08</v>
      </c>
      <c r="H895">
        <v>17.8</v>
      </c>
      <c r="I895" t="s">
        <v>44</v>
      </c>
      <c r="J895">
        <v>6</v>
      </c>
      <c r="K895" t="s">
        <v>51</v>
      </c>
      <c r="L895">
        <v>4</v>
      </c>
      <c r="M895" t="str">
        <f>VLOOKUP(D895,State_Lookup!$A$2:$B$28,2,FALSE)</f>
        <v>Sao Paulo</v>
      </c>
    </row>
    <row r="896" spans="1:13" x14ac:dyDescent="0.45">
      <c r="A896" t="s">
        <v>1215</v>
      </c>
      <c r="B896" t="s">
        <v>1213</v>
      </c>
      <c r="C896" t="s">
        <v>1039</v>
      </c>
      <c r="D896" t="s">
        <v>16</v>
      </c>
      <c r="E896" t="s">
        <v>66</v>
      </c>
      <c r="F896">
        <v>1</v>
      </c>
      <c r="G896">
        <v>75</v>
      </c>
      <c r="H896">
        <v>9.27</v>
      </c>
      <c r="I896" t="s">
        <v>44</v>
      </c>
      <c r="J896">
        <v>6</v>
      </c>
      <c r="K896" t="s">
        <v>51</v>
      </c>
      <c r="L896">
        <v>4</v>
      </c>
      <c r="M896" t="str">
        <f>VLOOKUP(D896,State_Lookup!$A$2:$B$28,2,FALSE)</f>
        <v>Sao Paulo</v>
      </c>
    </row>
    <row r="897" spans="1:13" x14ac:dyDescent="0.45">
      <c r="A897" t="s">
        <v>1216</v>
      </c>
      <c r="B897" t="s">
        <v>1213</v>
      </c>
      <c r="C897" t="s">
        <v>1039</v>
      </c>
      <c r="D897" t="s">
        <v>18</v>
      </c>
      <c r="E897" t="s">
        <v>148</v>
      </c>
      <c r="F897">
        <v>1</v>
      </c>
      <c r="G897">
        <v>499.9</v>
      </c>
      <c r="H897">
        <v>20.75</v>
      </c>
      <c r="I897" t="s">
        <v>44</v>
      </c>
      <c r="J897">
        <v>7</v>
      </c>
      <c r="K897" t="s">
        <v>51</v>
      </c>
      <c r="L897">
        <v>4</v>
      </c>
      <c r="M897" t="str">
        <f>VLOOKUP(D897,State_Lookup!$A$2:$B$28,2,FALSE)</f>
        <v>Minas Gerais</v>
      </c>
    </row>
    <row r="898" spans="1:13" x14ac:dyDescent="0.45">
      <c r="A898" t="s">
        <v>1217</v>
      </c>
      <c r="B898" t="s">
        <v>1213</v>
      </c>
      <c r="C898" t="s">
        <v>1039</v>
      </c>
      <c r="D898" t="s">
        <v>16</v>
      </c>
      <c r="E898" t="s">
        <v>49</v>
      </c>
      <c r="F898">
        <v>1</v>
      </c>
      <c r="G898">
        <v>58.9</v>
      </c>
      <c r="H898">
        <v>11.73</v>
      </c>
      <c r="I898" t="s">
        <v>50</v>
      </c>
      <c r="J898">
        <v>3</v>
      </c>
      <c r="K898" t="s">
        <v>51</v>
      </c>
      <c r="L898">
        <v>3</v>
      </c>
      <c r="M898" t="str">
        <f>VLOOKUP(D898,State_Lookup!$A$2:$B$28,2,FALSE)</f>
        <v>Sao Paulo</v>
      </c>
    </row>
    <row r="899" spans="1:13" x14ac:dyDescent="0.45">
      <c r="A899" t="s">
        <v>1218</v>
      </c>
      <c r="B899" t="s">
        <v>1213</v>
      </c>
      <c r="C899" t="s">
        <v>1039</v>
      </c>
      <c r="D899" t="s">
        <v>16</v>
      </c>
      <c r="E899" t="s">
        <v>260</v>
      </c>
      <c r="F899">
        <v>1</v>
      </c>
      <c r="G899">
        <v>19.47</v>
      </c>
      <c r="H899">
        <v>9.27</v>
      </c>
      <c r="I899" t="s">
        <v>44</v>
      </c>
      <c r="J899">
        <v>3</v>
      </c>
      <c r="K899" t="s">
        <v>51</v>
      </c>
      <c r="L899">
        <v>5</v>
      </c>
      <c r="M899" t="str">
        <f>VLOOKUP(D899,State_Lookup!$A$2:$B$28,2,FALSE)</f>
        <v>Sao Paulo</v>
      </c>
    </row>
    <row r="900" spans="1:13" x14ac:dyDescent="0.45">
      <c r="A900" t="s">
        <v>1219</v>
      </c>
      <c r="B900" t="s">
        <v>1213</v>
      </c>
      <c r="C900" t="s">
        <v>1039</v>
      </c>
      <c r="D900" t="s">
        <v>16</v>
      </c>
      <c r="E900" t="s">
        <v>53</v>
      </c>
      <c r="F900">
        <v>1</v>
      </c>
      <c r="G900">
        <v>124.99</v>
      </c>
      <c r="H900">
        <v>15.69</v>
      </c>
      <c r="I900" t="s">
        <v>44</v>
      </c>
      <c r="J900">
        <v>7</v>
      </c>
      <c r="K900" t="s">
        <v>51</v>
      </c>
      <c r="L900">
        <v>5</v>
      </c>
      <c r="M900" t="str">
        <f>VLOOKUP(D900,State_Lookup!$A$2:$B$28,2,FALSE)</f>
        <v>Sao Paulo</v>
      </c>
    </row>
    <row r="901" spans="1:13" x14ac:dyDescent="0.45">
      <c r="A901" t="s">
        <v>1220</v>
      </c>
      <c r="B901" t="s">
        <v>1213</v>
      </c>
      <c r="C901" t="s">
        <v>1039</v>
      </c>
      <c r="D901" t="s">
        <v>16</v>
      </c>
      <c r="E901" t="s">
        <v>49</v>
      </c>
      <c r="F901">
        <v>1</v>
      </c>
      <c r="G901">
        <v>99.99</v>
      </c>
      <c r="H901">
        <v>13.72</v>
      </c>
      <c r="I901" t="s">
        <v>44</v>
      </c>
      <c r="J901">
        <v>9</v>
      </c>
      <c r="K901" t="s">
        <v>51</v>
      </c>
      <c r="L901">
        <v>3</v>
      </c>
      <c r="M901" t="str">
        <f>VLOOKUP(D901,State_Lookup!$A$2:$B$28,2,FALSE)</f>
        <v>Sao Paulo</v>
      </c>
    </row>
    <row r="902" spans="1:13" x14ac:dyDescent="0.45">
      <c r="A902" t="s">
        <v>1221</v>
      </c>
      <c r="B902" t="s">
        <v>1222</v>
      </c>
      <c r="C902" t="s">
        <v>1039</v>
      </c>
      <c r="D902" t="s">
        <v>16</v>
      </c>
      <c r="E902" t="s">
        <v>79</v>
      </c>
      <c r="F902">
        <v>1</v>
      </c>
      <c r="G902">
        <v>89.99</v>
      </c>
      <c r="H902">
        <v>7.88</v>
      </c>
      <c r="I902" t="s">
        <v>44</v>
      </c>
      <c r="J902">
        <v>6</v>
      </c>
      <c r="K902" t="s">
        <v>51</v>
      </c>
      <c r="L902">
        <v>4</v>
      </c>
      <c r="M902" t="str">
        <f>VLOOKUP(D902,State_Lookup!$A$2:$B$28,2,FALSE)</f>
        <v>Sao Paulo</v>
      </c>
    </row>
    <row r="903" spans="1:13" x14ac:dyDescent="0.45">
      <c r="A903" t="s">
        <v>1223</v>
      </c>
      <c r="B903" t="s">
        <v>1222</v>
      </c>
      <c r="C903" t="s">
        <v>1039</v>
      </c>
      <c r="D903" t="s">
        <v>16</v>
      </c>
      <c r="E903" t="s">
        <v>142</v>
      </c>
      <c r="F903">
        <v>1</v>
      </c>
      <c r="G903">
        <v>56.9</v>
      </c>
      <c r="H903">
        <v>9.27</v>
      </c>
      <c r="I903" t="s">
        <v>44</v>
      </c>
      <c r="J903">
        <v>2</v>
      </c>
      <c r="K903" t="s">
        <v>51</v>
      </c>
      <c r="L903">
        <v>5</v>
      </c>
      <c r="M903" t="str">
        <f>VLOOKUP(D903,State_Lookup!$A$2:$B$28,2,FALSE)</f>
        <v>Sao Paulo</v>
      </c>
    </row>
    <row r="904" spans="1:13" x14ac:dyDescent="0.45">
      <c r="A904" t="s">
        <v>1224</v>
      </c>
      <c r="B904" t="s">
        <v>1222</v>
      </c>
      <c r="C904" t="s">
        <v>1039</v>
      </c>
      <c r="D904" t="s">
        <v>16</v>
      </c>
      <c r="E904" t="s">
        <v>142</v>
      </c>
      <c r="F904">
        <v>1</v>
      </c>
      <c r="G904">
        <v>84.9</v>
      </c>
      <c r="H904">
        <v>17.84</v>
      </c>
      <c r="I904" t="s">
        <v>44</v>
      </c>
      <c r="J904">
        <v>8</v>
      </c>
      <c r="K904" t="s">
        <v>51</v>
      </c>
      <c r="L904">
        <v>5</v>
      </c>
      <c r="M904" t="str">
        <f>VLOOKUP(D904,State_Lookup!$A$2:$B$28,2,FALSE)</f>
        <v>Sao Paulo</v>
      </c>
    </row>
    <row r="905" spans="1:13" x14ac:dyDescent="0.45">
      <c r="A905" t="s">
        <v>1225</v>
      </c>
      <c r="B905" t="s">
        <v>1222</v>
      </c>
      <c r="C905" t="s">
        <v>1039</v>
      </c>
      <c r="D905" t="s">
        <v>19</v>
      </c>
      <c r="E905" t="s">
        <v>244</v>
      </c>
      <c r="F905">
        <v>1</v>
      </c>
      <c r="G905">
        <v>69.900000000000006</v>
      </c>
      <c r="H905">
        <v>17.739999999999998</v>
      </c>
      <c r="I905" t="s">
        <v>44</v>
      </c>
      <c r="J905">
        <v>8</v>
      </c>
      <c r="K905" t="s">
        <v>51</v>
      </c>
      <c r="L905">
        <v>5</v>
      </c>
      <c r="M905" t="str">
        <f>VLOOKUP(D905,State_Lookup!$A$2:$B$28,2,FALSE)</f>
        <v>Rio Grande do Sul</v>
      </c>
    </row>
    <row r="906" spans="1:13" x14ac:dyDescent="0.45">
      <c r="A906" t="s">
        <v>1226</v>
      </c>
      <c r="B906" t="s">
        <v>1222</v>
      </c>
      <c r="C906" t="s">
        <v>1039</v>
      </c>
      <c r="D906" t="s">
        <v>21</v>
      </c>
      <c r="E906" t="s">
        <v>61</v>
      </c>
      <c r="F906">
        <v>1</v>
      </c>
      <c r="G906">
        <v>69</v>
      </c>
      <c r="H906">
        <v>16.920000000000002</v>
      </c>
      <c r="I906" t="s">
        <v>44</v>
      </c>
      <c r="J906">
        <v>10</v>
      </c>
      <c r="K906" t="s">
        <v>51</v>
      </c>
      <c r="L906">
        <v>5</v>
      </c>
      <c r="M906" t="str">
        <f>VLOOKUP(D906,State_Lookup!$A$2:$B$28,2,FALSE)</f>
        <v>Santa Catarina</v>
      </c>
    </row>
    <row r="907" spans="1:13" x14ac:dyDescent="0.45">
      <c r="A907" t="s">
        <v>1227</v>
      </c>
      <c r="B907" t="s">
        <v>1228</v>
      </c>
      <c r="C907" t="s">
        <v>1039</v>
      </c>
      <c r="D907" t="s">
        <v>16</v>
      </c>
      <c r="E907" t="s">
        <v>79</v>
      </c>
      <c r="F907">
        <v>1</v>
      </c>
      <c r="G907">
        <v>129.78</v>
      </c>
      <c r="H907">
        <v>9.7200000000000006</v>
      </c>
      <c r="I907" t="s">
        <v>44</v>
      </c>
      <c r="J907">
        <v>5</v>
      </c>
      <c r="K907" t="s">
        <v>51</v>
      </c>
      <c r="L907">
        <v>4</v>
      </c>
      <c r="M907" t="str">
        <f>VLOOKUP(D907,State_Lookup!$A$2:$B$28,2,FALSE)</f>
        <v>Sao Paulo</v>
      </c>
    </row>
    <row r="908" spans="1:13" x14ac:dyDescent="0.45">
      <c r="A908" t="s">
        <v>1229</v>
      </c>
      <c r="B908" t="s">
        <v>1228</v>
      </c>
      <c r="C908" t="s">
        <v>1039</v>
      </c>
      <c r="D908" t="s">
        <v>16</v>
      </c>
      <c r="E908" t="s">
        <v>61</v>
      </c>
      <c r="F908">
        <v>1</v>
      </c>
      <c r="G908">
        <v>69</v>
      </c>
      <c r="H908">
        <v>12.82</v>
      </c>
      <c r="I908" t="s">
        <v>50</v>
      </c>
      <c r="J908">
        <v>5</v>
      </c>
      <c r="K908" t="s">
        <v>51</v>
      </c>
      <c r="L908">
        <v>5</v>
      </c>
      <c r="M908" t="str">
        <f>VLOOKUP(D908,State_Lookup!$A$2:$B$28,2,FALSE)</f>
        <v>Sao Paulo</v>
      </c>
    </row>
    <row r="909" spans="1:13" x14ac:dyDescent="0.45">
      <c r="A909" t="s">
        <v>1230</v>
      </c>
      <c r="B909" t="s">
        <v>1228</v>
      </c>
      <c r="C909" t="s">
        <v>1039</v>
      </c>
      <c r="D909" t="s">
        <v>208</v>
      </c>
      <c r="E909" t="s">
        <v>66</v>
      </c>
      <c r="F909">
        <v>1</v>
      </c>
      <c r="G909">
        <v>26.99</v>
      </c>
      <c r="H909">
        <v>16.79</v>
      </c>
      <c r="I909" t="s">
        <v>44</v>
      </c>
      <c r="J909">
        <v>14</v>
      </c>
      <c r="K909" t="s">
        <v>51</v>
      </c>
      <c r="L909">
        <v>4</v>
      </c>
      <c r="M909" t="str">
        <f>VLOOKUP(D909,State_Lookup!$A$2:$B$28,2,FALSE)</f>
        <v>Mato Grosso</v>
      </c>
    </row>
    <row r="910" spans="1:13" x14ac:dyDescent="0.45">
      <c r="A910" t="s">
        <v>1231</v>
      </c>
      <c r="B910" t="s">
        <v>1228</v>
      </c>
      <c r="C910" t="s">
        <v>1039</v>
      </c>
      <c r="D910" t="s">
        <v>63</v>
      </c>
      <c r="E910" t="s">
        <v>110</v>
      </c>
      <c r="F910">
        <v>1</v>
      </c>
      <c r="G910">
        <v>57.31</v>
      </c>
      <c r="H910">
        <v>26.94</v>
      </c>
      <c r="I910" t="s">
        <v>44</v>
      </c>
      <c r="J910">
        <v>40</v>
      </c>
      <c r="K910" t="s">
        <v>143</v>
      </c>
      <c r="L910">
        <v>1</v>
      </c>
      <c r="M910" t="str">
        <f>VLOOKUP(D910,State_Lookup!$A$2:$B$28,2,FALSE)</f>
        <v>Pernambuco</v>
      </c>
    </row>
    <row r="911" spans="1:13" x14ac:dyDescent="0.45">
      <c r="A911" t="s">
        <v>1232</v>
      </c>
      <c r="B911" t="s">
        <v>1228</v>
      </c>
      <c r="C911" t="s">
        <v>1039</v>
      </c>
      <c r="D911" t="s">
        <v>20</v>
      </c>
      <c r="E911" t="s">
        <v>107</v>
      </c>
      <c r="F911">
        <v>1</v>
      </c>
      <c r="G911">
        <v>29.9</v>
      </c>
      <c r="H911">
        <v>15.1</v>
      </c>
      <c r="I911" t="s">
        <v>133</v>
      </c>
      <c r="J911">
        <v>15</v>
      </c>
      <c r="K911" t="s">
        <v>51</v>
      </c>
      <c r="L911">
        <v>5</v>
      </c>
      <c r="M911" t="str">
        <f>VLOOKUP(D911,State_Lookup!$A$2:$B$28,2,FALSE)</f>
        <v>Parana</v>
      </c>
    </row>
    <row r="912" spans="1:13" x14ac:dyDescent="0.45">
      <c r="A912" t="s">
        <v>1233</v>
      </c>
      <c r="B912" t="s">
        <v>1228</v>
      </c>
      <c r="C912" t="s">
        <v>1039</v>
      </c>
      <c r="D912" t="s">
        <v>18</v>
      </c>
      <c r="E912" t="s">
        <v>132</v>
      </c>
      <c r="F912">
        <v>1</v>
      </c>
      <c r="G912">
        <v>49.9</v>
      </c>
      <c r="H912">
        <v>15.1</v>
      </c>
      <c r="I912" t="s">
        <v>50</v>
      </c>
      <c r="J912">
        <v>11</v>
      </c>
      <c r="K912" t="s">
        <v>51</v>
      </c>
      <c r="L912">
        <v>5</v>
      </c>
      <c r="M912" t="str">
        <f>VLOOKUP(D912,State_Lookup!$A$2:$B$28,2,FALSE)</f>
        <v>Minas Gerais</v>
      </c>
    </row>
    <row r="913" spans="1:13" x14ac:dyDescent="0.45">
      <c r="A913" t="s">
        <v>1234</v>
      </c>
      <c r="B913" t="s">
        <v>1228</v>
      </c>
      <c r="C913" t="s">
        <v>1039</v>
      </c>
      <c r="D913" t="s">
        <v>16</v>
      </c>
      <c r="E913" t="s">
        <v>142</v>
      </c>
      <c r="F913">
        <v>1</v>
      </c>
      <c r="G913">
        <v>25.9</v>
      </c>
      <c r="H913">
        <v>15.1</v>
      </c>
      <c r="I913" t="s">
        <v>50</v>
      </c>
      <c r="J913">
        <v>7</v>
      </c>
      <c r="K913" t="s">
        <v>51</v>
      </c>
      <c r="L913">
        <v>5</v>
      </c>
      <c r="M913" t="str">
        <f>VLOOKUP(D913,State_Lookup!$A$2:$B$28,2,FALSE)</f>
        <v>Sao Paulo</v>
      </c>
    </row>
    <row r="914" spans="1:13" x14ac:dyDescent="0.45">
      <c r="A914" t="s">
        <v>1235</v>
      </c>
      <c r="B914" t="s">
        <v>1236</v>
      </c>
      <c r="C914" t="s">
        <v>1039</v>
      </c>
      <c r="D914" t="s">
        <v>23</v>
      </c>
      <c r="E914" t="s">
        <v>107</v>
      </c>
      <c r="F914">
        <v>1</v>
      </c>
      <c r="G914">
        <v>28.75</v>
      </c>
      <c r="H914">
        <v>14.1</v>
      </c>
      <c r="I914" t="s">
        <v>44</v>
      </c>
      <c r="J914">
        <v>10</v>
      </c>
      <c r="K914" t="s">
        <v>51</v>
      </c>
      <c r="L914">
        <v>2</v>
      </c>
      <c r="M914" t="str">
        <f>VLOOKUP(D914,State_Lookup!$A$2:$B$28,2,FALSE)</f>
        <v>Espirito Santo</v>
      </c>
    </row>
    <row r="915" spans="1:13" x14ac:dyDescent="0.45">
      <c r="A915" t="s">
        <v>1237</v>
      </c>
      <c r="B915" t="s">
        <v>1236</v>
      </c>
      <c r="C915" t="s">
        <v>1039</v>
      </c>
      <c r="D915" t="s">
        <v>17</v>
      </c>
      <c r="E915" t="s">
        <v>340</v>
      </c>
      <c r="F915">
        <v>1</v>
      </c>
      <c r="G915">
        <v>469</v>
      </c>
      <c r="H915">
        <v>90.26</v>
      </c>
      <c r="I915" t="s">
        <v>44</v>
      </c>
      <c r="J915">
        <v>18</v>
      </c>
      <c r="K915" t="s">
        <v>51</v>
      </c>
      <c r="L915">
        <v>3</v>
      </c>
      <c r="M915" t="str">
        <f>VLOOKUP(D915,State_Lookup!$A$2:$B$28,2,FALSE)</f>
        <v>Rio de Janeiro</v>
      </c>
    </row>
    <row r="916" spans="1:13" x14ac:dyDescent="0.45">
      <c r="A916" t="s">
        <v>1238</v>
      </c>
      <c r="B916" t="s">
        <v>1236</v>
      </c>
      <c r="C916" t="s">
        <v>1039</v>
      </c>
      <c r="D916" t="s">
        <v>141</v>
      </c>
      <c r="E916" t="s">
        <v>103</v>
      </c>
      <c r="F916">
        <v>1</v>
      </c>
      <c r="G916">
        <v>388</v>
      </c>
      <c r="H916">
        <v>32.130000000000003</v>
      </c>
      <c r="I916" t="s">
        <v>44</v>
      </c>
      <c r="J916">
        <v>22</v>
      </c>
      <c r="K916" t="s">
        <v>51</v>
      </c>
      <c r="L916">
        <v>1</v>
      </c>
      <c r="M916" t="str">
        <f>VLOOKUP(D916,State_Lookup!$A$2:$B$28,2,FALSE)</f>
        <v>Maranhao</v>
      </c>
    </row>
    <row r="917" spans="1:13" x14ac:dyDescent="0.45">
      <c r="A917" t="s">
        <v>1239</v>
      </c>
      <c r="B917" t="s">
        <v>1236</v>
      </c>
      <c r="C917" t="s">
        <v>1039</v>
      </c>
      <c r="D917" t="s">
        <v>16</v>
      </c>
      <c r="E917" t="s">
        <v>43</v>
      </c>
      <c r="F917">
        <v>3</v>
      </c>
      <c r="G917">
        <v>554.70000000000005</v>
      </c>
      <c r="H917">
        <v>106.38</v>
      </c>
      <c r="I917" t="s">
        <v>50</v>
      </c>
      <c r="J917">
        <v>6</v>
      </c>
      <c r="K917" t="s">
        <v>51</v>
      </c>
      <c r="L917">
        <v>5</v>
      </c>
      <c r="M917" t="str">
        <f>VLOOKUP(D917,State_Lookup!$A$2:$B$28,2,FALSE)</f>
        <v>Sao Paulo</v>
      </c>
    </row>
    <row r="918" spans="1:13" x14ac:dyDescent="0.45">
      <c r="A918" t="s">
        <v>1240</v>
      </c>
      <c r="B918" t="s">
        <v>1236</v>
      </c>
      <c r="C918" t="s">
        <v>1039</v>
      </c>
      <c r="D918" t="s">
        <v>16</v>
      </c>
      <c r="E918" t="s">
        <v>1241</v>
      </c>
      <c r="F918">
        <v>1</v>
      </c>
      <c r="G918">
        <v>45</v>
      </c>
      <c r="H918">
        <v>9.94</v>
      </c>
      <c r="I918" t="s">
        <v>50</v>
      </c>
      <c r="J918">
        <v>15</v>
      </c>
      <c r="K918" t="s">
        <v>51</v>
      </c>
      <c r="L918">
        <v>4</v>
      </c>
      <c r="M918" t="str">
        <f>VLOOKUP(D918,State_Lookup!$A$2:$B$28,2,FALSE)</f>
        <v>Sao Paulo</v>
      </c>
    </row>
    <row r="919" spans="1:13" x14ac:dyDescent="0.45">
      <c r="A919" t="s">
        <v>1242</v>
      </c>
      <c r="B919" t="s">
        <v>1236</v>
      </c>
      <c r="C919" t="s">
        <v>1039</v>
      </c>
      <c r="D919" t="s">
        <v>16</v>
      </c>
      <c r="E919" t="s">
        <v>148</v>
      </c>
      <c r="F919">
        <v>1</v>
      </c>
      <c r="G919">
        <v>229.99</v>
      </c>
      <c r="H919">
        <v>14.16</v>
      </c>
      <c r="I919" t="s">
        <v>44</v>
      </c>
      <c r="J919">
        <v>1</v>
      </c>
      <c r="K919" t="s">
        <v>51</v>
      </c>
      <c r="L919">
        <v>5</v>
      </c>
      <c r="M919" t="str">
        <f>VLOOKUP(D919,State_Lookup!$A$2:$B$28,2,FALSE)</f>
        <v>Sao Paulo</v>
      </c>
    </row>
    <row r="920" spans="1:13" x14ac:dyDescent="0.45">
      <c r="A920" t="s">
        <v>1243</v>
      </c>
      <c r="B920" t="s">
        <v>1236</v>
      </c>
      <c r="C920" t="s">
        <v>1039</v>
      </c>
      <c r="D920" t="s">
        <v>18</v>
      </c>
      <c r="E920" t="s">
        <v>244</v>
      </c>
      <c r="F920">
        <v>1</v>
      </c>
      <c r="G920">
        <v>29.9</v>
      </c>
      <c r="H920">
        <v>17.600000000000001</v>
      </c>
      <c r="I920" t="s">
        <v>44</v>
      </c>
      <c r="J920">
        <v>5</v>
      </c>
      <c r="K920" t="s">
        <v>51</v>
      </c>
      <c r="L920">
        <v>5</v>
      </c>
      <c r="M920" t="str">
        <f>VLOOKUP(D920,State_Lookup!$A$2:$B$28,2,FALSE)</f>
        <v>Minas Gerais</v>
      </c>
    </row>
    <row r="921" spans="1:13" x14ac:dyDescent="0.45">
      <c r="A921" t="s">
        <v>1244</v>
      </c>
      <c r="B921" t="s">
        <v>1236</v>
      </c>
      <c r="C921" t="s">
        <v>1039</v>
      </c>
      <c r="D921" t="s">
        <v>18</v>
      </c>
      <c r="E921" t="s">
        <v>43</v>
      </c>
      <c r="F921">
        <v>1</v>
      </c>
      <c r="G921">
        <v>75</v>
      </c>
      <c r="H921">
        <v>20.02</v>
      </c>
      <c r="I921" t="s">
        <v>44</v>
      </c>
      <c r="J921">
        <v>10</v>
      </c>
      <c r="K921" t="s">
        <v>51</v>
      </c>
      <c r="L921">
        <v>4</v>
      </c>
      <c r="M921" t="str">
        <f>VLOOKUP(D921,State_Lookup!$A$2:$B$28,2,FALSE)</f>
        <v>Minas Gerais</v>
      </c>
    </row>
    <row r="922" spans="1:13" x14ac:dyDescent="0.45">
      <c r="A922" t="s">
        <v>1245</v>
      </c>
      <c r="B922" t="s">
        <v>1236</v>
      </c>
      <c r="C922" t="s">
        <v>1039</v>
      </c>
      <c r="D922" t="s">
        <v>21</v>
      </c>
      <c r="E922" t="s">
        <v>49</v>
      </c>
      <c r="F922">
        <v>1</v>
      </c>
      <c r="G922">
        <v>65.900000000000006</v>
      </c>
      <c r="H922">
        <v>15.22</v>
      </c>
      <c r="I922" t="s">
        <v>44</v>
      </c>
      <c r="J922">
        <v>19</v>
      </c>
      <c r="K922" t="s">
        <v>51</v>
      </c>
      <c r="L922">
        <v>5</v>
      </c>
      <c r="M922" t="str">
        <f>VLOOKUP(D922,State_Lookup!$A$2:$B$28,2,FALSE)</f>
        <v>Santa Catarina</v>
      </c>
    </row>
    <row r="923" spans="1:13" x14ac:dyDescent="0.45">
      <c r="A923" t="s">
        <v>1246</v>
      </c>
      <c r="B923" t="s">
        <v>1236</v>
      </c>
      <c r="C923" t="s">
        <v>1039</v>
      </c>
      <c r="D923" t="s">
        <v>20</v>
      </c>
      <c r="E923" t="s">
        <v>107</v>
      </c>
      <c r="F923">
        <v>2</v>
      </c>
      <c r="G923">
        <v>290</v>
      </c>
      <c r="H923">
        <v>90.94</v>
      </c>
      <c r="I923" t="s">
        <v>44</v>
      </c>
      <c r="J923">
        <v>10</v>
      </c>
      <c r="K923" t="s">
        <v>51</v>
      </c>
      <c r="L923">
        <v>2</v>
      </c>
      <c r="M923" t="str">
        <f>VLOOKUP(D923,State_Lookup!$A$2:$B$28,2,FALSE)</f>
        <v>Parana</v>
      </c>
    </row>
    <row r="924" spans="1:13" x14ac:dyDescent="0.45">
      <c r="A924" t="s">
        <v>1247</v>
      </c>
      <c r="B924" t="s">
        <v>1248</v>
      </c>
      <c r="C924" t="s">
        <v>1039</v>
      </c>
      <c r="D924" t="s">
        <v>20</v>
      </c>
      <c r="E924" t="s">
        <v>132</v>
      </c>
      <c r="F924">
        <v>1</v>
      </c>
      <c r="G924">
        <v>49.9</v>
      </c>
      <c r="H924">
        <v>15.1</v>
      </c>
      <c r="I924" t="s">
        <v>44</v>
      </c>
      <c r="J924">
        <v>11</v>
      </c>
      <c r="K924" t="s">
        <v>51</v>
      </c>
      <c r="L924">
        <v>5</v>
      </c>
      <c r="M924" t="str">
        <f>VLOOKUP(D924,State_Lookup!$A$2:$B$28,2,FALSE)</f>
        <v>Parana</v>
      </c>
    </row>
    <row r="925" spans="1:13" x14ac:dyDescent="0.45">
      <c r="A925" t="s">
        <v>1249</v>
      </c>
      <c r="B925" t="s">
        <v>1248</v>
      </c>
      <c r="C925" t="s">
        <v>1039</v>
      </c>
      <c r="D925" t="s">
        <v>18</v>
      </c>
      <c r="E925" t="s">
        <v>1250</v>
      </c>
      <c r="F925">
        <v>1</v>
      </c>
      <c r="G925">
        <v>155</v>
      </c>
      <c r="H925">
        <v>15.84</v>
      </c>
      <c r="I925" t="s">
        <v>44</v>
      </c>
      <c r="J925">
        <v>9</v>
      </c>
      <c r="K925" t="s">
        <v>51</v>
      </c>
      <c r="L925">
        <v>4</v>
      </c>
      <c r="M925" t="str">
        <f>VLOOKUP(D925,State_Lookup!$A$2:$B$28,2,FALSE)</f>
        <v>Minas Gerais</v>
      </c>
    </row>
    <row r="926" spans="1:13" x14ac:dyDescent="0.45">
      <c r="A926" t="s">
        <v>1251</v>
      </c>
      <c r="B926" t="s">
        <v>1248</v>
      </c>
      <c r="C926" t="s">
        <v>1039</v>
      </c>
      <c r="D926" t="s">
        <v>17</v>
      </c>
      <c r="E926" t="s">
        <v>53</v>
      </c>
      <c r="F926">
        <v>1</v>
      </c>
      <c r="G926">
        <v>37.9</v>
      </c>
      <c r="H926">
        <v>12.48</v>
      </c>
      <c r="I926" t="s">
        <v>50</v>
      </c>
      <c r="J926">
        <v>9</v>
      </c>
      <c r="K926" t="s">
        <v>51</v>
      </c>
      <c r="L926">
        <v>5</v>
      </c>
      <c r="M926" t="str">
        <f>VLOOKUP(D926,State_Lookup!$A$2:$B$28,2,FALSE)</f>
        <v>Rio de Janeiro</v>
      </c>
    </row>
    <row r="927" spans="1:13" x14ac:dyDescent="0.45">
      <c r="A927" t="s">
        <v>1252</v>
      </c>
      <c r="B927" t="s">
        <v>1248</v>
      </c>
      <c r="C927" t="s">
        <v>1039</v>
      </c>
      <c r="D927" t="s">
        <v>141</v>
      </c>
      <c r="E927" t="s">
        <v>132</v>
      </c>
      <c r="F927">
        <v>1</v>
      </c>
      <c r="G927">
        <v>49.9</v>
      </c>
      <c r="H927">
        <v>34.15</v>
      </c>
      <c r="I927" t="s">
        <v>44</v>
      </c>
      <c r="J927">
        <v>17</v>
      </c>
      <c r="K927" t="s">
        <v>51</v>
      </c>
      <c r="L927">
        <v>5</v>
      </c>
      <c r="M927" t="str">
        <f>VLOOKUP(D927,State_Lookup!$A$2:$B$28,2,FALSE)</f>
        <v>Maranhao</v>
      </c>
    </row>
    <row r="928" spans="1:13" x14ac:dyDescent="0.45">
      <c r="A928" t="s">
        <v>1253</v>
      </c>
      <c r="B928" t="s">
        <v>1248</v>
      </c>
      <c r="C928" t="s">
        <v>1039</v>
      </c>
      <c r="D928" t="s">
        <v>16</v>
      </c>
      <c r="E928" t="s">
        <v>64</v>
      </c>
      <c r="F928">
        <v>1</v>
      </c>
      <c r="G928">
        <v>56.99</v>
      </c>
      <c r="H928">
        <v>8.7200000000000006</v>
      </c>
      <c r="I928" t="s">
        <v>44</v>
      </c>
      <c r="K928" t="s">
        <v>45</v>
      </c>
      <c r="L928">
        <v>1</v>
      </c>
      <c r="M928" t="str">
        <f>VLOOKUP(D928,State_Lookup!$A$2:$B$28,2,FALSE)</f>
        <v>Sao Paulo</v>
      </c>
    </row>
    <row r="929" spans="1:13" x14ac:dyDescent="0.45">
      <c r="A929" t="s">
        <v>1254</v>
      </c>
      <c r="B929" t="s">
        <v>1248</v>
      </c>
      <c r="C929" t="s">
        <v>1039</v>
      </c>
      <c r="D929" t="s">
        <v>16</v>
      </c>
      <c r="E929" t="s">
        <v>43</v>
      </c>
      <c r="F929">
        <v>1</v>
      </c>
      <c r="G929">
        <v>249.9</v>
      </c>
      <c r="H929">
        <v>62.49</v>
      </c>
      <c r="I929" t="s">
        <v>44</v>
      </c>
      <c r="J929">
        <v>16</v>
      </c>
      <c r="K929" t="s">
        <v>51</v>
      </c>
      <c r="L929">
        <v>1</v>
      </c>
      <c r="M929" t="str">
        <f>VLOOKUP(D929,State_Lookup!$A$2:$B$28,2,FALSE)</f>
        <v>Sao Paulo</v>
      </c>
    </row>
    <row r="930" spans="1:13" x14ac:dyDescent="0.45">
      <c r="A930" t="s">
        <v>1255</v>
      </c>
      <c r="B930" t="s">
        <v>1248</v>
      </c>
      <c r="C930" t="s">
        <v>1039</v>
      </c>
      <c r="D930" t="s">
        <v>16</v>
      </c>
      <c r="E930" t="s">
        <v>148</v>
      </c>
      <c r="F930">
        <v>2</v>
      </c>
      <c r="G930">
        <v>459.98</v>
      </c>
      <c r="H930">
        <v>34.479999999999997</v>
      </c>
      <c r="I930" t="s">
        <v>44</v>
      </c>
      <c r="J930">
        <v>6</v>
      </c>
      <c r="K930" t="s">
        <v>51</v>
      </c>
      <c r="L930">
        <v>1</v>
      </c>
      <c r="M930" t="str">
        <f>VLOOKUP(D930,State_Lookup!$A$2:$B$28,2,FALSE)</f>
        <v>Sao Paulo</v>
      </c>
    </row>
    <row r="931" spans="1:13" x14ac:dyDescent="0.45">
      <c r="A931" t="s">
        <v>1256</v>
      </c>
      <c r="B931" t="s">
        <v>1248</v>
      </c>
      <c r="C931" t="s">
        <v>1039</v>
      </c>
      <c r="D931" t="s">
        <v>210</v>
      </c>
      <c r="E931" t="s">
        <v>66</v>
      </c>
      <c r="F931">
        <v>1</v>
      </c>
      <c r="G931">
        <v>189.9</v>
      </c>
      <c r="H931">
        <v>22.13</v>
      </c>
      <c r="I931" t="s">
        <v>44</v>
      </c>
      <c r="J931">
        <v>8</v>
      </c>
      <c r="K931" t="s">
        <v>51</v>
      </c>
      <c r="L931">
        <v>5</v>
      </c>
      <c r="M931" t="str">
        <f>VLOOKUP(D931,State_Lookup!$A$2:$B$28,2,FALSE)</f>
        <v>Amazonas</v>
      </c>
    </row>
    <row r="932" spans="1:13" x14ac:dyDescent="0.45">
      <c r="A932" t="s">
        <v>1257</v>
      </c>
      <c r="B932" t="s">
        <v>1248</v>
      </c>
      <c r="C932" t="s">
        <v>1039</v>
      </c>
      <c r="D932" t="s">
        <v>141</v>
      </c>
      <c r="E932" t="s">
        <v>148</v>
      </c>
      <c r="F932">
        <v>1</v>
      </c>
      <c r="G932">
        <v>99.99</v>
      </c>
      <c r="H932">
        <v>38.25</v>
      </c>
      <c r="I932" t="s">
        <v>44</v>
      </c>
      <c r="J932">
        <v>13</v>
      </c>
      <c r="K932" t="s">
        <v>51</v>
      </c>
      <c r="L932">
        <v>1</v>
      </c>
      <c r="M932" t="str">
        <f>VLOOKUP(D932,State_Lookup!$A$2:$B$28,2,FALSE)</f>
        <v>Maranhao</v>
      </c>
    </row>
    <row r="933" spans="1:13" x14ac:dyDescent="0.45">
      <c r="A933" t="s">
        <v>1258</v>
      </c>
      <c r="B933" t="s">
        <v>1248</v>
      </c>
      <c r="C933" t="s">
        <v>1039</v>
      </c>
      <c r="D933" t="s">
        <v>21</v>
      </c>
      <c r="E933" t="s">
        <v>49</v>
      </c>
      <c r="F933">
        <v>1</v>
      </c>
      <c r="G933">
        <v>112</v>
      </c>
      <c r="H933">
        <v>16.54</v>
      </c>
      <c r="I933" t="s">
        <v>44</v>
      </c>
      <c r="J933">
        <v>18</v>
      </c>
      <c r="K933" t="s">
        <v>51</v>
      </c>
      <c r="L933">
        <v>5</v>
      </c>
      <c r="M933" t="str">
        <f>VLOOKUP(D933,State_Lookup!$A$2:$B$28,2,FALSE)</f>
        <v>Santa Catarina</v>
      </c>
    </row>
    <row r="934" spans="1:13" x14ac:dyDescent="0.45">
      <c r="A934" t="s">
        <v>1259</v>
      </c>
      <c r="B934" t="s">
        <v>1248</v>
      </c>
      <c r="C934" t="s">
        <v>1039</v>
      </c>
      <c r="D934" t="s">
        <v>18</v>
      </c>
      <c r="E934" t="s">
        <v>100</v>
      </c>
      <c r="F934">
        <v>1</v>
      </c>
      <c r="G934">
        <v>103.99</v>
      </c>
      <c r="H934">
        <v>21.22</v>
      </c>
      <c r="I934" t="s">
        <v>44</v>
      </c>
      <c r="J934">
        <v>9</v>
      </c>
      <c r="K934" t="s">
        <v>51</v>
      </c>
      <c r="L934">
        <v>5</v>
      </c>
      <c r="M934" t="str">
        <f>VLOOKUP(D934,State_Lookup!$A$2:$B$28,2,FALSE)</f>
        <v>Minas Gerais</v>
      </c>
    </row>
    <row r="935" spans="1:13" x14ac:dyDescent="0.45">
      <c r="A935" t="s">
        <v>1260</v>
      </c>
      <c r="B935" t="s">
        <v>1261</v>
      </c>
      <c r="C935" t="s">
        <v>1039</v>
      </c>
      <c r="D935" t="s">
        <v>16</v>
      </c>
      <c r="E935" t="s">
        <v>43</v>
      </c>
      <c r="F935">
        <v>3</v>
      </c>
      <c r="G935">
        <v>206.05</v>
      </c>
      <c r="H935">
        <v>39.81</v>
      </c>
      <c r="I935" t="s">
        <v>44</v>
      </c>
      <c r="J935">
        <v>8</v>
      </c>
      <c r="K935" t="s">
        <v>51</v>
      </c>
      <c r="L935">
        <v>1</v>
      </c>
      <c r="M935" t="str">
        <f>VLOOKUP(D935,State_Lookup!$A$2:$B$28,2,FALSE)</f>
        <v>Sao Paulo</v>
      </c>
    </row>
    <row r="936" spans="1:13" x14ac:dyDescent="0.45">
      <c r="A936" t="s">
        <v>1262</v>
      </c>
      <c r="B936" t="s">
        <v>1261</v>
      </c>
      <c r="C936" t="s">
        <v>1039</v>
      </c>
      <c r="D936" t="s">
        <v>16</v>
      </c>
      <c r="E936" t="s">
        <v>110</v>
      </c>
      <c r="F936">
        <v>1</v>
      </c>
      <c r="G936">
        <v>54.9</v>
      </c>
      <c r="H936">
        <v>13.08</v>
      </c>
      <c r="I936" t="s">
        <v>44</v>
      </c>
      <c r="J936">
        <v>1</v>
      </c>
      <c r="K936" t="s">
        <v>51</v>
      </c>
      <c r="L936">
        <v>5</v>
      </c>
      <c r="M936" t="str">
        <f>VLOOKUP(D936,State_Lookup!$A$2:$B$28,2,FALSE)</f>
        <v>Sao Paulo</v>
      </c>
    </row>
    <row r="937" spans="1:13" x14ac:dyDescent="0.45">
      <c r="A937" t="s">
        <v>1263</v>
      </c>
      <c r="B937" t="s">
        <v>1261</v>
      </c>
      <c r="C937" t="s">
        <v>1039</v>
      </c>
      <c r="D937" t="s">
        <v>20</v>
      </c>
      <c r="E937" t="s">
        <v>110</v>
      </c>
      <c r="F937">
        <v>1</v>
      </c>
      <c r="G937">
        <v>59.9</v>
      </c>
      <c r="H937">
        <v>15.17</v>
      </c>
      <c r="I937" t="s">
        <v>44</v>
      </c>
      <c r="J937">
        <v>11</v>
      </c>
      <c r="K937" t="s">
        <v>51</v>
      </c>
      <c r="L937">
        <v>5</v>
      </c>
      <c r="M937" t="str">
        <f>VLOOKUP(D937,State_Lookup!$A$2:$B$28,2,FALSE)</f>
        <v>Parana</v>
      </c>
    </row>
    <row r="938" spans="1:13" x14ac:dyDescent="0.45">
      <c r="A938" t="s">
        <v>1264</v>
      </c>
      <c r="B938" t="s">
        <v>1265</v>
      </c>
      <c r="C938" t="s">
        <v>1039</v>
      </c>
      <c r="D938" t="s">
        <v>18</v>
      </c>
      <c r="E938" t="s">
        <v>61</v>
      </c>
      <c r="F938">
        <v>1</v>
      </c>
      <c r="G938">
        <v>7.99</v>
      </c>
      <c r="H938">
        <v>16.11</v>
      </c>
      <c r="I938" t="s">
        <v>44</v>
      </c>
      <c r="J938">
        <v>8</v>
      </c>
      <c r="K938" t="s">
        <v>51</v>
      </c>
      <c r="L938">
        <v>5</v>
      </c>
      <c r="M938" t="str">
        <f>VLOOKUP(D938,State_Lookup!$A$2:$B$28,2,FALSE)</f>
        <v>Minas Gerais</v>
      </c>
    </row>
    <row r="939" spans="1:13" x14ac:dyDescent="0.45">
      <c r="A939" t="s">
        <v>1266</v>
      </c>
      <c r="B939" t="s">
        <v>1265</v>
      </c>
      <c r="C939" t="s">
        <v>1039</v>
      </c>
      <c r="D939" t="s">
        <v>21</v>
      </c>
      <c r="E939" t="s">
        <v>157</v>
      </c>
      <c r="F939">
        <v>1</v>
      </c>
      <c r="G939">
        <v>129</v>
      </c>
      <c r="H939">
        <v>15.65</v>
      </c>
      <c r="I939" t="s">
        <v>44</v>
      </c>
      <c r="J939">
        <v>9</v>
      </c>
      <c r="K939" t="s">
        <v>51</v>
      </c>
      <c r="L939">
        <v>1</v>
      </c>
      <c r="M939" t="str">
        <f>VLOOKUP(D939,State_Lookup!$A$2:$B$28,2,FALSE)</f>
        <v>Santa Catarina</v>
      </c>
    </row>
    <row r="940" spans="1:13" x14ac:dyDescent="0.45">
      <c r="A940" t="s">
        <v>1267</v>
      </c>
      <c r="B940" t="s">
        <v>1265</v>
      </c>
      <c r="C940" t="s">
        <v>1039</v>
      </c>
      <c r="D940" t="s">
        <v>18</v>
      </c>
      <c r="E940" t="s">
        <v>49</v>
      </c>
      <c r="F940">
        <v>1</v>
      </c>
      <c r="G940">
        <v>181</v>
      </c>
      <c r="H940">
        <v>21.76</v>
      </c>
      <c r="I940" t="s">
        <v>44</v>
      </c>
      <c r="J940">
        <v>10</v>
      </c>
      <c r="K940" t="s">
        <v>51</v>
      </c>
      <c r="L940">
        <v>5</v>
      </c>
      <c r="M940" t="str">
        <f>VLOOKUP(D940,State_Lookup!$A$2:$B$28,2,FALSE)</f>
        <v>Minas Gerais</v>
      </c>
    </row>
    <row r="941" spans="1:13" x14ac:dyDescent="0.45">
      <c r="A941" t="s">
        <v>1268</v>
      </c>
      <c r="B941" t="s">
        <v>1265</v>
      </c>
      <c r="C941" t="s">
        <v>1039</v>
      </c>
      <c r="D941" t="s">
        <v>17</v>
      </c>
      <c r="E941" t="s">
        <v>61</v>
      </c>
      <c r="F941">
        <v>1</v>
      </c>
      <c r="G941">
        <v>49.9</v>
      </c>
      <c r="H941">
        <v>15.1</v>
      </c>
      <c r="I941" t="s">
        <v>44</v>
      </c>
      <c r="J941">
        <v>14</v>
      </c>
      <c r="K941" t="s">
        <v>51</v>
      </c>
      <c r="L941">
        <v>5</v>
      </c>
      <c r="M941" t="str">
        <f>VLOOKUP(D941,State_Lookup!$A$2:$B$28,2,FALSE)</f>
        <v>Rio de Janeiro</v>
      </c>
    </row>
    <row r="942" spans="1:13" x14ac:dyDescent="0.45">
      <c r="A942" t="s">
        <v>1269</v>
      </c>
      <c r="B942" t="s">
        <v>1270</v>
      </c>
      <c r="C942" t="s">
        <v>1271</v>
      </c>
      <c r="D942" t="s">
        <v>18</v>
      </c>
      <c r="E942" t="s">
        <v>79</v>
      </c>
      <c r="F942">
        <v>1</v>
      </c>
      <c r="G942">
        <v>169</v>
      </c>
      <c r="H942">
        <v>15.93</v>
      </c>
      <c r="I942" t="s">
        <v>44</v>
      </c>
      <c r="J942">
        <v>9</v>
      </c>
      <c r="K942" t="s">
        <v>51</v>
      </c>
      <c r="L942">
        <v>5</v>
      </c>
      <c r="M942" t="str">
        <f>VLOOKUP(D942,State_Lookup!$A$2:$B$28,2,FALSE)</f>
        <v>Minas Gerais</v>
      </c>
    </row>
    <row r="943" spans="1:13" x14ac:dyDescent="0.45">
      <c r="A943" t="s">
        <v>1272</v>
      </c>
      <c r="B943" t="s">
        <v>1270</v>
      </c>
      <c r="C943" t="s">
        <v>1271</v>
      </c>
      <c r="D943" t="s">
        <v>16</v>
      </c>
      <c r="E943" t="s">
        <v>61</v>
      </c>
      <c r="F943">
        <v>1</v>
      </c>
      <c r="G943">
        <v>49.99</v>
      </c>
      <c r="H943">
        <v>12.48</v>
      </c>
      <c r="I943" t="s">
        <v>133</v>
      </c>
      <c r="J943">
        <v>11</v>
      </c>
      <c r="K943" t="s">
        <v>51</v>
      </c>
      <c r="L943">
        <v>3</v>
      </c>
      <c r="M943" t="str">
        <f>VLOOKUP(D943,State_Lookup!$A$2:$B$28,2,FALSE)</f>
        <v>Sao Paulo</v>
      </c>
    </row>
    <row r="944" spans="1:13" x14ac:dyDescent="0.45">
      <c r="A944" t="s">
        <v>1273</v>
      </c>
      <c r="B944" t="s">
        <v>1270</v>
      </c>
      <c r="C944" t="s">
        <v>1271</v>
      </c>
      <c r="D944" t="s">
        <v>19</v>
      </c>
      <c r="E944" t="s">
        <v>125</v>
      </c>
      <c r="F944">
        <v>1</v>
      </c>
      <c r="G944">
        <v>18.899999999999999</v>
      </c>
      <c r="H944">
        <v>15.1</v>
      </c>
      <c r="I944" t="s">
        <v>50</v>
      </c>
      <c r="J944">
        <v>20</v>
      </c>
      <c r="K944" t="s">
        <v>51</v>
      </c>
      <c r="L944">
        <v>5</v>
      </c>
      <c r="M944" t="str">
        <f>VLOOKUP(D944,State_Lookup!$A$2:$B$28,2,FALSE)</f>
        <v>Rio Grande do Sul</v>
      </c>
    </row>
    <row r="945" spans="1:13" x14ac:dyDescent="0.45">
      <c r="A945" t="s">
        <v>1274</v>
      </c>
      <c r="B945" t="s">
        <v>1270</v>
      </c>
      <c r="C945" t="s">
        <v>1271</v>
      </c>
      <c r="D945" t="s">
        <v>22</v>
      </c>
      <c r="E945" t="s">
        <v>49</v>
      </c>
      <c r="F945">
        <v>2</v>
      </c>
      <c r="G945">
        <v>229.98</v>
      </c>
      <c r="H945">
        <v>37.29</v>
      </c>
      <c r="I945" t="s">
        <v>44</v>
      </c>
      <c r="J945">
        <v>6</v>
      </c>
      <c r="K945" t="s">
        <v>51</v>
      </c>
      <c r="L945">
        <v>1</v>
      </c>
      <c r="M945" t="str">
        <f>VLOOKUP(D945,State_Lookup!$A$2:$B$28,2,FALSE)</f>
        <v>Bahia</v>
      </c>
    </row>
    <row r="946" spans="1:13" x14ac:dyDescent="0.45">
      <c r="A946" t="s">
        <v>1275</v>
      </c>
      <c r="B946" t="s">
        <v>1270</v>
      </c>
      <c r="C946" t="s">
        <v>1271</v>
      </c>
      <c r="D946" t="s">
        <v>23</v>
      </c>
      <c r="E946" t="s">
        <v>61</v>
      </c>
      <c r="F946">
        <v>1</v>
      </c>
      <c r="G946">
        <v>44.99</v>
      </c>
      <c r="H946">
        <v>25.63</v>
      </c>
      <c r="I946" t="s">
        <v>50</v>
      </c>
      <c r="J946">
        <v>10</v>
      </c>
      <c r="K946" t="s">
        <v>51</v>
      </c>
      <c r="L946">
        <v>3</v>
      </c>
      <c r="M946" t="str">
        <f>VLOOKUP(D946,State_Lookup!$A$2:$B$28,2,FALSE)</f>
        <v>Espirito Santo</v>
      </c>
    </row>
    <row r="947" spans="1:13" x14ac:dyDescent="0.45">
      <c r="A947" t="s">
        <v>1276</v>
      </c>
      <c r="B947" t="s">
        <v>1270</v>
      </c>
      <c r="C947" t="s">
        <v>1271</v>
      </c>
      <c r="D947" t="s">
        <v>128</v>
      </c>
      <c r="E947" t="s">
        <v>66</v>
      </c>
      <c r="F947">
        <v>1</v>
      </c>
      <c r="G947">
        <v>35.99</v>
      </c>
      <c r="H947">
        <v>17.63</v>
      </c>
      <c r="I947" t="s">
        <v>44</v>
      </c>
      <c r="J947">
        <v>13</v>
      </c>
      <c r="K947" t="s">
        <v>51</v>
      </c>
      <c r="L947">
        <v>3</v>
      </c>
      <c r="M947" t="str">
        <f>VLOOKUP(D947,State_Lookup!$A$2:$B$28,2,FALSE)</f>
        <v>Ceara</v>
      </c>
    </row>
    <row r="948" spans="1:13" x14ac:dyDescent="0.45">
      <c r="A948" t="s">
        <v>1277</v>
      </c>
      <c r="B948" t="s">
        <v>1270</v>
      </c>
      <c r="C948" t="s">
        <v>1271</v>
      </c>
      <c r="D948" t="s">
        <v>16</v>
      </c>
      <c r="E948" t="s">
        <v>267</v>
      </c>
      <c r="F948">
        <v>1</v>
      </c>
      <c r="G948">
        <v>99</v>
      </c>
      <c r="H948">
        <v>14.42</v>
      </c>
      <c r="I948" t="s">
        <v>44</v>
      </c>
      <c r="J948">
        <v>10</v>
      </c>
      <c r="K948" t="s">
        <v>51</v>
      </c>
      <c r="M948" t="str">
        <f>VLOOKUP(D948,State_Lookup!$A$2:$B$28,2,FALSE)</f>
        <v>Sao Paulo</v>
      </c>
    </row>
    <row r="949" spans="1:13" x14ac:dyDescent="0.45">
      <c r="A949" t="s">
        <v>1278</v>
      </c>
      <c r="B949" t="s">
        <v>1270</v>
      </c>
      <c r="C949" t="s">
        <v>1271</v>
      </c>
      <c r="D949" t="s">
        <v>16</v>
      </c>
      <c r="E949" t="s">
        <v>142</v>
      </c>
      <c r="F949">
        <v>1</v>
      </c>
      <c r="G949">
        <v>19.899999999999999</v>
      </c>
      <c r="H949">
        <v>8.7200000000000006</v>
      </c>
      <c r="I949" t="s">
        <v>50</v>
      </c>
      <c r="J949">
        <v>5</v>
      </c>
      <c r="K949" t="s">
        <v>51</v>
      </c>
      <c r="L949">
        <v>4</v>
      </c>
      <c r="M949" t="str">
        <f>VLOOKUP(D949,State_Lookup!$A$2:$B$28,2,FALSE)</f>
        <v>Sao Paulo</v>
      </c>
    </row>
    <row r="950" spans="1:13" x14ac:dyDescent="0.45">
      <c r="A950" t="s">
        <v>1279</v>
      </c>
      <c r="B950" t="s">
        <v>1270</v>
      </c>
      <c r="C950" t="s">
        <v>1271</v>
      </c>
      <c r="D950" t="s">
        <v>128</v>
      </c>
      <c r="E950" t="s">
        <v>53</v>
      </c>
      <c r="F950">
        <v>1</v>
      </c>
      <c r="G950">
        <v>299.99</v>
      </c>
      <c r="H950">
        <v>39.65</v>
      </c>
      <c r="I950" t="s">
        <v>44</v>
      </c>
      <c r="J950">
        <v>13</v>
      </c>
      <c r="K950" t="s">
        <v>51</v>
      </c>
      <c r="L950">
        <v>5</v>
      </c>
      <c r="M950" t="str">
        <f>VLOOKUP(D950,State_Lookup!$A$2:$B$28,2,FALSE)</f>
        <v>Ceara</v>
      </c>
    </row>
    <row r="951" spans="1:13" x14ac:dyDescent="0.45">
      <c r="A951" t="s">
        <v>1280</v>
      </c>
      <c r="B951" t="s">
        <v>1270</v>
      </c>
      <c r="C951" t="s">
        <v>1271</v>
      </c>
      <c r="D951" t="s">
        <v>22</v>
      </c>
      <c r="E951" t="s">
        <v>1031</v>
      </c>
      <c r="F951">
        <v>1</v>
      </c>
      <c r="G951">
        <v>32.99</v>
      </c>
      <c r="H951">
        <v>16.79</v>
      </c>
      <c r="I951" t="s">
        <v>44</v>
      </c>
      <c r="J951">
        <v>23</v>
      </c>
      <c r="K951" t="s">
        <v>51</v>
      </c>
      <c r="L951">
        <v>3</v>
      </c>
      <c r="M951" t="str">
        <f>VLOOKUP(D951,State_Lookup!$A$2:$B$28,2,FALSE)</f>
        <v>Bahia</v>
      </c>
    </row>
    <row r="952" spans="1:13" x14ac:dyDescent="0.45">
      <c r="A952" t="s">
        <v>1281</v>
      </c>
      <c r="B952" t="s">
        <v>1282</v>
      </c>
      <c r="C952" t="s">
        <v>1271</v>
      </c>
      <c r="D952" t="s">
        <v>16</v>
      </c>
      <c r="E952" t="s">
        <v>61</v>
      </c>
      <c r="F952">
        <v>1</v>
      </c>
      <c r="G952">
        <v>708</v>
      </c>
      <c r="H952">
        <v>13.24</v>
      </c>
      <c r="I952" t="s">
        <v>44</v>
      </c>
      <c r="J952">
        <v>12</v>
      </c>
      <c r="K952" t="s">
        <v>51</v>
      </c>
      <c r="L952">
        <v>5</v>
      </c>
      <c r="M952" t="str">
        <f>VLOOKUP(D952,State_Lookup!$A$2:$B$28,2,FALSE)</f>
        <v>Sao Paulo</v>
      </c>
    </row>
    <row r="953" spans="1:13" x14ac:dyDescent="0.45">
      <c r="A953" t="s">
        <v>1283</v>
      </c>
      <c r="B953" t="s">
        <v>1282</v>
      </c>
      <c r="C953" t="s">
        <v>1271</v>
      </c>
      <c r="D953" t="s">
        <v>25</v>
      </c>
      <c r="E953" t="s">
        <v>142</v>
      </c>
      <c r="F953">
        <v>1</v>
      </c>
      <c r="G953">
        <v>167.99</v>
      </c>
      <c r="H953">
        <v>36.5</v>
      </c>
      <c r="I953" t="s">
        <v>44</v>
      </c>
      <c r="J953">
        <v>13</v>
      </c>
      <c r="K953" t="s">
        <v>51</v>
      </c>
      <c r="L953">
        <v>3</v>
      </c>
      <c r="M953" t="str">
        <f>VLOOKUP(D953,State_Lookup!$A$2:$B$28,2,FALSE)</f>
        <v>Goias</v>
      </c>
    </row>
    <row r="954" spans="1:13" x14ac:dyDescent="0.45">
      <c r="A954" t="s">
        <v>1284</v>
      </c>
      <c r="B954" t="s">
        <v>1282</v>
      </c>
      <c r="C954" t="s">
        <v>1271</v>
      </c>
      <c r="D954" t="s">
        <v>18</v>
      </c>
      <c r="E954" t="s">
        <v>199</v>
      </c>
      <c r="F954">
        <v>1</v>
      </c>
      <c r="G954">
        <v>97</v>
      </c>
      <c r="H954">
        <v>16.93</v>
      </c>
      <c r="I954" t="s">
        <v>44</v>
      </c>
      <c r="J954">
        <v>7</v>
      </c>
      <c r="K954" t="s">
        <v>51</v>
      </c>
      <c r="L954">
        <v>5</v>
      </c>
      <c r="M954" t="str">
        <f>VLOOKUP(D954,State_Lookup!$A$2:$B$28,2,FALSE)</f>
        <v>Minas Gerais</v>
      </c>
    </row>
    <row r="955" spans="1:13" x14ac:dyDescent="0.45">
      <c r="A955" t="s">
        <v>1285</v>
      </c>
      <c r="B955" t="s">
        <v>1282</v>
      </c>
      <c r="C955" t="s">
        <v>1271</v>
      </c>
      <c r="D955" t="s">
        <v>16</v>
      </c>
      <c r="E955" t="s">
        <v>662</v>
      </c>
      <c r="F955">
        <v>1</v>
      </c>
      <c r="G955">
        <v>6.99</v>
      </c>
      <c r="H955">
        <v>11.85</v>
      </c>
      <c r="I955" t="s">
        <v>133</v>
      </c>
      <c r="J955">
        <v>6</v>
      </c>
      <c r="K955" t="s">
        <v>51</v>
      </c>
      <c r="L955">
        <v>2</v>
      </c>
      <c r="M955" t="str">
        <f>VLOOKUP(D955,State_Lookup!$A$2:$B$28,2,FALSE)</f>
        <v>Sao Paulo</v>
      </c>
    </row>
    <row r="956" spans="1:13" x14ac:dyDescent="0.45">
      <c r="A956" t="s">
        <v>1286</v>
      </c>
      <c r="B956" t="s">
        <v>1282</v>
      </c>
      <c r="C956" t="s">
        <v>1271</v>
      </c>
      <c r="D956" t="s">
        <v>18</v>
      </c>
      <c r="E956" t="s">
        <v>43</v>
      </c>
      <c r="F956">
        <v>2</v>
      </c>
      <c r="G956">
        <v>99.8</v>
      </c>
      <c r="H956">
        <v>32.22</v>
      </c>
      <c r="I956" t="s">
        <v>50</v>
      </c>
      <c r="J956">
        <v>9</v>
      </c>
      <c r="K956" t="s">
        <v>51</v>
      </c>
      <c r="L956">
        <v>1</v>
      </c>
      <c r="M956" t="str">
        <f>VLOOKUP(D956,State_Lookup!$A$2:$B$28,2,FALSE)</f>
        <v>Minas Gerais</v>
      </c>
    </row>
    <row r="957" spans="1:13" x14ac:dyDescent="0.45">
      <c r="A957" t="s">
        <v>1287</v>
      </c>
      <c r="B957" t="s">
        <v>1288</v>
      </c>
      <c r="C957" t="s">
        <v>1271</v>
      </c>
      <c r="D957" t="s">
        <v>128</v>
      </c>
      <c r="E957" t="s">
        <v>58</v>
      </c>
      <c r="F957">
        <v>1</v>
      </c>
      <c r="G957">
        <v>102</v>
      </c>
      <c r="H957">
        <v>34.51</v>
      </c>
      <c r="I957" t="s">
        <v>44</v>
      </c>
      <c r="J957">
        <v>25</v>
      </c>
      <c r="K957" t="s">
        <v>51</v>
      </c>
      <c r="L957">
        <v>5</v>
      </c>
      <c r="M957" t="str">
        <f>VLOOKUP(D957,State_Lookup!$A$2:$B$28,2,FALSE)</f>
        <v>Ceara</v>
      </c>
    </row>
    <row r="958" spans="1:13" x14ac:dyDescent="0.45">
      <c r="A958" t="s">
        <v>1289</v>
      </c>
      <c r="B958" t="s">
        <v>1288</v>
      </c>
      <c r="C958" t="s">
        <v>1271</v>
      </c>
      <c r="D958" t="s">
        <v>22</v>
      </c>
      <c r="E958" t="s">
        <v>148</v>
      </c>
      <c r="F958">
        <v>1</v>
      </c>
      <c r="G958">
        <v>87.99</v>
      </c>
      <c r="H958">
        <v>19.86</v>
      </c>
      <c r="I958" t="s">
        <v>44</v>
      </c>
      <c r="J958">
        <v>20</v>
      </c>
      <c r="K958" t="s">
        <v>51</v>
      </c>
      <c r="L958">
        <v>5</v>
      </c>
      <c r="M958" t="str">
        <f>VLOOKUP(D958,State_Lookup!$A$2:$B$28,2,FALSE)</f>
        <v>Bahia</v>
      </c>
    </row>
    <row r="959" spans="1:13" x14ac:dyDescent="0.45">
      <c r="A959" t="s">
        <v>1290</v>
      </c>
      <c r="B959" t="s">
        <v>1288</v>
      </c>
      <c r="C959" t="s">
        <v>1271</v>
      </c>
      <c r="D959" t="s">
        <v>17</v>
      </c>
      <c r="E959" t="s">
        <v>950</v>
      </c>
      <c r="F959">
        <v>1</v>
      </c>
      <c r="G959">
        <v>749</v>
      </c>
      <c r="H959">
        <v>90.4</v>
      </c>
      <c r="I959" t="s">
        <v>44</v>
      </c>
      <c r="J959">
        <v>12</v>
      </c>
      <c r="K959" t="s">
        <v>51</v>
      </c>
      <c r="L959">
        <v>3</v>
      </c>
      <c r="M959" t="str">
        <f>VLOOKUP(D959,State_Lookup!$A$2:$B$28,2,FALSE)</f>
        <v>Rio de Janeiro</v>
      </c>
    </row>
    <row r="960" spans="1:13" x14ac:dyDescent="0.45">
      <c r="A960" t="s">
        <v>1291</v>
      </c>
      <c r="B960" t="s">
        <v>1288</v>
      </c>
      <c r="C960" t="s">
        <v>1271</v>
      </c>
      <c r="D960" t="s">
        <v>18</v>
      </c>
      <c r="E960" t="s">
        <v>64</v>
      </c>
      <c r="F960">
        <v>2</v>
      </c>
      <c r="G960">
        <v>39.4</v>
      </c>
      <c r="H960">
        <v>29.4</v>
      </c>
      <c r="I960" t="s">
        <v>44</v>
      </c>
      <c r="J960">
        <v>4</v>
      </c>
      <c r="K960" t="s">
        <v>51</v>
      </c>
      <c r="L960">
        <v>5</v>
      </c>
      <c r="M960" t="str">
        <f>VLOOKUP(D960,State_Lookup!$A$2:$B$28,2,FALSE)</f>
        <v>Minas Gerais</v>
      </c>
    </row>
    <row r="961" spans="1:13" x14ac:dyDescent="0.45">
      <c r="A961" t="s">
        <v>1292</v>
      </c>
      <c r="B961" t="s">
        <v>1288</v>
      </c>
      <c r="C961" t="s">
        <v>1271</v>
      </c>
      <c r="D961" t="s">
        <v>16</v>
      </c>
      <c r="E961" t="s">
        <v>66</v>
      </c>
      <c r="F961">
        <v>1</v>
      </c>
      <c r="G961">
        <v>199</v>
      </c>
      <c r="H961">
        <v>8.65</v>
      </c>
      <c r="I961" t="s">
        <v>44</v>
      </c>
      <c r="J961">
        <v>1</v>
      </c>
      <c r="K961" t="s">
        <v>51</v>
      </c>
      <c r="L961">
        <v>5</v>
      </c>
      <c r="M961" t="str">
        <f>VLOOKUP(D961,State_Lookup!$A$2:$B$28,2,FALSE)</f>
        <v>Sao Paulo</v>
      </c>
    </row>
    <row r="962" spans="1:13" x14ac:dyDescent="0.45">
      <c r="A962" t="s">
        <v>1293</v>
      </c>
      <c r="B962" t="s">
        <v>1288</v>
      </c>
      <c r="C962" t="s">
        <v>1271</v>
      </c>
      <c r="D962" t="s">
        <v>18</v>
      </c>
      <c r="E962" t="s">
        <v>192</v>
      </c>
      <c r="F962">
        <v>1</v>
      </c>
      <c r="G962">
        <v>69.900000000000006</v>
      </c>
      <c r="H962">
        <v>9.74</v>
      </c>
      <c r="I962" t="s">
        <v>44</v>
      </c>
      <c r="J962">
        <v>4</v>
      </c>
      <c r="K962" t="s">
        <v>51</v>
      </c>
      <c r="L962">
        <v>5</v>
      </c>
      <c r="M962" t="str">
        <f>VLOOKUP(D962,State_Lookup!$A$2:$B$28,2,FALSE)</f>
        <v>Minas Gerais</v>
      </c>
    </row>
    <row r="963" spans="1:13" x14ac:dyDescent="0.45">
      <c r="A963" t="s">
        <v>1294</v>
      </c>
      <c r="B963" t="s">
        <v>1288</v>
      </c>
      <c r="C963" t="s">
        <v>1271</v>
      </c>
      <c r="D963" t="s">
        <v>16</v>
      </c>
      <c r="E963" t="s">
        <v>148</v>
      </c>
      <c r="F963">
        <v>1</v>
      </c>
      <c r="G963">
        <v>62.99</v>
      </c>
      <c r="H963">
        <v>11.73</v>
      </c>
      <c r="I963" t="s">
        <v>50</v>
      </c>
      <c r="J963">
        <v>2</v>
      </c>
      <c r="K963" t="s">
        <v>51</v>
      </c>
      <c r="L963">
        <v>5</v>
      </c>
      <c r="M963" t="str">
        <f>VLOOKUP(D963,State_Lookup!$A$2:$B$28,2,FALSE)</f>
        <v>Sao Paulo</v>
      </c>
    </row>
    <row r="964" spans="1:13" x14ac:dyDescent="0.45">
      <c r="A964" t="s">
        <v>1295</v>
      </c>
      <c r="B964" t="s">
        <v>1296</v>
      </c>
      <c r="C964" t="s">
        <v>1271</v>
      </c>
      <c r="D964" t="s">
        <v>16</v>
      </c>
      <c r="E964" t="s">
        <v>107</v>
      </c>
      <c r="F964">
        <v>1</v>
      </c>
      <c r="G964">
        <v>143.80000000000001</v>
      </c>
      <c r="H964">
        <v>18.899999999999999</v>
      </c>
      <c r="I964" t="s">
        <v>44</v>
      </c>
      <c r="J964">
        <v>9</v>
      </c>
      <c r="K964" t="s">
        <v>51</v>
      </c>
      <c r="L964">
        <v>5</v>
      </c>
      <c r="M964" t="str">
        <f>VLOOKUP(D964,State_Lookup!$A$2:$B$28,2,FALSE)</f>
        <v>Sao Paulo</v>
      </c>
    </row>
    <row r="965" spans="1:13" x14ac:dyDescent="0.45">
      <c r="A965" t="s">
        <v>1297</v>
      </c>
      <c r="B965" t="s">
        <v>1296</v>
      </c>
      <c r="C965" t="s">
        <v>1271</v>
      </c>
      <c r="D965" t="s">
        <v>17</v>
      </c>
      <c r="E965" t="s">
        <v>61</v>
      </c>
      <c r="F965">
        <v>1</v>
      </c>
      <c r="G965">
        <v>27.9</v>
      </c>
      <c r="H965">
        <v>14.1</v>
      </c>
      <c r="I965" t="s">
        <v>44</v>
      </c>
      <c r="J965">
        <v>17</v>
      </c>
      <c r="K965" t="s">
        <v>51</v>
      </c>
      <c r="L965">
        <v>4</v>
      </c>
      <c r="M965" t="str">
        <f>VLOOKUP(D965,State_Lookup!$A$2:$B$28,2,FALSE)</f>
        <v>Rio de Janeiro</v>
      </c>
    </row>
    <row r="966" spans="1:13" x14ac:dyDescent="0.45">
      <c r="A966" t="s">
        <v>1298</v>
      </c>
      <c r="B966" t="s">
        <v>1296</v>
      </c>
      <c r="C966" t="s">
        <v>1271</v>
      </c>
      <c r="D966" t="s">
        <v>16</v>
      </c>
      <c r="E966" t="s">
        <v>61</v>
      </c>
      <c r="F966">
        <v>1</v>
      </c>
      <c r="G966">
        <v>279</v>
      </c>
      <c r="H966">
        <v>9.2100000000000009</v>
      </c>
      <c r="I966" t="s">
        <v>50</v>
      </c>
      <c r="J966">
        <v>11</v>
      </c>
      <c r="K966" t="s">
        <v>51</v>
      </c>
      <c r="L966">
        <v>5</v>
      </c>
      <c r="M966" t="str">
        <f>VLOOKUP(D966,State_Lookup!$A$2:$B$28,2,FALSE)</f>
        <v>Sao Paulo</v>
      </c>
    </row>
    <row r="967" spans="1:13" x14ac:dyDescent="0.45">
      <c r="A967" t="s">
        <v>1299</v>
      </c>
      <c r="B967" t="s">
        <v>1296</v>
      </c>
      <c r="C967" t="s">
        <v>1271</v>
      </c>
      <c r="D967" t="s">
        <v>21</v>
      </c>
      <c r="E967" t="s">
        <v>43</v>
      </c>
      <c r="F967">
        <v>1</v>
      </c>
      <c r="G967">
        <v>39</v>
      </c>
      <c r="H967">
        <v>16.79</v>
      </c>
      <c r="I967" t="s">
        <v>50</v>
      </c>
      <c r="J967">
        <v>18</v>
      </c>
      <c r="K967" t="s">
        <v>51</v>
      </c>
      <c r="L967">
        <v>5</v>
      </c>
      <c r="M967" t="str">
        <f>VLOOKUP(D967,State_Lookup!$A$2:$B$28,2,FALSE)</f>
        <v>Santa Catarina</v>
      </c>
    </row>
    <row r="968" spans="1:13" x14ac:dyDescent="0.45">
      <c r="A968" t="s">
        <v>1300</v>
      </c>
      <c r="B968" t="s">
        <v>1296</v>
      </c>
      <c r="C968" t="s">
        <v>1271</v>
      </c>
      <c r="D968" t="s">
        <v>235</v>
      </c>
      <c r="E968" t="s">
        <v>148</v>
      </c>
      <c r="F968">
        <v>1</v>
      </c>
      <c r="G968">
        <v>99.99</v>
      </c>
      <c r="H968">
        <v>30.23</v>
      </c>
      <c r="I968" t="s">
        <v>44</v>
      </c>
      <c r="J968">
        <v>12</v>
      </c>
      <c r="K968" t="s">
        <v>51</v>
      </c>
      <c r="L968">
        <v>1</v>
      </c>
      <c r="M968" t="str">
        <f>VLOOKUP(D968,State_Lookup!$A$2:$B$28,2,FALSE)</f>
        <v>Acre</v>
      </c>
    </row>
    <row r="969" spans="1:13" x14ac:dyDescent="0.45">
      <c r="A969" t="s">
        <v>1301</v>
      </c>
      <c r="B969" t="s">
        <v>1296</v>
      </c>
      <c r="C969" t="s">
        <v>1271</v>
      </c>
      <c r="D969" t="s">
        <v>16</v>
      </c>
      <c r="E969" t="s">
        <v>103</v>
      </c>
      <c r="F969">
        <v>1</v>
      </c>
      <c r="G969">
        <v>139</v>
      </c>
      <c r="H969">
        <v>14.7</v>
      </c>
      <c r="I969" t="s">
        <v>44</v>
      </c>
      <c r="J969">
        <v>13</v>
      </c>
      <c r="K969" t="s">
        <v>51</v>
      </c>
      <c r="L969">
        <v>3</v>
      </c>
      <c r="M969" t="str">
        <f>VLOOKUP(D969,State_Lookup!$A$2:$B$28,2,FALSE)</f>
        <v>Sao Paulo</v>
      </c>
    </row>
    <row r="970" spans="1:13" x14ac:dyDescent="0.45">
      <c r="A970" t="s">
        <v>1302</v>
      </c>
      <c r="B970" t="s">
        <v>1296</v>
      </c>
      <c r="C970" t="s">
        <v>1271</v>
      </c>
      <c r="D970" t="s">
        <v>63</v>
      </c>
      <c r="E970" t="s">
        <v>110</v>
      </c>
      <c r="F970">
        <v>1</v>
      </c>
      <c r="G970">
        <v>205</v>
      </c>
      <c r="H970">
        <v>38.57</v>
      </c>
      <c r="I970" t="s">
        <v>44</v>
      </c>
      <c r="J970">
        <v>44</v>
      </c>
      <c r="K970" t="s">
        <v>143</v>
      </c>
      <c r="L970">
        <v>1</v>
      </c>
      <c r="M970" t="str">
        <f>VLOOKUP(D970,State_Lookup!$A$2:$B$28,2,FALSE)</f>
        <v>Pernambuco</v>
      </c>
    </row>
    <row r="971" spans="1:13" x14ac:dyDescent="0.45">
      <c r="A971" t="s">
        <v>1303</v>
      </c>
      <c r="B971" t="s">
        <v>1296</v>
      </c>
      <c r="C971" t="s">
        <v>1271</v>
      </c>
      <c r="D971" t="s">
        <v>17</v>
      </c>
      <c r="E971" t="s">
        <v>64</v>
      </c>
      <c r="F971">
        <v>1</v>
      </c>
      <c r="G971">
        <v>56.99</v>
      </c>
      <c r="H971">
        <v>14.15</v>
      </c>
      <c r="I971" t="s">
        <v>50</v>
      </c>
      <c r="J971">
        <v>18</v>
      </c>
      <c r="K971" t="s">
        <v>51</v>
      </c>
      <c r="L971">
        <v>3</v>
      </c>
      <c r="M971" t="str">
        <f>VLOOKUP(D971,State_Lookup!$A$2:$B$28,2,FALSE)</f>
        <v>Rio de Janeiro</v>
      </c>
    </row>
    <row r="972" spans="1:13" x14ac:dyDescent="0.45">
      <c r="A972" t="s">
        <v>1304</v>
      </c>
      <c r="B972" t="s">
        <v>1296</v>
      </c>
      <c r="C972" t="s">
        <v>1271</v>
      </c>
      <c r="D972" t="s">
        <v>21</v>
      </c>
      <c r="E972" t="s">
        <v>132</v>
      </c>
      <c r="F972">
        <v>1</v>
      </c>
      <c r="G972">
        <v>29.9</v>
      </c>
      <c r="H972">
        <v>15.1</v>
      </c>
      <c r="I972" t="s">
        <v>44</v>
      </c>
      <c r="J972">
        <v>11</v>
      </c>
      <c r="K972" t="s">
        <v>51</v>
      </c>
      <c r="L972">
        <v>5</v>
      </c>
      <c r="M972" t="str">
        <f>VLOOKUP(D972,State_Lookup!$A$2:$B$28,2,FALSE)</f>
        <v>Santa Catarina</v>
      </c>
    </row>
    <row r="973" spans="1:13" x14ac:dyDescent="0.45">
      <c r="A973" t="s">
        <v>1305</v>
      </c>
      <c r="B973" t="s">
        <v>1306</v>
      </c>
      <c r="C973" t="s">
        <v>1271</v>
      </c>
      <c r="D973" t="s">
        <v>19</v>
      </c>
      <c r="E973" t="s">
        <v>157</v>
      </c>
      <c r="F973">
        <v>1</v>
      </c>
      <c r="G973">
        <v>29.9</v>
      </c>
      <c r="H973">
        <v>16.11</v>
      </c>
      <c r="I973" t="s">
        <v>44</v>
      </c>
      <c r="J973">
        <v>10</v>
      </c>
      <c r="K973" t="s">
        <v>51</v>
      </c>
      <c r="L973">
        <v>5</v>
      </c>
      <c r="M973" t="str">
        <f>VLOOKUP(D973,State_Lookup!$A$2:$B$28,2,FALSE)</f>
        <v>Rio Grande do Sul</v>
      </c>
    </row>
    <row r="974" spans="1:13" x14ac:dyDescent="0.45">
      <c r="A974" t="s">
        <v>1307</v>
      </c>
      <c r="B974" t="s">
        <v>1306</v>
      </c>
      <c r="C974" t="s">
        <v>1271</v>
      </c>
      <c r="D974" t="s">
        <v>19</v>
      </c>
      <c r="E974" t="s">
        <v>79</v>
      </c>
      <c r="F974">
        <v>1</v>
      </c>
      <c r="G974">
        <v>76.989999999999995</v>
      </c>
      <c r="H974">
        <v>15.29</v>
      </c>
      <c r="I974" t="s">
        <v>44</v>
      </c>
      <c r="J974">
        <v>12</v>
      </c>
      <c r="K974" t="s">
        <v>51</v>
      </c>
      <c r="L974">
        <v>5</v>
      </c>
      <c r="M974" t="str">
        <f>VLOOKUP(D974,State_Lookup!$A$2:$B$28,2,FALSE)</f>
        <v>Rio Grande do Sul</v>
      </c>
    </row>
    <row r="975" spans="1:13" x14ac:dyDescent="0.45">
      <c r="A975" t="s">
        <v>1308</v>
      </c>
      <c r="B975" t="s">
        <v>1306</v>
      </c>
      <c r="C975" t="s">
        <v>1271</v>
      </c>
      <c r="D975" t="s">
        <v>21</v>
      </c>
      <c r="E975" t="s">
        <v>132</v>
      </c>
      <c r="F975">
        <v>1</v>
      </c>
      <c r="G975">
        <v>29.99</v>
      </c>
      <c r="H975">
        <v>15.1</v>
      </c>
      <c r="I975" t="s">
        <v>44</v>
      </c>
      <c r="J975">
        <v>9</v>
      </c>
      <c r="K975" t="s">
        <v>51</v>
      </c>
      <c r="L975">
        <v>5</v>
      </c>
      <c r="M975" t="str">
        <f>VLOOKUP(D975,State_Lookup!$A$2:$B$28,2,FALSE)</f>
        <v>Santa Catarina</v>
      </c>
    </row>
    <row r="976" spans="1:13" x14ac:dyDescent="0.45">
      <c r="A976" t="s">
        <v>1309</v>
      </c>
      <c r="B976" t="s">
        <v>1306</v>
      </c>
      <c r="C976" t="s">
        <v>1271</v>
      </c>
      <c r="D976" t="s">
        <v>24</v>
      </c>
      <c r="E976" t="s">
        <v>61</v>
      </c>
      <c r="F976">
        <v>1</v>
      </c>
      <c r="G976">
        <v>32.5</v>
      </c>
      <c r="H976">
        <v>15.1</v>
      </c>
      <c r="I976" t="s">
        <v>44</v>
      </c>
      <c r="J976">
        <v>17</v>
      </c>
      <c r="K976" t="s">
        <v>51</v>
      </c>
      <c r="L976">
        <v>1</v>
      </c>
      <c r="M976" t="str">
        <f>VLOOKUP(D976,State_Lookup!$A$2:$B$28,2,FALSE)</f>
        <v>Distrito Federal</v>
      </c>
    </row>
    <row r="977" spans="1:13" x14ac:dyDescent="0.45">
      <c r="A977" t="s">
        <v>1310</v>
      </c>
      <c r="B977" t="s">
        <v>1306</v>
      </c>
      <c r="C977" t="s">
        <v>1271</v>
      </c>
      <c r="D977" t="s">
        <v>16</v>
      </c>
      <c r="E977" t="s">
        <v>186</v>
      </c>
      <c r="F977">
        <v>1</v>
      </c>
      <c r="G977">
        <v>424</v>
      </c>
      <c r="H977">
        <v>104.41</v>
      </c>
      <c r="I977" t="s">
        <v>44</v>
      </c>
      <c r="J977">
        <v>27</v>
      </c>
      <c r="K977" t="s">
        <v>51</v>
      </c>
      <c r="L977">
        <v>1</v>
      </c>
      <c r="M977" t="str">
        <f>VLOOKUP(D977,State_Lookup!$A$2:$B$28,2,FALSE)</f>
        <v>Sao Paulo</v>
      </c>
    </row>
    <row r="978" spans="1:13" x14ac:dyDescent="0.45">
      <c r="A978" t="s">
        <v>1311</v>
      </c>
      <c r="B978" t="s">
        <v>1306</v>
      </c>
      <c r="C978" t="s">
        <v>1271</v>
      </c>
      <c r="D978" t="s">
        <v>141</v>
      </c>
      <c r="E978" t="s">
        <v>148</v>
      </c>
      <c r="F978">
        <v>1</v>
      </c>
      <c r="G978">
        <v>159</v>
      </c>
      <c r="H978">
        <v>36.43</v>
      </c>
      <c r="I978" t="s">
        <v>44</v>
      </c>
      <c r="J978">
        <v>16</v>
      </c>
      <c r="K978" t="s">
        <v>51</v>
      </c>
      <c r="L978">
        <v>5</v>
      </c>
      <c r="M978" t="str">
        <f>VLOOKUP(D978,State_Lookup!$A$2:$B$28,2,FALSE)</f>
        <v>Maranhao</v>
      </c>
    </row>
    <row r="979" spans="1:13" x14ac:dyDescent="0.45">
      <c r="A979" t="s">
        <v>1312</v>
      </c>
      <c r="B979" t="s">
        <v>1306</v>
      </c>
      <c r="C979" t="s">
        <v>1271</v>
      </c>
      <c r="D979" t="s">
        <v>16</v>
      </c>
      <c r="E979" t="s">
        <v>66</v>
      </c>
      <c r="F979">
        <v>1</v>
      </c>
      <c r="G979">
        <v>399.9</v>
      </c>
      <c r="H979">
        <v>14.3</v>
      </c>
      <c r="I979" t="s">
        <v>44</v>
      </c>
      <c r="J979">
        <v>6</v>
      </c>
      <c r="K979" t="s">
        <v>51</v>
      </c>
      <c r="L979">
        <v>4</v>
      </c>
      <c r="M979" t="str">
        <f>VLOOKUP(D979,State_Lookup!$A$2:$B$28,2,FALSE)</f>
        <v>Sao Paulo</v>
      </c>
    </row>
    <row r="980" spans="1:13" x14ac:dyDescent="0.45">
      <c r="A980" t="s">
        <v>1313</v>
      </c>
      <c r="B980" t="s">
        <v>1314</v>
      </c>
      <c r="C980" t="s">
        <v>1271</v>
      </c>
      <c r="D980" t="s">
        <v>128</v>
      </c>
      <c r="E980" t="s">
        <v>64</v>
      </c>
      <c r="F980">
        <v>2</v>
      </c>
      <c r="G980">
        <v>678</v>
      </c>
      <c r="H980">
        <v>41.82</v>
      </c>
      <c r="I980" t="s">
        <v>44</v>
      </c>
      <c r="J980">
        <v>9</v>
      </c>
      <c r="K980" t="s">
        <v>51</v>
      </c>
      <c r="L980">
        <v>4</v>
      </c>
      <c r="M980" t="str">
        <f>VLOOKUP(D980,State_Lookup!$A$2:$B$28,2,FALSE)</f>
        <v>Ceara</v>
      </c>
    </row>
    <row r="981" spans="1:13" x14ac:dyDescent="0.45">
      <c r="A981" t="s">
        <v>1315</v>
      </c>
      <c r="B981" t="s">
        <v>1314</v>
      </c>
      <c r="C981" t="s">
        <v>1271</v>
      </c>
      <c r="D981" t="s">
        <v>16</v>
      </c>
      <c r="E981" t="s">
        <v>43</v>
      </c>
      <c r="F981">
        <v>1</v>
      </c>
      <c r="G981">
        <v>29.9</v>
      </c>
      <c r="H981">
        <v>25.63</v>
      </c>
      <c r="I981" t="s">
        <v>44</v>
      </c>
      <c r="J981">
        <v>8</v>
      </c>
      <c r="K981" t="s">
        <v>51</v>
      </c>
      <c r="L981">
        <v>5</v>
      </c>
      <c r="M981" t="str">
        <f>VLOOKUP(D981,State_Lookup!$A$2:$B$28,2,FALSE)</f>
        <v>Sao Paulo</v>
      </c>
    </row>
    <row r="982" spans="1:13" x14ac:dyDescent="0.45">
      <c r="A982" t="s">
        <v>1316</v>
      </c>
      <c r="B982" t="s">
        <v>1314</v>
      </c>
      <c r="C982" t="s">
        <v>1271</v>
      </c>
      <c r="D982" t="s">
        <v>83</v>
      </c>
      <c r="E982" t="s">
        <v>107</v>
      </c>
      <c r="F982">
        <v>1</v>
      </c>
      <c r="G982">
        <v>19.989999999999998</v>
      </c>
      <c r="H982">
        <v>25.63</v>
      </c>
      <c r="I982" t="s">
        <v>44</v>
      </c>
      <c r="J982">
        <v>9</v>
      </c>
      <c r="K982" t="s">
        <v>51</v>
      </c>
      <c r="L982">
        <v>5</v>
      </c>
      <c r="M982" t="str">
        <f>VLOOKUP(D982,State_Lookup!$A$2:$B$28,2,FALSE)</f>
        <v>Sergipe</v>
      </c>
    </row>
    <row r="983" spans="1:13" x14ac:dyDescent="0.45">
      <c r="A983" t="s">
        <v>1317</v>
      </c>
      <c r="B983" t="s">
        <v>1314</v>
      </c>
      <c r="C983" t="s">
        <v>1271</v>
      </c>
      <c r="D983" t="s">
        <v>16</v>
      </c>
      <c r="E983" t="s">
        <v>103</v>
      </c>
      <c r="F983">
        <v>1</v>
      </c>
      <c r="G983">
        <v>59.9</v>
      </c>
      <c r="H983">
        <v>15.18</v>
      </c>
      <c r="I983" t="s">
        <v>44</v>
      </c>
      <c r="J983">
        <v>3</v>
      </c>
      <c r="K983" t="s">
        <v>51</v>
      </c>
      <c r="L983">
        <v>5</v>
      </c>
      <c r="M983" t="str">
        <f>VLOOKUP(D983,State_Lookup!$A$2:$B$28,2,FALSE)</f>
        <v>Sao Paulo</v>
      </c>
    </row>
    <row r="984" spans="1:13" x14ac:dyDescent="0.45">
      <c r="A984" t="s">
        <v>1318</v>
      </c>
      <c r="B984" t="s">
        <v>1314</v>
      </c>
      <c r="C984" t="s">
        <v>1271</v>
      </c>
      <c r="D984" t="s">
        <v>18</v>
      </c>
      <c r="E984" t="s">
        <v>152</v>
      </c>
      <c r="F984">
        <v>1</v>
      </c>
      <c r="G984">
        <v>94.9</v>
      </c>
      <c r="H984">
        <v>14.39</v>
      </c>
      <c r="I984" t="s">
        <v>50</v>
      </c>
      <c r="J984">
        <v>7</v>
      </c>
      <c r="K984" t="s">
        <v>51</v>
      </c>
      <c r="L984">
        <v>5</v>
      </c>
      <c r="M984" t="str">
        <f>VLOOKUP(D984,State_Lookup!$A$2:$B$28,2,FALSE)</f>
        <v>Minas Gerais</v>
      </c>
    </row>
    <row r="985" spans="1:13" x14ac:dyDescent="0.45">
      <c r="A985" t="s">
        <v>1319</v>
      </c>
      <c r="B985" t="s">
        <v>1314</v>
      </c>
      <c r="C985" t="s">
        <v>1271</v>
      </c>
      <c r="D985" t="s">
        <v>16</v>
      </c>
      <c r="E985" t="s">
        <v>49</v>
      </c>
      <c r="F985">
        <v>1</v>
      </c>
      <c r="G985">
        <v>99.9</v>
      </c>
      <c r="H985">
        <v>13.25</v>
      </c>
      <c r="I985" t="s">
        <v>44</v>
      </c>
      <c r="J985">
        <v>11</v>
      </c>
      <c r="K985" t="s">
        <v>143</v>
      </c>
      <c r="L985">
        <v>5</v>
      </c>
      <c r="M985" t="str">
        <f>VLOOKUP(D985,State_Lookup!$A$2:$B$28,2,FALSE)</f>
        <v>Sao Paulo</v>
      </c>
    </row>
    <row r="986" spans="1:13" x14ac:dyDescent="0.45">
      <c r="A986" t="s">
        <v>1320</v>
      </c>
      <c r="B986" t="s">
        <v>1314</v>
      </c>
      <c r="C986" t="s">
        <v>1271</v>
      </c>
      <c r="D986" t="s">
        <v>16</v>
      </c>
      <c r="E986" t="s">
        <v>43</v>
      </c>
      <c r="F986">
        <v>2</v>
      </c>
      <c r="G986">
        <v>99.8</v>
      </c>
      <c r="H986">
        <v>17.440000000000001</v>
      </c>
      <c r="I986" t="s">
        <v>44</v>
      </c>
      <c r="J986">
        <v>8</v>
      </c>
      <c r="K986" t="s">
        <v>51</v>
      </c>
      <c r="L986">
        <v>4</v>
      </c>
      <c r="M986" t="str">
        <f>VLOOKUP(D986,State_Lookup!$A$2:$B$28,2,FALSE)</f>
        <v>Sao Paulo</v>
      </c>
    </row>
    <row r="987" spans="1:13" x14ac:dyDescent="0.45">
      <c r="A987" t="s">
        <v>1321</v>
      </c>
      <c r="B987" t="s">
        <v>1314</v>
      </c>
      <c r="C987" t="s">
        <v>1271</v>
      </c>
      <c r="D987" t="s">
        <v>17</v>
      </c>
      <c r="E987" t="s">
        <v>152</v>
      </c>
      <c r="F987">
        <v>1</v>
      </c>
      <c r="G987">
        <v>67</v>
      </c>
      <c r="H987">
        <v>16.23</v>
      </c>
      <c r="I987" t="s">
        <v>44</v>
      </c>
      <c r="J987">
        <v>8</v>
      </c>
      <c r="K987" t="s">
        <v>51</v>
      </c>
      <c r="L987">
        <v>4</v>
      </c>
      <c r="M987" t="str">
        <f>VLOOKUP(D987,State_Lookup!$A$2:$B$28,2,FALSE)</f>
        <v>Rio de Janeiro</v>
      </c>
    </row>
    <row r="988" spans="1:13" x14ac:dyDescent="0.45">
      <c r="A988" t="s">
        <v>1322</v>
      </c>
      <c r="B988" t="s">
        <v>1323</v>
      </c>
      <c r="C988" t="s">
        <v>1271</v>
      </c>
      <c r="D988" t="s">
        <v>16</v>
      </c>
      <c r="E988" t="s">
        <v>110</v>
      </c>
      <c r="F988">
        <v>1</v>
      </c>
      <c r="G988">
        <v>200</v>
      </c>
      <c r="H988">
        <v>15.01</v>
      </c>
      <c r="I988" t="s">
        <v>44</v>
      </c>
      <c r="J988">
        <v>2</v>
      </c>
      <c r="K988" t="s">
        <v>51</v>
      </c>
      <c r="L988">
        <v>5</v>
      </c>
      <c r="M988" t="str">
        <f>VLOOKUP(D988,State_Lookup!$A$2:$B$28,2,FALSE)</f>
        <v>Sao Paulo</v>
      </c>
    </row>
    <row r="989" spans="1:13" x14ac:dyDescent="0.45">
      <c r="A989" t="s">
        <v>1324</v>
      </c>
      <c r="B989" t="s">
        <v>1323</v>
      </c>
      <c r="C989" t="s">
        <v>1271</v>
      </c>
      <c r="D989" t="s">
        <v>16</v>
      </c>
      <c r="E989" t="s">
        <v>53</v>
      </c>
      <c r="F989">
        <v>1</v>
      </c>
      <c r="G989">
        <v>129.99</v>
      </c>
      <c r="H989">
        <v>13.25</v>
      </c>
      <c r="I989" t="s">
        <v>44</v>
      </c>
      <c r="J989">
        <v>3</v>
      </c>
      <c r="K989" t="s">
        <v>51</v>
      </c>
      <c r="L989">
        <v>5</v>
      </c>
      <c r="M989" t="str">
        <f>VLOOKUP(D989,State_Lookup!$A$2:$B$28,2,FALSE)</f>
        <v>Sao Paulo</v>
      </c>
    </row>
    <row r="990" spans="1:13" x14ac:dyDescent="0.45">
      <c r="A990" t="s">
        <v>1325</v>
      </c>
      <c r="B990" t="s">
        <v>1323</v>
      </c>
      <c r="C990" t="s">
        <v>1271</v>
      </c>
      <c r="D990" t="s">
        <v>25</v>
      </c>
      <c r="E990" t="s">
        <v>110</v>
      </c>
      <c r="F990">
        <v>1</v>
      </c>
      <c r="G990">
        <v>89.9</v>
      </c>
      <c r="H990">
        <v>15.38</v>
      </c>
      <c r="I990" t="s">
        <v>44</v>
      </c>
      <c r="J990">
        <v>22</v>
      </c>
      <c r="K990" t="s">
        <v>51</v>
      </c>
      <c r="L990">
        <v>3</v>
      </c>
      <c r="M990" t="str">
        <f>VLOOKUP(D990,State_Lookup!$A$2:$B$28,2,FALSE)</f>
        <v>Goias</v>
      </c>
    </row>
    <row r="991" spans="1:13" x14ac:dyDescent="0.45">
      <c r="A991" t="s">
        <v>1326</v>
      </c>
      <c r="B991" t="s">
        <v>1323</v>
      </c>
      <c r="C991" t="s">
        <v>1271</v>
      </c>
      <c r="D991" t="s">
        <v>19</v>
      </c>
      <c r="E991" t="s">
        <v>79</v>
      </c>
      <c r="F991">
        <v>1</v>
      </c>
      <c r="G991">
        <v>82.9</v>
      </c>
      <c r="H991">
        <v>15.33</v>
      </c>
      <c r="I991" t="s">
        <v>44</v>
      </c>
      <c r="J991">
        <v>33</v>
      </c>
      <c r="K991" t="s">
        <v>143</v>
      </c>
      <c r="L991">
        <v>1</v>
      </c>
      <c r="M991" t="str">
        <f>VLOOKUP(D991,State_Lookup!$A$2:$B$28,2,FALSE)</f>
        <v>Rio Grande do Sul</v>
      </c>
    </row>
    <row r="992" spans="1:13" x14ac:dyDescent="0.45">
      <c r="A992" t="s">
        <v>1327</v>
      </c>
      <c r="B992" t="s">
        <v>1323</v>
      </c>
      <c r="C992" t="s">
        <v>1271</v>
      </c>
      <c r="D992" t="s">
        <v>19</v>
      </c>
      <c r="E992" t="s">
        <v>61</v>
      </c>
      <c r="F992">
        <v>1</v>
      </c>
      <c r="G992">
        <v>263.99</v>
      </c>
      <c r="H992">
        <v>15.6</v>
      </c>
      <c r="I992" t="s">
        <v>44</v>
      </c>
      <c r="J992">
        <v>8</v>
      </c>
      <c r="K992" t="s">
        <v>51</v>
      </c>
      <c r="L992">
        <v>5</v>
      </c>
      <c r="M992" t="str">
        <f>VLOOKUP(D992,State_Lookup!$A$2:$B$28,2,FALSE)</f>
        <v>Rio Grande do Sul</v>
      </c>
    </row>
    <row r="993" spans="1:13" x14ac:dyDescent="0.45">
      <c r="A993" t="s">
        <v>1328</v>
      </c>
      <c r="B993" t="s">
        <v>1323</v>
      </c>
      <c r="C993" t="s">
        <v>1271</v>
      </c>
      <c r="D993" t="s">
        <v>16</v>
      </c>
      <c r="E993" t="s">
        <v>49</v>
      </c>
      <c r="F993">
        <v>1</v>
      </c>
      <c r="G993">
        <v>69.900000000000006</v>
      </c>
      <c r="H993">
        <v>16.12</v>
      </c>
      <c r="I993" t="s">
        <v>44</v>
      </c>
      <c r="J993">
        <v>3</v>
      </c>
      <c r="K993" t="s">
        <v>51</v>
      </c>
      <c r="L993">
        <v>4</v>
      </c>
      <c r="M993" t="str">
        <f>VLOOKUP(D993,State_Lookup!$A$2:$B$28,2,FALSE)</f>
        <v>Sao Paulo</v>
      </c>
    </row>
    <row r="994" spans="1:13" x14ac:dyDescent="0.45">
      <c r="A994" t="s">
        <v>1329</v>
      </c>
      <c r="B994" t="s">
        <v>1323</v>
      </c>
      <c r="C994" t="s">
        <v>1271</v>
      </c>
      <c r="D994" t="s">
        <v>20</v>
      </c>
      <c r="E994" t="s">
        <v>110</v>
      </c>
      <c r="F994">
        <v>1</v>
      </c>
      <c r="G994">
        <v>69.900000000000006</v>
      </c>
      <c r="H994">
        <v>15.24</v>
      </c>
      <c r="I994" t="s">
        <v>44</v>
      </c>
      <c r="J994">
        <v>9</v>
      </c>
      <c r="K994" t="s">
        <v>51</v>
      </c>
      <c r="L994">
        <v>5</v>
      </c>
      <c r="M994" t="str">
        <f>VLOOKUP(D994,State_Lookup!$A$2:$B$28,2,FALSE)</f>
        <v>Parana</v>
      </c>
    </row>
    <row r="995" spans="1:13" x14ac:dyDescent="0.45">
      <c r="A995" t="s">
        <v>1330</v>
      </c>
      <c r="B995" t="s">
        <v>1323</v>
      </c>
      <c r="C995" t="s">
        <v>1271</v>
      </c>
      <c r="D995" t="s">
        <v>25</v>
      </c>
      <c r="E995" t="s">
        <v>49</v>
      </c>
      <c r="F995">
        <v>1</v>
      </c>
      <c r="G995">
        <v>169</v>
      </c>
      <c r="H995">
        <v>25.73</v>
      </c>
      <c r="I995" t="s">
        <v>133</v>
      </c>
      <c r="J995">
        <v>13</v>
      </c>
      <c r="K995" t="s">
        <v>51</v>
      </c>
      <c r="L995">
        <v>5</v>
      </c>
      <c r="M995" t="str">
        <f>VLOOKUP(D995,State_Lookup!$A$2:$B$28,2,FALSE)</f>
        <v>Goias</v>
      </c>
    </row>
    <row r="996" spans="1:13" x14ac:dyDescent="0.45">
      <c r="A996" t="s">
        <v>1331</v>
      </c>
      <c r="B996" t="s">
        <v>1332</v>
      </c>
      <c r="C996" t="s">
        <v>1271</v>
      </c>
      <c r="D996" t="s">
        <v>19</v>
      </c>
      <c r="E996" t="s">
        <v>244</v>
      </c>
      <c r="F996">
        <v>1</v>
      </c>
      <c r="G996">
        <v>89</v>
      </c>
      <c r="H996">
        <v>17.87</v>
      </c>
      <c r="I996" t="s">
        <v>50</v>
      </c>
      <c r="J996">
        <v>7</v>
      </c>
      <c r="K996" t="s">
        <v>51</v>
      </c>
      <c r="L996">
        <v>5</v>
      </c>
      <c r="M996" t="str">
        <f>VLOOKUP(D996,State_Lookup!$A$2:$B$28,2,FALSE)</f>
        <v>Rio Grande do Sul</v>
      </c>
    </row>
    <row r="997" spans="1:13" x14ac:dyDescent="0.45">
      <c r="A997" t="s">
        <v>1333</v>
      </c>
      <c r="B997" t="s">
        <v>1332</v>
      </c>
      <c r="C997" t="s">
        <v>1271</v>
      </c>
      <c r="D997" t="s">
        <v>194</v>
      </c>
      <c r="E997" t="s">
        <v>1250</v>
      </c>
      <c r="F997">
        <v>1</v>
      </c>
      <c r="G997">
        <v>190</v>
      </c>
      <c r="H997">
        <v>16.079999999999998</v>
      </c>
      <c r="I997" t="s">
        <v>44</v>
      </c>
      <c r="J997">
        <v>15</v>
      </c>
      <c r="K997" t="s">
        <v>51</v>
      </c>
      <c r="L997">
        <v>5</v>
      </c>
      <c r="M997" t="str">
        <f>VLOOKUP(D997,State_Lookup!$A$2:$B$28,2,FALSE)</f>
        <v>Mato Grosso do Sul</v>
      </c>
    </row>
    <row r="998" spans="1:13" x14ac:dyDescent="0.45">
      <c r="A998" t="s">
        <v>1334</v>
      </c>
      <c r="B998" t="s">
        <v>1332</v>
      </c>
      <c r="C998" t="s">
        <v>1271</v>
      </c>
      <c r="D998" t="s">
        <v>18</v>
      </c>
      <c r="E998" t="s">
        <v>132</v>
      </c>
      <c r="F998">
        <v>1</v>
      </c>
      <c r="G998">
        <v>150</v>
      </c>
      <c r="H998">
        <v>15.8</v>
      </c>
      <c r="I998" t="s">
        <v>44</v>
      </c>
      <c r="J998">
        <v>14</v>
      </c>
      <c r="K998" t="s">
        <v>51</v>
      </c>
      <c r="L998">
        <v>5</v>
      </c>
      <c r="M998" t="str">
        <f>VLOOKUP(D998,State_Lookup!$A$2:$B$28,2,FALSE)</f>
        <v>Minas Gerais</v>
      </c>
    </row>
    <row r="999" spans="1:13" x14ac:dyDescent="0.45">
      <c r="A999" t="s">
        <v>1335</v>
      </c>
      <c r="B999" t="s">
        <v>1332</v>
      </c>
      <c r="C999" t="s">
        <v>1271</v>
      </c>
      <c r="D999" t="s">
        <v>122</v>
      </c>
      <c r="E999" t="s">
        <v>125</v>
      </c>
      <c r="F999">
        <v>1</v>
      </c>
      <c r="G999">
        <v>14.9</v>
      </c>
      <c r="H999">
        <v>42.38</v>
      </c>
      <c r="I999" t="s">
        <v>50</v>
      </c>
      <c r="J999">
        <v>20</v>
      </c>
      <c r="K999" t="s">
        <v>51</v>
      </c>
      <c r="L999">
        <v>5</v>
      </c>
      <c r="M999" t="str">
        <f>VLOOKUP(D999,State_Lookup!$A$2:$B$28,2,FALSE)</f>
        <v>Para</v>
      </c>
    </row>
    <row r="1000" spans="1:13" x14ac:dyDescent="0.45">
      <c r="A1000" t="s">
        <v>1336</v>
      </c>
      <c r="B1000" t="s">
        <v>1332</v>
      </c>
      <c r="C1000" t="s">
        <v>1271</v>
      </c>
      <c r="D1000" t="s">
        <v>17</v>
      </c>
      <c r="E1000" t="s">
        <v>244</v>
      </c>
      <c r="F1000">
        <v>1</v>
      </c>
      <c r="G1000">
        <v>109.9</v>
      </c>
      <c r="H1000">
        <v>15.52</v>
      </c>
      <c r="I1000" t="s">
        <v>44</v>
      </c>
      <c r="J1000">
        <v>9</v>
      </c>
      <c r="K1000" t="s">
        <v>51</v>
      </c>
      <c r="L1000">
        <v>5</v>
      </c>
      <c r="M1000" t="str">
        <f>VLOOKUP(D1000,State_Lookup!$A$2:$B$28,2,FALSE)</f>
        <v>Rio de Janeiro</v>
      </c>
    </row>
    <row r="1001" spans="1:13" x14ac:dyDescent="0.45">
      <c r="A1001" t="s">
        <v>1337</v>
      </c>
      <c r="B1001" t="s">
        <v>1332</v>
      </c>
      <c r="C1001" t="s">
        <v>1271</v>
      </c>
      <c r="D1001" t="s">
        <v>17</v>
      </c>
      <c r="E1001" t="s">
        <v>157</v>
      </c>
      <c r="F1001">
        <v>1</v>
      </c>
      <c r="G1001">
        <v>44</v>
      </c>
      <c r="H1001">
        <v>14.1</v>
      </c>
      <c r="I1001" t="s">
        <v>44</v>
      </c>
      <c r="J1001">
        <v>6</v>
      </c>
      <c r="K1001" t="s">
        <v>51</v>
      </c>
      <c r="L1001">
        <v>3</v>
      </c>
      <c r="M1001" t="str">
        <f>VLOOKUP(D1001,State_Lookup!$A$2:$B$28,2,FALSE)</f>
        <v>Rio de Janeiro</v>
      </c>
    </row>
    <row r="1002" spans="1:13" x14ac:dyDescent="0.45">
      <c r="A1002" t="s">
        <v>1338</v>
      </c>
      <c r="B1002" t="s">
        <v>1332</v>
      </c>
      <c r="C1002" t="s">
        <v>1271</v>
      </c>
      <c r="D1002" t="s">
        <v>17</v>
      </c>
      <c r="E1002" t="s">
        <v>148</v>
      </c>
      <c r="F1002">
        <v>1</v>
      </c>
      <c r="G1002">
        <v>44.9</v>
      </c>
      <c r="H1002">
        <v>9.94</v>
      </c>
      <c r="I1002" t="s">
        <v>133</v>
      </c>
      <c r="J1002">
        <v>7</v>
      </c>
      <c r="K1002" t="s">
        <v>51</v>
      </c>
      <c r="L1002">
        <v>1</v>
      </c>
      <c r="M1002" t="str">
        <f>VLOOKUP(D1002,State_Lookup!$A$2:$B$28,2,FALSE)</f>
        <v>Rio de Janeiro</v>
      </c>
    </row>
    <row r="1003" spans="1:13" x14ac:dyDescent="0.45">
      <c r="A1003" t="s">
        <v>1339</v>
      </c>
      <c r="B1003" t="s">
        <v>1332</v>
      </c>
      <c r="C1003" t="s">
        <v>1271</v>
      </c>
      <c r="D1003" t="s">
        <v>16</v>
      </c>
      <c r="E1003" t="s">
        <v>43</v>
      </c>
      <c r="F1003">
        <v>1</v>
      </c>
      <c r="G1003">
        <v>10.99</v>
      </c>
      <c r="H1003">
        <v>11.85</v>
      </c>
      <c r="I1003" t="s">
        <v>50</v>
      </c>
      <c r="J1003">
        <v>11</v>
      </c>
      <c r="K1003" t="s">
        <v>51</v>
      </c>
      <c r="L1003">
        <v>4</v>
      </c>
      <c r="M1003" t="str">
        <f>VLOOKUP(D1003,State_Lookup!$A$2:$B$28,2,FALSE)</f>
        <v>Sao Paulo</v>
      </c>
    </row>
    <row r="1004" spans="1:13" x14ac:dyDescent="0.45">
      <c r="A1004" t="s">
        <v>1340</v>
      </c>
      <c r="B1004" t="s">
        <v>1332</v>
      </c>
      <c r="C1004" t="s">
        <v>1271</v>
      </c>
      <c r="D1004" t="s">
        <v>17</v>
      </c>
      <c r="E1004" t="s">
        <v>49</v>
      </c>
      <c r="F1004">
        <v>2</v>
      </c>
      <c r="G1004">
        <v>79.8</v>
      </c>
      <c r="H1004">
        <v>32.22</v>
      </c>
      <c r="I1004" t="s">
        <v>44</v>
      </c>
      <c r="J1004">
        <v>11</v>
      </c>
      <c r="K1004" t="s">
        <v>51</v>
      </c>
      <c r="L1004">
        <v>5</v>
      </c>
      <c r="M1004" t="str">
        <f>VLOOKUP(D1004,State_Lookup!$A$2:$B$28,2,FALSE)</f>
        <v>Rio de Janeiro</v>
      </c>
    </row>
    <row r="1005" spans="1:13" x14ac:dyDescent="0.45">
      <c r="A1005" t="s">
        <v>1341</v>
      </c>
      <c r="B1005" t="s">
        <v>1332</v>
      </c>
      <c r="C1005" t="s">
        <v>1271</v>
      </c>
      <c r="D1005" t="s">
        <v>18</v>
      </c>
      <c r="E1005" t="s">
        <v>100</v>
      </c>
      <c r="F1005">
        <v>1</v>
      </c>
      <c r="G1005">
        <v>239.9</v>
      </c>
      <c r="H1005">
        <v>16.43</v>
      </c>
      <c r="I1005" t="s">
        <v>44</v>
      </c>
      <c r="J1005">
        <v>7</v>
      </c>
      <c r="K1005" t="s">
        <v>51</v>
      </c>
      <c r="L1005">
        <v>5</v>
      </c>
      <c r="M1005" t="str">
        <f>VLOOKUP(D1005,State_Lookup!$A$2:$B$28,2,FALSE)</f>
        <v>Minas Gerais</v>
      </c>
    </row>
    <row r="1006" spans="1:13" x14ac:dyDescent="0.45">
      <c r="A1006" t="s">
        <v>1342</v>
      </c>
      <c r="B1006" t="s">
        <v>1332</v>
      </c>
      <c r="C1006" t="s">
        <v>1271</v>
      </c>
      <c r="D1006" t="s">
        <v>16</v>
      </c>
      <c r="E1006" t="s">
        <v>53</v>
      </c>
      <c r="F1006">
        <v>1</v>
      </c>
      <c r="G1006">
        <v>19.899999999999999</v>
      </c>
      <c r="H1006">
        <v>11.85</v>
      </c>
      <c r="I1006" t="s">
        <v>44</v>
      </c>
      <c r="J1006">
        <v>3</v>
      </c>
      <c r="K1006" t="s">
        <v>51</v>
      </c>
      <c r="L1006">
        <v>5</v>
      </c>
      <c r="M1006" t="str">
        <f>VLOOKUP(D1006,State_Lookup!$A$2:$B$28,2,FALSE)</f>
        <v>Sao Paulo</v>
      </c>
    </row>
    <row r="1007" spans="1:13" x14ac:dyDescent="0.45">
      <c r="A1007" t="s">
        <v>1343</v>
      </c>
      <c r="B1007" t="s">
        <v>1344</v>
      </c>
      <c r="C1007" t="s">
        <v>1271</v>
      </c>
      <c r="D1007" t="s">
        <v>17</v>
      </c>
      <c r="E1007" t="s">
        <v>61</v>
      </c>
      <c r="F1007">
        <v>1</v>
      </c>
      <c r="G1007">
        <v>64.900000000000006</v>
      </c>
      <c r="H1007">
        <v>15.2</v>
      </c>
      <c r="I1007" t="s">
        <v>44</v>
      </c>
      <c r="J1007">
        <v>15</v>
      </c>
      <c r="K1007" t="s">
        <v>51</v>
      </c>
      <c r="L1007">
        <v>4</v>
      </c>
      <c r="M1007" t="str">
        <f>VLOOKUP(D1007,State_Lookup!$A$2:$B$28,2,FALSE)</f>
        <v>Rio de Janeiro</v>
      </c>
    </row>
    <row r="1008" spans="1:13" x14ac:dyDescent="0.45">
      <c r="A1008" t="s">
        <v>1345</v>
      </c>
      <c r="B1008" t="s">
        <v>1344</v>
      </c>
      <c r="C1008" t="s">
        <v>1271</v>
      </c>
      <c r="D1008" t="s">
        <v>16</v>
      </c>
      <c r="E1008" t="s">
        <v>244</v>
      </c>
      <c r="F1008">
        <v>1</v>
      </c>
      <c r="G1008">
        <v>279.89999999999998</v>
      </c>
      <c r="H1008">
        <v>17.59</v>
      </c>
      <c r="I1008" t="s">
        <v>44</v>
      </c>
      <c r="J1008">
        <v>5</v>
      </c>
      <c r="K1008" t="s">
        <v>51</v>
      </c>
      <c r="L1008">
        <v>5</v>
      </c>
      <c r="M1008" t="str">
        <f>VLOOKUP(D1008,State_Lookup!$A$2:$B$28,2,FALSE)</f>
        <v>Sao Paulo</v>
      </c>
    </row>
    <row r="1009" spans="1:13" x14ac:dyDescent="0.45">
      <c r="A1009" t="s">
        <v>1346</v>
      </c>
      <c r="B1009" t="s">
        <v>1344</v>
      </c>
      <c r="C1009" t="s">
        <v>1271</v>
      </c>
      <c r="D1009" t="s">
        <v>25</v>
      </c>
      <c r="E1009" t="s">
        <v>148</v>
      </c>
      <c r="F1009">
        <v>1</v>
      </c>
      <c r="G1009">
        <v>98.9</v>
      </c>
      <c r="H1009">
        <v>9.26</v>
      </c>
      <c r="I1009" t="s">
        <v>50</v>
      </c>
      <c r="J1009">
        <v>5</v>
      </c>
      <c r="K1009" t="s">
        <v>51</v>
      </c>
      <c r="L1009">
        <v>5</v>
      </c>
      <c r="M1009" t="str">
        <f>VLOOKUP(D1009,State_Lookup!$A$2:$B$28,2,FALSE)</f>
        <v>Goias</v>
      </c>
    </row>
    <row r="1010" spans="1:13" x14ac:dyDescent="0.45">
      <c r="A1010" t="s">
        <v>1347</v>
      </c>
      <c r="B1010" t="s">
        <v>1344</v>
      </c>
      <c r="C1010" t="s">
        <v>1271</v>
      </c>
      <c r="D1010" t="s">
        <v>17</v>
      </c>
      <c r="E1010" t="s">
        <v>69</v>
      </c>
      <c r="F1010">
        <v>1</v>
      </c>
      <c r="G1010">
        <v>14.46</v>
      </c>
      <c r="H1010">
        <v>15.1</v>
      </c>
      <c r="I1010" t="s">
        <v>50</v>
      </c>
      <c r="J1010">
        <v>7</v>
      </c>
      <c r="K1010" t="s">
        <v>51</v>
      </c>
      <c r="L1010">
        <v>5</v>
      </c>
      <c r="M1010" t="str">
        <f>VLOOKUP(D1010,State_Lookup!$A$2:$B$28,2,FALSE)</f>
        <v>Rio de Janeiro</v>
      </c>
    </row>
    <row r="1011" spans="1:13" x14ac:dyDescent="0.45">
      <c r="A1011" t="s">
        <v>1348</v>
      </c>
      <c r="B1011" t="s">
        <v>1344</v>
      </c>
      <c r="C1011" t="s">
        <v>1271</v>
      </c>
      <c r="D1011" t="s">
        <v>16</v>
      </c>
      <c r="E1011" t="s">
        <v>61</v>
      </c>
      <c r="F1011">
        <v>1</v>
      </c>
      <c r="G1011">
        <v>39.9</v>
      </c>
      <c r="H1011">
        <v>17.920000000000002</v>
      </c>
      <c r="I1011" t="s">
        <v>44</v>
      </c>
      <c r="J1011">
        <v>10</v>
      </c>
      <c r="K1011" t="s">
        <v>51</v>
      </c>
      <c r="L1011">
        <v>5</v>
      </c>
      <c r="M1011" t="str">
        <f>VLOOKUP(D1011,State_Lookup!$A$2:$B$28,2,FALSE)</f>
        <v>Sao Paulo</v>
      </c>
    </row>
    <row r="1012" spans="1:13" x14ac:dyDescent="0.45">
      <c r="A1012" t="s">
        <v>1349</v>
      </c>
      <c r="B1012" t="s">
        <v>1344</v>
      </c>
      <c r="C1012" t="s">
        <v>1271</v>
      </c>
      <c r="D1012" t="s">
        <v>16</v>
      </c>
      <c r="E1012" t="s">
        <v>152</v>
      </c>
      <c r="F1012">
        <v>1</v>
      </c>
      <c r="G1012">
        <v>85.9</v>
      </c>
      <c r="H1012">
        <v>14.33</v>
      </c>
      <c r="I1012" t="s">
        <v>44</v>
      </c>
      <c r="J1012">
        <v>4</v>
      </c>
      <c r="K1012" t="s">
        <v>51</v>
      </c>
      <c r="L1012">
        <v>5</v>
      </c>
      <c r="M1012" t="str">
        <f>VLOOKUP(D1012,State_Lookup!$A$2:$B$28,2,FALSE)</f>
        <v>Sao Paulo</v>
      </c>
    </row>
    <row r="1013" spans="1:13" x14ac:dyDescent="0.45">
      <c r="A1013" t="s">
        <v>1350</v>
      </c>
      <c r="B1013" t="s">
        <v>1344</v>
      </c>
      <c r="C1013" t="s">
        <v>1271</v>
      </c>
      <c r="D1013" t="s">
        <v>25</v>
      </c>
      <c r="E1013" t="s">
        <v>110</v>
      </c>
      <c r="F1013">
        <v>1</v>
      </c>
      <c r="G1013">
        <v>233.8</v>
      </c>
      <c r="H1013">
        <v>94.94</v>
      </c>
      <c r="I1013" t="s">
        <v>44</v>
      </c>
      <c r="J1013">
        <v>13</v>
      </c>
      <c r="K1013" t="s">
        <v>51</v>
      </c>
      <c r="L1013">
        <v>5</v>
      </c>
      <c r="M1013" t="str">
        <f>VLOOKUP(D1013,State_Lookup!$A$2:$B$28,2,FALSE)</f>
        <v>Goias</v>
      </c>
    </row>
    <row r="1014" spans="1:13" x14ac:dyDescent="0.45">
      <c r="A1014" t="s">
        <v>1351</v>
      </c>
      <c r="B1014" t="s">
        <v>1344</v>
      </c>
      <c r="C1014" t="s">
        <v>1271</v>
      </c>
      <c r="D1014" t="s">
        <v>16</v>
      </c>
      <c r="E1014" t="s">
        <v>157</v>
      </c>
      <c r="F1014">
        <v>1</v>
      </c>
      <c r="G1014">
        <v>350</v>
      </c>
      <c r="H1014">
        <v>13.95</v>
      </c>
      <c r="I1014" t="s">
        <v>44</v>
      </c>
      <c r="J1014">
        <v>7</v>
      </c>
      <c r="K1014" t="s">
        <v>51</v>
      </c>
      <c r="L1014">
        <v>5</v>
      </c>
      <c r="M1014" t="str">
        <f>VLOOKUP(D1014,State_Lookup!$A$2:$B$28,2,FALSE)</f>
        <v>Sao Paulo</v>
      </c>
    </row>
    <row r="1015" spans="1:13" x14ac:dyDescent="0.45">
      <c r="A1015" t="s">
        <v>1352</v>
      </c>
      <c r="B1015" t="s">
        <v>1344</v>
      </c>
      <c r="C1015" t="s">
        <v>1271</v>
      </c>
      <c r="D1015" t="s">
        <v>18</v>
      </c>
      <c r="E1015" t="s">
        <v>103</v>
      </c>
      <c r="F1015">
        <v>1</v>
      </c>
      <c r="G1015">
        <v>388</v>
      </c>
      <c r="H1015">
        <v>18.350000000000001</v>
      </c>
      <c r="I1015" t="s">
        <v>50</v>
      </c>
      <c r="J1015">
        <v>15</v>
      </c>
      <c r="K1015" t="s">
        <v>51</v>
      </c>
      <c r="L1015">
        <v>5</v>
      </c>
      <c r="M1015" t="str">
        <f>VLOOKUP(D1015,State_Lookup!$A$2:$B$28,2,FALSE)</f>
        <v>Minas Gerais</v>
      </c>
    </row>
    <row r="1016" spans="1:13" x14ac:dyDescent="0.45">
      <c r="A1016" t="s">
        <v>1353</v>
      </c>
      <c r="B1016" t="s">
        <v>1354</v>
      </c>
      <c r="C1016" t="s">
        <v>1271</v>
      </c>
      <c r="D1016" t="s">
        <v>18</v>
      </c>
      <c r="E1016" t="s">
        <v>49</v>
      </c>
      <c r="F1016">
        <v>1</v>
      </c>
      <c r="G1016">
        <v>52.5</v>
      </c>
      <c r="H1016">
        <v>26.91</v>
      </c>
      <c r="I1016" t="s">
        <v>44</v>
      </c>
      <c r="J1016">
        <v>11</v>
      </c>
      <c r="K1016" t="s">
        <v>51</v>
      </c>
      <c r="L1016">
        <v>5</v>
      </c>
      <c r="M1016" t="str">
        <f>VLOOKUP(D1016,State_Lookup!$A$2:$B$28,2,FALSE)</f>
        <v>Minas Gerais</v>
      </c>
    </row>
    <row r="1017" spans="1:13" x14ac:dyDescent="0.45">
      <c r="A1017" t="s">
        <v>1355</v>
      </c>
      <c r="B1017" t="s">
        <v>1354</v>
      </c>
      <c r="C1017" t="s">
        <v>1271</v>
      </c>
      <c r="D1017" t="s">
        <v>16</v>
      </c>
      <c r="E1017" t="s">
        <v>53</v>
      </c>
      <c r="F1017">
        <v>1</v>
      </c>
      <c r="G1017">
        <v>34.99</v>
      </c>
      <c r="H1017">
        <v>8.7200000000000006</v>
      </c>
      <c r="I1017" t="s">
        <v>44</v>
      </c>
      <c r="J1017">
        <v>4</v>
      </c>
      <c r="K1017" t="s">
        <v>51</v>
      </c>
      <c r="L1017">
        <v>5</v>
      </c>
      <c r="M1017" t="str">
        <f>VLOOKUP(D1017,State_Lookup!$A$2:$B$28,2,FALSE)</f>
        <v>Sao Paulo</v>
      </c>
    </row>
    <row r="1018" spans="1:13" x14ac:dyDescent="0.45">
      <c r="A1018" t="s">
        <v>1356</v>
      </c>
      <c r="B1018" t="s">
        <v>1354</v>
      </c>
      <c r="C1018" t="s">
        <v>1271</v>
      </c>
      <c r="D1018" t="s">
        <v>17</v>
      </c>
      <c r="E1018" t="s">
        <v>110</v>
      </c>
      <c r="F1018">
        <v>2</v>
      </c>
      <c r="G1018">
        <v>91.9</v>
      </c>
      <c r="H1018">
        <v>30.2</v>
      </c>
      <c r="I1018" t="s">
        <v>44</v>
      </c>
      <c r="J1018">
        <v>18</v>
      </c>
      <c r="K1018" t="s">
        <v>51</v>
      </c>
      <c r="L1018">
        <v>4</v>
      </c>
      <c r="M1018" t="str">
        <f>VLOOKUP(D1018,State_Lookup!$A$2:$B$28,2,FALSE)</f>
        <v>Rio de Janeiro</v>
      </c>
    </row>
    <row r="1019" spans="1:13" x14ac:dyDescent="0.45">
      <c r="A1019" t="s">
        <v>1357</v>
      </c>
      <c r="B1019" t="s">
        <v>1358</v>
      </c>
      <c r="C1019" t="s">
        <v>1271</v>
      </c>
      <c r="D1019" t="s">
        <v>16</v>
      </c>
      <c r="E1019" t="s">
        <v>340</v>
      </c>
      <c r="F1019">
        <v>1</v>
      </c>
      <c r="G1019">
        <v>108</v>
      </c>
      <c r="H1019">
        <v>29.13</v>
      </c>
      <c r="I1019" t="s">
        <v>44</v>
      </c>
      <c r="J1019">
        <v>4</v>
      </c>
      <c r="K1019" t="s">
        <v>51</v>
      </c>
      <c r="L1019">
        <v>5</v>
      </c>
      <c r="M1019" t="str">
        <f>VLOOKUP(D1019,State_Lookup!$A$2:$B$28,2,FALSE)</f>
        <v>Sao Paulo</v>
      </c>
    </row>
    <row r="1020" spans="1:13" x14ac:dyDescent="0.45">
      <c r="A1020" t="s">
        <v>1359</v>
      </c>
      <c r="B1020" t="s">
        <v>1358</v>
      </c>
      <c r="C1020" t="s">
        <v>1271</v>
      </c>
      <c r="D1020" t="s">
        <v>16</v>
      </c>
      <c r="E1020" t="s">
        <v>537</v>
      </c>
      <c r="F1020">
        <v>1</v>
      </c>
      <c r="G1020">
        <v>170</v>
      </c>
      <c r="H1020">
        <v>27.51</v>
      </c>
      <c r="I1020" t="s">
        <v>44</v>
      </c>
      <c r="J1020">
        <v>22</v>
      </c>
      <c r="K1020" t="s">
        <v>51</v>
      </c>
      <c r="L1020">
        <v>5</v>
      </c>
      <c r="M1020" t="str">
        <f>VLOOKUP(D1020,State_Lookup!$A$2:$B$28,2,FALSE)</f>
        <v>Sao Paulo</v>
      </c>
    </row>
    <row r="1021" spans="1:13" x14ac:dyDescent="0.45">
      <c r="A1021" t="s">
        <v>1360</v>
      </c>
      <c r="B1021" t="s">
        <v>1358</v>
      </c>
      <c r="C1021" t="s">
        <v>1271</v>
      </c>
      <c r="D1021" t="s">
        <v>22</v>
      </c>
      <c r="E1021" t="s">
        <v>43</v>
      </c>
      <c r="F1021">
        <v>1</v>
      </c>
      <c r="G1021">
        <v>39.99</v>
      </c>
      <c r="H1021">
        <v>16.79</v>
      </c>
      <c r="I1021" t="s">
        <v>44</v>
      </c>
      <c r="J1021">
        <v>8</v>
      </c>
      <c r="K1021" t="s">
        <v>51</v>
      </c>
      <c r="L1021">
        <v>5</v>
      </c>
      <c r="M1021" t="str">
        <f>VLOOKUP(D1021,State_Lookup!$A$2:$B$28,2,FALSE)</f>
        <v>Bahia</v>
      </c>
    </row>
    <row r="1022" spans="1:13" x14ac:dyDescent="0.45">
      <c r="A1022" t="s">
        <v>1361</v>
      </c>
      <c r="B1022" t="s">
        <v>1362</v>
      </c>
      <c r="C1022" t="s">
        <v>1271</v>
      </c>
      <c r="D1022" t="s">
        <v>17</v>
      </c>
      <c r="E1022" t="s">
        <v>110</v>
      </c>
      <c r="F1022">
        <v>1</v>
      </c>
      <c r="G1022">
        <v>89.9</v>
      </c>
      <c r="H1022">
        <v>17.88</v>
      </c>
      <c r="I1022" t="s">
        <v>44</v>
      </c>
      <c r="J1022">
        <v>15</v>
      </c>
      <c r="K1022" t="s">
        <v>51</v>
      </c>
      <c r="L1022">
        <v>3</v>
      </c>
      <c r="M1022" t="str">
        <f>VLOOKUP(D1022,State_Lookup!$A$2:$B$28,2,FALSE)</f>
        <v>Rio de Janeiro</v>
      </c>
    </row>
    <row r="1023" spans="1:13" x14ac:dyDescent="0.45">
      <c r="A1023" t="s">
        <v>1363</v>
      </c>
      <c r="B1023" t="s">
        <v>1362</v>
      </c>
      <c r="C1023" t="s">
        <v>1271</v>
      </c>
      <c r="D1023" t="s">
        <v>18</v>
      </c>
      <c r="E1023" t="s">
        <v>950</v>
      </c>
      <c r="F1023">
        <v>1</v>
      </c>
      <c r="G1023">
        <v>217</v>
      </c>
      <c r="H1023">
        <v>78.81</v>
      </c>
      <c r="I1023" t="s">
        <v>44</v>
      </c>
      <c r="J1023">
        <v>11</v>
      </c>
      <c r="K1023" t="s">
        <v>51</v>
      </c>
      <c r="L1023">
        <v>4</v>
      </c>
      <c r="M1023" t="str">
        <f>VLOOKUP(D1023,State_Lookup!$A$2:$B$28,2,FALSE)</f>
        <v>Minas Gerais</v>
      </c>
    </row>
    <row r="1024" spans="1:13" x14ac:dyDescent="0.45">
      <c r="A1024" t="s">
        <v>1364</v>
      </c>
      <c r="B1024" t="s">
        <v>1362</v>
      </c>
      <c r="C1024" t="s">
        <v>1271</v>
      </c>
      <c r="D1024" t="s">
        <v>20</v>
      </c>
      <c r="E1024" t="s">
        <v>61</v>
      </c>
      <c r="F1024">
        <v>1</v>
      </c>
      <c r="G1024">
        <v>139.99</v>
      </c>
      <c r="H1024">
        <v>45.06</v>
      </c>
      <c r="I1024" t="s">
        <v>44</v>
      </c>
      <c r="J1024">
        <v>9</v>
      </c>
      <c r="K1024" t="s">
        <v>51</v>
      </c>
      <c r="L1024">
        <v>5</v>
      </c>
      <c r="M1024" t="str">
        <f>VLOOKUP(D1024,State_Lookup!$A$2:$B$28,2,FALSE)</f>
        <v>Parana</v>
      </c>
    </row>
    <row r="1025" spans="1:13" x14ac:dyDescent="0.45">
      <c r="A1025" t="s">
        <v>1365</v>
      </c>
      <c r="B1025" t="s">
        <v>1362</v>
      </c>
      <c r="C1025" t="s">
        <v>1271</v>
      </c>
      <c r="D1025" t="s">
        <v>18</v>
      </c>
      <c r="E1025" t="s">
        <v>49</v>
      </c>
      <c r="F1025">
        <v>1</v>
      </c>
      <c r="G1025">
        <v>69.900000000000006</v>
      </c>
      <c r="H1025">
        <v>16.25</v>
      </c>
      <c r="I1025" t="s">
        <v>44</v>
      </c>
      <c r="J1025">
        <v>10</v>
      </c>
      <c r="K1025" t="s">
        <v>51</v>
      </c>
      <c r="L1025">
        <v>5</v>
      </c>
      <c r="M1025" t="str">
        <f>VLOOKUP(D1025,State_Lookup!$A$2:$B$28,2,FALSE)</f>
        <v>Minas Gerais</v>
      </c>
    </row>
    <row r="1026" spans="1:13" x14ac:dyDescent="0.45">
      <c r="A1026" t="s">
        <v>1366</v>
      </c>
      <c r="B1026" t="s">
        <v>1362</v>
      </c>
      <c r="C1026" t="s">
        <v>1271</v>
      </c>
      <c r="D1026" t="s">
        <v>20</v>
      </c>
      <c r="E1026" t="s">
        <v>53</v>
      </c>
      <c r="F1026">
        <v>1</v>
      </c>
      <c r="G1026">
        <v>165.9</v>
      </c>
      <c r="H1026">
        <v>21.07</v>
      </c>
      <c r="I1026" t="s">
        <v>44</v>
      </c>
      <c r="J1026">
        <v>3</v>
      </c>
      <c r="K1026" t="s">
        <v>51</v>
      </c>
      <c r="L1026">
        <v>5</v>
      </c>
      <c r="M1026" t="str">
        <f>VLOOKUP(D1026,State_Lookup!$A$2:$B$28,2,FALSE)</f>
        <v>Parana</v>
      </c>
    </row>
    <row r="1027" spans="1:13" x14ac:dyDescent="0.45">
      <c r="A1027" t="s">
        <v>1367</v>
      </c>
      <c r="B1027" t="s">
        <v>1362</v>
      </c>
      <c r="C1027" t="s">
        <v>1271</v>
      </c>
      <c r="D1027" t="s">
        <v>19</v>
      </c>
      <c r="E1027" t="s">
        <v>142</v>
      </c>
      <c r="F1027">
        <v>1</v>
      </c>
      <c r="G1027">
        <v>33</v>
      </c>
      <c r="H1027">
        <v>17.600000000000001</v>
      </c>
      <c r="I1027" t="s">
        <v>108</v>
      </c>
      <c r="J1027">
        <v>31</v>
      </c>
      <c r="K1027" t="s">
        <v>143</v>
      </c>
      <c r="L1027">
        <v>4</v>
      </c>
      <c r="M1027" t="str">
        <f>VLOOKUP(D1027,State_Lookup!$A$2:$B$28,2,FALSE)</f>
        <v>Rio Grande do Sul</v>
      </c>
    </row>
    <row r="1028" spans="1:13" x14ac:dyDescent="0.45">
      <c r="A1028" t="s">
        <v>1368</v>
      </c>
      <c r="B1028" t="s">
        <v>1362</v>
      </c>
      <c r="C1028" t="s">
        <v>1271</v>
      </c>
      <c r="D1028" t="s">
        <v>19</v>
      </c>
      <c r="E1028" t="s">
        <v>148</v>
      </c>
      <c r="F1028">
        <v>1</v>
      </c>
      <c r="G1028">
        <v>199.99</v>
      </c>
      <c r="H1028">
        <v>18.97</v>
      </c>
      <c r="I1028" t="s">
        <v>44</v>
      </c>
      <c r="J1028">
        <v>11</v>
      </c>
      <c r="K1028" t="s">
        <v>51</v>
      </c>
      <c r="L1028">
        <v>5</v>
      </c>
      <c r="M1028" t="str">
        <f>VLOOKUP(D1028,State_Lookup!$A$2:$B$28,2,FALSE)</f>
        <v>Rio Grande do Sul</v>
      </c>
    </row>
    <row r="1029" spans="1:13" x14ac:dyDescent="0.45">
      <c r="A1029" t="s">
        <v>1369</v>
      </c>
      <c r="B1029" t="s">
        <v>1362</v>
      </c>
      <c r="C1029" t="s">
        <v>1271</v>
      </c>
      <c r="D1029" t="s">
        <v>16</v>
      </c>
      <c r="E1029" t="s">
        <v>199</v>
      </c>
      <c r="F1029">
        <v>1</v>
      </c>
      <c r="G1029">
        <v>104.9</v>
      </c>
      <c r="H1029">
        <v>12.23</v>
      </c>
      <c r="I1029" t="s">
        <v>44</v>
      </c>
      <c r="J1029">
        <v>5</v>
      </c>
      <c r="K1029" t="s">
        <v>51</v>
      </c>
      <c r="L1029">
        <v>5</v>
      </c>
      <c r="M1029" t="str">
        <f>VLOOKUP(D1029,State_Lookup!$A$2:$B$28,2,FALSE)</f>
        <v>Sao Paulo</v>
      </c>
    </row>
    <row r="1030" spans="1:13" x14ac:dyDescent="0.45">
      <c r="A1030" t="s">
        <v>1370</v>
      </c>
      <c r="B1030" t="s">
        <v>1362</v>
      </c>
      <c r="C1030" t="s">
        <v>1271</v>
      </c>
      <c r="D1030" t="s">
        <v>18</v>
      </c>
      <c r="E1030" t="s">
        <v>244</v>
      </c>
      <c r="F1030">
        <v>1</v>
      </c>
      <c r="G1030">
        <v>59.9</v>
      </c>
      <c r="H1030">
        <v>18.04</v>
      </c>
      <c r="I1030" t="s">
        <v>50</v>
      </c>
      <c r="J1030">
        <v>12</v>
      </c>
      <c r="K1030" t="s">
        <v>51</v>
      </c>
      <c r="L1030">
        <v>4</v>
      </c>
      <c r="M1030" t="str">
        <f>VLOOKUP(D1030,State_Lookup!$A$2:$B$28,2,FALSE)</f>
        <v>Minas Gerais</v>
      </c>
    </row>
    <row r="1031" spans="1:13" x14ac:dyDescent="0.45">
      <c r="A1031" t="s">
        <v>1371</v>
      </c>
      <c r="B1031" t="s">
        <v>1362</v>
      </c>
      <c r="C1031" t="s">
        <v>1271</v>
      </c>
      <c r="D1031" t="s">
        <v>18</v>
      </c>
      <c r="E1031" t="s">
        <v>79</v>
      </c>
      <c r="F1031">
        <v>1</v>
      </c>
      <c r="G1031">
        <v>58.99</v>
      </c>
      <c r="H1031">
        <v>17.66</v>
      </c>
      <c r="I1031" t="s">
        <v>44</v>
      </c>
      <c r="J1031">
        <v>7</v>
      </c>
      <c r="K1031" t="s">
        <v>51</v>
      </c>
      <c r="L1031">
        <v>4</v>
      </c>
      <c r="M1031" t="str">
        <f>VLOOKUP(D1031,State_Lookup!$A$2:$B$28,2,FALSE)</f>
        <v>Minas Gerais</v>
      </c>
    </row>
    <row r="1032" spans="1:13" x14ac:dyDescent="0.45">
      <c r="A1032" t="s">
        <v>1372</v>
      </c>
      <c r="B1032" t="s">
        <v>1373</v>
      </c>
      <c r="C1032" t="s">
        <v>1271</v>
      </c>
      <c r="D1032" t="s">
        <v>18</v>
      </c>
      <c r="E1032" t="s">
        <v>110</v>
      </c>
      <c r="F1032">
        <v>1</v>
      </c>
      <c r="G1032">
        <v>69.900000000000006</v>
      </c>
      <c r="H1032">
        <v>14.22</v>
      </c>
      <c r="I1032" t="s">
        <v>44</v>
      </c>
      <c r="K1032" t="s">
        <v>45</v>
      </c>
      <c r="L1032">
        <v>5</v>
      </c>
      <c r="M1032" t="str">
        <f>VLOOKUP(D1032,State_Lookup!$A$2:$B$28,2,FALSE)</f>
        <v>Minas Gerais</v>
      </c>
    </row>
    <row r="1033" spans="1:13" x14ac:dyDescent="0.45">
      <c r="A1033" t="s">
        <v>1374</v>
      </c>
      <c r="B1033" t="s">
        <v>1373</v>
      </c>
      <c r="C1033" t="s">
        <v>1271</v>
      </c>
      <c r="D1033" t="s">
        <v>16</v>
      </c>
      <c r="E1033" t="s">
        <v>132</v>
      </c>
      <c r="F1033">
        <v>1</v>
      </c>
      <c r="G1033">
        <v>49</v>
      </c>
      <c r="H1033">
        <v>11.85</v>
      </c>
      <c r="I1033" t="s">
        <v>44</v>
      </c>
      <c r="J1033">
        <v>9</v>
      </c>
      <c r="K1033" t="s">
        <v>51</v>
      </c>
      <c r="L1033">
        <v>5</v>
      </c>
      <c r="M1033" t="str">
        <f>VLOOKUP(D1033,State_Lookup!$A$2:$B$28,2,FALSE)</f>
        <v>Sao Paulo</v>
      </c>
    </row>
    <row r="1034" spans="1:13" x14ac:dyDescent="0.45">
      <c r="A1034" t="s">
        <v>1375</v>
      </c>
      <c r="B1034" t="s">
        <v>1373</v>
      </c>
      <c r="C1034" t="s">
        <v>1271</v>
      </c>
      <c r="D1034" t="s">
        <v>16</v>
      </c>
      <c r="E1034" t="s">
        <v>49</v>
      </c>
      <c r="F1034">
        <v>1</v>
      </c>
      <c r="G1034">
        <v>39.9</v>
      </c>
      <c r="H1034">
        <v>8.7200000000000006</v>
      </c>
      <c r="I1034" t="s">
        <v>50</v>
      </c>
      <c r="J1034">
        <v>7</v>
      </c>
      <c r="K1034" t="s">
        <v>51</v>
      </c>
      <c r="L1034">
        <v>5</v>
      </c>
      <c r="M1034" t="str">
        <f>VLOOKUP(D1034,State_Lookup!$A$2:$B$28,2,FALSE)</f>
        <v>Sao Paulo</v>
      </c>
    </row>
    <row r="1035" spans="1:13" x14ac:dyDescent="0.45">
      <c r="A1035" t="s">
        <v>1376</v>
      </c>
      <c r="B1035" t="s">
        <v>1373</v>
      </c>
      <c r="C1035" t="s">
        <v>1271</v>
      </c>
      <c r="D1035" t="s">
        <v>16</v>
      </c>
      <c r="E1035" t="s">
        <v>61</v>
      </c>
      <c r="F1035">
        <v>1</v>
      </c>
      <c r="G1035">
        <v>55.99</v>
      </c>
      <c r="H1035">
        <v>8.7200000000000006</v>
      </c>
      <c r="I1035" t="s">
        <v>44</v>
      </c>
      <c r="J1035">
        <v>1</v>
      </c>
      <c r="K1035" t="s">
        <v>51</v>
      </c>
      <c r="L1035">
        <v>5</v>
      </c>
      <c r="M1035" t="str">
        <f>VLOOKUP(D1035,State_Lookup!$A$2:$B$28,2,FALSE)</f>
        <v>Sao Paulo</v>
      </c>
    </row>
    <row r="1036" spans="1:13" x14ac:dyDescent="0.45">
      <c r="A1036" t="s">
        <v>1377</v>
      </c>
      <c r="B1036" t="s">
        <v>1373</v>
      </c>
      <c r="C1036" t="s">
        <v>1271</v>
      </c>
      <c r="D1036" t="s">
        <v>16</v>
      </c>
      <c r="E1036" t="s">
        <v>79</v>
      </c>
      <c r="F1036">
        <v>1</v>
      </c>
      <c r="G1036">
        <v>49.99</v>
      </c>
      <c r="H1036">
        <v>11.73</v>
      </c>
      <c r="I1036" t="s">
        <v>50</v>
      </c>
      <c r="J1036">
        <v>5</v>
      </c>
      <c r="K1036" t="s">
        <v>51</v>
      </c>
      <c r="L1036">
        <v>5</v>
      </c>
      <c r="M1036" t="str">
        <f>VLOOKUP(D1036,State_Lookup!$A$2:$B$28,2,FALSE)</f>
        <v>Sao Paulo</v>
      </c>
    </row>
    <row r="1037" spans="1:13" x14ac:dyDescent="0.45">
      <c r="A1037" t="s">
        <v>1378</v>
      </c>
      <c r="B1037" t="s">
        <v>1373</v>
      </c>
      <c r="C1037" t="s">
        <v>1271</v>
      </c>
      <c r="D1037" t="s">
        <v>16</v>
      </c>
      <c r="E1037" t="s">
        <v>43</v>
      </c>
      <c r="F1037">
        <v>2</v>
      </c>
      <c r="G1037">
        <v>118</v>
      </c>
      <c r="H1037">
        <v>25.5</v>
      </c>
      <c r="I1037" t="s">
        <v>44</v>
      </c>
      <c r="J1037">
        <v>8</v>
      </c>
      <c r="K1037" t="s">
        <v>51</v>
      </c>
      <c r="L1037">
        <v>4</v>
      </c>
      <c r="M1037" t="str">
        <f>VLOOKUP(D1037,State_Lookup!$A$2:$B$28,2,FALSE)</f>
        <v>Sao Paulo</v>
      </c>
    </row>
    <row r="1038" spans="1:13" x14ac:dyDescent="0.45">
      <c r="A1038" t="s">
        <v>1379</v>
      </c>
      <c r="B1038" t="s">
        <v>1373</v>
      </c>
      <c r="C1038" t="s">
        <v>1271</v>
      </c>
      <c r="D1038" t="s">
        <v>24</v>
      </c>
      <c r="E1038" t="s">
        <v>1056</v>
      </c>
      <c r="F1038">
        <v>1</v>
      </c>
      <c r="G1038">
        <v>38.99</v>
      </c>
      <c r="H1038">
        <v>15.11</v>
      </c>
      <c r="I1038" t="s">
        <v>44</v>
      </c>
      <c r="J1038">
        <v>9</v>
      </c>
      <c r="K1038" t="s">
        <v>51</v>
      </c>
      <c r="L1038">
        <v>3</v>
      </c>
      <c r="M1038" t="str">
        <f>VLOOKUP(D1038,State_Lookup!$A$2:$B$28,2,FALSE)</f>
        <v>Distrito Federal</v>
      </c>
    </row>
    <row r="1039" spans="1:13" x14ac:dyDescent="0.45">
      <c r="A1039" t="s">
        <v>1380</v>
      </c>
      <c r="B1039" t="s">
        <v>1373</v>
      </c>
      <c r="C1039" t="s">
        <v>1271</v>
      </c>
      <c r="D1039" t="s">
        <v>16</v>
      </c>
      <c r="E1039" t="s">
        <v>43</v>
      </c>
      <c r="F1039">
        <v>1</v>
      </c>
      <c r="G1039">
        <v>36.9</v>
      </c>
      <c r="H1039">
        <v>8.7200000000000006</v>
      </c>
      <c r="I1039" t="s">
        <v>44</v>
      </c>
      <c r="J1039">
        <v>4</v>
      </c>
      <c r="K1039" t="s">
        <v>51</v>
      </c>
      <c r="L1039">
        <v>5</v>
      </c>
      <c r="M1039" t="str">
        <f>VLOOKUP(D1039,State_Lookup!$A$2:$B$28,2,FALSE)</f>
        <v>Sao Paulo</v>
      </c>
    </row>
    <row r="1040" spans="1:13" x14ac:dyDescent="0.45">
      <c r="A1040" t="s">
        <v>1381</v>
      </c>
      <c r="B1040" t="s">
        <v>1373</v>
      </c>
      <c r="C1040" t="s">
        <v>1271</v>
      </c>
      <c r="D1040" t="s">
        <v>17</v>
      </c>
      <c r="E1040" t="s">
        <v>125</v>
      </c>
      <c r="F1040">
        <v>1</v>
      </c>
      <c r="G1040">
        <v>18</v>
      </c>
      <c r="H1040">
        <v>14.1</v>
      </c>
      <c r="I1040" t="s">
        <v>44</v>
      </c>
      <c r="J1040">
        <v>11</v>
      </c>
      <c r="K1040" t="s">
        <v>51</v>
      </c>
      <c r="L1040">
        <v>5</v>
      </c>
      <c r="M1040" t="str">
        <f>VLOOKUP(D1040,State_Lookup!$A$2:$B$28,2,FALSE)</f>
        <v>Rio de Janeiro</v>
      </c>
    </row>
    <row r="1041" spans="1:13" x14ac:dyDescent="0.45">
      <c r="A1041" t="s">
        <v>1382</v>
      </c>
      <c r="B1041" t="s">
        <v>1373</v>
      </c>
      <c r="C1041" t="s">
        <v>1271</v>
      </c>
      <c r="D1041" t="s">
        <v>63</v>
      </c>
      <c r="E1041" t="s">
        <v>132</v>
      </c>
      <c r="F1041">
        <v>1</v>
      </c>
      <c r="G1041">
        <v>49.9</v>
      </c>
      <c r="H1041">
        <v>17.63</v>
      </c>
      <c r="I1041" t="s">
        <v>44</v>
      </c>
      <c r="J1041">
        <v>14</v>
      </c>
      <c r="K1041" t="s">
        <v>51</v>
      </c>
      <c r="L1041">
        <v>5</v>
      </c>
      <c r="M1041" t="str">
        <f>VLOOKUP(D1041,State_Lookup!$A$2:$B$28,2,FALSE)</f>
        <v>Pernambuco</v>
      </c>
    </row>
    <row r="1042" spans="1:13" x14ac:dyDescent="0.45">
      <c r="A1042" t="s">
        <v>1383</v>
      </c>
      <c r="B1042" t="s">
        <v>1373</v>
      </c>
      <c r="C1042" t="s">
        <v>1271</v>
      </c>
      <c r="D1042" t="s">
        <v>16</v>
      </c>
      <c r="E1042" t="s">
        <v>132</v>
      </c>
      <c r="F1042">
        <v>1</v>
      </c>
      <c r="G1042">
        <v>49</v>
      </c>
      <c r="H1042">
        <v>7.78</v>
      </c>
      <c r="I1042" t="s">
        <v>50</v>
      </c>
      <c r="J1042">
        <v>1</v>
      </c>
      <c r="K1042" t="s">
        <v>51</v>
      </c>
      <c r="L1042">
        <v>2</v>
      </c>
      <c r="M1042" t="str">
        <f>VLOOKUP(D1042,State_Lookup!$A$2:$B$28,2,FALSE)</f>
        <v>Sao Paulo</v>
      </c>
    </row>
    <row r="1043" spans="1:13" x14ac:dyDescent="0.45">
      <c r="A1043" t="s">
        <v>1384</v>
      </c>
      <c r="B1043" t="s">
        <v>1373</v>
      </c>
      <c r="C1043" t="s">
        <v>1271</v>
      </c>
      <c r="D1043" t="s">
        <v>22</v>
      </c>
      <c r="E1043" t="s">
        <v>132</v>
      </c>
      <c r="F1043">
        <v>1</v>
      </c>
      <c r="G1043">
        <v>39.99</v>
      </c>
      <c r="H1043">
        <v>16.79</v>
      </c>
      <c r="I1043" t="s">
        <v>44</v>
      </c>
      <c r="J1043">
        <v>6</v>
      </c>
      <c r="K1043" t="s">
        <v>51</v>
      </c>
      <c r="L1043">
        <v>5</v>
      </c>
      <c r="M1043" t="str">
        <f>VLOOKUP(D1043,State_Lookup!$A$2:$B$28,2,FALSE)</f>
        <v>Bahia</v>
      </c>
    </row>
    <row r="1044" spans="1:13" x14ac:dyDescent="0.45">
      <c r="A1044" t="s">
        <v>1385</v>
      </c>
      <c r="B1044" t="s">
        <v>1386</v>
      </c>
      <c r="C1044" t="s">
        <v>1271</v>
      </c>
      <c r="D1044" t="s">
        <v>16</v>
      </c>
      <c r="E1044" t="s">
        <v>66</v>
      </c>
      <c r="F1044">
        <v>1</v>
      </c>
      <c r="G1044">
        <v>14.99</v>
      </c>
      <c r="H1044">
        <v>11.85</v>
      </c>
      <c r="I1044" t="s">
        <v>44</v>
      </c>
      <c r="J1044">
        <v>10</v>
      </c>
      <c r="K1044" t="s">
        <v>51</v>
      </c>
      <c r="L1044">
        <v>4</v>
      </c>
      <c r="M1044" t="str">
        <f>VLOOKUP(D1044,State_Lookup!$A$2:$B$28,2,FALSE)</f>
        <v>Sao Paulo</v>
      </c>
    </row>
    <row r="1045" spans="1:13" x14ac:dyDescent="0.45">
      <c r="A1045" t="s">
        <v>1387</v>
      </c>
      <c r="B1045" t="s">
        <v>1386</v>
      </c>
      <c r="C1045" t="s">
        <v>1271</v>
      </c>
      <c r="D1045" t="s">
        <v>21</v>
      </c>
      <c r="E1045" t="s">
        <v>103</v>
      </c>
      <c r="F1045">
        <v>1</v>
      </c>
      <c r="G1045">
        <v>263.99</v>
      </c>
      <c r="H1045">
        <v>87.01</v>
      </c>
      <c r="I1045" t="s">
        <v>50</v>
      </c>
      <c r="J1045">
        <v>17</v>
      </c>
      <c r="K1045" t="s">
        <v>51</v>
      </c>
      <c r="L1045">
        <v>4</v>
      </c>
      <c r="M1045" t="str">
        <f>VLOOKUP(D1045,State_Lookup!$A$2:$B$28,2,FALSE)</f>
        <v>Santa Catarina</v>
      </c>
    </row>
    <row r="1046" spans="1:13" x14ac:dyDescent="0.45">
      <c r="A1046" t="s">
        <v>1388</v>
      </c>
      <c r="B1046" t="s">
        <v>1386</v>
      </c>
      <c r="C1046" t="s">
        <v>1271</v>
      </c>
      <c r="D1046" t="s">
        <v>16</v>
      </c>
      <c r="E1046" t="s">
        <v>64</v>
      </c>
      <c r="F1046">
        <v>1</v>
      </c>
      <c r="G1046">
        <v>56.99</v>
      </c>
      <c r="H1046">
        <v>8.7200000000000006</v>
      </c>
      <c r="I1046" t="s">
        <v>44</v>
      </c>
      <c r="J1046">
        <v>14</v>
      </c>
      <c r="K1046" t="s">
        <v>51</v>
      </c>
      <c r="L1046">
        <v>5</v>
      </c>
      <c r="M1046" t="str">
        <f>VLOOKUP(D1046,State_Lookup!$A$2:$B$28,2,FALSE)</f>
        <v>Sao Paulo</v>
      </c>
    </row>
    <row r="1047" spans="1:13" x14ac:dyDescent="0.45">
      <c r="A1047" t="s">
        <v>1389</v>
      </c>
      <c r="B1047" t="s">
        <v>1386</v>
      </c>
      <c r="C1047" t="s">
        <v>1271</v>
      </c>
      <c r="D1047" t="s">
        <v>16</v>
      </c>
      <c r="E1047" t="s">
        <v>142</v>
      </c>
      <c r="F1047">
        <v>1</v>
      </c>
      <c r="G1047">
        <v>99.99</v>
      </c>
      <c r="H1047">
        <v>89.93</v>
      </c>
      <c r="I1047" t="s">
        <v>44</v>
      </c>
      <c r="J1047">
        <v>34</v>
      </c>
      <c r="K1047" t="s">
        <v>143</v>
      </c>
      <c r="L1047">
        <v>4</v>
      </c>
      <c r="M1047" t="str">
        <f>VLOOKUP(D1047,State_Lookup!$A$2:$B$28,2,FALSE)</f>
        <v>Sao Paulo</v>
      </c>
    </row>
    <row r="1048" spans="1:13" x14ac:dyDescent="0.45">
      <c r="A1048" t="s">
        <v>1390</v>
      </c>
      <c r="B1048" t="s">
        <v>1386</v>
      </c>
      <c r="C1048" t="s">
        <v>1271</v>
      </c>
      <c r="D1048" t="s">
        <v>672</v>
      </c>
      <c r="E1048" t="s">
        <v>79</v>
      </c>
      <c r="F1048">
        <v>1</v>
      </c>
      <c r="G1048">
        <v>24.9</v>
      </c>
      <c r="H1048">
        <v>42.38</v>
      </c>
      <c r="I1048" t="s">
        <v>44</v>
      </c>
      <c r="J1048">
        <v>34</v>
      </c>
      <c r="K1048" t="s">
        <v>51</v>
      </c>
      <c r="L1048">
        <v>5</v>
      </c>
      <c r="M1048" t="str">
        <f>VLOOKUP(D1048,State_Lookup!$A$2:$B$28,2,FALSE)</f>
        <v>Paraiba</v>
      </c>
    </row>
    <row r="1049" spans="1:13" x14ac:dyDescent="0.45">
      <c r="A1049" t="s">
        <v>1391</v>
      </c>
      <c r="B1049" t="s">
        <v>1386</v>
      </c>
      <c r="C1049" t="s">
        <v>1271</v>
      </c>
      <c r="D1049" t="s">
        <v>21</v>
      </c>
      <c r="E1049" t="s">
        <v>244</v>
      </c>
      <c r="F1049">
        <v>1</v>
      </c>
      <c r="G1049">
        <v>89</v>
      </c>
      <c r="H1049">
        <v>17.84</v>
      </c>
      <c r="I1049" t="s">
        <v>44</v>
      </c>
      <c r="J1049">
        <v>13</v>
      </c>
      <c r="K1049" t="s">
        <v>51</v>
      </c>
      <c r="L1049">
        <v>5</v>
      </c>
      <c r="M1049" t="str">
        <f>VLOOKUP(D1049,State_Lookup!$A$2:$B$28,2,FALSE)</f>
        <v>Santa Catarina</v>
      </c>
    </row>
    <row r="1050" spans="1:13" x14ac:dyDescent="0.45">
      <c r="A1050" t="s">
        <v>1392</v>
      </c>
      <c r="B1050" t="s">
        <v>1393</v>
      </c>
      <c r="C1050" t="s">
        <v>1271</v>
      </c>
      <c r="D1050" t="s">
        <v>16</v>
      </c>
      <c r="E1050" t="s">
        <v>49</v>
      </c>
      <c r="F1050">
        <v>1</v>
      </c>
      <c r="G1050">
        <v>29.9</v>
      </c>
      <c r="H1050">
        <v>11.85</v>
      </c>
      <c r="I1050" t="s">
        <v>44</v>
      </c>
      <c r="J1050">
        <v>7</v>
      </c>
      <c r="K1050" t="s">
        <v>51</v>
      </c>
      <c r="L1050">
        <v>5</v>
      </c>
      <c r="M1050" t="str">
        <f>VLOOKUP(D1050,State_Lookup!$A$2:$B$28,2,FALSE)</f>
        <v>Sao Paulo</v>
      </c>
    </row>
    <row r="1051" spans="1:13" x14ac:dyDescent="0.45">
      <c r="A1051" t="s">
        <v>1394</v>
      </c>
      <c r="B1051" t="s">
        <v>1393</v>
      </c>
      <c r="C1051" t="s">
        <v>1271</v>
      </c>
      <c r="D1051" t="s">
        <v>16</v>
      </c>
      <c r="E1051" t="s">
        <v>110</v>
      </c>
      <c r="F1051">
        <v>1</v>
      </c>
      <c r="G1051">
        <v>27.9</v>
      </c>
      <c r="H1051">
        <v>11.85</v>
      </c>
      <c r="I1051" t="s">
        <v>44</v>
      </c>
      <c r="J1051">
        <v>8</v>
      </c>
      <c r="K1051" t="s">
        <v>51</v>
      </c>
      <c r="L1051">
        <v>5</v>
      </c>
      <c r="M1051" t="str">
        <f>VLOOKUP(D1051,State_Lookup!$A$2:$B$28,2,FALSE)</f>
        <v>Sao Paulo</v>
      </c>
    </row>
    <row r="1052" spans="1:13" x14ac:dyDescent="0.45">
      <c r="A1052" t="s">
        <v>1395</v>
      </c>
      <c r="B1052" t="s">
        <v>1393</v>
      </c>
      <c r="C1052" t="s">
        <v>1271</v>
      </c>
      <c r="D1052" t="s">
        <v>17</v>
      </c>
      <c r="E1052" t="s">
        <v>69</v>
      </c>
      <c r="F1052">
        <v>1</v>
      </c>
      <c r="G1052">
        <v>59.9</v>
      </c>
      <c r="H1052">
        <v>17.670000000000002</v>
      </c>
      <c r="I1052" t="s">
        <v>44</v>
      </c>
      <c r="J1052">
        <v>12</v>
      </c>
      <c r="K1052" t="s">
        <v>51</v>
      </c>
      <c r="L1052">
        <v>5</v>
      </c>
      <c r="M1052" t="str">
        <f>VLOOKUP(D1052,State_Lookup!$A$2:$B$28,2,FALSE)</f>
        <v>Rio de Janeiro</v>
      </c>
    </row>
    <row r="1053" spans="1:13" x14ac:dyDescent="0.45">
      <c r="A1053" t="s">
        <v>1396</v>
      </c>
      <c r="B1053" t="s">
        <v>1393</v>
      </c>
      <c r="C1053" t="s">
        <v>1271</v>
      </c>
      <c r="D1053" t="s">
        <v>16</v>
      </c>
      <c r="E1053" t="s">
        <v>366</v>
      </c>
      <c r="F1053">
        <v>1</v>
      </c>
      <c r="G1053">
        <v>152.25</v>
      </c>
      <c r="H1053">
        <v>8.81</v>
      </c>
      <c r="I1053" t="s">
        <v>44</v>
      </c>
      <c r="J1053">
        <v>5</v>
      </c>
      <c r="K1053" t="s">
        <v>51</v>
      </c>
      <c r="L1053">
        <v>5</v>
      </c>
      <c r="M1053" t="str">
        <f>VLOOKUP(D1053,State_Lookup!$A$2:$B$28,2,FALSE)</f>
        <v>Sao Paulo</v>
      </c>
    </row>
    <row r="1054" spans="1:13" x14ac:dyDescent="0.45">
      <c r="A1054" t="s">
        <v>1397</v>
      </c>
      <c r="B1054" t="s">
        <v>1393</v>
      </c>
      <c r="C1054" t="s">
        <v>1271</v>
      </c>
      <c r="D1054" t="s">
        <v>19</v>
      </c>
      <c r="E1054" t="s">
        <v>100</v>
      </c>
      <c r="F1054">
        <v>1</v>
      </c>
      <c r="G1054">
        <v>18.899999999999999</v>
      </c>
      <c r="H1054">
        <v>16.11</v>
      </c>
      <c r="I1054" t="s">
        <v>50</v>
      </c>
      <c r="J1054">
        <v>9</v>
      </c>
      <c r="K1054" t="s">
        <v>51</v>
      </c>
      <c r="L1054">
        <v>1</v>
      </c>
      <c r="M1054" t="str">
        <f>VLOOKUP(D1054,State_Lookup!$A$2:$B$28,2,FALSE)</f>
        <v>Rio Grande do Sul</v>
      </c>
    </row>
    <row r="1055" spans="1:13" x14ac:dyDescent="0.45">
      <c r="A1055" t="s">
        <v>1398</v>
      </c>
      <c r="B1055" t="s">
        <v>1393</v>
      </c>
      <c r="C1055" t="s">
        <v>1271</v>
      </c>
      <c r="D1055" t="s">
        <v>249</v>
      </c>
      <c r="E1055" t="s">
        <v>61</v>
      </c>
      <c r="F1055">
        <v>1</v>
      </c>
      <c r="G1055">
        <v>59</v>
      </c>
      <c r="H1055">
        <v>25.69</v>
      </c>
      <c r="I1055" t="s">
        <v>44</v>
      </c>
      <c r="J1055">
        <v>13</v>
      </c>
      <c r="K1055" t="s">
        <v>51</v>
      </c>
      <c r="L1055">
        <v>5</v>
      </c>
      <c r="M1055" t="str">
        <f>VLOOKUP(D1055,State_Lookup!$A$2:$B$28,2,FALSE)</f>
        <v>Tocantins</v>
      </c>
    </row>
    <row r="1056" spans="1:13" x14ac:dyDescent="0.45">
      <c r="A1056" t="s">
        <v>1399</v>
      </c>
      <c r="B1056" t="s">
        <v>1400</v>
      </c>
      <c r="C1056" t="s">
        <v>1271</v>
      </c>
      <c r="D1056" t="s">
        <v>16</v>
      </c>
      <c r="E1056" t="s">
        <v>103</v>
      </c>
      <c r="F1056">
        <v>1</v>
      </c>
      <c r="G1056">
        <v>110</v>
      </c>
      <c r="H1056">
        <v>14.5</v>
      </c>
      <c r="I1056" t="s">
        <v>50</v>
      </c>
      <c r="J1056">
        <v>12</v>
      </c>
      <c r="K1056" t="s">
        <v>51</v>
      </c>
      <c r="L1056">
        <v>5</v>
      </c>
      <c r="M1056" t="str">
        <f>VLOOKUP(D1056,State_Lookup!$A$2:$B$28,2,FALSE)</f>
        <v>Sao Paulo</v>
      </c>
    </row>
    <row r="1057" spans="1:13" x14ac:dyDescent="0.45">
      <c r="A1057" t="s">
        <v>1401</v>
      </c>
      <c r="B1057" t="s">
        <v>1400</v>
      </c>
      <c r="C1057" t="s">
        <v>1271</v>
      </c>
      <c r="D1057" t="s">
        <v>16</v>
      </c>
      <c r="E1057" t="s">
        <v>110</v>
      </c>
      <c r="F1057">
        <v>1</v>
      </c>
      <c r="G1057">
        <v>200</v>
      </c>
      <c r="H1057">
        <v>15.01</v>
      </c>
      <c r="I1057" t="s">
        <v>50</v>
      </c>
      <c r="J1057">
        <v>5</v>
      </c>
      <c r="K1057" t="s">
        <v>51</v>
      </c>
      <c r="L1057">
        <v>5</v>
      </c>
      <c r="M1057" t="str">
        <f>VLOOKUP(D1057,State_Lookup!$A$2:$B$28,2,FALSE)</f>
        <v>Sao Paulo</v>
      </c>
    </row>
    <row r="1058" spans="1:13" x14ac:dyDescent="0.45">
      <c r="A1058" t="s">
        <v>1402</v>
      </c>
      <c r="B1058" t="s">
        <v>1400</v>
      </c>
      <c r="C1058" t="s">
        <v>1271</v>
      </c>
      <c r="D1058" t="s">
        <v>16</v>
      </c>
      <c r="E1058" t="s">
        <v>58</v>
      </c>
      <c r="F1058">
        <v>1</v>
      </c>
      <c r="G1058">
        <v>19.899999999999999</v>
      </c>
      <c r="H1058">
        <v>11.85</v>
      </c>
      <c r="I1058" t="s">
        <v>50</v>
      </c>
      <c r="J1058">
        <v>7</v>
      </c>
      <c r="K1058" t="s">
        <v>51</v>
      </c>
      <c r="L1058">
        <v>5</v>
      </c>
      <c r="M1058" t="str">
        <f>VLOOKUP(D1058,State_Lookup!$A$2:$B$28,2,FALSE)</f>
        <v>Sao Paulo</v>
      </c>
    </row>
    <row r="1059" spans="1:13" x14ac:dyDescent="0.45">
      <c r="A1059" t="s">
        <v>1403</v>
      </c>
      <c r="B1059" t="s">
        <v>1400</v>
      </c>
      <c r="C1059" t="s">
        <v>1271</v>
      </c>
      <c r="D1059" t="s">
        <v>22</v>
      </c>
      <c r="E1059" t="s">
        <v>366</v>
      </c>
      <c r="F1059">
        <v>1</v>
      </c>
      <c r="G1059">
        <v>69.900000000000006</v>
      </c>
      <c r="H1059">
        <v>19.73</v>
      </c>
      <c r="I1059" t="s">
        <v>44</v>
      </c>
      <c r="J1059">
        <v>12</v>
      </c>
      <c r="K1059" t="s">
        <v>51</v>
      </c>
      <c r="L1059">
        <v>4</v>
      </c>
      <c r="M1059" t="str">
        <f>VLOOKUP(D1059,State_Lookup!$A$2:$B$28,2,FALSE)</f>
        <v>Bahia</v>
      </c>
    </row>
    <row r="1060" spans="1:13" x14ac:dyDescent="0.45">
      <c r="A1060" t="s">
        <v>1404</v>
      </c>
      <c r="B1060" t="s">
        <v>1400</v>
      </c>
      <c r="C1060" t="s">
        <v>1271</v>
      </c>
      <c r="D1060" t="s">
        <v>16</v>
      </c>
      <c r="E1060" t="s">
        <v>69</v>
      </c>
      <c r="F1060">
        <v>1</v>
      </c>
      <c r="G1060">
        <v>59.9</v>
      </c>
      <c r="H1060">
        <v>13.44</v>
      </c>
      <c r="I1060" t="s">
        <v>44</v>
      </c>
      <c r="J1060">
        <v>11</v>
      </c>
      <c r="K1060" t="s">
        <v>51</v>
      </c>
      <c r="L1060">
        <v>5</v>
      </c>
      <c r="M1060" t="str">
        <f>VLOOKUP(D1060,State_Lookup!$A$2:$B$28,2,FALSE)</f>
        <v>Sao Paulo</v>
      </c>
    </row>
    <row r="1061" spans="1:13" x14ac:dyDescent="0.45">
      <c r="A1061" t="s">
        <v>1405</v>
      </c>
      <c r="B1061" t="s">
        <v>1400</v>
      </c>
      <c r="C1061" t="s">
        <v>1271</v>
      </c>
      <c r="D1061" t="s">
        <v>18</v>
      </c>
      <c r="E1061" t="s">
        <v>123</v>
      </c>
      <c r="F1061">
        <v>2</v>
      </c>
      <c r="G1061">
        <v>119.8</v>
      </c>
      <c r="H1061">
        <v>32.36</v>
      </c>
      <c r="I1061" t="s">
        <v>44</v>
      </c>
      <c r="J1061">
        <v>18</v>
      </c>
      <c r="K1061" t="s">
        <v>51</v>
      </c>
      <c r="L1061">
        <v>5</v>
      </c>
      <c r="M1061" t="str">
        <f>VLOOKUP(D1061,State_Lookup!$A$2:$B$28,2,FALSE)</f>
        <v>Minas Gerais</v>
      </c>
    </row>
    <row r="1062" spans="1:13" x14ac:dyDescent="0.45">
      <c r="A1062" t="s">
        <v>1406</v>
      </c>
      <c r="B1062" t="s">
        <v>1400</v>
      </c>
      <c r="C1062" t="s">
        <v>1271</v>
      </c>
      <c r="D1062" t="s">
        <v>194</v>
      </c>
      <c r="E1062" t="s">
        <v>79</v>
      </c>
      <c r="F1062">
        <v>1</v>
      </c>
      <c r="G1062">
        <v>119.9</v>
      </c>
      <c r="H1062">
        <v>18.09</v>
      </c>
      <c r="I1062" t="s">
        <v>44</v>
      </c>
      <c r="J1062">
        <v>14</v>
      </c>
      <c r="K1062" t="s">
        <v>51</v>
      </c>
      <c r="L1062">
        <v>4</v>
      </c>
      <c r="M1062" t="str">
        <f>VLOOKUP(D1062,State_Lookup!$A$2:$B$28,2,FALSE)</f>
        <v>Mato Grosso do Sul</v>
      </c>
    </row>
    <row r="1063" spans="1:13" x14ac:dyDescent="0.45">
      <c r="A1063" t="s">
        <v>1407</v>
      </c>
      <c r="B1063" t="s">
        <v>1400</v>
      </c>
      <c r="C1063" t="s">
        <v>1271</v>
      </c>
      <c r="D1063" t="s">
        <v>16</v>
      </c>
      <c r="E1063" t="s">
        <v>49</v>
      </c>
      <c r="F1063">
        <v>1</v>
      </c>
      <c r="G1063">
        <v>39.9</v>
      </c>
      <c r="H1063">
        <v>8.7200000000000006</v>
      </c>
      <c r="I1063" t="s">
        <v>44</v>
      </c>
      <c r="J1063">
        <v>7</v>
      </c>
      <c r="K1063" t="s">
        <v>51</v>
      </c>
      <c r="L1063">
        <v>5</v>
      </c>
      <c r="M1063" t="str">
        <f>VLOOKUP(D1063,State_Lookup!$A$2:$B$28,2,FALSE)</f>
        <v>Sao Paulo</v>
      </c>
    </row>
    <row r="1064" spans="1:13" x14ac:dyDescent="0.45">
      <c r="A1064" t="s">
        <v>1408</v>
      </c>
      <c r="B1064" t="s">
        <v>1400</v>
      </c>
      <c r="C1064" t="s">
        <v>1271</v>
      </c>
      <c r="D1064" t="s">
        <v>16</v>
      </c>
      <c r="E1064" t="s">
        <v>61</v>
      </c>
      <c r="F1064">
        <v>1</v>
      </c>
      <c r="G1064">
        <v>48</v>
      </c>
      <c r="H1064">
        <v>9.94</v>
      </c>
      <c r="I1064" t="s">
        <v>44</v>
      </c>
      <c r="J1064">
        <v>1</v>
      </c>
      <c r="K1064" t="s">
        <v>51</v>
      </c>
      <c r="L1064">
        <v>5</v>
      </c>
      <c r="M1064" t="str">
        <f>VLOOKUP(D1064,State_Lookup!$A$2:$B$28,2,FALSE)</f>
        <v>Sao Paulo</v>
      </c>
    </row>
    <row r="1065" spans="1:13" x14ac:dyDescent="0.45">
      <c r="A1065" t="s">
        <v>1409</v>
      </c>
      <c r="B1065" t="s">
        <v>1400</v>
      </c>
      <c r="C1065" t="s">
        <v>1271</v>
      </c>
      <c r="D1065" t="s">
        <v>18</v>
      </c>
      <c r="E1065" t="s">
        <v>103</v>
      </c>
      <c r="F1065">
        <v>1</v>
      </c>
      <c r="G1065">
        <v>829</v>
      </c>
      <c r="H1065">
        <v>18.82</v>
      </c>
      <c r="I1065" t="s">
        <v>44</v>
      </c>
      <c r="J1065">
        <v>13</v>
      </c>
      <c r="K1065" t="s">
        <v>51</v>
      </c>
      <c r="L1065">
        <v>1</v>
      </c>
      <c r="M1065" t="str">
        <f>VLOOKUP(D1065,State_Lookup!$A$2:$B$28,2,FALSE)</f>
        <v>Minas Gerais</v>
      </c>
    </row>
    <row r="1066" spans="1:13" x14ac:dyDescent="0.45">
      <c r="A1066" t="s">
        <v>1410</v>
      </c>
      <c r="B1066" t="s">
        <v>1400</v>
      </c>
      <c r="C1066" t="s">
        <v>1271</v>
      </c>
      <c r="D1066" t="s">
        <v>20</v>
      </c>
      <c r="E1066" t="s">
        <v>157</v>
      </c>
      <c r="F1066">
        <v>2</v>
      </c>
      <c r="G1066">
        <v>59.98</v>
      </c>
      <c r="H1066">
        <v>32.22</v>
      </c>
      <c r="I1066" t="s">
        <v>50</v>
      </c>
      <c r="J1066">
        <v>5</v>
      </c>
      <c r="K1066" t="s">
        <v>51</v>
      </c>
      <c r="L1066">
        <v>3</v>
      </c>
      <c r="M1066" t="str">
        <f>VLOOKUP(D1066,State_Lookup!$A$2:$B$28,2,FALSE)</f>
        <v>Parana</v>
      </c>
    </row>
    <row r="1067" spans="1:13" x14ac:dyDescent="0.45">
      <c r="A1067" t="s">
        <v>1411</v>
      </c>
      <c r="B1067" t="s">
        <v>1400</v>
      </c>
      <c r="C1067" t="s">
        <v>1271</v>
      </c>
      <c r="D1067" t="s">
        <v>17</v>
      </c>
      <c r="E1067" t="s">
        <v>668</v>
      </c>
      <c r="F1067">
        <v>1</v>
      </c>
      <c r="G1067">
        <v>264.89999999999998</v>
      </c>
      <c r="H1067">
        <v>16.600000000000001</v>
      </c>
      <c r="I1067" t="s">
        <v>44</v>
      </c>
      <c r="J1067">
        <v>8</v>
      </c>
      <c r="K1067" t="s">
        <v>51</v>
      </c>
      <c r="L1067">
        <v>5</v>
      </c>
      <c r="M1067" t="str">
        <f>VLOOKUP(D1067,State_Lookup!$A$2:$B$28,2,FALSE)</f>
        <v>Rio de Janeiro</v>
      </c>
    </row>
    <row r="1068" spans="1:13" x14ac:dyDescent="0.45">
      <c r="A1068" t="s">
        <v>1412</v>
      </c>
      <c r="B1068" t="s">
        <v>1400</v>
      </c>
      <c r="C1068" t="s">
        <v>1271</v>
      </c>
      <c r="D1068" t="s">
        <v>19</v>
      </c>
      <c r="E1068" t="s">
        <v>142</v>
      </c>
      <c r="F1068">
        <v>1</v>
      </c>
      <c r="G1068">
        <v>82.5</v>
      </c>
      <c r="H1068">
        <v>39.57</v>
      </c>
      <c r="I1068" t="s">
        <v>44</v>
      </c>
      <c r="J1068">
        <v>17</v>
      </c>
      <c r="K1068" t="s">
        <v>51</v>
      </c>
      <c r="L1068">
        <v>4</v>
      </c>
      <c r="M1068" t="str">
        <f>VLOOKUP(D1068,State_Lookup!$A$2:$B$28,2,FALSE)</f>
        <v>Rio Grande do Sul</v>
      </c>
    </row>
    <row r="1069" spans="1:13" x14ac:dyDescent="0.45">
      <c r="A1069" t="s">
        <v>1413</v>
      </c>
      <c r="B1069" t="s">
        <v>1414</v>
      </c>
      <c r="C1069" t="s">
        <v>1271</v>
      </c>
      <c r="D1069" t="s">
        <v>16</v>
      </c>
      <c r="E1069" t="s">
        <v>43</v>
      </c>
      <c r="F1069">
        <v>1</v>
      </c>
      <c r="G1069">
        <v>29.99</v>
      </c>
      <c r="H1069">
        <v>11.85</v>
      </c>
      <c r="I1069" t="s">
        <v>44</v>
      </c>
      <c r="J1069">
        <v>9</v>
      </c>
      <c r="K1069" t="s">
        <v>51</v>
      </c>
      <c r="L1069">
        <v>5</v>
      </c>
      <c r="M1069" t="str">
        <f>VLOOKUP(D1069,State_Lookup!$A$2:$B$28,2,FALSE)</f>
        <v>Sao Paulo</v>
      </c>
    </row>
    <row r="1070" spans="1:13" x14ac:dyDescent="0.45">
      <c r="A1070" t="s">
        <v>1415</v>
      </c>
      <c r="B1070" t="s">
        <v>1414</v>
      </c>
      <c r="C1070" t="s">
        <v>1271</v>
      </c>
      <c r="D1070" t="s">
        <v>16</v>
      </c>
      <c r="E1070" t="s">
        <v>244</v>
      </c>
      <c r="F1070">
        <v>1</v>
      </c>
      <c r="G1070">
        <v>59.98</v>
      </c>
      <c r="H1070">
        <v>21.26</v>
      </c>
      <c r="I1070" t="s">
        <v>44</v>
      </c>
      <c r="J1070">
        <v>7</v>
      </c>
      <c r="K1070" t="s">
        <v>51</v>
      </c>
      <c r="L1070">
        <v>5</v>
      </c>
      <c r="M1070" t="str">
        <f>VLOOKUP(D1070,State_Lookup!$A$2:$B$28,2,FALSE)</f>
        <v>Sao Paulo</v>
      </c>
    </row>
    <row r="1071" spans="1:13" x14ac:dyDescent="0.45">
      <c r="A1071" t="s">
        <v>1416</v>
      </c>
      <c r="B1071" t="s">
        <v>1414</v>
      </c>
      <c r="C1071" t="s">
        <v>1271</v>
      </c>
      <c r="D1071" t="s">
        <v>16</v>
      </c>
      <c r="E1071" t="s">
        <v>64</v>
      </c>
      <c r="F1071">
        <v>1</v>
      </c>
      <c r="G1071">
        <v>85.9</v>
      </c>
      <c r="H1071">
        <v>10.02</v>
      </c>
      <c r="I1071" t="s">
        <v>44</v>
      </c>
      <c r="J1071">
        <v>3</v>
      </c>
      <c r="K1071" t="s">
        <v>51</v>
      </c>
      <c r="L1071">
        <v>5</v>
      </c>
      <c r="M1071" t="str">
        <f>VLOOKUP(D1071,State_Lookup!$A$2:$B$28,2,FALSE)</f>
        <v>Sao Paulo</v>
      </c>
    </row>
    <row r="1072" spans="1:13" x14ac:dyDescent="0.45">
      <c r="A1072" t="s">
        <v>1417</v>
      </c>
      <c r="B1072" t="s">
        <v>1414</v>
      </c>
      <c r="C1072" t="s">
        <v>1271</v>
      </c>
      <c r="D1072" t="s">
        <v>16</v>
      </c>
      <c r="E1072" t="s">
        <v>61</v>
      </c>
      <c r="F1072">
        <v>1</v>
      </c>
      <c r="G1072">
        <v>155</v>
      </c>
      <c r="H1072">
        <v>14.11</v>
      </c>
      <c r="I1072" t="s">
        <v>44</v>
      </c>
      <c r="J1072">
        <v>6</v>
      </c>
      <c r="K1072" t="s">
        <v>51</v>
      </c>
      <c r="L1072">
        <v>5</v>
      </c>
      <c r="M1072" t="str">
        <f>VLOOKUP(D1072,State_Lookup!$A$2:$B$28,2,FALSE)</f>
        <v>Sao Paulo</v>
      </c>
    </row>
    <row r="1073" spans="1:13" x14ac:dyDescent="0.45">
      <c r="A1073" t="s">
        <v>1418</v>
      </c>
      <c r="B1073" t="s">
        <v>1414</v>
      </c>
      <c r="C1073" t="s">
        <v>1271</v>
      </c>
      <c r="D1073" t="s">
        <v>16</v>
      </c>
      <c r="E1073" t="s">
        <v>49</v>
      </c>
      <c r="F1073">
        <v>1</v>
      </c>
      <c r="G1073">
        <v>59.9</v>
      </c>
      <c r="H1073">
        <v>13.44</v>
      </c>
      <c r="I1073" t="s">
        <v>44</v>
      </c>
      <c r="J1073">
        <v>16</v>
      </c>
      <c r="K1073" t="s">
        <v>51</v>
      </c>
      <c r="L1073">
        <v>5</v>
      </c>
      <c r="M1073" t="str">
        <f>VLOOKUP(D1073,State_Lookup!$A$2:$B$28,2,FALSE)</f>
        <v>Sao Paulo</v>
      </c>
    </row>
    <row r="1074" spans="1:13" x14ac:dyDescent="0.45">
      <c r="A1074" t="s">
        <v>1419</v>
      </c>
      <c r="B1074" t="s">
        <v>1414</v>
      </c>
      <c r="C1074" t="s">
        <v>1271</v>
      </c>
      <c r="D1074" t="s">
        <v>17</v>
      </c>
      <c r="E1074" t="s">
        <v>69</v>
      </c>
      <c r="F1074">
        <v>1</v>
      </c>
      <c r="G1074">
        <v>59.9</v>
      </c>
      <c r="H1074">
        <v>17.670000000000002</v>
      </c>
      <c r="I1074" t="s">
        <v>44</v>
      </c>
      <c r="J1074">
        <v>28</v>
      </c>
      <c r="K1074" t="s">
        <v>51</v>
      </c>
      <c r="L1074">
        <v>5</v>
      </c>
      <c r="M1074" t="str">
        <f>VLOOKUP(D1074,State_Lookup!$A$2:$B$28,2,FALSE)</f>
        <v>Rio de Janeiro</v>
      </c>
    </row>
    <row r="1075" spans="1:13" x14ac:dyDescent="0.45">
      <c r="A1075" t="s">
        <v>1420</v>
      </c>
      <c r="B1075" t="s">
        <v>1414</v>
      </c>
      <c r="C1075" t="s">
        <v>1271</v>
      </c>
      <c r="D1075" t="s">
        <v>16</v>
      </c>
      <c r="E1075" t="s">
        <v>125</v>
      </c>
      <c r="F1075">
        <v>1</v>
      </c>
      <c r="G1075">
        <v>14.9</v>
      </c>
      <c r="H1075">
        <v>12.48</v>
      </c>
      <c r="I1075" t="s">
        <v>50</v>
      </c>
      <c r="J1075">
        <v>7</v>
      </c>
      <c r="K1075" t="s">
        <v>51</v>
      </c>
      <c r="L1075">
        <v>4</v>
      </c>
      <c r="M1075" t="str">
        <f>VLOOKUP(D1075,State_Lookup!$A$2:$B$28,2,FALSE)</f>
        <v>Sao Paulo</v>
      </c>
    </row>
    <row r="1076" spans="1:13" x14ac:dyDescent="0.45">
      <c r="A1076" t="s">
        <v>1421</v>
      </c>
      <c r="B1076" t="s">
        <v>1422</v>
      </c>
      <c r="C1076" t="s">
        <v>1271</v>
      </c>
      <c r="D1076" t="s">
        <v>18</v>
      </c>
      <c r="E1076" t="s">
        <v>152</v>
      </c>
      <c r="F1076">
        <v>2</v>
      </c>
      <c r="G1076">
        <v>77.8</v>
      </c>
      <c r="H1076">
        <v>26.74</v>
      </c>
      <c r="I1076" t="s">
        <v>44</v>
      </c>
      <c r="J1076">
        <v>8</v>
      </c>
      <c r="K1076" t="s">
        <v>51</v>
      </c>
      <c r="L1076">
        <v>5</v>
      </c>
      <c r="M1076" t="str">
        <f>VLOOKUP(D1076,State_Lookup!$A$2:$B$28,2,FALSE)</f>
        <v>Minas Gerais</v>
      </c>
    </row>
    <row r="1077" spans="1:13" x14ac:dyDescent="0.45">
      <c r="A1077" t="s">
        <v>1423</v>
      </c>
      <c r="B1077" t="s">
        <v>1422</v>
      </c>
      <c r="C1077" t="s">
        <v>1271</v>
      </c>
      <c r="D1077" t="s">
        <v>16</v>
      </c>
      <c r="E1077" t="s">
        <v>79</v>
      </c>
      <c r="F1077">
        <v>1</v>
      </c>
      <c r="G1077">
        <v>104</v>
      </c>
      <c r="H1077">
        <v>15.48</v>
      </c>
      <c r="I1077" t="s">
        <v>44</v>
      </c>
      <c r="J1077">
        <v>8</v>
      </c>
      <c r="K1077" t="s">
        <v>51</v>
      </c>
      <c r="L1077">
        <v>5</v>
      </c>
      <c r="M1077" t="str">
        <f>VLOOKUP(D1077,State_Lookup!$A$2:$B$28,2,FALSE)</f>
        <v>Sao Paulo</v>
      </c>
    </row>
    <row r="1078" spans="1:13" x14ac:dyDescent="0.45">
      <c r="A1078" t="s">
        <v>1424</v>
      </c>
      <c r="B1078" t="s">
        <v>1422</v>
      </c>
      <c r="C1078" t="s">
        <v>1271</v>
      </c>
      <c r="D1078" t="s">
        <v>16</v>
      </c>
      <c r="E1078" t="s">
        <v>110</v>
      </c>
      <c r="F1078">
        <v>1</v>
      </c>
      <c r="G1078">
        <v>182</v>
      </c>
      <c r="H1078">
        <v>12.48</v>
      </c>
      <c r="I1078" t="s">
        <v>44</v>
      </c>
      <c r="J1078">
        <v>2</v>
      </c>
      <c r="K1078" t="s">
        <v>51</v>
      </c>
      <c r="L1078">
        <v>5</v>
      </c>
      <c r="M1078" t="str">
        <f>VLOOKUP(D1078,State_Lookup!$A$2:$B$28,2,FALSE)</f>
        <v>Sao Paulo</v>
      </c>
    </row>
    <row r="1079" spans="1:13" x14ac:dyDescent="0.45">
      <c r="A1079" t="s">
        <v>1425</v>
      </c>
      <c r="B1079" t="s">
        <v>1422</v>
      </c>
      <c r="C1079" t="s">
        <v>1271</v>
      </c>
      <c r="D1079" t="s">
        <v>18</v>
      </c>
      <c r="E1079" t="s">
        <v>49</v>
      </c>
      <c r="F1079">
        <v>1</v>
      </c>
      <c r="G1079">
        <v>74.989999999999995</v>
      </c>
      <c r="H1079">
        <v>17.77</v>
      </c>
      <c r="I1079" t="s">
        <v>44</v>
      </c>
      <c r="J1079">
        <v>6</v>
      </c>
      <c r="K1079" t="s">
        <v>51</v>
      </c>
      <c r="L1079">
        <v>5</v>
      </c>
      <c r="M1079" t="str">
        <f>VLOOKUP(D1079,State_Lookup!$A$2:$B$28,2,FALSE)</f>
        <v>Minas Gerais</v>
      </c>
    </row>
    <row r="1080" spans="1:13" x14ac:dyDescent="0.45">
      <c r="A1080" t="s">
        <v>1426</v>
      </c>
      <c r="B1080" t="s">
        <v>1422</v>
      </c>
      <c r="C1080" t="s">
        <v>1271</v>
      </c>
      <c r="D1080" t="s">
        <v>25</v>
      </c>
      <c r="E1080" t="s">
        <v>148</v>
      </c>
      <c r="F1080">
        <v>1</v>
      </c>
      <c r="G1080">
        <v>134.99</v>
      </c>
      <c r="H1080">
        <v>16.7</v>
      </c>
      <c r="I1080" t="s">
        <v>44</v>
      </c>
      <c r="J1080">
        <v>13</v>
      </c>
      <c r="K1080" t="s">
        <v>51</v>
      </c>
      <c r="L1080">
        <v>5</v>
      </c>
      <c r="M1080" t="str">
        <f>VLOOKUP(D1080,State_Lookup!$A$2:$B$28,2,FALSE)</f>
        <v>Goias</v>
      </c>
    </row>
    <row r="1081" spans="1:13" x14ac:dyDescent="0.45">
      <c r="A1081" t="s">
        <v>1427</v>
      </c>
      <c r="B1081" t="s">
        <v>1422</v>
      </c>
      <c r="C1081" t="s">
        <v>1271</v>
      </c>
      <c r="D1081" t="s">
        <v>16</v>
      </c>
      <c r="E1081" t="s">
        <v>49</v>
      </c>
      <c r="F1081">
        <v>1</v>
      </c>
      <c r="G1081">
        <v>49.99</v>
      </c>
      <c r="H1081">
        <v>16.11</v>
      </c>
      <c r="I1081" t="s">
        <v>50</v>
      </c>
      <c r="J1081">
        <v>16</v>
      </c>
      <c r="K1081" t="s">
        <v>51</v>
      </c>
      <c r="L1081">
        <v>4</v>
      </c>
      <c r="M1081" t="str">
        <f>VLOOKUP(D1081,State_Lookup!$A$2:$B$28,2,FALSE)</f>
        <v>Sao Paulo</v>
      </c>
    </row>
    <row r="1082" spans="1:13" x14ac:dyDescent="0.45">
      <c r="A1082" t="s">
        <v>1428</v>
      </c>
      <c r="B1082" t="s">
        <v>1422</v>
      </c>
      <c r="C1082" t="s">
        <v>1271</v>
      </c>
      <c r="D1082" t="s">
        <v>17</v>
      </c>
      <c r="E1082" t="s">
        <v>79</v>
      </c>
      <c r="F1082">
        <v>1</v>
      </c>
      <c r="G1082">
        <v>64.900000000000006</v>
      </c>
      <c r="H1082">
        <v>19.690000000000001</v>
      </c>
      <c r="I1082" t="s">
        <v>44</v>
      </c>
      <c r="J1082">
        <v>17</v>
      </c>
      <c r="K1082" t="s">
        <v>51</v>
      </c>
      <c r="L1082">
        <v>3</v>
      </c>
      <c r="M1082" t="str">
        <f>VLOOKUP(D1082,State_Lookup!$A$2:$B$28,2,FALSE)</f>
        <v>Rio de Janeiro</v>
      </c>
    </row>
    <row r="1083" spans="1:13" x14ac:dyDescent="0.45">
      <c r="A1083" t="s">
        <v>1429</v>
      </c>
      <c r="B1083" t="s">
        <v>1430</v>
      </c>
      <c r="C1083" t="s">
        <v>1271</v>
      </c>
      <c r="D1083" t="s">
        <v>16</v>
      </c>
      <c r="E1083" t="s">
        <v>103</v>
      </c>
      <c r="F1083">
        <v>1</v>
      </c>
      <c r="G1083">
        <v>128.5</v>
      </c>
      <c r="H1083">
        <v>12.85</v>
      </c>
      <c r="I1083" t="s">
        <v>44</v>
      </c>
      <c r="J1083">
        <v>2</v>
      </c>
      <c r="K1083" t="s">
        <v>51</v>
      </c>
      <c r="L1083">
        <v>5</v>
      </c>
      <c r="M1083" t="str">
        <f>VLOOKUP(D1083,State_Lookup!$A$2:$B$28,2,FALSE)</f>
        <v>Sao Paulo</v>
      </c>
    </row>
    <row r="1084" spans="1:13" x14ac:dyDescent="0.45">
      <c r="A1084" t="s">
        <v>1431</v>
      </c>
      <c r="B1084" t="s">
        <v>1430</v>
      </c>
      <c r="C1084" t="s">
        <v>1271</v>
      </c>
      <c r="D1084" t="s">
        <v>487</v>
      </c>
      <c r="E1084" t="s">
        <v>53</v>
      </c>
      <c r="F1084">
        <v>1</v>
      </c>
      <c r="G1084">
        <v>45.9</v>
      </c>
      <c r="H1084">
        <v>21.15</v>
      </c>
      <c r="I1084" t="s">
        <v>44</v>
      </c>
      <c r="J1084">
        <v>16</v>
      </c>
      <c r="K1084" t="s">
        <v>51</v>
      </c>
      <c r="L1084">
        <v>5</v>
      </c>
      <c r="M1084" t="str">
        <f>VLOOKUP(D1084,State_Lookup!$A$2:$B$28,2,FALSE)</f>
        <v>Rio Grande do Norte</v>
      </c>
    </row>
    <row r="1085" spans="1:13" x14ac:dyDescent="0.45">
      <c r="A1085" t="s">
        <v>1432</v>
      </c>
      <c r="B1085" t="s">
        <v>1430</v>
      </c>
      <c r="C1085" t="s">
        <v>1271</v>
      </c>
      <c r="D1085" t="s">
        <v>22</v>
      </c>
      <c r="E1085" t="s">
        <v>64</v>
      </c>
      <c r="F1085">
        <v>1</v>
      </c>
      <c r="G1085">
        <v>56.99</v>
      </c>
      <c r="H1085">
        <v>15.84</v>
      </c>
      <c r="I1085" t="s">
        <v>44</v>
      </c>
      <c r="J1085">
        <v>7</v>
      </c>
      <c r="K1085" t="s">
        <v>51</v>
      </c>
      <c r="L1085">
        <v>5</v>
      </c>
      <c r="M1085" t="str">
        <f>VLOOKUP(D1085,State_Lookup!$A$2:$B$28,2,FALSE)</f>
        <v>Bahia</v>
      </c>
    </row>
    <row r="1086" spans="1:13" x14ac:dyDescent="0.45">
      <c r="A1086" t="s">
        <v>1433</v>
      </c>
      <c r="B1086" t="s">
        <v>1430</v>
      </c>
      <c r="C1086" t="s">
        <v>1271</v>
      </c>
      <c r="D1086" t="s">
        <v>18</v>
      </c>
      <c r="E1086" t="s">
        <v>66</v>
      </c>
      <c r="F1086">
        <v>1</v>
      </c>
      <c r="G1086">
        <v>109.9</v>
      </c>
      <c r="H1086">
        <v>15.52</v>
      </c>
      <c r="I1086" t="s">
        <v>44</v>
      </c>
      <c r="J1086">
        <v>9</v>
      </c>
      <c r="K1086" t="s">
        <v>51</v>
      </c>
      <c r="L1086">
        <v>5</v>
      </c>
      <c r="M1086" t="str">
        <f>VLOOKUP(D1086,State_Lookup!$A$2:$B$28,2,FALSE)</f>
        <v>Minas Gerais</v>
      </c>
    </row>
    <row r="1087" spans="1:13" x14ac:dyDescent="0.45">
      <c r="A1087" t="s">
        <v>1434</v>
      </c>
      <c r="B1087" t="s">
        <v>1430</v>
      </c>
      <c r="C1087" t="s">
        <v>1271</v>
      </c>
      <c r="D1087" t="s">
        <v>25</v>
      </c>
      <c r="E1087" t="s">
        <v>132</v>
      </c>
      <c r="F1087">
        <v>1</v>
      </c>
      <c r="G1087">
        <v>39.99</v>
      </c>
      <c r="H1087">
        <v>15.1</v>
      </c>
      <c r="I1087" t="s">
        <v>133</v>
      </c>
      <c r="J1087">
        <v>11</v>
      </c>
      <c r="K1087" t="s">
        <v>51</v>
      </c>
      <c r="L1087">
        <v>5</v>
      </c>
      <c r="M1087" t="str">
        <f>VLOOKUP(D1087,State_Lookup!$A$2:$B$28,2,FALSE)</f>
        <v>Goias</v>
      </c>
    </row>
    <row r="1088" spans="1:13" x14ac:dyDescent="0.45">
      <c r="A1088" t="s">
        <v>1435</v>
      </c>
      <c r="B1088" t="s">
        <v>1430</v>
      </c>
      <c r="C1088" t="s">
        <v>1271</v>
      </c>
      <c r="D1088" t="s">
        <v>16</v>
      </c>
      <c r="E1088" t="s">
        <v>132</v>
      </c>
      <c r="F1088">
        <v>1</v>
      </c>
      <c r="G1088">
        <v>49.99</v>
      </c>
      <c r="H1088">
        <v>7.78</v>
      </c>
      <c r="I1088" t="s">
        <v>44</v>
      </c>
      <c r="J1088">
        <v>1</v>
      </c>
      <c r="K1088" t="s">
        <v>51</v>
      </c>
      <c r="L1088">
        <v>4</v>
      </c>
      <c r="M1088" t="str">
        <f>VLOOKUP(D1088,State_Lookup!$A$2:$B$28,2,FALSE)</f>
        <v>Sao Paulo</v>
      </c>
    </row>
    <row r="1089" spans="1:13" x14ac:dyDescent="0.45">
      <c r="A1089" t="s">
        <v>1436</v>
      </c>
      <c r="B1089" t="s">
        <v>1437</v>
      </c>
      <c r="C1089" t="s">
        <v>1271</v>
      </c>
      <c r="D1089" t="s">
        <v>19</v>
      </c>
      <c r="E1089" t="s">
        <v>148</v>
      </c>
      <c r="F1089">
        <v>1</v>
      </c>
      <c r="G1089">
        <v>86.8</v>
      </c>
      <c r="H1089">
        <v>14.36</v>
      </c>
      <c r="I1089" t="s">
        <v>50</v>
      </c>
      <c r="J1089">
        <v>28</v>
      </c>
      <c r="K1089" t="s">
        <v>51</v>
      </c>
      <c r="L1089">
        <v>5</v>
      </c>
      <c r="M1089" t="str">
        <f>VLOOKUP(D1089,State_Lookup!$A$2:$B$28,2,FALSE)</f>
        <v>Rio Grande do Sul</v>
      </c>
    </row>
    <row r="1090" spans="1:13" x14ac:dyDescent="0.45">
      <c r="A1090" t="s">
        <v>1438</v>
      </c>
      <c r="B1090" t="s">
        <v>1437</v>
      </c>
      <c r="C1090" t="s">
        <v>1271</v>
      </c>
      <c r="D1090" t="s">
        <v>17</v>
      </c>
      <c r="E1090" t="s">
        <v>43</v>
      </c>
      <c r="F1090">
        <v>2</v>
      </c>
      <c r="G1090">
        <v>118</v>
      </c>
      <c r="H1090">
        <v>32.340000000000003</v>
      </c>
      <c r="I1090" t="s">
        <v>44</v>
      </c>
      <c r="J1090">
        <v>7</v>
      </c>
      <c r="K1090" t="s">
        <v>51</v>
      </c>
      <c r="L1090">
        <v>1</v>
      </c>
      <c r="M1090" t="str">
        <f>VLOOKUP(D1090,State_Lookup!$A$2:$B$28,2,FALSE)</f>
        <v>Rio de Janeiro</v>
      </c>
    </row>
    <row r="1091" spans="1:13" x14ac:dyDescent="0.45">
      <c r="A1091" t="s">
        <v>1439</v>
      </c>
      <c r="B1091" t="s">
        <v>1437</v>
      </c>
      <c r="C1091" t="s">
        <v>1271</v>
      </c>
      <c r="D1091" t="s">
        <v>16</v>
      </c>
      <c r="E1091" t="s">
        <v>110</v>
      </c>
      <c r="F1091">
        <v>1</v>
      </c>
      <c r="G1091">
        <v>49.95</v>
      </c>
      <c r="H1091">
        <v>11.85</v>
      </c>
      <c r="I1091" t="s">
        <v>44</v>
      </c>
      <c r="J1091">
        <v>7</v>
      </c>
      <c r="K1091" t="s">
        <v>51</v>
      </c>
      <c r="L1091">
        <v>4</v>
      </c>
      <c r="M1091" t="str">
        <f>VLOOKUP(D1091,State_Lookup!$A$2:$B$28,2,FALSE)</f>
        <v>Sao Paulo</v>
      </c>
    </row>
    <row r="1092" spans="1:13" x14ac:dyDescent="0.45">
      <c r="A1092" t="s">
        <v>1440</v>
      </c>
      <c r="B1092" t="s">
        <v>1437</v>
      </c>
      <c r="C1092" t="s">
        <v>1271</v>
      </c>
      <c r="D1092" t="s">
        <v>16</v>
      </c>
      <c r="E1092" t="s">
        <v>64</v>
      </c>
      <c r="F1092">
        <v>1</v>
      </c>
      <c r="G1092">
        <v>56.99</v>
      </c>
      <c r="H1092">
        <v>8.7200000000000006</v>
      </c>
      <c r="I1092" t="s">
        <v>44</v>
      </c>
      <c r="J1092">
        <v>6</v>
      </c>
      <c r="K1092" t="s">
        <v>51</v>
      </c>
      <c r="L1092">
        <v>5</v>
      </c>
      <c r="M1092" t="str">
        <f>VLOOKUP(D1092,State_Lookup!$A$2:$B$28,2,FALSE)</f>
        <v>Sao Paulo</v>
      </c>
    </row>
    <row r="1093" spans="1:13" x14ac:dyDescent="0.45">
      <c r="A1093" t="s">
        <v>1441</v>
      </c>
      <c r="B1093" t="s">
        <v>1437</v>
      </c>
      <c r="C1093" t="s">
        <v>1271</v>
      </c>
      <c r="D1093" t="s">
        <v>20</v>
      </c>
      <c r="E1093" t="s">
        <v>58</v>
      </c>
      <c r="F1093">
        <v>1</v>
      </c>
      <c r="G1093">
        <v>19.899999999999999</v>
      </c>
      <c r="H1093">
        <v>15.1</v>
      </c>
      <c r="I1093" t="s">
        <v>50</v>
      </c>
      <c r="J1093">
        <v>10</v>
      </c>
      <c r="K1093" t="s">
        <v>51</v>
      </c>
      <c r="L1093">
        <v>5</v>
      </c>
      <c r="M1093" t="str">
        <f>VLOOKUP(D1093,State_Lookup!$A$2:$B$28,2,FALSE)</f>
        <v>Parana</v>
      </c>
    </row>
    <row r="1094" spans="1:13" x14ac:dyDescent="0.45">
      <c r="A1094" t="s">
        <v>1442</v>
      </c>
      <c r="B1094" t="s">
        <v>1437</v>
      </c>
      <c r="C1094" t="s">
        <v>1271</v>
      </c>
      <c r="D1094" t="s">
        <v>219</v>
      </c>
      <c r="E1094" t="s">
        <v>132</v>
      </c>
      <c r="F1094">
        <v>1</v>
      </c>
      <c r="G1094">
        <v>29.9</v>
      </c>
      <c r="H1094">
        <v>34.15</v>
      </c>
      <c r="I1094" t="s">
        <v>50</v>
      </c>
      <c r="J1094">
        <v>15</v>
      </c>
      <c r="K1094" t="s">
        <v>51</v>
      </c>
      <c r="L1094">
        <v>5</v>
      </c>
      <c r="M1094" t="str">
        <f>VLOOKUP(D1094,State_Lookup!$A$2:$B$28,2,FALSE)</f>
        <v>Rondonia</v>
      </c>
    </row>
    <row r="1095" spans="1:13" x14ac:dyDescent="0.45">
      <c r="A1095" t="s">
        <v>1443</v>
      </c>
      <c r="B1095" t="s">
        <v>1437</v>
      </c>
      <c r="C1095" t="s">
        <v>1271</v>
      </c>
      <c r="D1095" t="s">
        <v>20</v>
      </c>
      <c r="E1095" t="s">
        <v>148</v>
      </c>
      <c r="F1095">
        <v>1</v>
      </c>
      <c r="G1095">
        <v>89.99</v>
      </c>
      <c r="H1095">
        <v>17.88</v>
      </c>
      <c r="I1095" t="s">
        <v>44</v>
      </c>
      <c r="J1095">
        <v>9</v>
      </c>
      <c r="K1095" t="s">
        <v>51</v>
      </c>
      <c r="L1095">
        <v>4</v>
      </c>
      <c r="M1095" t="str">
        <f>VLOOKUP(D1095,State_Lookup!$A$2:$B$28,2,FALSE)</f>
        <v>Parana</v>
      </c>
    </row>
    <row r="1096" spans="1:13" x14ac:dyDescent="0.45">
      <c r="A1096" t="s">
        <v>1444</v>
      </c>
      <c r="B1096" t="s">
        <v>1437</v>
      </c>
      <c r="C1096" t="s">
        <v>1271</v>
      </c>
      <c r="D1096" t="s">
        <v>16</v>
      </c>
      <c r="E1096" t="s">
        <v>132</v>
      </c>
      <c r="F1096">
        <v>1</v>
      </c>
      <c r="G1096">
        <v>28.9</v>
      </c>
      <c r="H1096">
        <v>14.1</v>
      </c>
      <c r="I1096" t="s">
        <v>44</v>
      </c>
      <c r="J1096">
        <v>2</v>
      </c>
      <c r="K1096" t="s">
        <v>51</v>
      </c>
      <c r="L1096">
        <v>5</v>
      </c>
      <c r="M1096" t="str">
        <f>VLOOKUP(D1096,State_Lookup!$A$2:$B$28,2,FALSE)</f>
        <v>Sao Paulo</v>
      </c>
    </row>
    <row r="1097" spans="1:13" x14ac:dyDescent="0.45">
      <c r="A1097" t="s">
        <v>1445</v>
      </c>
      <c r="B1097" t="s">
        <v>1437</v>
      </c>
      <c r="C1097" t="s">
        <v>1271</v>
      </c>
      <c r="D1097" t="s">
        <v>17</v>
      </c>
      <c r="E1097" t="s">
        <v>267</v>
      </c>
      <c r="F1097">
        <v>2</v>
      </c>
      <c r="G1097">
        <v>1589.96</v>
      </c>
      <c r="H1097">
        <v>27.88</v>
      </c>
      <c r="I1097" t="s">
        <v>44</v>
      </c>
      <c r="J1097">
        <v>6</v>
      </c>
      <c r="K1097" t="s">
        <v>51</v>
      </c>
      <c r="L1097">
        <v>5</v>
      </c>
      <c r="M1097" t="str">
        <f>VLOOKUP(D1097,State_Lookup!$A$2:$B$28,2,FALSE)</f>
        <v>Rio de Janeiro</v>
      </c>
    </row>
    <row r="1098" spans="1:13" x14ac:dyDescent="0.45">
      <c r="A1098" t="s">
        <v>1446</v>
      </c>
      <c r="B1098" t="s">
        <v>1437</v>
      </c>
      <c r="C1098" t="s">
        <v>1271</v>
      </c>
      <c r="D1098" t="s">
        <v>219</v>
      </c>
      <c r="E1098" t="s">
        <v>66</v>
      </c>
      <c r="F1098">
        <v>1</v>
      </c>
      <c r="G1098">
        <v>16.989999999999998</v>
      </c>
      <c r="H1098">
        <v>34.15</v>
      </c>
      <c r="I1098" t="s">
        <v>44</v>
      </c>
      <c r="J1098">
        <v>24</v>
      </c>
      <c r="K1098" t="s">
        <v>51</v>
      </c>
      <c r="L1098">
        <v>4</v>
      </c>
      <c r="M1098" t="str">
        <f>VLOOKUP(D1098,State_Lookup!$A$2:$B$28,2,FALSE)</f>
        <v>Rondonia</v>
      </c>
    </row>
    <row r="1099" spans="1:13" x14ac:dyDescent="0.45">
      <c r="A1099" t="s">
        <v>1447</v>
      </c>
      <c r="B1099" t="s">
        <v>1437</v>
      </c>
      <c r="C1099" t="s">
        <v>1271</v>
      </c>
      <c r="D1099" t="s">
        <v>16</v>
      </c>
      <c r="E1099" t="s">
        <v>1448</v>
      </c>
      <c r="F1099">
        <v>1</v>
      </c>
      <c r="G1099">
        <v>61</v>
      </c>
      <c r="H1099">
        <v>9.34</v>
      </c>
      <c r="I1099" t="s">
        <v>44</v>
      </c>
      <c r="J1099">
        <v>2</v>
      </c>
      <c r="K1099" t="s">
        <v>51</v>
      </c>
      <c r="L1099">
        <v>5</v>
      </c>
      <c r="M1099" t="str">
        <f>VLOOKUP(D1099,State_Lookup!$A$2:$B$28,2,FALSE)</f>
        <v>Sao Paulo</v>
      </c>
    </row>
    <row r="1100" spans="1:13" x14ac:dyDescent="0.45">
      <c r="A1100" t="s">
        <v>1449</v>
      </c>
      <c r="B1100" t="s">
        <v>1437</v>
      </c>
      <c r="C1100" t="s">
        <v>1271</v>
      </c>
      <c r="D1100" t="s">
        <v>16</v>
      </c>
      <c r="E1100" t="s">
        <v>79</v>
      </c>
      <c r="F1100">
        <v>1</v>
      </c>
      <c r="G1100">
        <v>34.99</v>
      </c>
      <c r="H1100">
        <v>7.78</v>
      </c>
      <c r="I1100" t="s">
        <v>44</v>
      </c>
      <c r="J1100">
        <v>3</v>
      </c>
      <c r="K1100" t="s">
        <v>51</v>
      </c>
      <c r="L1100">
        <v>5</v>
      </c>
      <c r="M1100" t="str">
        <f>VLOOKUP(D1100,State_Lookup!$A$2:$B$28,2,FALSE)</f>
        <v>Sao Paulo</v>
      </c>
    </row>
    <row r="1101" spans="1:13" x14ac:dyDescent="0.45">
      <c r="A1101" t="s">
        <v>1450</v>
      </c>
      <c r="B1101" t="s">
        <v>1437</v>
      </c>
      <c r="C1101" t="s">
        <v>1271</v>
      </c>
      <c r="D1101" t="s">
        <v>16</v>
      </c>
      <c r="E1101" t="s">
        <v>79</v>
      </c>
      <c r="F1101">
        <v>1</v>
      </c>
      <c r="G1101">
        <v>23.99</v>
      </c>
      <c r="H1101">
        <v>7.78</v>
      </c>
      <c r="I1101" t="s">
        <v>133</v>
      </c>
      <c r="J1101">
        <v>3</v>
      </c>
      <c r="K1101" t="s">
        <v>51</v>
      </c>
      <c r="L1101">
        <v>5</v>
      </c>
      <c r="M1101" t="str">
        <f>VLOOKUP(D1101,State_Lookup!$A$2:$B$28,2,FALSE)</f>
        <v>Sao Paulo</v>
      </c>
    </row>
    <row r="1102" spans="1:13" x14ac:dyDescent="0.45">
      <c r="A1102" t="s">
        <v>1451</v>
      </c>
      <c r="B1102" t="s">
        <v>1452</v>
      </c>
      <c r="C1102" t="s">
        <v>1271</v>
      </c>
      <c r="D1102" t="s">
        <v>17</v>
      </c>
      <c r="E1102" t="s">
        <v>43</v>
      </c>
      <c r="F1102">
        <v>1</v>
      </c>
      <c r="G1102">
        <v>46.99</v>
      </c>
      <c r="H1102">
        <v>16.11</v>
      </c>
      <c r="I1102" t="s">
        <v>44</v>
      </c>
      <c r="J1102">
        <v>17</v>
      </c>
      <c r="K1102" t="s">
        <v>51</v>
      </c>
      <c r="L1102">
        <v>3</v>
      </c>
      <c r="M1102" t="str">
        <f>VLOOKUP(D1102,State_Lookup!$A$2:$B$28,2,FALSE)</f>
        <v>Rio de Janeiro</v>
      </c>
    </row>
    <row r="1103" spans="1:13" x14ac:dyDescent="0.45">
      <c r="A1103" t="s">
        <v>1453</v>
      </c>
      <c r="B1103" t="s">
        <v>1452</v>
      </c>
      <c r="C1103" t="s">
        <v>1271</v>
      </c>
      <c r="D1103" t="s">
        <v>16</v>
      </c>
      <c r="E1103" t="s">
        <v>79</v>
      </c>
      <c r="F1103">
        <v>1</v>
      </c>
      <c r="G1103">
        <v>59.9</v>
      </c>
      <c r="H1103">
        <v>15.86</v>
      </c>
      <c r="I1103" t="s">
        <v>44</v>
      </c>
      <c r="J1103">
        <v>6</v>
      </c>
      <c r="K1103" t="s">
        <v>51</v>
      </c>
      <c r="L1103">
        <v>5</v>
      </c>
      <c r="M1103" t="str">
        <f>VLOOKUP(D1103,State_Lookup!$A$2:$B$28,2,FALSE)</f>
        <v>Sao Paulo</v>
      </c>
    </row>
    <row r="1104" spans="1:13" x14ac:dyDescent="0.45">
      <c r="A1104" t="s">
        <v>1454</v>
      </c>
      <c r="B1104" t="s">
        <v>1452</v>
      </c>
      <c r="C1104" t="s">
        <v>1271</v>
      </c>
      <c r="D1104" t="s">
        <v>18</v>
      </c>
      <c r="E1104" t="s">
        <v>66</v>
      </c>
      <c r="F1104">
        <v>1</v>
      </c>
      <c r="G1104">
        <v>49.99</v>
      </c>
      <c r="H1104">
        <v>16.11</v>
      </c>
      <c r="I1104" t="s">
        <v>44</v>
      </c>
      <c r="J1104">
        <v>7</v>
      </c>
      <c r="K1104" t="s">
        <v>51</v>
      </c>
      <c r="L1104">
        <v>5</v>
      </c>
      <c r="M1104" t="str">
        <f>VLOOKUP(D1104,State_Lookup!$A$2:$B$28,2,FALSE)</f>
        <v>Minas Gerais</v>
      </c>
    </row>
    <row r="1105" spans="1:13" x14ac:dyDescent="0.45">
      <c r="A1105" t="s">
        <v>1455</v>
      </c>
      <c r="B1105" t="s">
        <v>1452</v>
      </c>
      <c r="C1105" t="s">
        <v>1271</v>
      </c>
      <c r="D1105" t="s">
        <v>16</v>
      </c>
      <c r="E1105" t="s">
        <v>244</v>
      </c>
      <c r="F1105">
        <v>3</v>
      </c>
      <c r="G1105">
        <v>149.69999999999999</v>
      </c>
      <c r="H1105">
        <v>55.95</v>
      </c>
      <c r="I1105" t="s">
        <v>44</v>
      </c>
      <c r="J1105">
        <v>12</v>
      </c>
      <c r="K1105" t="s">
        <v>51</v>
      </c>
      <c r="L1105">
        <v>4</v>
      </c>
      <c r="M1105" t="str">
        <f>VLOOKUP(D1105,State_Lookup!$A$2:$B$28,2,FALSE)</f>
        <v>Sao Paulo</v>
      </c>
    </row>
    <row r="1106" spans="1:13" x14ac:dyDescent="0.45">
      <c r="A1106" t="s">
        <v>1456</v>
      </c>
      <c r="B1106" t="s">
        <v>1452</v>
      </c>
      <c r="C1106" t="s">
        <v>1271</v>
      </c>
      <c r="D1106" t="s">
        <v>18</v>
      </c>
      <c r="E1106" t="s">
        <v>43</v>
      </c>
      <c r="F1106">
        <v>1</v>
      </c>
      <c r="G1106">
        <v>39.99</v>
      </c>
      <c r="H1106">
        <v>16.600000000000001</v>
      </c>
      <c r="I1106" t="s">
        <v>44</v>
      </c>
      <c r="J1106">
        <v>17</v>
      </c>
      <c r="K1106" t="s">
        <v>51</v>
      </c>
      <c r="L1106">
        <v>5</v>
      </c>
      <c r="M1106" t="str">
        <f>VLOOKUP(D1106,State_Lookup!$A$2:$B$28,2,FALSE)</f>
        <v>Minas Gerais</v>
      </c>
    </row>
    <row r="1107" spans="1:13" x14ac:dyDescent="0.45">
      <c r="A1107" t="s">
        <v>1457</v>
      </c>
      <c r="B1107" t="s">
        <v>1452</v>
      </c>
      <c r="C1107" t="s">
        <v>1271</v>
      </c>
      <c r="D1107" t="s">
        <v>17</v>
      </c>
      <c r="E1107" t="s">
        <v>64</v>
      </c>
      <c r="F1107">
        <v>1</v>
      </c>
      <c r="G1107">
        <v>56.99</v>
      </c>
      <c r="H1107">
        <v>14.15</v>
      </c>
      <c r="I1107" t="s">
        <v>44</v>
      </c>
      <c r="J1107">
        <v>10</v>
      </c>
      <c r="K1107" t="s">
        <v>51</v>
      </c>
      <c r="L1107">
        <v>5</v>
      </c>
      <c r="M1107" t="str">
        <f>VLOOKUP(D1107,State_Lookup!$A$2:$B$28,2,FALSE)</f>
        <v>Rio de Janeiro</v>
      </c>
    </row>
    <row r="1108" spans="1:13" x14ac:dyDescent="0.45">
      <c r="A1108" t="s">
        <v>1458</v>
      </c>
      <c r="B1108" t="s">
        <v>1452</v>
      </c>
      <c r="C1108" t="s">
        <v>1271</v>
      </c>
      <c r="D1108" t="s">
        <v>16</v>
      </c>
      <c r="E1108" t="s">
        <v>173</v>
      </c>
      <c r="F1108">
        <v>1</v>
      </c>
      <c r="G1108">
        <v>27.92</v>
      </c>
      <c r="H1108">
        <v>9.94</v>
      </c>
      <c r="I1108" t="s">
        <v>44</v>
      </c>
      <c r="J1108">
        <v>3</v>
      </c>
      <c r="K1108" t="s">
        <v>51</v>
      </c>
      <c r="L1108">
        <v>5</v>
      </c>
      <c r="M1108" t="str">
        <f>VLOOKUP(D1108,State_Lookup!$A$2:$B$28,2,FALSE)</f>
        <v>Sao Paulo</v>
      </c>
    </row>
    <row r="1109" spans="1:13" x14ac:dyDescent="0.45">
      <c r="A1109" t="s">
        <v>1459</v>
      </c>
      <c r="B1109" t="s">
        <v>1452</v>
      </c>
      <c r="C1109" t="s">
        <v>1271</v>
      </c>
      <c r="D1109" t="s">
        <v>63</v>
      </c>
      <c r="E1109" t="s">
        <v>186</v>
      </c>
      <c r="F1109">
        <v>1</v>
      </c>
      <c r="G1109">
        <v>79.900000000000006</v>
      </c>
      <c r="H1109">
        <v>25.84</v>
      </c>
      <c r="I1109" t="s">
        <v>44</v>
      </c>
      <c r="J1109">
        <v>21</v>
      </c>
      <c r="K1109" t="s">
        <v>51</v>
      </c>
      <c r="L1109">
        <v>5</v>
      </c>
      <c r="M1109" t="str">
        <f>VLOOKUP(D1109,State_Lookup!$A$2:$B$28,2,FALSE)</f>
        <v>Pernambuco</v>
      </c>
    </row>
    <row r="1110" spans="1:13" x14ac:dyDescent="0.45">
      <c r="A1110" t="s">
        <v>1460</v>
      </c>
      <c r="B1110" t="s">
        <v>1461</v>
      </c>
      <c r="C1110" t="s">
        <v>1271</v>
      </c>
      <c r="D1110" t="s">
        <v>113</v>
      </c>
      <c r="E1110" t="s">
        <v>199</v>
      </c>
      <c r="F1110">
        <v>1</v>
      </c>
      <c r="G1110">
        <v>115</v>
      </c>
      <c r="H1110">
        <v>34.61</v>
      </c>
      <c r="I1110" t="s">
        <v>44</v>
      </c>
      <c r="J1110">
        <v>22</v>
      </c>
      <c r="K1110" t="s">
        <v>51</v>
      </c>
      <c r="L1110">
        <v>4</v>
      </c>
      <c r="M1110" t="str">
        <f>VLOOKUP(D1110,State_Lookup!$A$2:$B$28,2,FALSE)</f>
        <v>Piaui</v>
      </c>
    </row>
    <row r="1111" spans="1:13" x14ac:dyDescent="0.45">
      <c r="A1111" t="s">
        <v>1462</v>
      </c>
      <c r="B1111" t="s">
        <v>1461</v>
      </c>
      <c r="C1111" t="s">
        <v>1271</v>
      </c>
      <c r="D1111" t="s">
        <v>23</v>
      </c>
      <c r="E1111" t="s">
        <v>43</v>
      </c>
      <c r="F1111">
        <v>1</v>
      </c>
      <c r="G1111">
        <v>199.94</v>
      </c>
      <c r="H1111">
        <v>41.79</v>
      </c>
      <c r="I1111" t="s">
        <v>50</v>
      </c>
      <c r="J1111">
        <v>19</v>
      </c>
      <c r="K1111" t="s">
        <v>51</v>
      </c>
      <c r="L1111">
        <v>4</v>
      </c>
      <c r="M1111" t="str">
        <f>VLOOKUP(D1111,State_Lookup!$A$2:$B$28,2,FALSE)</f>
        <v>Espirito Santo</v>
      </c>
    </row>
    <row r="1112" spans="1:13" x14ac:dyDescent="0.45">
      <c r="A1112" t="s">
        <v>1463</v>
      </c>
      <c r="B1112" t="s">
        <v>1461</v>
      </c>
      <c r="C1112" t="s">
        <v>1271</v>
      </c>
      <c r="D1112" t="s">
        <v>16</v>
      </c>
      <c r="E1112" t="s">
        <v>110</v>
      </c>
      <c r="F1112">
        <v>1</v>
      </c>
      <c r="G1112">
        <v>164.9</v>
      </c>
      <c r="H1112">
        <v>12.36</v>
      </c>
      <c r="I1112" t="s">
        <v>50</v>
      </c>
      <c r="J1112">
        <v>9</v>
      </c>
      <c r="K1112" t="s">
        <v>51</v>
      </c>
      <c r="L1112">
        <v>5</v>
      </c>
      <c r="M1112" t="str">
        <f>VLOOKUP(D1112,State_Lookup!$A$2:$B$28,2,FALSE)</f>
        <v>Sao Paulo</v>
      </c>
    </row>
    <row r="1113" spans="1:13" x14ac:dyDescent="0.45">
      <c r="A1113" t="s">
        <v>1464</v>
      </c>
      <c r="B1113" t="s">
        <v>1461</v>
      </c>
      <c r="C1113" t="s">
        <v>1271</v>
      </c>
      <c r="D1113" t="s">
        <v>19</v>
      </c>
      <c r="E1113" t="s">
        <v>49</v>
      </c>
      <c r="F1113">
        <v>1</v>
      </c>
      <c r="G1113">
        <v>69.900000000000006</v>
      </c>
      <c r="H1113">
        <v>20.98</v>
      </c>
      <c r="I1113" t="s">
        <v>44</v>
      </c>
      <c r="J1113">
        <v>14</v>
      </c>
      <c r="K1113" t="s">
        <v>51</v>
      </c>
      <c r="L1113">
        <v>1</v>
      </c>
      <c r="M1113" t="str">
        <f>VLOOKUP(D1113,State_Lookup!$A$2:$B$28,2,FALSE)</f>
        <v>Rio Grande do Sul</v>
      </c>
    </row>
    <row r="1114" spans="1:13" x14ac:dyDescent="0.45">
      <c r="A1114" t="s">
        <v>1465</v>
      </c>
      <c r="B1114" t="s">
        <v>1461</v>
      </c>
      <c r="C1114" t="s">
        <v>1271</v>
      </c>
      <c r="D1114" t="s">
        <v>19</v>
      </c>
      <c r="E1114" t="s">
        <v>107</v>
      </c>
      <c r="F1114">
        <v>1</v>
      </c>
      <c r="G1114">
        <v>29.9</v>
      </c>
      <c r="H1114">
        <v>16.11</v>
      </c>
      <c r="I1114" t="s">
        <v>44</v>
      </c>
      <c r="J1114">
        <v>19</v>
      </c>
      <c r="K1114" t="s">
        <v>51</v>
      </c>
      <c r="L1114">
        <v>5</v>
      </c>
      <c r="M1114" t="str">
        <f>VLOOKUP(D1114,State_Lookup!$A$2:$B$28,2,FALSE)</f>
        <v>Rio Grande do Sul</v>
      </c>
    </row>
    <row r="1115" spans="1:13" x14ac:dyDescent="0.45">
      <c r="A1115" t="s">
        <v>1466</v>
      </c>
      <c r="B1115" t="s">
        <v>1467</v>
      </c>
      <c r="C1115" t="s">
        <v>1271</v>
      </c>
      <c r="D1115" t="s">
        <v>122</v>
      </c>
      <c r="E1115" t="s">
        <v>66</v>
      </c>
      <c r="F1115">
        <v>1</v>
      </c>
      <c r="G1115">
        <v>140</v>
      </c>
      <c r="H1115">
        <v>26.01</v>
      </c>
      <c r="I1115" t="s">
        <v>44</v>
      </c>
      <c r="J1115">
        <v>36</v>
      </c>
      <c r="K1115" t="s">
        <v>51</v>
      </c>
      <c r="L1115">
        <v>5</v>
      </c>
      <c r="M1115" t="str">
        <f>VLOOKUP(D1115,State_Lookup!$A$2:$B$28,2,FALSE)</f>
        <v>Para</v>
      </c>
    </row>
    <row r="1116" spans="1:13" x14ac:dyDescent="0.45">
      <c r="A1116" t="s">
        <v>1468</v>
      </c>
      <c r="B1116" t="s">
        <v>1467</v>
      </c>
      <c r="C1116" t="s">
        <v>1271</v>
      </c>
      <c r="D1116" t="s">
        <v>219</v>
      </c>
      <c r="E1116" t="s">
        <v>110</v>
      </c>
      <c r="F1116">
        <v>1</v>
      </c>
      <c r="G1116">
        <v>117.99</v>
      </c>
      <c r="H1116">
        <v>43.24</v>
      </c>
      <c r="I1116" t="s">
        <v>50</v>
      </c>
      <c r="J1116">
        <v>21</v>
      </c>
      <c r="K1116" t="s">
        <v>51</v>
      </c>
      <c r="L1116">
        <v>5</v>
      </c>
      <c r="M1116" t="str">
        <f>VLOOKUP(D1116,State_Lookup!$A$2:$B$28,2,FALSE)</f>
        <v>Rondonia</v>
      </c>
    </row>
    <row r="1117" spans="1:13" x14ac:dyDescent="0.45">
      <c r="A1117" t="s">
        <v>1469</v>
      </c>
      <c r="B1117" t="s">
        <v>1467</v>
      </c>
      <c r="C1117" t="s">
        <v>1271</v>
      </c>
      <c r="D1117" t="s">
        <v>16</v>
      </c>
      <c r="E1117" t="s">
        <v>43</v>
      </c>
      <c r="F1117">
        <v>1</v>
      </c>
      <c r="G1117">
        <v>49.9</v>
      </c>
      <c r="H1117">
        <v>11.85</v>
      </c>
      <c r="I1117" t="s">
        <v>50</v>
      </c>
      <c r="J1117">
        <v>4</v>
      </c>
      <c r="K1117" t="s">
        <v>51</v>
      </c>
      <c r="L1117">
        <v>5</v>
      </c>
      <c r="M1117" t="str">
        <f>VLOOKUP(D1117,State_Lookup!$A$2:$B$28,2,FALSE)</f>
        <v>Sao Paulo</v>
      </c>
    </row>
    <row r="1118" spans="1:13" x14ac:dyDescent="0.45">
      <c r="A1118" t="s">
        <v>1470</v>
      </c>
      <c r="B1118" t="s">
        <v>1467</v>
      </c>
      <c r="C1118" t="s">
        <v>1271</v>
      </c>
      <c r="D1118" t="s">
        <v>16</v>
      </c>
      <c r="E1118" t="s">
        <v>43</v>
      </c>
      <c r="F1118">
        <v>1</v>
      </c>
      <c r="G1118">
        <v>55</v>
      </c>
      <c r="H1118">
        <v>13.41</v>
      </c>
      <c r="I1118" t="s">
        <v>44</v>
      </c>
      <c r="J1118">
        <v>12</v>
      </c>
      <c r="K1118" t="s">
        <v>51</v>
      </c>
      <c r="L1118">
        <v>5</v>
      </c>
      <c r="M1118" t="str">
        <f>VLOOKUP(D1118,State_Lookup!$A$2:$B$28,2,FALSE)</f>
        <v>Sao Paulo</v>
      </c>
    </row>
    <row r="1119" spans="1:13" x14ac:dyDescent="0.45">
      <c r="A1119" t="s">
        <v>1471</v>
      </c>
      <c r="B1119" t="s">
        <v>1467</v>
      </c>
      <c r="C1119" t="s">
        <v>1271</v>
      </c>
      <c r="D1119" t="s">
        <v>17</v>
      </c>
      <c r="E1119" t="s">
        <v>110</v>
      </c>
      <c r="F1119">
        <v>1</v>
      </c>
      <c r="G1119">
        <v>99.99</v>
      </c>
      <c r="H1119">
        <v>25.54</v>
      </c>
      <c r="I1119" t="s">
        <v>44</v>
      </c>
      <c r="J1119">
        <v>12</v>
      </c>
      <c r="K1119" t="s">
        <v>51</v>
      </c>
      <c r="L1119">
        <v>5</v>
      </c>
      <c r="M1119" t="str">
        <f>VLOOKUP(D1119,State_Lookup!$A$2:$B$28,2,FALSE)</f>
        <v>Rio de Janeiro</v>
      </c>
    </row>
    <row r="1120" spans="1:13" x14ac:dyDescent="0.45">
      <c r="A1120" t="s">
        <v>1472</v>
      </c>
      <c r="B1120" t="s">
        <v>1467</v>
      </c>
      <c r="C1120" t="s">
        <v>1271</v>
      </c>
      <c r="D1120" t="s">
        <v>16</v>
      </c>
      <c r="E1120" t="s">
        <v>58</v>
      </c>
      <c r="F1120">
        <v>1</v>
      </c>
      <c r="G1120">
        <v>19.899999999999999</v>
      </c>
      <c r="H1120">
        <v>11.85</v>
      </c>
      <c r="I1120" t="s">
        <v>44</v>
      </c>
      <c r="J1120">
        <v>13</v>
      </c>
      <c r="K1120" t="s">
        <v>51</v>
      </c>
      <c r="L1120">
        <v>3</v>
      </c>
      <c r="M1120" t="str">
        <f>VLOOKUP(D1120,State_Lookup!$A$2:$B$28,2,FALSE)</f>
        <v>Sao Paulo</v>
      </c>
    </row>
    <row r="1121" spans="1:13" x14ac:dyDescent="0.45">
      <c r="A1121" t="s">
        <v>1473</v>
      </c>
      <c r="B1121" t="s">
        <v>1467</v>
      </c>
      <c r="C1121" t="s">
        <v>1271</v>
      </c>
      <c r="D1121" t="s">
        <v>16</v>
      </c>
      <c r="E1121" t="s">
        <v>142</v>
      </c>
      <c r="F1121">
        <v>2</v>
      </c>
      <c r="G1121">
        <v>56.7</v>
      </c>
      <c r="H1121">
        <v>70.75</v>
      </c>
      <c r="I1121" t="s">
        <v>44</v>
      </c>
      <c r="J1121">
        <v>4</v>
      </c>
      <c r="K1121" t="s">
        <v>51</v>
      </c>
      <c r="L1121">
        <v>1</v>
      </c>
      <c r="M1121" t="str">
        <f>VLOOKUP(D1121,State_Lookup!$A$2:$B$28,2,FALSE)</f>
        <v>Sao Paulo</v>
      </c>
    </row>
    <row r="1122" spans="1:13" x14ac:dyDescent="0.45">
      <c r="A1122" t="s">
        <v>1474</v>
      </c>
      <c r="B1122" t="s">
        <v>1475</v>
      </c>
      <c r="C1122" t="s">
        <v>1271</v>
      </c>
      <c r="D1122" t="s">
        <v>17</v>
      </c>
      <c r="E1122" t="s">
        <v>110</v>
      </c>
      <c r="F1122">
        <v>1</v>
      </c>
      <c r="G1122">
        <v>195</v>
      </c>
      <c r="H1122">
        <v>0</v>
      </c>
      <c r="I1122" t="s">
        <v>50</v>
      </c>
      <c r="J1122">
        <v>17</v>
      </c>
      <c r="K1122" t="s">
        <v>51</v>
      </c>
      <c r="L1122">
        <v>2</v>
      </c>
      <c r="M1122" t="str">
        <f>VLOOKUP(D1122,State_Lookup!$A$2:$B$28,2,FALSE)</f>
        <v>Rio de Janeiro</v>
      </c>
    </row>
    <row r="1123" spans="1:13" x14ac:dyDescent="0.45">
      <c r="A1123" t="s">
        <v>1476</v>
      </c>
      <c r="B1123" t="s">
        <v>1475</v>
      </c>
      <c r="C1123" t="s">
        <v>1271</v>
      </c>
      <c r="D1123" t="s">
        <v>17</v>
      </c>
      <c r="E1123" t="s">
        <v>142</v>
      </c>
      <c r="F1123">
        <v>1</v>
      </c>
      <c r="G1123">
        <v>34.9</v>
      </c>
      <c r="H1123">
        <v>14.1</v>
      </c>
      <c r="I1123" t="s">
        <v>50</v>
      </c>
      <c r="J1123">
        <v>12</v>
      </c>
      <c r="K1123" t="s">
        <v>51</v>
      </c>
      <c r="L1123">
        <v>5</v>
      </c>
      <c r="M1123" t="str">
        <f>VLOOKUP(D1123,State_Lookup!$A$2:$B$28,2,FALSE)</f>
        <v>Rio de Janeiro</v>
      </c>
    </row>
    <row r="1124" spans="1:13" x14ac:dyDescent="0.45">
      <c r="A1124" t="s">
        <v>1477</v>
      </c>
      <c r="B1124" t="s">
        <v>1475</v>
      </c>
      <c r="C1124" t="s">
        <v>1271</v>
      </c>
      <c r="D1124" t="s">
        <v>208</v>
      </c>
      <c r="E1124" t="s">
        <v>79</v>
      </c>
      <c r="F1124">
        <v>1</v>
      </c>
      <c r="G1124">
        <v>84.99</v>
      </c>
      <c r="H1124">
        <v>17.03</v>
      </c>
      <c r="I1124" t="s">
        <v>50</v>
      </c>
      <c r="J1124">
        <v>26</v>
      </c>
      <c r="K1124" t="s">
        <v>51</v>
      </c>
      <c r="L1124">
        <v>4</v>
      </c>
      <c r="M1124" t="str">
        <f>VLOOKUP(D1124,State_Lookup!$A$2:$B$28,2,FALSE)</f>
        <v>Mato Grosso</v>
      </c>
    </row>
    <row r="1125" spans="1:13" x14ac:dyDescent="0.45">
      <c r="A1125" t="s">
        <v>1478</v>
      </c>
      <c r="B1125" t="s">
        <v>1475</v>
      </c>
      <c r="C1125" t="s">
        <v>1271</v>
      </c>
      <c r="D1125" t="s">
        <v>16</v>
      </c>
      <c r="E1125" t="s">
        <v>110</v>
      </c>
      <c r="F1125">
        <v>1</v>
      </c>
      <c r="G1125">
        <v>105.6</v>
      </c>
      <c r="H1125">
        <v>13.08</v>
      </c>
      <c r="I1125" t="s">
        <v>50</v>
      </c>
      <c r="J1125">
        <v>19</v>
      </c>
      <c r="K1125" t="s">
        <v>51</v>
      </c>
      <c r="L1125">
        <v>5</v>
      </c>
      <c r="M1125" t="str">
        <f>VLOOKUP(D1125,State_Lookup!$A$2:$B$28,2,FALSE)</f>
        <v>Sao Paulo</v>
      </c>
    </row>
    <row r="1126" spans="1:13" x14ac:dyDescent="0.45">
      <c r="A1126" t="s">
        <v>1479</v>
      </c>
      <c r="B1126" t="s">
        <v>1475</v>
      </c>
      <c r="C1126" t="s">
        <v>1271</v>
      </c>
      <c r="D1126" t="s">
        <v>122</v>
      </c>
      <c r="E1126" t="s">
        <v>110</v>
      </c>
      <c r="F1126">
        <v>1</v>
      </c>
      <c r="G1126">
        <v>395</v>
      </c>
      <c r="H1126">
        <v>28.05</v>
      </c>
      <c r="I1126" t="s">
        <v>44</v>
      </c>
      <c r="J1126">
        <v>24</v>
      </c>
      <c r="K1126" t="s">
        <v>51</v>
      </c>
      <c r="L1126">
        <v>5</v>
      </c>
      <c r="M1126" t="str">
        <f>VLOOKUP(D1126,State_Lookup!$A$2:$B$28,2,FALSE)</f>
        <v>Para</v>
      </c>
    </row>
    <row r="1127" spans="1:13" x14ac:dyDescent="0.45">
      <c r="A1127" t="s">
        <v>1480</v>
      </c>
      <c r="B1127" t="s">
        <v>1475</v>
      </c>
      <c r="C1127" t="s">
        <v>1271</v>
      </c>
      <c r="D1127" t="s">
        <v>208</v>
      </c>
      <c r="E1127" t="s">
        <v>79</v>
      </c>
      <c r="F1127">
        <v>1</v>
      </c>
      <c r="G1127">
        <v>67.900000000000006</v>
      </c>
      <c r="H1127">
        <v>19.72</v>
      </c>
      <c r="I1127" t="s">
        <v>44</v>
      </c>
      <c r="J1127">
        <v>19</v>
      </c>
      <c r="K1127" t="s">
        <v>51</v>
      </c>
      <c r="L1127">
        <v>5</v>
      </c>
      <c r="M1127" t="str">
        <f>VLOOKUP(D1127,State_Lookup!$A$2:$B$28,2,FALSE)</f>
        <v>Mato Grosso</v>
      </c>
    </row>
    <row r="1128" spans="1:13" x14ac:dyDescent="0.45">
      <c r="A1128" t="s">
        <v>1481</v>
      </c>
      <c r="B1128" t="s">
        <v>1482</v>
      </c>
      <c r="C1128" t="s">
        <v>1271</v>
      </c>
      <c r="D1128" t="s">
        <v>22</v>
      </c>
      <c r="E1128" t="s">
        <v>64</v>
      </c>
      <c r="F1128">
        <v>1</v>
      </c>
      <c r="G1128">
        <v>129.9</v>
      </c>
      <c r="H1128">
        <v>23.78</v>
      </c>
      <c r="I1128" t="s">
        <v>44</v>
      </c>
      <c r="J1128">
        <v>13</v>
      </c>
      <c r="K1128" t="s">
        <v>51</v>
      </c>
      <c r="L1128">
        <v>5</v>
      </c>
      <c r="M1128" t="str">
        <f>VLOOKUP(D1128,State_Lookup!$A$2:$B$28,2,FALSE)</f>
        <v>Bahia</v>
      </c>
    </row>
    <row r="1129" spans="1:13" x14ac:dyDescent="0.45">
      <c r="A1129" t="s">
        <v>1483</v>
      </c>
      <c r="B1129" t="s">
        <v>1482</v>
      </c>
      <c r="C1129" t="s">
        <v>1271</v>
      </c>
      <c r="D1129" t="s">
        <v>141</v>
      </c>
      <c r="E1129" t="s">
        <v>662</v>
      </c>
      <c r="F1129">
        <v>1</v>
      </c>
      <c r="G1129">
        <v>599</v>
      </c>
      <c r="H1129">
        <v>66.87</v>
      </c>
      <c r="I1129" t="s">
        <v>44</v>
      </c>
      <c r="J1129">
        <v>17</v>
      </c>
      <c r="K1129" t="s">
        <v>51</v>
      </c>
      <c r="L1129">
        <v>5</v>
      </c>
      <c r="M1129" t="str">
        <f>VLOOKUP(D1129,State_Lookup!$A$2:$B$28,2,FALSE)</f>
        <v>Maranhao</v>
      </c>
    </row>
    <row r="1130" spans="1:13" x14ac:dyDescent="0.45">
      <c r="A1130" t="s">
        <v>1484</v>
      </c>
      <c r="B1130" t="s">
        <v>1482</v>
      </c>
      <c r="C1130" t="s">
        <v>1271</v>
      </c>
      <c r="D1130" t="s">
        <v>16</v>
      </c>
      <c r="E1130" t="s">
        <v>244</v>
      </c>
      <c r="F1130">
        <v>1</v>
      </c>
      <c r="G1130">
        <v>59.9</v>
      </c>
      <c r="H1130">
        <v>25.26</v>
      </c>
      <c r="I1130" t="s">
        <v>50</v>
      </c>
      <c r="J1130">
        <v>6</v>
      </c>
      <c r="K1130" t="s">
        <v>51</v>
      </c>
      <c r="L1130">
        <v>5</v>
      </c>
      <c r="M1130" t="str">
        <f>VLOOKUP(D1130,State_Lookup!$A$2:$B$28,2,FALSE)</f>
        <v>Sao Paulo</v>
      </c>
    </row>
    <row r="1131" spans="1:13" x14ac:dyDescent="0.45">
      <c r="A1131" t="s">
        <v>1485</v>
      </c>
      <c r="B1131" t="s">
        <v>1482</v>
      </c>
      <c r="C1131" t="s">
        <v>1271</v>
      </c>
      <c r="D1131" t="s">
        <v>16</v>
      </c>
      <c r="E1131" t="s">
        <v>148</v>
      </c>
      <c r="F1131">
        <v>1</v>
      </c>
      <c r="G1131">
        <v>129.99</v>
      </c>
      <c r="H1131">
        <v>12.11</v>
      </c>
      <c r="I1131" t="s">
        <v>44</v>
      </c>
      <c r="J1131">
        <v>5</v>
      </c>
      <c r="K1131" t="s">
        <v>51</v>
      </c>
      <c r="L1131">
        <v>4</v>
      </c>
      <c r="M1131" t="str">
        <f>VLOOKUP(D1131,State_Lookup!$A$2:$B$28,2,FALSE)</f>
        <v>Sao Paulo</v>
      </c>
    </row>
    <row r="1132" spans="1:13" x14ac:dyDescent="0.45">
      <c r="A1132" t="s">
        <v>1486</v>
      </c>
      <c r="B1132" t="s">
        <v>1482</v>
      </c>
      <c r="C1132" t="s">
        <v>1271</v>
      </c>
      <c r="D1132" t="s">
        <v>632</v>
      </c>
      <c r="E1132" t="s">
        <v>69</v>
      </c>
      <c r="F1132">
        <v>1</v>
      </c>
      <c r="G1132">
        <v>59.9</v>
      </c>
      <c r="H1132">
        <v>37.97</v>
      </c>
      <c r="I1132" t="s">
        <v>44</v>
      </c>
      <c r="J1132">
        <v>18</v>
      </c>
      <c r="K1132" t="s">
        <v>51</v>
      </c>
      <c r="L1132">
        <v>4</v>
      </c>
      <c r="M1132" t="str">
        <f>VLOOKUP(D1132,State_Lookup!$A$2:$B$28,2,FALSE)</f>
        <v>Alagoas</v>
      </c>
    </row>
    <row r="1133" spans="1:13" x14ac:dyDescent="0.45">
      <c r="A1133" t="s">
        <v>1487</v>
      </c>
      <c r="B1133" t="s">
        <v>1488</v>
      </c>
      <c r="C1133" t="s">
        <v>1271</v>
      </c>
      <c r="D1133" t="s">
        <v>16</v>
      </c>
      <c r="E1133" t="s">
        <v>199</v>
      </c>
      <c r="F1133">
        <v>1</v>
      </c>
      <c r="G1133">
        <v>39.9</v>
      </c>
      <c r="H1133">
        <v>14.1</v>
      </c>
      <c r="I1133" t="s">
        <v>133</v>
      </c>
      <c r="J1133">
        <v>7</v>
      </c>
      <c r="K1133" t="s">
        <v>51</v>
      </c>
      <c r="L1133">
        <v>5</v>
      </c>
      <c r="M1133" t="str">
        <f>VLOOKUP(D1133,State_Lookup!$A$2:$B$28,2,FALSE)</f>
        <v>Sao Paulo</v>
      </c>
    </row>
    <row r="1134" spans="1:13" x14ac:dyDescent="0.45">
      <c r="A1134" t="s">
        <v>1489</v>
      </c>
      <c r="B1134" t="s">
        <v>1488</v>
      </c>
      <c r="C1134" t="s">
        <v>1271</v>
      </c>
      <c r="D1134" t="s">
        <v>22</v>
      </c>
      <c r="E1134" t="s">
        <v>148</v>
      </c>
      <c r="F1134">
        <v>1</v>
      </c>
      <c r="G1134">
        <v>599</v>
      </c>
      <c r="H1134">
        <v>72.34</v>
      </c>
      <c r="I1134" t="s">
        <v>44</v>
      </c>
      <c r="J1134">
        <v>24</v>
      </c>
      <c r="K1134" t="s">
        <v>51</v>
      </c>
      <c r="L1134">
        <v>5</v>
      </c>
      <c r="M1134" t="str">
        <f>VLOOKUP(D1134,State_Lookup!$A$2:$B$28,2,FALSE)</f>
        <v>Bahia</v>
      </c>
    </row>
    <row r="1135" spans="1:13" x14ac:dyDescent="0.45">
      <c r="A1135" t="s">
        <v>1490</v>
      </c>
      <c r="B1135" t="s">
        <v>1488</v>
      </c>
      <c r="C1135" t="s">
        <v>1271</v>
      </c>
      <c r="D1135" t="s">
        <v>18</v>
      </c>
      <c r="E1135" t="s">
        <v>110</v>
      </c>
      <c r="F1135">
        <v>1</v>
      </c>
      <c r="G1135">
        <v>67.099999999999994</v>
      </c>
      <c r="H1135">
        <v>15.22</v>
      </c>
      <c r="I1135" t="s">
        <v>50</v>
      </c>
      <c r="J1135">
        <v>15</v>
      </c>
      <c r="K1135" t="s">
        <v>51</v>
      </c>
      <c r="L1135">
        <v>3</v>
      </c>
      <c r="M1135" t="str">
        <f>VLOOKUP(D1135,State_Lookup!$A$2:$B$28,2,FALSE)</f>
        <v>Minas Gerais</v>
      </c>
    </row>
    <row r="1136" spans="1:13" x14ac:dyDescent="0.45">
      <c r="A1136" t="s">
        <v>1491</v>
      </c>
      <c r="B1136" t="s">
        <v>1488</v>
      </c>
      <c r="C1136" t="s">
        <v>1271</v>
      </c>
      <c r="D1136" t="s">
        <v>21</v>
      </c>
      <c r="E1136" t="s">
        <v>49</v>
      </c>
      <c r="F1136">
        <v>1</v>
      </c>
      <c r="G1136">
        <v>645</v>
      </c>
      <c r="H1136">
        <v>19.260000000000002</v>
      </c>
      <c r="I1136" t="s">
        <v>44</v>
      </c>
      <c r="J1136">
        <v>24</v>
      </c>
      <c r="K1136" t="s">
        <v>51</v>
      </c>
      <c r="L1136">
        <v>3</v>
      </c>
      <c r="M1136" t="str">
        <f>VLOOKUP(D1136,State_Lookup!$A$2:$B$28,2,FALSE)</f>
        <v>Santa Catarina</v>
      </c>
    </row>
    <row r="1137" spans="1:13" x14ac:dyDescent="0.45">
      <c r="A1137" t="s">
        <v>1492</v>
      </c>
      <c r="B1137" t="s">
        <v>1488</v>
      </c>
      <c r="C1137" t="s">
        <v>1271</v>
      </c>
      <c r="D1137" t="s">
        <v>17</v>
      </c>
      <c r="E1137" t="s">
        <v>43</v>
      </c>
      <c r="F1137">
        <v>1</v>
      </c>
      <c r="G1137">
        <v>160</v>
      </c>
      <c r="H1137">
        <v>14.87</v>
      </c>
      <c r="I1137" t="s">
        <v>44</v>
      </c>
      <c r="J1137">
        <v>15</v>
      </c>
      <c r="K1137" t="s">
        <v>51</v>
      </c>
      <c r="L1137">
        <v>2</v>
      </c>
      <c r="M1137" t="str">
        <f>VLOOKUP(D1137,State_Lookup!$A$2:$B$28,2,FALSE)</f>
        <v>Rio de Janeiro</v>
      </c>
    </row>
    <row r="1138" spans="1:13" x14ac:dyDescent="0.45">
      <c r="A1138" t="s">
        <v>1493</v>
      </c>
      <c r="B1138" t="s">
        <v>1488</v>
      </c>
      <c r="C1138" t="s">
        <v>1271</v>
      </c>
      <c r="D1138" t="s">
        <v>18</v>
      </c>
      <c r="E1138" t="s">
        <v>53</v>
      </c>
      <c r="F1138">
        <v>1</v>
      </c>
      <c r="G1138">
        <v>156.9</v>
      </c>
      <c r="H1138">
        <v>14.12</v>
      </c>
      <c r="I1138" t="s">
        <v>44</v>
      </c>
      <c r="J1138">
        <v>5</v>
      </c>
      <c r="K1138" t="s">
        <v>51</v>
      </c>
      <c r="L1138">
        <v>5</v>
      </c>
      <c r="M1138" t="str">
        <f>VLOOKUP(D1138,State_Lookup!$A$2:$B$28,2,FALSE)</f>
        <v>Minas Gerais</v>
      </c>
    </row>
    <row r="1139" spans="1:13" x14ac:dyDescent="0.45">
      <c r="A1139" t="s">
        <v>1494</v>
      </c>
      <c r="B1139" t="s">
        <v>1488</v>
      </c>
      <c r="C1139" t="s">
        <v>1271</v>
      </c>
      <c r="D1139" t="s">
        <v>18</v>
      </c>
      <c r="E1139" t="s">
        <v>192</v>
      </c>
      <c r="F1139">
        <v>1</v>
      </c>
      <c r="G1139">
        <v>36.799999999999997</v>
      </c>
      <c r="H1139">
        <v>16.600000000000001</v>
      </c>
      <c r="I1139" t="s">
        <v>44</v>
      </c>
      <c r="J1139">
        <v>13</v>
      </c>
      <c r="K1139" t="s">
        <v>51</v>
      </c>
      <c r="L1139">
        <v>3</v>
      </c>
      <c r="M1139" t="str">
        <f>VLOOKUP(D1139,State_Lookup!$A$2:$B$28,2,FALSE)</f>
        <v>Minas Gerais</v>
      </c>
    </row>
    <row r="1140" spans="1:13" x14ac:dyDescent="0.45">
      <c r="A1140" t="s">
        <v>1495</v>
      </c>
      <c r="B1140" t="s">
        <v>1488</v>
      </c>
      <c r="C1140" t="s">
        <v>1271</v>
      </c>
      <c r="D1140" t="s">
        <v>17</v>
      </c>
      <c r="E1140" t="s">
        <v>69</v>
      </c>
      <c r="F1140">
        <v>2</v>
      </c>
      <c r="G1140">
        <v>119.8</v>
      </c>
      <c r="H1140">
        <v>35.340000000000003</v>
      </c>
      <c r="I1140" t="s">
        <v>44</v>
      </c>
      <c r="J1140">
        <v>9</v>
      </c>
      <c r="K1140" t="s">
        <v>51</v>
      </c>
      <c r="L1140">
        <v>5</v>
      </c>
      <c r="M1140" t="str">
        <f>VLOOKUP(D1140,State_Lookup!$A$2:$B$28,2,FALSE)</f>
        <v>Rio de Janeiro</v>
      </c>
    </row>
    <row r="1141" spans="1:13" x14ac:dyDescent="0.45">
      <c r="A1141" t="s">
        <v>1496</v>
      </c>
      <c r="B1141" t="s">
        <v>1497</v>
      </c>
      <c r="C1141" t="s">
        <v>1271</v>
      </c>
      <c r="D1141" t="s">
        <v>63</v>
      </c>
      <c r="E1141" t="s">
        <v>192</v>
      </c>
      <c r="F1141">
        <v>1</v>
      </c>
      <c r="G1141">
        <v>74.900000000000006</v>
      </c>
      <c r="H1141">
        <v>25.8</v>
      </c>
      <c r="I1141" t="s">
        <v>44</v>
      </c>
      <c r="J1141">
        <v>7</v>
      </c>
      <c r="K1141" t="s">
        <v>51</v>
      </c>
      <c r="L1141">
        <v>3</v>
      </c>
      <c r="M1141" t="str">
        <f>VLOOKUP(D1141,State_Lookup!$A$2:$B$28,2,FALSE)</f>
        <v>Pernambuco</v>
      </c>
    </row>
    <row r="1142" spans="1:13" x14ac:dyDescent="0.45">
      <c r="A1142" t="s">
        <v>1498</v>
      </c>
      <c r="B1142" t="s">
        <v>1497</v>
      </c>
      <c r="C1142" t="s">
        <v>1271</v>
      </c>
      <c r="D1142" t="s">
        <v>16</v>
      </c>
      <c r="E1142" t="s">
        <v>1499</v>
      </c>
      <c r="F1142">
        <v>1</v>
      </c>
      <c r="G1142">
        <v>139</v>
      </c>
      <c r="H1142">
        <v>21.46</v>
      </c>
      <c r="I1142" t="s">
        <v>44</v>
      </c>
      <c r="J1142">
        <v>8</v>
      </c>
      <c r="K1142" t="s">
        <v>51</v>
      </c>
      <c r="L1142">
        <v>5</v>
      </c>
      <c r="M1142" t="str">
        <f>VLOOKUP(D1142,State_Lookup!$A$2:$B$28,2,FALSE)</f>
        <v>Sao Paulo</v>
      </c>
    </row>
    <row r="1143" spans="1:13" x14ac:dyDescent="0.45">
      <c r="A1143" t="s">
        <v>1500</v>
      </c>
      <c r="B1143" t="s">
        <v>1497</v>
      </c>
      <c r="C1143" t="s">
        <v>1271</v>
      </c>
      <c r="D1143" t="s">
        <v>16</v>
      </c>
      <c r="E1143" t="s">
        <v>61</v>
      </c>
      <c r="F1143">
        <v>2</v>
      </c>
      <c r="G1143">
        <v>39.979999999999997</v>
      </c>
      <c r="H1143">
        <v>17.440000000000001</v>
      </c>
      <c r="I1143" t="s">
        <v>44</v>
      </c>
      <c r="J1143">
        <v>1</v>
      </c>
      <c r="K1143" t="s">
        <v>51</v>
      </c>
      <c r="L1143">
        <v>5</v>
      </c>
      <c r="M1143" t="str">
        <f>VLOOKUP(D1143,State_Lookup!$A$2:$B$28,2,FALSE)</f>
        <v>Sao Paulo</v>
      </c>
    </row>
    <row r="1144" spans="1:13" x14ac:dyDescent="0.45">
      <c r="A1144" t="s">
        <v>1501</v>
      </c>
      <c r="B1144" t="s">
        <v>1497</v>
      </c>
      <c r="C1144" t="s">
        <v>1271</v>
      </c>
      <c r="D1144" t="s">
        <v>17</v>
      </c>
      <c r="E1144" t="s">
        <v>220</v>
      </c>
      <c r="F1144">
        <v>1</v>
      </c>
      <c r="G1144">
        <v>135.9</v>
      </c>
      <c r="H1144">
        <v>25.79</v>
      </c>
      <c r="I1144" t="s">
        <v>50</v>
      </c>
      <c r="J1144">
        <v>9</v>
      </c>
      <c r="K1144" t="s">
        <v>51</v>
      </c>
      <c r="L1144">
        <v>5</v>
      </c>
      <c r="M1144" t="str">
        <f>VLOOKUP(D1144,State_Lookup!$A$2:$B$28,2,FALSE)</f>
        <v>Rio de Janeiro</v>
      </c>
    </row>
    <row r="1145" spans="1:13" x14ac:dyDescent="0.45">
      <c r="A1145" t="s">
        <v>1502</v>
      </c>
      <c r="B1145" t="s">
        <v>1497</v>
      </c>
      <c r="C1145" t="s">
        <v>1271</v>
      </c>
      <c r="D1145" t="s">
        <v>16</v>
      </c>
      <c r="E1145" t="s">
        <v>66</v>
      </c>
      <c r="F1145">
        <v>1</v>
      </c>
      <c r="G1145">
        <v>39.9</v>
      </c>
      <c r="H1145">
        <v>15.1</v>
      </c>
      <c r="I1145" t="s">
        <v>44</v>
      </c>
      <c r="J1145">
        <v>3</v>
      </c>
      <c r="K1145" t="s">
        <v>51</v>
      </c>
      <c r="L1145">
        <v>5</v>
      </c>
      <c r="M1145" t="str">
        <f>VLOOKUP(D1145,State_Lookup!$A$2:$B$28,2,FALSE)</f>
        <v>Sao Paulo</v>
      </c>
    </row>
    <row r="1146" spans="1:13" x14ac:dyDescent="0.45">
      <c r="A1146" t="s">
        <v>1503</v>
      </c>
      <c r="B1146" t="s">
        <v>1497</v>
      </c>
      <c r="C1146" t="s">
        <v>1271</v>
      </c>
      <c r="D1146" t="s">
        <v>16</v>
      </c>
      <c r="E1146" t="s">
        <v>43</v>
      </c>
      <c r="F1146">
        <v>1</v>
      </c>
      <c r="G1146">
        <v>45.9</v>
      </c>
      <c r="H1146">
        <v>12.69</v>
      </c>
      <c r="I1146" t="s">
        <v>44</v>
      </c>
      <c r="J1146">
        <v>8</v>
      </c>
      <c r="K1146" t="s">
        <v>51</v>
      </c>
      <c r="M1146" t="str">
        <f>VLOOKUP(D1146,State_Lookup!$A$2:$B$28,2,FALSE)</f>
        <v>Sao Paulo</v>
      </c>
    </row>
    <row r="1147" spans="1:13" x14ac:dyDescent="0.45">
      <c r="A1147" t="s">
        <v>1504</v>
      </c>
      <c r="B1147" t="s">
        <v>1497</v>
      </c>
      <c r="C1147" t="s">
        <v>1271</v>
      </c>
      <c r="D1147" t="s">
        <v>17</v>
      </c>
      <c r="E1147" t="s">
        <v>69</v>
      </c>
      <c r="F1147">
        <v>2</v>
      </c>
      <c r="G1147">
        <v>119.8</v>
      </c>
      <c r="H1147">
        <v>35.340000000000003</v>
      </c>
      <c r="I1147" t="s">
        <v>44</v>
      </c>
      <c r="J1147">
        <v>8</v>
      </c>
      <c r="K1147" t="s">
        <v>51</v>
      </c>
      <c r="L1147">
        <v>5</v>
      </c>
      <c r="M1147" t="str">
        <f>VLOOKUP(D1147,State_Lookup!$A$2:$B$28,2,FALSE)</f>
        <v>Rio de Janeiro</v>
      </c>
    </row>
    <row r="1148" spans="1:13" x14ac:dyDescent="0.45">
      <c r="A1148" t="s">
        <v>1505</v>
      </c>
      <c r="B1148" t="s">
        <v>1497</v>
      </c>
      <c r="C1148" t="s">
        <v>1271</v>
      </c>
      <c r="D1148" t="s">
        <v>194</v>
      </c>
      <c r="E1148" t="s">
        <v>148</v>
      </c>
      <c r="F1148">
        <v>1</v>
      </c>
      <c r="G1148">
        <v>99.99</v>
      </c>
      <c r="H1148">
        <v>16.95</v>
      </c>
      <c r="I1148" t="s">
        <v>44</v>
      </c>
      <c r="J1148">
        <v>7</v>
      </c>
      <c r="K1148" t="s">
        <v>51</v>
      </c>
      <c r="L1148">
        <v>3</v>
      </c>
      <c r="M1148" t="str">
        <f>VLOOKUP(D1148,State_Lookup!$A$2:$B$28,2,FALSE)</f>
        <v>Mato Grosso do Sul</v>
      </c>
    </row>
    <row r="1149" spans="1:13" x14ac:dyDescent="0.45">
      <c r="A1149" t="s">
        <v>1506</v>
      </c>
      <c r="B1149" t="s">
        <v>1497</v>
      </c>
      <c r="C1149" t="s">
        <v>1271</v>
      </c>
      <c r="D1149" t="s">
        <v>21</v>
      </c>
      <c r="E1149" t="s">
        <v>64</v>
      </c>
      <c r="F1149">
        <v>1</v>
      </c>
      <c r="G1149">
        <v>15.9</v>
      </c>
      <c r="H1149">
        <v>15.1</v>
      </c>
      <c r="I1149" t="s">
        <v>50</v>
      </c>
      <c r="J1149">
        <v>11</v>
      </c>
      <c r="K1149" t="s">
        <v>51</v>
      </c>
      <c r="L1149">
        <v>3</v>
      </c>
      <c r="M1149" t="str">
        <f>VLOOKUP(D1149,State_Lookup!$A$2:$B$28,2,FALSE)</f>
        <v>Santa Catarina</v>
      </c>
    </row>
    <row r="1150" spans="1:13" x14ac:dyDescent="0.45">
      <c r="A1150" t="s">
        <v>1507</v>
      </c>
      <c r="B1150" t="s">
        <v>1497</v>
      </c>
      <c r="C1150" t="s">
        <v>1271</v>
      </c>
      <c r="D1150" t="s">
        <v>20</v>
      </c>
      <c r="E1150" t="s">
        <v>49</v>
      </c>
      <c r="F1150">
        <v>1</v>
      </c>
      <c r="G1150">
        <v>139.9</v>
      </c>
      <c r="H1150">
        <v>17.420000000000002</v>
      </c>
      <c r="I1150" t="s">
        <v>44</v>
      </c>
      <c r="J1150">
        <v>14</v>
      </c>
      <c r="K1150" t="s">
        <v>51</v>
      </c>
      <c r="L1150">
        <v>5</v>
      </c>
      <c r="M1150" t="str">
        <f>VLOOKUP(D1150,State_Lookup!$A$2:$B$28,2,FALSE)</f>
        <v>Parana</v>
      </c>
    </row>
    <row r="1151" spans="1:13" x14ac:dyDescent="0.45">
      <c r="A1151" t="s">
        <v>1508</v>
      </c>
      <c r="B1151" t="s">
        <v>1497</v>
      </c>
      <c r="C1151" t="s">
        <v>1271</v>
      </c>
      <c r="D1151" t="s">
        <v>16</v>
      </c>
      <c r="E1151" t="s">
        <v>148</v>
      </c>
      <c r="F1151">
        <v>1</v>
      </c>
      <c r="G1151">
        <v>69.989999999999995</v>
      </c>
      <c r="H1151">
        <v>13.51</v>
      </c>
      <c r="I1151" t="s">
        <v>44</v>
      </c>
      <c r="J1151">
        <v>4</v>
      </c>
      <c r="K1151" t="s">
        <v>51</v>
      </c>
      <c r="L1151">
        <v>4</v>
      </c>
      <c r="M1151" t="str">
        <f>VLOOKUP(D1151,State_Lookup!$A$2:$B$28,2,FALSE)</f>
        <v>Sao Paulo</v>
      </c>
    </row>
    <row r="1152" spans="1:13" x14ac:dyDescent="0.45">
      <c r="A1152" t="s">
        <v>1509</v>
      </c>
      <c r="B1152" t="s">
        <v>1497</v>
      </c>
      <c r="C1152" t="s">
        <v>1271</v>
      </c>
      <c r="D1152" t="s">
        <v>22</v>
      </c>
      <c r="E1152" t="s">
        <v>79</v>
      </c>
      <c r="F1152">
        <v>1</v>
      </c>
      <c r="G1152">
        <v>23.99</v>
      </c>
      <c r="H1152">
        <v>16.79</v>
      </c>
      <c r="I1152" t="s">
        <v>44</v>
      </c>
      <c r="J1152">
        <v>8</v>
      </c>
      <c r="K1152" t="s">
        <v>51</v>
      </c>
      <c r="L1152">
        <v>5</v>
      </c>
      <c r="M1152" t="str">
        <f>VLOOKUP(D1152,State_Lookup!$A$2:$B$28,2,FALSE)</f>
        <v>Bahia</v>
      </c>
    </row>
    <row r="1153" spans="1:13" x14ac:dyDescent="0.45">
      <c r="A1153" t="s">
        <v>1510</v>
      </c>
      <c r="B1153" t="s">
        <v>1497</v>
      </c>
      <c r="C1153" t="s">
        <v>1271</v>
      </c>
      <c r="D1153" t="s">
        <v>18</v>
      </c>
      <c r="E1153" t="s">
        <v>142</v>
      </c>
      <c r="F1153">
        <v>1</v>
      </c>
      <c r="G1153">
        <v>89.9</v>
      </c>
      <c r="H1153">
        <v>16.39</v>
      </c>
      <c r="I1153" t="s">
        <v>44</v>
      </c>
      <c r="J1153">
        <v>8</v>
      </c>
      <c r="K1153" t="s">
        <v>51</v>
      </c>
      <c r="L1153">
        <v>5</v>
      </c>
      <c r="M1153" t="str">
        <f>VLOOKUP(D1153,State_Lookup!$A$2:$B$28,2,FALSE)</f>
        <v>Minas Gerais</v>
      </c>
    </row>
    <row r="1154" spans="1:13" x14ac:dyDescent="0.45">
      <c r="A1154" t="s">
        <v>1511</v>
      </c>
      <c r="B1154" t="s">
        <v>1497</v>
      </c>
      <c r="C1154" t="s">
        <v>1271</v>
      </c>
      <c r="D1154" t="s">
        <v>21</v>
      </c>
      <c r="E1154" t="s">
        <v>79</v>
      </c>
      <c r="F1154">
        <v>1</v>
      </c>
      <c r="G1154">
        <v>76.989999999999995</v>
      </c>
      <c r="H1154">
        <v>14.29</v>
      </c>
      <c r="I1154" t="s">
        <v>44</v>
      </c>
      <c r="J1154">
        <v>17</v>
      </c>
      <c r="K1154" t="s">
        <v>51</v>
      </c>
      <c r="L1154">
        <v>5</v>
      </c>
      <c r="M1154" t="str">
        <f>VLOOKUP(D1154,State_Lookup!$A$2:$B$28,2,FALSE)</f>
        <v>Santa Catarina</v>
      </c>
    </row>
    <row r="1155" spans="1:13" x14ac:dyDescent="0.45">
      <c r="A1155" t="s">
        <v>1512</v>
      </c>
      <c r="B1155" t="s">
        <v>1497</v>
      </c>
      <c r="C1155" t="s">
        <v>1271</v>
      </c>
      <c r="D1155" t="s">
        <v>16</v>
      </c>
      <c r="E1155" t="s">
        <v>110</v>
      </c>
      <c r="F1155">
        <v>1</v>
      </c>
      <c r="G1155">
        <v>24.9</v>
      </c>
      <c r="H1155">
        <v>11.85</v>
      </c>
      <c r="I1155" t="s">
        <v>44</v>
      </c>
      <c r="J1155">
        <v>9</v>
      </c>
      <c r="K1155" t="s">
        <v>51</v>
      </c>
      <c r="L1155">
        <v>5</v>
      </c>
      <c r="M1155" t="str">
        <f>VLOOKUP(D1155,State_Lookup!$A$2:$B$28,2,FALSE)</f>
        <v>Sao Paulo</v>
      </c>
    </row>
    <row r="1156" spans="1:13" x14ac:dyDescent="0.45">
      <c r="A1156" t="s">
        <v>1513</v>
      </c>
      <c r="B1156" t="s">
        <v>1497</v>
      </c>
      <c r="C1156" t="s">
        <v>1271</v>
      </c>
      <c r="D1156" t="s">
        <v>17</v>
      </c>
      <c r="E1156" t="s">
        <v>148</v>
      </c>
      <c r="F1156">
        <v>1</v>
      </c>
      <c r="G1156">
        <v>610</v>
      </c>
      <c r="H1156">
        <v>65.010000000000005</v>
      </c>
      <c r="I1156" t="s">
        <v>44</v>
      </c>
      <c r="J1156">
        <v>16</v>
      </c>
      <c r="K1156" t="s">
        <v>51</v>
      </c>
      <c r="L1156">
        <v>5</v>
      </c>
      <c r="M1156" t="str">
        <f>VLOOKUP(D1156,State_Lookup!$A$2:$B$28,2,FALSE)</f>
        <v>Rio de Janeiro</v>
      </c>
    </row>
    <row r="1157" spans="1:13" x14ac:dyDescent="0.45">
      <c r="A1157" t="s">
        <v>1514</v>
      </c>
      <c r="B1157" t="s">
        <v>1515</v>
      </c>
      <c r="C1157" t="s">
        <v>1271</v>
      </c>
      <c r="D1157" t="s">
        <v>16</v>
      </c>
      <c r="E1157" t="s">
        <v>79</v>
      </c>
      <c r="F1157">
        <v>1</v>
      </c>
      <c r="G1157">
        <v>150</v>
      </c>
      <c r="H1157">
        <v>8.7899999999999991</v>
      </c>
      <c r="I1157" t="s">
        <v>44</v>
      </c>
      <c r="J1157">
        <v>3</v>
      </c>
      <c r="K1157" t="s">
        <v>51</v>
      </c>
      <c r="L1157">
        <v>4</v>
      </c>
      <c r="M1157" t="str">
        <f>VLOOKUP(D1157,State_Lookup!$A$2:$B$28,2,FALSE)</f>
        <v>Sao Paulo</v>
      </c>
    </row>
    <row r="1158" spans="1:13" x14ac:dyDescent="0.45">
      <c r="A1158" t="s">
        <v>1516</v>
      </c>
      <c r="B1158" t="s">
        <v>1515</v>
      </c>
      <c r="C1158" t="s">
        <v>1271</v>
      </c>
      <c r="D1158" t="s">
        <v>16</v>
      </c>
      <c r="E1158" t="s">
        <v>43</v>
      </c>
      <c r="F1158">
        <v>1</v>
      </c>
      <c r="G1158">
        <v>249.9</v>
      </c>
      <c r="H1158">
        <v>62.49</v>
      </c>
      <c r="I1158" t="s">
        <v>44</v>
      </c>
      <c r="J1158">
        <v>13</v>
      </c>
      <c r="K1158" t="s">
        <v>51</v>
      </c>
      <c r="L1158">
        <v>5</v>
      </c>
      <c r="M1158" t="str">
        <f>VLOOKUP(D1158,State_Lookup!$A$2:$B$28,2,FALSE)</f>
        <v>Sao Paulo</v>
      </c>
    </row>
    <row r="1159" spans="1:13" x14ac:dyDescent="0.45">
      <c r="A1159" t="s">
        <v>1517</v>
      </c>
      <c r="B1159" t="s">
        <v>1515</v>
      </c>
      <c r="C1159" t="s">
        <v>1271</v>
      </c>
      <c r="D1159" t="s">
        <v>20</v>
      </c>
      <c r="E1159" t="s">
        <v>118</v>
      </c>
      <c r="F1159">
        <v>1</v>
      </c>
      <c r="G1159">
        <v>84.9</v>
      </c>
      <c r="H1159">
        <v>17.84</v>
      </c>
      <c r="I1159" t="s">
        <v>50</v>
      </c>
      <c r="J1159">
        <v>28</v>
      </c>
      <c r="K1159" t="s">
        <v>51</v>
      </c>
      <c r="L1159">
        <v>4</v>
      </c>
      <c r="M1159" t="str">
        <f>VLOOKUP(D1159,State_Lookup!$A$2:$B$28,2,FALSE)</f>
        <v>Parana</v>
      </c>
    </row>
    <row r="1160" spans="1:13" x14ac:dyDescent="0.45">
      <c r="A1160" t="s">
        <v>1518</v>
      </c>
      <c r="B1160" t="s">
        <v>1515</v>
      </c>
      <c r="C1160" t="s">
        <v>1271</v>
      </c>
      <c r="D1160" t="s">
        <v>16</v>
      </c>
      <c r="E1160" t="s">
        <v>125</v>
      </c>
      <c r="F1160">
        <v>1</v>
      </c>
      <c r="G1160">
        <v>18.899999999999999</v>
      </c>
      <c r="H1160">
        <v>12.48</v>
      </c>
      <c r="I1160" t="s">
        <v>44</v>
      </c>
      <c r="J1160">
        <v>14</v>
      </c>
      <c r="K1160" t="s">
        <v>51</v>
      </c>
      <c r="L1160">
        <v>4</v>
      </c>
      <c r="M1160" t="str">
        <f>VLOOKUP(D1160,State_Lookup!$A$2:$B$28,2,FALSE)</f>
        <v>Sao Paulo</v>
      </c>
    </row>
    <row r="1161" spans="1:13" x14ac:dyDescent="0.45">
      <c r="A1161" t="s">
        <v>1519</v>
      </c>
      <c r="B1161" t="s">
        <v>1520</v>
      </c>
      <c r="C1161" t="s">
        <v>1271</v>
      </c>
      <c r="D1161" t="s">
        <v>16</v>
      </c>
      <c r="E1161" t="s">
        <v>103</v>
      </c>
      <c r="F1161">
        <v>1</v>
      </c>
      <c r="G1161">
        <v>29.99</v>
      </c>
      <c r="H1161">
        <v>16.79</v>
      </c>
      <c r="I1161" t="s">
        <v>44</v>
      </c>
      <c r="J1161">
        <v>7</v>
      </c>
      <c r="K1161" t="s">
        <v>51</v>
      </c>
      <c r="L1161">
        <v>5</v>
      </c>
      <c r="M1161" t="str">
        <f>VLOOKUP(D1161,State_Lookup!$A$2:$B$28,2,FALSE)</f>
        <v>Sao Paulo</v>
      </c>
    </row>
    <row r="1162" spans="1:13" x14ac:dyDescent="0.45">
      <c r="A1162" t="s">
        <v>1521</v>
      </c>
      <c r="B1162" t="s">
        <v>1520</v>
      </c>
      <c r="C1162" t="s">
        <v>1271</v>
      </c>
      <c r="D1162" t="s">
        <v>16</v>
      </c>
      <c r="E1162" t="s">
        <v>148</v>
      </c>
      <c r="F1162">
        <v>2</v>
      </c>
      <c r="G1162">
        <v>77.8</v>
      </c>
      <c r="H1162">
        <v>30.2</v>
      </c>
      <c r="I1162" t="s">
        <v>44</v>
      </c>
      <c r="J1162">
        <v>16</v>
      </c>
      <c r="K1162" t="s">
        <v>51</v>
      </c>
      <c r="L1162">
        <v>5</v>
      </c>
      <c r="M1162" t="str">
        <f>VLOOKUP(D1162,State_Lookup!$A$2:$B$28,2,FALSE)</f>
        <v>Sao Paulo</v>
      </c>
    </row>
    <row r="1163" spans="1:13" x14ac:dyDescent="0.45">
      <c r="A1163" t="s">
        <v>1522</v>
      </c>
      <c r="B1163" t="s">
        <v>1520</v>
      </c>
      <c r="C1163" t="s">
        <v>1271</v>
      </c>
      <c r="D1163" t="s">
        <v>208</v>
      </c>
      <c r="E1163" t="s">
        <v>69</v>
      </c>
      <c r="F1163">
        <v>1</v>
      </c>
      <c r="G1163">
        <v>59.9</v>
      </c>
      <c r="H1163">
        <v>19.66</v>
      </c>
      <c r="I1163" t="s">
        <v>44</v>
      </c>
      <c r="J1163">
        <v>14</v>
      </c>
      <c r="K1163" t="s">
        <v>51</v>
      </c>
      <c r="L1163">
        <v>4</v>
      </c>
      <c r="M1163" t="str">
        <f>VLOOKUP(D1163,State_Lookup!$A$2:$B$28,2,FALSE)</f>
        <v>Mato Grosso</v>
      </c>
    </row>
    <row r="1164" spans="1:13" x14ac:dyDescent="0.45">
      <c r="A1164" t="s">
        <v>1523</v>
      </c>
      <c r="B1164" t="s">
        <v>1520</v>
      </c>
      <c r="C1164" t="s">
        <v>1271</v>
      </c>
      <c r="D1164" t="s">
        <v>16</v>
      </c>
      <c r="E1164" t="s">
        <v>79</v>
      </c>
      <c r="F1164">
        <v>1</v>
      </c>
      <c r="G1164">
        <v>15.48</v>
      </c>
      <c r="H1164">
        <v>11.85</v>
      </c>
      <c r="I1164" t="s">
        <v>44</v>
      </c>
      <c r="J1164">
        <v>5</v>
      </c>
      <c r="K1164" t="s">
        <v>51</v>
      </c>
      <c r="L1164">
        <v>5</v>
      </c>
      <c r="M1164" t="str">
        <f>VLOOKUP(D1164,State_Lookup!$A$2:$B$28,2,FALSE)</f>
        <v>Sao Paulo</v>
      </c>
    </row>
    <row r="1165" spans="1:13" x14ac:dyDescent="0.45">
      <c r="A1165" t="s">
        <v>1524</v>
      </c>
      <c r="B1165" t="s">
        <v>1520</v>
      </c>
      <c r="C1165" t="s">
        <v>1271</v>
      </c>
      <c r="D1165" t="s">
        <v>16</v>
      </c>
      <c r="E1165" t="s">
        <v>107</v>
      </c>
      <c r="F1165">
        <v>1</v>
      </c>
      <c r="G1165">
        <v>117.99</v>
      </c>
      <c r="H1165">
        <v>9.64</v>
      </c>
      <c r="I1165" t="s">
        <v>44</v>
      </c>
      <c r="J1165">
        <v>5</v>
      </c>
      <c r="K1165" t="s">
        <v>51</v>
      </c>
      <c r="L1165">
        <v>4</v>
      </c>
      <c r="M1165" t="str">
        <f>VLOOKUP(D1165,State_Lookup!$A$2:$B$28,2,FALSE)</f>
        <v>Sao Paulo</v>
      </c>
    </row>
    <row r="1166" spans="1:13" x14ac:dyDescent="0.45">
      <c r="A1166" t="s">
        <v>1525</v>
      </c>
      <c r="B1166" t="s">
        <v>1520</v>
      </c>
      <c r="C1166" t="s">
        <v>1271</v>
      </c>
      <c r="D1166" t="s">
        <v>20</v>
      </c>
      <c r="E1166" t="s">
        <v>157</v>
      </c>
      <c r="F1166">
        <v>1</v>
      </c>
      <c r="G1166">
        <v>19.899999999999999</v>
      </c>
      <c r="H1166">
        <v>15.1</v>
      </c>
      <c r="I1166" t="s">
        <v>44</v>
      </c>
      <c r="J1166">
        <v>13</v>
      </c>
      <c r="K1166" t="s">
        <v>51</v>
      </c>
      <c r="L1166">
        <v>5</v>
      </c>
      <c r="M1166" t="str">
        <f>VLOOKUP(D1166,State_Lookup!$A$2:$B$28,2,FALSE)</f>
        <v>Parana</v>
      </c>
    </row>
    <row r="1167" spans="1:13" x14ac:dyDescent="0.45">
      <c r="A1167" t="s">
        <v>1526</v>
      </c>
      <c r="B1167" t="s">
        <v>1520</v>
      </c>
      <c r="C1167" t="s">
        <v>1271</v>
      </c>
      <c r="D1167" t="s">
        <v>487</v>
      </c>
      <c r="E1167" t="s">
        <v>53</v>
      </c>
      <c r="F1167">
        <v>2</v>
      </c>
      <c r="G1167">
        <v>99.98</v>
      </c>
      <c r="H1167">
        <v>42.3</v>
      </c>
      <c r="I1167" t="s">
        <v>44</v>
      </c>
      <c r="J1167">
        <v>2</v>
      </c>
      <c r="K1167" t="s">
        <v>51</v>
      </c>
      <c r="L1167">
        <v>5</v>
      </c>
      <c r="M1167" t="str">
        <f>VLOOKUP(D1167,State_Lookup!$A$2:$B$28,2,FALSE)</f>
        <v>Rio Grande do Norte</v>
      </c>
    </row>
    <row r="1168" spans="1:13" x14ac:dyDescent="0.45">
      <c r="A1168" t="s">
        <v>1527</v>
      </c>
      <c r="B1168" t="s">
        <v>1520</v>
      </c>
      <c r="C1168" t="s">
        <v>1271</v>
      </c>
      <c r="D1168" t="s">
        <v>16</v>
      </c>
      <c r="E1168" t="s">
        <v>142</v>
      </c>
      <c r="F1168">
        <v>1</v>
      </c>
      <c r="G1168">
        <v>139.9</v>
      </c>
      <c r="H1168">
        <v>21.47</v>
      </c>
      <c r="I1168" t="s">
        <v>44</v>
      </c>
      <c r="J1168">
        <v>8</v>
      </c>
      <c r="K1168" t="s">
        <v>51</v>
      </c>
      <c r="L1168">
        <v>3</v>
      </c>
      <c r="M1168" t="str">
        <f>VLOOKUP(D1168,State_Lookup!$A$2:$B$28,2,FALSE)</f>
        <v>Sao Paulo</v>
      </c>
    </row>
    <row r="1169" spans="1:13" x14ac:dyDescent="0.45">
      <c r="A1169" t="s">
        <v>1528</v>
      </c>
      <c r="B1169" t="s">
        <v>1529</v>
      </c>
      <c r="C1169" t="s">
        <v>1271</v>
      </c>
      <c r="D1169" t="s">
        <v>17</v>
      </c>
      <c r="E1169" t="s">
        <v>110</v>
      </c>
      <c r="F1169">
        <v>1</v>
      </c>
      <c r="G1169">
        <v>130.99</v>
      </c>
      <c r="H1169">
        <v>18.170000000000002</v>
      </c>
      <c r="I1169" t="s">
        <v>44</v>
      </c>
      <c r="J1169">
        <v>15</v>
      </c>
      <c r="K1169" t="s">
        <v>51</v>
      </c>
      <c r="L1169">
        <v>5</v>
      </c>
      <c r="M1169" t="str">
        <f>VLOOKUP(D1169,State_Lookup!$A$2:$B$28,2,FALSE)</f>
        <v>Rio de Janeiro</v>
      </c>
    </row>
    <row r="1170" spans="1:13" x14ac:dyDescent="0.45">
      <c r="A1170" t="s">
        <v>1530</v>
      </c>
      <c r="B1170" t="s">
        <v>1529</v>
      </c>
      <c r="C1170" t="s">
        <v>1271</v>
      </c>
      <c r="D1170" t="s">
        <v>16</v>
      </c>
      <c r="E1170" t="s">
        <v>61</v>
      </c>
      <c r="F1170">
        <v>1</v>
      </c>
      <c r="G1170">
        <v>269</v>
      </c>
      <c r="H1170">
        <v>10.7</v>
      </c>
      <c r="I1170" t="s">
        <v>44</v>
      </c>
      <c r="J1170">
        <v>6</v>
      </c>
      <c r="K1170" t="s">
        <v>51</v>
      </c>
      <c r="L1170">
        <v>4</v>
      </c>
      <c r="M1170" t="str">
        <f>VLOOKUP(D1170,State_Lookup!$A$2:$B$28,2,FALSE)</f>
        <v>Sao Paulo</v>
      </c>
    </row>
    <row r="1171" spans="1:13" x14ac:dyDescent="0.45">
      <c r="A1171" t="s">
        <v>1531</v>
      </c>
      <c r="B1171" t="s">
        <v>1529</v>
      </c>
      <c r="C1171" t="s">
        <v>1271</v>
      </c>
      <c r="D1171" t="s">
        <v>18</v>
      </c>
      <c r="E1171" t="s">
        <v>79</v>
      </c>
      <c r="F1171">
        <v>1</v>
      </c>
      <c r="G1171">
        <v>325</v>
      </c>
      <c r="H1171">
        <v>17.02</v>
      </c>
      <c r="I1171" t="s">
        <v>44</v>
      </c>
      <c r="J1171">
        <v>12</v>
      </c>
      <c r="K1171" t="s">
        <v>51</v>
      </c>
      <c r="L1171">
        <v>5</v>
      </c>
      <c r="M1171" t="str">
        <f>VLOOKUP(D1171,State_Lookup!$A$2:$B$28,2,FALSE)</f>
        <v>Minas Gerais</v>
      </c>
    </row>
    <row r="1172" spans="1:13" x14ac:dyDescent="0.45">
      <c r="A1172" t="s">
        <v>1532</v>
      </c>
      <c r="B1172" t="s">
        <v>1529</v>
      </c>
      <c r="C1172" t="s">
        <v>1271</v>
      </c>
      <c r="D1172" t="s">
        <v>16</v>
      </c>
      <c r="E1172" t="s">
        <v>49</v>
      </c>
      <c r="F1172">
        <v>1</v>
      </c>
      <c r="G1172">
        <v>14.9</v>
      </c>
      <c r="H1172">
        <v>7.78</v>
      </c>
      <c r="I1172" t="s">
        <v>133</v>
      </c>
      <c r="J1172">
        <v>4</v>
      </c>
      <c r="K1172" t="s">
        <v>51</v>
      </c>
      <c r="L1172">
        <v>5</v>
      </c>
      <c r="M1172" t="str">
        <f>VLOOKUP(D1172,State_Lookup!$A$2:$B$28,2,FALSE)</f>
        <v>Sao Paulo</v>
      </c>
    </row>
    <row r="1173" spans="1:13" x14ac:dyDescent="0.45">
      <c r="A1173" t="s">
        <v>1533</v>
      </c>
      <c r="B1173" t="s">
        <v>1529</v>
      </c>
      <c r="C1173" t="s">
        <v>1271</v>
      </c>
      <c r="D1173" t="s">
        <v>16</v>
      </c>
      <c r="E1173" t="s">
        <v>64</v>
      </c>
      <c r="F1173">
        <v>1</v>
      </c>
      <c r="G1173">
        <v>56.99</v>
      </c>
      <c r="H1173">
        <v>8.7200000000000006</v>
      </c>
      <c r="I1173" t="s">
        <v>44</v>
      </c>
      <c r="J1173">
        <v>6</v>
      </c>
      <c r="K1173" t="s">
        <v>51</v>
      </c>
      <c r="L1173">
        <v>5</v>
      </c>
      <c r="M1173" t="str">
        <f>VLOOKUP(D1173,State_Lookup!$A$2:$B$28,2,FALSE)</f>
        <v>Sao Paulo</v>
      </c>
    </row>
    <row r="1174" spans="1:13" x14ac:dyDescent="0.45">
      <c r="A1174" t="s">
        <v>1534</v>
      </c>
      <c r="B1174" t="s">
        <v>1529</v>
      </c>
      <c r="C1174" t="s">
        <v>1271</v>
      </c>
      <c r="D1174" t="s">
        <v>16</v>
      </c>
      <c r="E1174" t="s">
        <v>340</v>
      </c>
      <c r="F1174">
        <v>1</v>
      </c>
      <c r="G1174">
        <v>18.5</v>
      </c>
      <c r="H1174">
        <v>7.78</v>
      </c>
      <c r="I1174" t="s">
        <v>50</v>
      </c>
      <c r="J1174">
        <v>11</v>
      </c>
      <c r="K1174" t="s">
        <v>51</v>
      </c>
      <c r="L1174">
        <v>4</v>
      </c>
      <c r="M1174" t="str">
        <f>VLOOKUP(D1174,State_Lookup!$A$2:$B$28,2,FALSE)</f>
        <v>Sao Paulo</v>
      </c>
    </row>
    <row r="1175" spans="1:13" x14ac:dyDescent="0.45">
      <c r="A1175" t="s">
        <v>1535</v>
      </c>
      <c r="B1175" t="s">
        <v>1529</v>
      </c>
      <c r="C1175" t="s">
        <v>1271</v>
      </c>
      <c r="D1175" t="s">
        <v>16</v>
      </c>
      <c r="E1175" t="s">
        <v>199</v>
      </c>
      <c r="F1175">
        <v>2</v>
      </c>
      <c r="G1175">
        <v>39.799999999999997</v>
      </c>
      <c r="H1175">
        <v>23.7</v>
      </c>
      <c r="I1175" t="s">
        <v>44</v>
      </c>
      <c r="J1175">
        <v>1</v>
      </c>
      <c r="K1175" t="s">
        <v>51</v>
      </c>
      <c r="L1175">
        <v>2</v>
      </c>
      <c r="M1175" t="str">
        <f>VLOOKUP(D1175,State_Lookup!$A$2:$B$28,2,FALSE)</f>
        <v>Sao Paulo</v>
      </c>
    </row>
    <row r="1176" spans="1:13" x14ac:dyDescent="0.45">
      <c r="A1176" t="s">
        <v>1536</v>
      </c>
      <c r="B1176" t="s">
        <v>1529</v>
      </c>
      <c r="C1176" t="s">
        <v>1271</v>
      </c>
      <c r="D1176" t="s">
        <v>16</v>
      </c>
      <c r="E1176" t="s">
        <v>110</v>
      </c>
      <c r="F1176">
        <v>1</v>
      </c>
      <c r="G1176">
        <v>195</v>
      </c>
      <c r="H1176">
        <v>14.97</v>
      </c>
      <c r="I1176" t="s">
        <v>44</v>
      </c>
      <c r="J1176">
        <v>5</v>
      </c>
      <c r="K1176" t="s">
        <v>51</v>
      </c>
      <c r="L1176">
        <v>5</v>
      </c>
      <c r="M1176" t="str">
        <f>VLOOKUP(D1176,State_Lookup!$A$2:$B$28,2,FALSE)</f>
        <v>Sao Paulo</v>
      </c>
    </row>
    <row r="1177" spans="1:13" x14ac:dyDescent="0.45">
      <c r="A1177" t="s">
        <v>1537</v>
      </c>
      <c r="B1177" t="s">
        <v>1538</v>
      </c>
      <c r="C1177" t="s">
        <v>1539</v>
      </c>
      <c r="D1177" t="s">
        <v>16</v>
      </c>
      <c r="E1177" t="s">
        <v>662</v>
      </c>
      <c r="F1177">
        <v>1</v>
      </c>
      <c r="G1177">
        <v>269</v>
      </c>
      <c r="H1177">
        <v>15.49</v>
      </c>
      <c r="I1177" t="s">
        <v>44</v>
      </c>
      <c r="J1177">
        <v>9</v>
      </c>
      <c r="K1177" t="s">
        <v>51</v>
      </c>
      <c r="L1177">
        <v>5</v>
      </c>
      <c r="M1177" t="str">
        <f>VLOOKUP(D1177,State_Lookup!$A$2:$B$28,2,FALSE)</f>
        <v>Sao Paulo</v>
      </c>
    </row>
    <row r="1178" spans="1:13" x14ac:dyDescent="0.45">
      <c r="A1178" t="s">
        <v>1540</v>
      </c>
      <c r="B1178" t="s">
        <v>1538</v>
      </c>
      <c r="C1178" t="s">
        <v>1539</v>
      </c>
      <c r="D1178" t="s">
        <v>16</v>
      </c>
      <c r="E1178" t="s">
        <v>69</v>
      </c>
      <c r="F1178">
        <v>3</v>
      </c>
      <c r="G1178">
        <v>179.7</v>
      </c>
      <c r="H1178">
        <v>40.32</v>
      </c>
      <c r="I1178" t="s">
        <v>44</v>
      </c>
      <c r="J1178">
        <v>11</v>
      </c>
      <c r="K1178" t="s">
        <v>51</v>
      </c>
      <c r="L1178">
        <v>3</v>
      </c>
      <c r="M1178" t="str">
        <f>VLOOKUP(D1178,State_Lookup!$A$2:$B$28,2,FALSE)</f>
        <v>Sao Paulo</v>
      </c>
    </row>
    <row r="1179" spans="1:13" x14ac:dyDescent="0.45">
      <c r="A1179" t="s">
        <v>1541</v>
      </c>
      <c r="B1179" t="s">
        <v>1538</v>
      </c>
      <c r="C1179" t="s">
        <v>1539</v>
      </c>
      <c r="D1179" t="s">
        <v>16</v>
      </c>
      <c r="E1179" t="s">
        <v>157</v>
      </c>
      <c r="F1179">
        <v>1</v>
      </c>
      <c r="G1179">
        <v>229.9</v>
      </c>
      <c r="H1179">
        <v>13.11</v>
      </c>
      <c r="I1179" t="s">
        <v>44</v>
      </c>
      <c r="J1179">
        <v>7</v>
      </c>
      <c r="K1179" t="s">
        <v>51</v>
      </c>
      <c r="L1179">
        <v>5</v>
      </c>
      <c r="M1179" t="str">
        <f>VLOOKUP(D1179,State_Lookup!$A$2:$B$28,2,FALSE)</f>
        <v>Sao Paulo</v>
      </c>
    </row>
    <row r="1180" spans="1:13" x14ac:dyDescent="0.45">
      <c r="A1180" t="s">
        <v>1542</v>
      </c>
      <c r="B1180" t="s">
        <v>1538</v>
      </c>
      <c r="C1180" t="s">
        <v>1539</v>
      </c>
      <c r="D1180" t="s">
        <v>19</v>
      </c>
      <c r="E1180" t="s">
        <v>61</v>
      </c>
      <c r="F1180">
        <v>1</v>
      </c>
      <c r="G1180">
        <v>42.79</v>
      </c>
      <c r="H1180">
        <v>25.63</v>
      </c>
      <c r="I1180" t="s">
        <v>44</v>
      </c>
      <c r="J1180">
        <v>7</v>
      </c>
      <c r="K1180" t="s">
        <v>51</v>
      </c>
      <c r="L1180">
        <v>5</v>
      </c>
      <c r="M1180" t="str">
        <f>VLOOKUP(D1180,State_Lookup!$A$2:$B$28,2,FALSE)</f>
        <v>Rio Grande do Sul</v>
      </c>
    </row>
    <row r="1181" spans="1:13" x14ac:dyDescent="0.45">
      <c r="A1181" t="s">
        <v>1543</v>
      </c>
      <c r="B1181" t="s">
        <v>1538</v>
      </c>
      <c r="C1181" t="s">
        <v>1539</v>
      </c>
      <c r="D1181" t="s">
        <v>22</v>
      </c>
      <c r="E1181" t="s">
        <v>103</v>
      </c>
      <c r="F1181">
        <v>1</v>
      </c>
      <c r="G1181">
        <v>89.9</v>
      </c>
      <c r="H1181">
        <v>17.07</v>
      </c>
      <c r="I1181" t="s">
        <v>50</v>
      </c>
      <c r="J1181">
        <v>13</v>
      </c>
      <c r="K1181" t="s">
        <v>51</v>
      </c>
      <c r="L1181">
        <v>5</v>
      </c>
      <c r="M1181" t="str">
        <f>VLOOKUP(D1181,State_Lookup!$A$2:$B$28,2,FALSE)</f>
        <v>Bahia</v>
      </c>
    </row>
    <row r="1182" spans="1:13" x14ac:dyDescent="0.45">
      <c r="A1182" t="s">
        <v>1544</v>
      </c>
      <c r="B1182" t="s">
        <v>1538</v>
      </c>
      <c r="C1182" t="s">
        <v>1539</v>
      </c>
      <c r="D1182" t="s">
        <v>17</v>
      </c>
      <c r="E1182" t="s">
        <v>49</v>
      </c>
      <c r="F1182">
        <v>2</v>
      </c>
      <c r="G1182">
        <v>119.8</v>
      </c>
      <c r="H1182">
        <v>33.72</v>
      </c>
      <c r="I1182" t="s">
        <v>44</v>
      </c>
      <c r="J1182">
        <v>10</v>
      </c>
      <c r="K1182" t="s">
        <v>51</v>
      </c>
      <c r="L1182">
        <v>5</v>
      </c>
      <c r="M1182" t="str">
        <f>VLOOKUP(D1182,State_Lookup!$A$2:$B$28,2,FALSE)</f>
        <v>Rio de Janeiro</v>
      </c>
    </row>
    <row r="1183" spans="1:13" x14ac:dyDescent="0.45">
      <c r="A1183" t="s">
        <v>1545</v>
      </c>
      <c r="B1183" t="s">
        <v>1546</v>
      </c>
      <c r="C1183" t="s">
        <v>1539</v>
      </c>
      <c r="D1183" t="s">
        <v>16</v>
      </c>
      <c r="E1183" t="s">
        <v>49</v>
      </c>
      <c r="F1183">
        <v>1</v>
      </c>
      <c r="G1183">
        <v>195.9</v>
      </c>
      <c r="H1183">
        <v>26.21</v>
      </c>
      <c r="I1183" t="s">
        <v>44</v>
      </c>
      <c r="J1183">
        <v>9</v>
      </c>
      <c r="K1183" t="s">
        <v>51</v>
      </c>
      <c r="L1183">
        <v>5</v>
      </c>
      <c r="M1183" t="str">
        <f>VLOOKUP(D1183,State_Lookup!$A$2:$B$28,2,FALSE)</f>
        <v>Sao Paulo</v>
      </c>
    </row>
    <row r="1184" spans="1:13" x14ac:dyDescent="0.45">
      <c r="A1184" t="s">
        <v>1547</v>
      </c>
      <c r="B1184" t="s">
        <v>1546</v>
      </c>
      <c r="C1184" t="s">
        <v>1539</v>
      </c>
      <c r="D1184" t="s">
        <v>16</v>
      </c>
      <c r="E1184" t="s">
        <v>142</v>
      </c>
      <c r="F1184">
        <v>1</v>
      </c>
      <c r="G1184">
        <v>19.899999999999999</v>
      </c>
      <c r="H1184">
        <v>11.85</v>
      </c>
      <c r="I1184" t="s">
        <v>44</v>
      </c>
      <c r="J1184">
        <v>12</v>
      </c>
      <c r="K1184" t="s">
        <v>51</v>
      </c>
      <c r="L1184">
        <v>5</v>
      </c>
      <c r="M1184" t="str">
        <f>VLOOKUP(D1184,State_Lookup!$A$2:$B$28,2,FALSE)</f>
        <v>Sao Paulo</v>
      </c>
    </row>
    <row r="1185" spans="1:13" x14ac:dyDescent="0.45">
      <c r="A1185" t="s">
        <v>1548</v>
      </c>
      <c r="B1185" t="s">
        <v>1546</v>
      </c>
      <c r="C1185" t="s">
        <v>1539</v>
      </c>
      <c r="D1185" t="s">
        <v>16</v>
      </c>
      <c r="E1185" t="s">
        <v>148</v>
      </c>
      <c r="F1185">
        <v>1</v>
      </c>
      <c r="G1185">
        <v>610</v>
      </c>
      <c r="H1185">
        <v>37.54</v>
      </c>
      <c r="I1185" t="s">
        <v>44</v>
      </c>
      <c r="J1185">
        <v>6</v>
      </c>
      <c r="K1185" t="s">
        <v>51</v>
      </c>
      <c r="L1185">
        <v>5</v>
      </c>
      <c r="M1185" t="str">
        <f>VLOOKUP(D1185,State_Lookup!$A$2:$B$28,2,FALSE)</f>
        <v>Sao Paulo</v>
      </c>
    </row>
    <row r="1186" spans="1:13" x14ac:dyDescent="0.45">
      <c r="A1186" t="s">
        <v>1549</v>
      </c>
      <c r="B1186" t="s">
        <v>1546</v>
      </c>
      <c r="C1186" t="s">
        <v>1539</v>
      </c>
      <c r="D1186" t="s">
        <v>18</v>
      </c>
      <c r="E1186" t="s">
        <v>103</v>
      </c>
      <c r="F1186">
        <v>1</v>
      </c>
      <c r="G1186">
        <v>49.9</v>
      </c>
      <c r="H1186">
        <v>15.1</v>
      </c>
      <c r="I1186" t="s">
        <v>44</v>
      </c>
      <c r="J1186">
        <v>10</v>
      </c>
      <c r="K1186" t="s">
        <v>51</v>
      </c>
      <c r="L1186">
        <v>5</v>
      </c>
      <c r="M1186" t="str">
        <f>VLOOKUP(D1186,State_Lookup!$A$2:$B$28,2,FALSE)</f>
        <v>Minas Gerais</v>
      </c>
    </row>
    <row r="1187" spans="1:13" x14ac:dyDescent="0.45">
      <c r="A1187" t="s">
        <v>1550</v>
      </c>
      <c r="B1187" t="s">
        <v>1546</v>
      </c>
      <c r="C1187" t="s">
        <v>1539</v>
      </c>
      <c r="D1187" t="s">
        <v>16</v>
      </c>
      <c r="E1187" t="s">
        <v>103</v>
      </c>
      <c r="F1187">
        <v>1</v>
      </c>
      <c r="G1187">
        <v>3.85</v>
      </c>
      <c r="H1187">
        <v>7.78</v>
      </c>
      <c r="I1187" t="s">
        <v>44</v>
      </c>
      <c r="J1187">
        <v>11</v>
      </c>
      <c r="K1187" t="s">
        <v>51</v>
      </c>
      <c r="L1187">
        <v>5</v>
      </c>
      <c r="M1187" t="str">
        <f>VLOOKUP(D1187,State_Lookup!$A$2:$B$28,2,FALSE)</f>
        <v>Sao Paulo</v>
      </c>
    </row>
    <row r="1188" spans="1:13" x14ac:dyDescent="0.45">
      <c r="A1188" t="s">
        <v>1551</v>
      </c>
      <c r="B1188" t="s">
        <v>1546</v>
      </c>
      <c r="C1188" t="s">
        <v>1539</v>
      </c>
      <c r="D1188" t="s">
        <v>18</v>
      </c>
      <c r="E1188" t="s">
        <v>49</v>
      </c>
      <c r="F1188">
        <v>1</v>
      </c>
      <c r="G1188">
        <v>120</v>
      </c>
      <c r="H1188">
        <v>15.59</v>
      </c>
      <c r="I1188" t="s">
        <v>44</v>
      </c>
      <c r="J1188">
        <v>5</v>
      </c>
      <c r="K1188" t="s">
        <v>51</v>
      </c>
      <c r="L1188">
        <v>5</v>
      </c>
      <c r="M1188" t="str">
        <f>VLOOKUP(D1188,State_Lookup!$A$2:$B$28,2,FALSE)</f>
        <v>Minas Gerais</v>
      </c>
    </row>
    <row r="1189" spans="1:13" x14ac:dyDescent="0.45">
      <c r="A1189" t="s">
        <v>1552</v>
      </c>
      <c r="B1189" t="s">
        <v>1553</v>
      </c>
      <c r="C1189" t="s">
        <v>1539</v>
      </c>
      <c r="D1189" t="s">
        <v>16</v>
      </c>
      <c r="E1189" t="s">
        <v>152</v>
      </c>
      <c r="F1189">
        <v>1</v>
      </c>
      <c r="G1189">
        <v>98.9</v>
      </c>
      <c r="H1189">
        <v>14.42</v>
      </c>
      <c r="I1189" t="s">
        <v>50</v>
      </c>
      <c r="J1189">
        <v>12</v>
      </c>
      <c r="K1189" t="s">
        <v>51</v>
      </c>
      <c r="L1189">
        <v>5</v>
      </c>
      <c r="M1189" t="str">
        <f>VLOOKUP(D1189,State_Lookup!$A$2:$B$28,2,FALSE)</f>
        <v>Sao Paulo</v>
      </c>
    </row>
    <row r="1190" spans="1:13" x14ac:dyDescent="0.45">
      <c r="A1190" t="s">
        <v>1554</v>
      </c>
      <c r="B1190" t="s">
        <v>1553</v>
      </c>
      <c r="C1190" t="s">
        <v>1539</v>
      </c>
      <c r="D1190" t="s">
        <v>24</v>
      </c>
      <c r="E1190" t="s">
        <v>49</v>
      </c>
      <c r="F1190">
        <v>1</v>
      </c>
      <c r="G1190">
        <v>199.9</v>
      </c>
      <c r="H1190">
        <v>21.89</v>
      </c>
      <c r="I1190" t="s">
        <v>44</v>
      </c>
      <c r="J1190">
        <v>10</v>
      </c>
      <c r="K1190" t="s">
        <v>51</v>
      </c>
      <c r="L1190">
        <v>3</v>
      </c>
      <c r="M1190" t="str">
        <f>VLOOKUP(D1190,State_Lookup!$A$2:$B$28,2,FALSE)</f>
        <v>Distrito Federal</v>
      </c>
    </row>
    <row r="1191" spans="1:13" x14ac:dyDescent="0.45">
      <c r="A1191" t="s">
        <v>1555</v>
      </c>
      <c r="B1191" t="s">
        <v>1553</v>
      </c>
      <c r="C1191" t="s">
        <v>1539</v>
      </c>
      <c r="D1191" t="s">
        <v>21</v>
      </c>
      <c r="E1191" t="s">
        <v>107</v>
      </c>
      <c r="F1191">
        <v>1</v>
      </c>
      <c r="G1191">
        <v>18</v>
      </c>
      <c r="H1191">
        <v>15.1</v>
      </c>
      <c r="I1191" t="s">
        <v>44</v>
      </c>
      <c r="J1191">
        <v>10</v>
      </c>
      <c r="K1191" t="s">
        <v>51</v>
      </c>
      <c r="L1191">
        <v>5</v>
      </c>
      <c r="M1191" t="str">
        <f>VLOOKUP(D1191,State_Lookup!$A$2:$B$28,2,FALSE)</f>
        <v>Santa Catarina</v>
      </c>
    </row>
    <row r="1192" spans="1:13" x14ac:dyDescent="0.45">
      <c r="A1192" t="s">
        <v>1556</v>
      </c>
      <c r="B1192" t="s">
        <v>1553</v>
      </c>
      <c r="C1192" t="s">
        <v>1539</v>
      </c>
      <c r="D1192" t="s">
        <v>19</v>
      </c>
      <c r="E1192" t="s">
        <v>43</v>
      </c>
      <c r="F1192">
        <v>1</v>
      </c>
      <c r="G1192">
        <v>89.9</v>
      </c>
      <c r="H1192">
        <v>15.39</v>
      </c>
      <c r="I1192" t="s">
        <v>44</v>
      </c>
      <c r="J1192">
        <v>5</v>
      </c>
      <c r="K1192" t="s">
        <v>51</v>
      </c>
      <c r="L1192">
        <v>5</v>
      </c>
      <c r="M1192" t="str">
        <f>VLOOKUP(D1192,State_Lookup!$A$2:$B$28,2,FALSE)</f>
        <v>Rio Grande do Sul</v>
      </c>
    </row>
    <row r="1193" spans="1:13" x14ac:dyDescent="0.45">
      <c r="A1193" t="s">
        <v>1557</v>
      </c>
      <c r="B1193" t="s">
        <v>1553</v>
      </c>
      <c r="C1193" t="s">
        <v>1539</v>
      </c>
      <c r="D1193" t="s">
        <v>19</v>
      </c>
      <c r="E1193" t="s">
        <v>58</v>
      </c>
      <c r="F1193">
        <v>1</v>
      </c>
      <c r="G1193">
        <v>36.76</v>
      </c>
      <c r="H1193">
        <v>15.1</v>
      </c>
      <c r="I1193" t="s">
        <v>44</v>
      </c>
      <c r="J1193">
        <v>16</v>
      </c>
      <c r="K1193" t="s">
        <v>51</v>
      </c>
      <c r="L1193">
        <v>1</v>
      </c>
      <c r="M1193" t="str">
        <f>VLOOKUP(D1193,State_Lookup!$A$2:$B$28,2,FALSE)</f>
        <v>Rio Grande do Sul</v>
      </c>
    </row>
    <row r="1194" spans="1:13" x14ac:dyDescent="0.45">
      <c r="A1194" t="s">
        <v>1558</v>
      </c>
      <c r="B1194" t="s">
        <v>1553</v>
      </c>
      <c r="C1194" t="s">
        <v>1539</v>
      </c>
      <c r="D1194" t="s">
        <v>18</v>
      </c>
      <c r="E1194" t="s">
        <v>66</v>
      </c>
      <c r="F1194">
        <v>1</v>
      </c>
      <c r="G1194">
        <v>24.9</v>
      </c>
      <c r="H1194">
        <v>15.1</v>
      </c>
      <c r="I1194" t="s">
        <v>44</v>
      </c>
      <c r="J1194">
        <v>5</v>
      </c>
      <c r="K1194" t="s">
        <v>51</v>
      </c>
      <c r="L1194">
        <v>4</v>
      </c>
      <c r="M1194" t="str">
        <f>VLOOKUP(D1194,State_Lookup!$A$2:$B$28,2,FALSE)</f>
        <v>Minas Gerais</v>
      </c>
    </row>
    <row r="1195" spans="1:13" x14ac:dyDescent="0.45">
      <c r="A1195" t="s">
        <v>1559</v>
      </c>
      <c r="B1195" t="s">
        <v>1560</v>
      </c>
      <c r="C1195" t="s">
        <v>1539</v>
      </c>
      <c r="D1195" t="s">
        <v>17</v>
      </c>
      <c r="E1195" t="s">
        <v>69</v>
      </c>
      <c r="F1195">
        <v>2</v>
      </c>
      <c r="G1195">
        <v>119.8</v>
      </c>
      <c r="H1195">
        <v>35.340000000000003</v>
      </c>
      <c r="I1195" t="s">
        <v>50</v>
      </c>
      <c r="J1195">
        <v>14</v>
      </c>
      <c r="K1195" t="s">
        <v>51</v>
      </c>
      <c r="L1195">
        <v>5</v>
      </c>
      <c r="M1195" t="str">
        <f>VLOOKUP(D1195,State_Lookup!$A$2:$B$28,2,FALSE)</f>
        <v>Rio de Janeiro</v>
      </c>
    </row>
    <row r="1196" spans="1:13" x14ac:dyDescent="0.45">
      <c r="A1196" t="s">
        <v>1561</v>
      </c>
      <c r="B1196" t="s">
        <v>1560</v>
      </c>
      <c r="C1196" t="s">
        <v>1539</v>
      </c>
      <c r="D1196" t="s">
        <v>16</v>
      </c>
      <c r="E1196" t="s">
        <v>103</v>
      </c>
      <c r="F1196">
        <v>2</v>
      </c>
      <c r="G1196">
        <v>114.8</v>
      </c>
      <c r="H1196">
        <v>15.56</v>
      </c>
      <c r="I1196" t="s">
        <v>50</v>
      </c>
      <c r="J1196">
        <v>7</v>
      </c>
      <c r="K1196" t="s">
        <v>51</v>
      </c>
      <c r="L1196">
        <v>5</v>
      </c>
      <c r="M1196" t="str">
        <f>VLOOKUP(D1196,State_Lookup!$A$2:$B$28,2,FALSE)</f>
        <v>Sao Paulo</v>
      </c>
    </row>
    <row r="1197" spans="1:13" x14ac:dyDescent="0.45">
      <c r="A1197" t="s">
        <v>1562</v>
      </c>
      <c r="B1197" t="s">
        <v>1560</v>
      </c>
      <c r="C1197" t="s">
        <v>1539</v>
      </c>
      <c r="D1197" t="s">
        <v>17</v>
      </c>
      <c r="E1197" t="s">
        <v>79</v>
      </c>
      <c r="F1197">
        <v>1</v>
      </c>
      <c r="G1197">
        <v>118.33</v>
      </c>
      <c r="H1197">
        <v>18.079999999999998</v>
      </c>
      <c r="I1197" t="s">
        <v>133</v>
      </c>
      <c r="J1197">
        <v>7</v>
      </c>
      <c r="K1197" t="s">
        <v>51</v>
      </c>
      <c r="L1197">
        <v>5</v>
      </c>
      <c r="M1197" t="str">
        <f>VLOOKUP(D1197,State_Lookup!$A$2:$B$28,2,FALSE)</f>
        <v>Rio de Janeiro</v>
      </c>
    </row>
    <row r="1198" spans="1:13" x14ac:dyDescent="0.45">
      <c r="A1198" t="s">
        <v>1563</v>
      </c>
      <c r="B1198" t="s">
        <v>1560</v>
      </c>
      <c r="C1198" t="s">
        <v>1539</v>
      </c>
      <c r="D1198" t="s">
        <v>18</v>
      </c>
      <c r="E1198" t="s">
        <v>79</v>
      </c>
      <c r="F1198">
        <v>1</v>
      </c>
      <c r="G1198">
        <v>119.9</v>
      </c>
      <c r="H1198">
        <v>18.09</v>
      </c>
      <c r="I1198" t="s">
        <v>44</v>
      </c>
      <c r="J1198">
        <v>15</v>
      </c>
      <c r="K1198" t="s">
        <v>51</v>
      </c>
      <c r="L1198">
        <v>4</v>
      </c>
      <c r="M1198" t="str">
        <f>VLOOKUP(D1198,State_Lookup!$A$2:$B$28,2,FALSE)</f>
        <v>Minas Gerais</v>
      </c>
    </row>
    <row r="1199" spans="1:13" x14ac:dyDescent="0.45">
      <c r="A1199" t="s">
        <v>1564</v>
      </c>
      <c r="B1199" t="s">
        <v>1560</v>
      </c>
      <c r="C1199" t="s">
        <v>1539</v>
      </c>
      <c r="D1199" t="s">
        <v>16</v>
      </c>
      <c r="E1199" t="s">
        <v>157</v>
      </c>
      <c r="F1199">
        <v>2</v>
      </c>
      <c r="G1199">
        <v>84</v>
      </c>
      <c r="H1199">
        <v>15.56</v>
      </c>
      <c r="I1199" t="s">
        <v>44</v>
      </c>
      <c r="J1199">
        <v>1</v>
      </c>
      <c r="K1199" t="s">
        <v>51</v>
      </c>
      <c r="L1199">
        <v>5</v>
      </c>
      <c r="M1199" t="str">
        <f>VLOOKUP(D1199,State_Lookup!$A$2:$B$28,2,FALSE)</f>
        <v>Sao Paulo</v>
      </c>
    </row>
    <row r="1200" spans="1:13" x14ac:dyDescent="0.45">
      <c r="A1200" t="s">
        <v>1565</v>
      </c>
      <c r="B1200" t="s">
        <v>1566</v>
      </c>
      <c r="C1200" t="s">
        <v>1539</v>
      </c>
      <c r="D1200" t="s">
        <v>17</v>
      </c>
      <c r="E1200" t="s">
        <v>79</v>
      </c>
      <c r="F1200">
        <v>1</v>
      </c>
      <c r="G1200">
        <v>199</v>
      </c>
      <c r="H1200">
        <v>26.23</v>
      </c>
      <c r="I1200" t="s">
        <v>44</v>
      </c>
      <c r="J1200">
        <v>9</v>
      </c>
      <c r="K1200" t="s">
        <v>51</v>
      </c>
      <c r="L1200">
        <v>5</v>
      </c>
      <c r="M1200" t="str">
        <f>VLOOKUP(D1200,State_Lookup!$A$2:$B$28,2,FALSE)</f>
        <v>Rio de Janeiro</v>
      </c>
    </row>
    <row r="1201" spans="1:13" x14ac:dyDescent="0.45">
      <c r="A1201" t="s">
        <v>1567</v>
      </c>
      <c r="B1201" t="s">
        <v>1568</v>
      </c>
      <c r="C1201" t="s">
        <v>1539</v>
      </c>
      <c r="D1201" t="s">
        <v>19</v>
      </c>
      <c r="E1201" t="s">
        <v>53</v>
      </c>
      <c r="F1201">
        <v>1</v>
      </c>
      <c r="G1201">
        <v>55</v>
      </c>
      <c r="H1201">
        <v>16.149999999999999</v>
      </c>
      <c r="I1201" t="s">
        <v>44</v>
      </c>
      <c r="J1201">
        <v>12</v>
      </c>
      <c r="K1201" t="s">
        <v>51</v>
      </c>
      <c r="L1201">
        <v>3</v>
      </c>
      <c r="M1201" t="str">
        <f>VLOOKUP(D1201,State_Lookup!$A$2:$B$28,2,FALSE)</f>
        <v>Rio Grande do Sul</v>
      </c>
    </row>
    <row r="1202" spans="1:13" x14ac:dyDescent="0.45">
      <c r="A1202" t="s">
        <v>1569</v>
      </c>
      <c r="B1202" t="s">
        <v>1568</v>
      </c>
      <c r="C1202" t="s">
        <v>1539</v>
      </c>
      <c r="D1202" t="s">
        <v>16</v>
      </c>
      <c r="E1202" t="s">
        <v>64</v>
      </c>
      <c r="F1202">
        <v>1</v>
      </c>
      <c r="G1202">
        <v>119.9</v>
      </c>
      <c r="H1202">
        <v>21.33</v>
      </c>
      <c r="I1202" t="s">
        <v>44</v>
      </c>
      <c r="J1202">
        <v>13</v>
      </c>
      <c r="K1202" t="s">
        <v>51</v>
      </c>
      <c r="L1202">
        <v>5</v>
      </c>
      <c r="M1202" t="str">
        <f>VLOOKUP(D1202,State_Lookup!$A$2:$B$28,2,FALSE)</f>
        <v>Sao Paulo</v>
      </c>
    </row>
    <row r="1203" spans="1:13" x14ac:dyDescent="0.45">
      <c r="A1203" t="s">
        <v>1570</v>
      </c>
      <c r="B1203" t="s">
        <v>1568</v>
      </c>
      <c r="C1203" t="s">
        <v>1539</v>
      </c>
      <c r="D1203" t="s">
        <v>208</v>
      </c>
      <c r="E1203" t="s">
        <v>148</v>
      </c>
      <c r="F1203">
        <v>1</v>
      </c>
      <c r="G1203">
        <v>105</v>
      </c>
      <c r="H1203">
        <v>22.6</v>
      </c>
      <c r="I1203" t="s">
        <v>44</v>
      </c>
      <c r="J1203">
        <v>7</v>
      </c>
      <c r="K1203" t="s">
        <v>51</v>
      </c>
      <c r="L1203">
        <v>5</v>
      </c>
      <c r="M1203" t="str">
        <f>VLOOKUP(D1203,State_Lookup!$A$2:$B$28,2,FALSE)</f>
        <v>Mato Grosso</v>
      </c>
    </row>
    <row r="1204" spans="1:13" x14ac:dyDescent="0.45">
      <c r="A1204" t="s">
        <v>1571</v>
      </c>
      <c r="B1204" t="s">
        <v>1568</v>
      </c>
      <c r="C1204" t="s">
        <v>1539</v>
      </c>
      <c r="D1204" t="s">
        <v>16</v>
      </c>
      <c r="E1204" t="s">
        <v>103</v>
      </c>
      <c r="F1204">
        <v>1</v>
      </c>
      <c r="G1204">
        <v>25</v>
      </c>
      <c r="H1204">
        <v>7.78</v>
      </c>
      <c r="I1204" t="s">
        <v>50</v>
      </c>
      <c r="J1204">
        <v>6</v>
      </c>
      <c r="K1204" t="s">
        <v>51</v>
      </c>
      <c r="L1204">
        <v>3</v>
      </c>
      <c r="M1204" t="str">
        <f>VLOOKUP(D1204,State_Lookup!$A$2:$B$28,2,FALSE)</f>
        <v>Sao Paulo</v>
      </c>
    </row>
    <row r="1205" spans="1:13" x14ac:dyDescent="0.45">
      <c r="A1205" t="s">
        <v>1572</v>
      </c>
      <c r="B1205" t="s">
        <v>1568</v>
      </c>
      <c r="C1205" t="s">
        <v>1539</v>
      </c>
      <c r="D1205" t="s">
        <v>17</v>
      </c>
      <c r="E1205" t="s">
        <v>79</v>
      </c>
      <c r="F1205">
        <v>1</v>
      </c>
      <c r="G1205">
        <v>58.99</v>
      </c>
      <c r="H1205">
        <v>16.66</v>
      </c>
      <c r="I1205" t="s">
        <v>44</v>
      </c>
      <c r="J1205">
        <v>11</v>
      </c>
      <c r="K1205" t="s">
        <v>51</v>
      </c>
      <c r="L1205">
        <v>1</v>
      </c>
      <c r="M1205" t="str">
        <f>VLOOKUP(D1205,State_Lookup!$A$2:$B$28,2,FALSE)</f>
        <v>Rio de Janeiro</v>
      </c>
    </row>
    <row r="1206" spans="1:13" x14ac:dyDescent="0.45">
      <c r="A1206" t="s">
        <v>1573</v>
      </c>
      <c r="B1206" t="s">
        <v>1568</v>
      </c>
      <c r="C1206" t="s">
        <v>1539</v>
      </c>
      <c r="D1206" t="s">
        <v>22</v>
      </c>
      <c r="E1206" t="s">
        <v>142</v>
      </c>
      <c r="F1206">
        <v>1</v>
      </c>
      <c r="G1206">
        <v>50</v>
      </c>
      <c r="H1206">
        <v>47.79</v>
      </c>
      <c r="I1206" t="s">
        <v>50</v>
      </c>
      <c r="J1206">
        <v>35</v>
      </c>
      <c r="K1206" t="s">
        <v>143</v>
      </c>
      <c r="L1206">
        <v>1</v>
      </c>
      <c r="M1206" t="str">
        <f>VLOOKUP(D1206,State_Lookup!$A$2:$B$28,2,FALSE)</f>
        <v>Bahia</v>
      </c>
    </row>
    <row r="1207" spans="1:13" x14ac:dyDescent="0.45">
      <c r="A1207" t="s">
        <v>1574</v>
      </c>
      <c r="B1207" t="s">
        <v>1568</v>
      </c>
      <c r="C1207" t="s">
        <v>1539</v>
      </c>
      <c r="D1207" t="s">
        <v>17</v>
      </c>
      <c r="E1207" t="s">
        <v>79</v>
      </c>
      <c r="F1207">
        <v>1</v>
      </c>
      <c r="G1207">
        <v>59</v>
      </c>
      <c r="H1207">
        <v>105.33</v>
      </c>
      <c r="I1207" t="s">
        <v>44</v>
      </c>
      <c r="J1207">
        <v>6</v>
      </c>
      <c r="K1207" t="s">
        <v>51</v>
      </c>
      <c r="L1207">
        <v>1</v>
      </c>
      <c r="M1207" t="str">
        <f>VLOOKUP(D1207,State_Lookup!$A$2:$B$28,2,FALSE)</f>
        <v>Rio de Janeiro</v>
      </c>
    </row>
    <row r="1208" spans="1:13" x14ac:dyDescent="0.45">
      <c r="A1208" t="s">
        <v>1575</v>
      </c>
      <c r="B1208" t="s">
        <v>1568</v>
      </c>
      <c r="C1208" t="s">
        <v>1539</v>
      </c>
      <c r="D1208" t="s">
        <v>18</v>
      </c>
      <c r="E1208" t="s">
        <v>103</v>
      </c>
      <c r="F1208">
        <v>1</v>
      </c>
      <c r="G1208">
        <v>151.19999999999999</v>
      </c>
      <c r="H1208">
        <v>18.309999999999999</v>
      </c>
      <c r="I1208" t="s">
        <v>44</v>
      </c>
      <c r="J1208">
        <v>13</v>
      </c>
      <c r="K1208" t="s">
        <v>51</v>
      </c>
      <c r="L1208">
        <v>5</v>
      </c>
      <c r="M1208" t="str">
        <f>VLOOKUP(D1208,State_Lookup!$A$2:$B$28,2,FALSE)</f>
        <v>Minas Gerais</v>
      </c>
    </row>
    <row r="1209" spans="1:13" x14ac:dyDescent="0.45">
      <c r="A1209" t="s">
        <v>1576</v>
      </c>
      <c r="B1209" t="s">
        <v>1577</v>
      </c>
      <c r="C1209" t="s">
        <v>1539</v>
      </c>
      <c r="D1209" t="s">
        <v>17</v>
      </c>
      <c r="E1209" t="s">
        <v>79</v>
      </c>
      <c r="F1209">
        <v>1</v>
      </c>
      <c r="G1209">
        <v>760</v>
      </c>
      <c r="H1209">
        <v>142.35</v>
      </c>
      <c r="I1209" t="s">
        <v>44</v>
      </c>
      <c r="J1209">
        <v>29</v>
      </c>
      <c r="K1209" t="s">
        <v>143</v>
      </c>
      <c r="L1209">
        <v>4</v>
      </c>
      <c r="M1209" t="str">
        <f>VLOOKUP(D1209,State_Lookup!$A$2:$B$28,2,FALSE)</f>
        <v>Rio de Janeiro</v>
      </c>
    </row>
    <row r="1210" spans="1:13" x14ac:dyDescent="0.45">
      <c r="A1210" t="s">
        <v>1578</v>
      </c>
      <c r="B1210" t="s">
        <v>1577</v>
      </c>
      <c r="C1210" t="s">
        <v>1539</v>
      </c>
      <c r="D1210" t="s">
        <v>16</v>
      </c>
      <c r="E1210" t="s">
        <v>43</v>
      </c>
      <c r="F1210">
        <v>1</v>
      </c>
      <c r="G1210">
        <v>31</v>
      </c>
      <c r="H1210">
        <v>7.78</v>
      </c>
      <c r="I1210" t="s">
        <v>44</v>
      </c>
      <c r="J1210">
        <v>4</v>
      </c>
      <c r="K1210" t="s">
        <v>51</v>
      </c>
      <c r="L1210">
        <v>4</v>
      </c>
      <c r="M1210" t="str">
        <f>VLOOKUP(D1210,State_Lookup!$A$2:$B$28,2,FALSE)</f>
        <v>Sao Paulo</v>
      </c>
    </row>
    <row r="1211" spans="1:13" x14ac:dyDescent="0.45">
      <c r="A1211" t="s">
        <v>1579</v>
      </c>
      <c r="B1211" t="s">
        <v>1577</v>
      </c>
      <c r="C1211" t="s">
        <v>1539</v>
      </c>
      <c r="D1211" t="s">
        <v>20</v>
      </c>
      <c r="E1211" t="s">
        <v>79</v>
      </c>
      <c r="F1211">
        <v>1</v>
      </c>
      <c r="G1211">
        <v>109.99</v>
      </c>
      <c r="H1211">
        <v>16.53</v>
      </c>
      <c r="I1211" t="s">
        <v>44</v>
      </c>
      <c r="J1211">
        <v>11</v>
      </c>
      <c r="K1211" t="s">
        <v>51</v>
      </c>
      <c r="L1211">
        <v>5</v>
      </c>
      <c r="M1211" t="str">
        <f>VLOOKUP(D1211,State_Lookup!$A$2:$B$28,2,FALSE)</f>
        <v>Parana</v>
      </c>
    </row>
    <row r="1212" spans="1:13" x14ac:dyDescent="0.45">
      <c r="A1212" t="s">
        <v>1580</v>
      </c>
      <c r="B1212" t="s">
        <v>1577</v>
      </c>
      <c r="C1212" t="s">
        <v>1539</v>
      </c>
      <c r="D1212" t="s">
        <v>19</v>
      </c>
      <c r="E1212" t="s">
        <v>192</v>
      </c>
      <c r="F1212">
        <v>1</v>
      </c>
      <c r="G1212">
        <v>89.99</v>
      </c>
      <c r="H1212">
        <v>16.39</v>
      </c>
      <c r="I1212" t="s">
        <v>44</v>
      </c>
      <c r="J1212">
        <v>18</v>
      </c>
      <c r="K1212" t="s">
        <v>51</v>
      </c>
      <c r="L1212">
        <v>5</v>
      </c>
      <c r="M1212" t="str">
        <f>VLOOKUP(D1212,State_Lookup!$A$2:$B$28,2,FALSE)</f>
        <v>Rio Grande do Sul</v>
      </c>
    </row>
    <row r="1213" spans="1:13" x14ac:dyDescent="0.45">
      <c r="A1213" t="s">
        <v>1581</v>
      </c>
      <c r="B1213" t="s">
        <v>1577</v>
      </c>
      <c r="C1213" t="s">
        <v>1539</v>
      </c>
      <c r="D1213" t="s">
        <v>16</v>
      </c>
      <c r="E1213" t="s">
        <v>148</v>
      </c>
      <c r="F1213">
        <v>1</v>
      </c>
      <c r="G1213">
        <v>119.99</v>
      </c>
      <c r="H1213">
        <v>12.04</v>
      </c>
      <c r="I1213" t="s">
        <v>44</v>
      </c>
      <c r="J1213">
        <v>5</v>
      </c>
      <c r="K1213" t="s">
        <v>51</v>
      </c>
      <c r="L1213">
        <v>4</v>
      </c>
      <c r="M1213" t="str">
        <f>VLOOKUP(D1213,State_Lookup!$A$2:$B$28,2,FALSE)</f>
        <v>Sao Paulo</v>
      </c>
    </row>
    <row r="1214" spans="1:13" x14ac:dyDescent="0.45">
      <c r="A1214" t="s">
        <v>1582</v>
      </c>
      <c r="B1214" t="s">
        <v>1577</v>
      </c>
      <c r="C1214" t="s">
        <v>1539</v>
      </c>
      <c r="D1214" t="s">
        <v>17</v>
      </c>
      <c r="E1214" t="s">
        <v>61</v>
      </c>
      <c r="F1214">
        <v>1</v>
      </c>
      <c r="G1214">
        <v>98</v>
      </c>
      <c r="H1214">
        <v>17.97</v>
      </c>
      <c r="I1214" t="s">
        <v>44</v>
      </c>
      <c r="J1214">
        <v>10</v>
      </c>
      <c r="K1214" t="s">
        <v>51</v>
      </c>
      <c r="L1214">
        <v>4</v>
      </c>
      <c r="M1214" t="str">
        <f>VLOOKUP(D1214,State_Lookup!$A$2:$B$28,2,FALSE)</f>
        <v>Rio de Janeiro</v>
      </c>
    </row>
    <row r="1215" spans="1:13" x14ac:dyDescent="0.45">
      <c r="A1215" t="s">
        <v>1583</v>
      </c>
      <c r="B1215" t="s">
        <v>1577</v>
      </c>
      <c r="C1215" t="s">
        <v>1539</v>
      </c>
      <c r="D1215" t="s">
        <v>23</v>
      </c>
      <c r="E1215" t="s">
        <v>199</v>
      </c>
      <c r="F1215">
        <v>1</v>
      </c>
      <c r="G1215">
        <v>279.99</v>
      </c>
      <c r="H1215">
        <v>19.21</v>
      </c>
      <c r="I1215" t="s">
        <v>44</v>
      </c>
      <c r="J1215">
        <v>11</v>
      </c>
      <c r="K1215" t="s">
        <v>51</v>
      </c>
      <c r="L1215">
        <v>4</v>
      </c>
      <c r="M1215" t="str">
        <f>VLOOKUP(D1215,State_Lookup!$A$2:$B$28,2,FALSE)</f>
        <v>Espirito Santo</v>
      </c>
    </row>
    <row r="1216" spans="1:13" x14ac:dyDescent="0.45">
      <c r="A1216" t="s">
        <v>1584</v>
      </c>
      <c r="B1216" t="s">
        <v>1577</v>
      </c>
      <c r="C1216" t="s">
        <v>1539</v>
      </c>
      <c r="D1216" t="s">
        <v>24</v>
      </c>
      <c r="E1216" t="s">
        <v>43</v>
      </c>
      <c r="F1216">
        <v>1</v>
      </c>
      <c r="G1216">
        <v>69.900000000000006</v>
      </c>
      <c r="H1216">
        <v>16.739999999999998</v>
      </c>
      <c r="I1216" t="s">
        <v>44</v>
      </c>
      <c r="J1216">
        <v>15</v>
      </c>
      <c r="K1216" t="s">
        <v>51</v>
      </c>
      <c r="L1216">
        <v>3</v>
      </c>
      <c r="M1216" t="str">
        <f>VLOOKUP(D1216,State_Lookup!$A$2:$B$28,2,FALSE)</f>
        <v>Distrito Federal</v>
      </c>
    </row>
    <row r="1217" spans="1:13" x14ac:dyDescent="0.45">
      <c r="A1217" t="s">
        <v>1585</v>
      </c>
      <c r="B1217" t="s">
        <v>1586</v>
      </c>
      <c r="C1217" t="s">
        <v>1539</v>
      </c>
      <c r="D1217" t="s">
        <v>487</v>
      </c>
      <c r="E1217" t="s">
        <v>79</v>
      </c>
      <c r="F1217">
        <v>1</v>
      </c>
      <c r="G1217">
        <v>53</v>
      </c>
      <c r="H1217">
        <v>21.17</v>
      </c>
      <c r="I1217" t="s">
        <v>44</v>
      </c>
      <c r="J1217">
        <v>24</v>
      </c>
      <c r="K1217" t="s">
        <v>51</v>
      </c>
      <c r="L1217">
        <v>5</v>
      </c>
      <c r="M1217" t="str">
        <f>VLOOKUP(D1217,State_Lookup!$A$2:$B$28,2,FALSE)</f>
        <v>Rio Grande do Norte</v>
      </c>
    </row>
    <row r="1218" spans="1:13" x14ac:dyDescent="0.45">
      <c r="A1218" t="s">
        <v>1587</v>
      </c>
      <c r="B1218" t="s">
        <v>1586</v>
      </c>
      <c r="C1218" t="s">
        <v>1539</v>
      </c>
      <c r="D1218" t="s">
        <v>19</v>
      </c>
      <c r="E1218" t="s">
        <v>43</v>
      </c>
      <c r="F1218">
        <v>1</v>
      </c>
      <c r="G1218">
        <v>23.9</v>
      </c>
      <c r="H1218">
        <v>42.38</v>
      </c>
      <c r="I1218" t="s">
        <v>44</v>
      </c>
      <c r="J1218">
        <v>27</v>
      </c>
      <c r="K1218" t="s">
        <v>51</v>
      </c>
      <c r="L1218">
        <v>5</v>
      </c>
      <c r="M1218" t="str">
        <f>VLOOKUP(D1218,State_Lookup!$A$2:$B$28,2,FALSE)</f>
        <v>Rio Grande do Sul</v>
      </c>
    </row>
    <row r="1219" spans="1:13" x14ac:dyDescent="0.45">
      <c r="A1219" t="s">
        <v>1588</v>
      </c>
      <c r="B1219" t="s">
        <v>1586</v>
      </c>
      <c r="C1219" t="s">
        <v>1539</v>
      </c>
      <c r="D1219" t="s">
        <v>21</v>
      </c>
      <c r="E1219" t="s">
        <v>192</v>
      </c>
      <c r="F1219">
        <v>1</v>
      </c>
      <c r="G1219">
        <v>189.99</v>
      </c>
      <c r="H1219">
        <v>18.579999999999998</v>
      </c>
      <c r="I1219" t="s">
        <v>44</v>
      </c>
      <c r="J1219">
        <v>20</v>
      </c>
      <c r="K1219" t="s">
        <v>51</v>
      </c>
      <c r="L1219">
        <v>5</v>
      </c>
      <c r="M1219" t="str">
        <f>VLOOKUP(D1219,State_Lookup!$A$2:$B$28,2,FALSE)</f>
        <v>Santa Catarina</v>
      </c>
    </row>
    <row r="1220" spans="1:13" x14ac:dyDescent="0.45">
      <c r="A1220" t="s">
        <v>1589</v>
      </c>
      <c r="B1220" t="s">
        <v>1586</v>
      </c>
      <c r="C1220" t="s">
        <v>1539</v>
      </c>
      <c r="D1220" t="s">
        <v>16</v>
      </c>
      <c r="E1220" t="s">
        <v>125</v>
      </c>
      <c r="F1220">
        <v>1</v>
      </c>
      <c r="G1220">
        <v>17.899999999999999</v>
      </c>
      <c r="H1220">
        <v>12.48</v>
      </c>
      <c r="I1220" t="s">
        <v>50</v>
      </c>
      <c r="J1220">
        <v>13</v>
      </c>
      <c r="K1220" t="s">
        <v>51</v>
      </c>
      <c r="L1220">
        <v>5</v>
      </c>
      <c r="M1220" t="str">
        <f>VLOOKUP(D1220,State_Lookup!$A$2:$B$28,2,FALSE)</f>
        <v>Sao Paulo</v>
      </c>
    </row>
    <row r="1221" spans="1:13" x14ac:dyDescent="0.45">
      <c r="A1221" t="s">
        <v>1590</v>
      </c>
      <c r="B1221" t="s">
        <v>1586</v>
      </c>
      <c r="C1221" t="s">
        <v>1539</v>
      </c>
      <c r="D1221" t="s">
        <v>24</v>
      </c>
      <c r="E1221" t="s">
        <v>79</v>
      </c>
      <c r="F1221">
        <v>1</v>
      </c>
      <c r="G1221">
        <v>89.9</v>
      </c>
      <c r="H1221">
        <v>15.38</v>
      </c>
      <c r="I1221" t="s">
        <v>44</v>
      </c>
      <c r="J1221">
        <v>6</v>
      </c>
      <c r="K1221" t="s">
        <v>51</v>
      </c>
      <c r="L1221">
        <v>5</v>
      </c>
      <c r="M1221" t="str">
        <f>VLOOKUP(D1221,State_Lookup!$A$2:$B$28,2,FALSE)</f>
        <v>Distrito Federal</v>
      </c>
    </row>
    <row r="1222" spans="1:13" x14ac:dyDescent="0.45">
      <c r="A1222" t="s">
        <v>1591</v>
      </c>
      <c r="B1222" t="s">
        <v>1592</v>
      </c>
      <c r="C1222" t="s">
        <v>1539</v>
      </c>
      <c r="D1222" t="s">
        <v>16</v>
      </c>
      <c r="E1222" t="s">
        <v>43</v>
      </c>
      <c r="F1222">
        <v>1</v>
      </c>
      <c r="G1222">
        <v>49.9</v>
      </c>
      <c r="H1222">
        <v>8.7200000000000006</v>
      </c>
      <c r="I1222" t="s">
        <v>44</v>
      </c>
      <c r="J1222">
        <v>3</v>
      </c>
      <c r="K1222" t="s">
        <v>51</v>
      </c>
      <c r="L1222">
        <v>5</v>
      </c>
      <c r="M1222" t="str">
        <f>VLOOKUP(D1222,State_Lookup!$A$2:$B$28,2,FALSE)</f>
        <v>Sao Paulo</v>
      </c>
    </row>
    <row r="1223" spans="1:13" x14ac:dyDescent="0.45">
      <c r="A1223" t="s">
        <v>1593</v>
      </c>
      <c r="B1223" t="s">
        <v>1592</v>
      </c>
      <c r="C1223" t="s">
        <v>1539</v>
      </c>
      <c r="D1223" t="s">
        <v>141</v>
      </c>
      <c r="E1223" t="s">
        <v>43</v>
      </c>
      <c r="F1223">
        <v>1</v>
      </c>
      <c r="G1223">
        <v>299</v>
      </c>
      <c r="H1223">
        <v>54.45</v>
      </c>
      <c r="I1223" t="s">
        <v>50</v>
      </c>
      <c r="J1223">
        <v>30</v>
      </c>
      <c r="K1223" t="s">
        <v>143</v>
      </c>
      <c r="L1223">
        <v>3</v>
      </c>
      <c r="M1223" t="str">
        <f>VLOOKUP(D1223,State_Lookup!$A$2:$B$28,2,FALSE)</f>
        <v>Maranhao</v>
      </c>
    </row>
    <row r="1224" spans="1:13" x14ac:dyDescent="0.45">
      <c r="A1224" t="s">
        <v>1594</v>
      </c>
      <c r="B1224" t="s">
        <v>1592</v>
      </c>
      <c r="C1224" t="s">
        <v>1539</v>
      </c>
      <c r="D1224" t="s">
        <v>16</v>
      </c>
      <c r="E1224" t="s">
        <v>49</v>
      </c>
      <c r="F1224">
        <v>2</v>
      </c>
      <c r="G1224">
        <v>59.8</v>
      </c>
      <c r="H1224">
        <v>23.7</v>
      </c>
      <c r="I1224" t="s">
        <v>44</v>
      </c>
      <c r="J1224">
        <v>10</v>
      </c>
      <c r="K1224" t="s">
        <v>51</v>
      </c>
      <c r="L1224">
        <v>5</v>
      </c>
      <c r="M1224" t="str">
        <f>VLOOKUP(D1224,State_Lookup!$A$2:$B$28,2,FALSE)</f>
        <v>Sao Paulo</v>
      </c>
    </row>
    <row r="1225" spans="1:13" x14ac:dyDescent="0.45">
      <c r="A1225" t="s">
        <v>1595</v>
      </c>
      <c r="B1225" t="s">
        <v>1592</v>
      </c>
      <c r="C1225" t="s">
        <v>1539</v>
      </c>
      <c r="D1225" t="s">
        <v>16</v>
      </c>
      <c r="E1225" t="s">
        <v>61</v>
      </c>
      <c r="F1225">
        <v>1</v>
      </c>
      <c r="G1225">
        <v>15</v>
      </c>
      <c r="H1225">
        <v>11.85</v>
      </c>
      <c r="I1225" t="s">
        <v>44</v>
      </c>
      <c r="J1225">
        <v>5</v>
      </c>
      <c r="K1225" t="s">
        <v>51</v>
      </c>
      <c r="L1225">
        <v>5</v>
      </c>
      <c r="M1225" t="str">
        <f>VLOOKUP(D1225,State_Lookup!$A$2:$B$28,2,FALSE)</f>
        <v>Sao Paulo</v>
      </c>
    </row>
    <row r="1226" spans="1:13" x14ac:dyDescent="0.45">
      <c r="A1226" t="s">
        <v>1596</v>
      </c>
      <c r="B1226" t="s">
        <v>1592</v>
      </c>
      <c r="C1226" t="s">
        <v>1539</v>
      </c>
      <c r="D1226" t="s">
        <v>17</v>
      </c>
      <c r="E1226" t="s">
        <v>110</v>
      </c>
      <c r="F1226">
        <v>1</v>
      </c>
      <c r="G1226">
        <v>45.95</v>
      </c>
      <c r="H1226">
        <v>15.1</v>
      </c>
      <c r="I1226" t="s">
        <v>44</v>
      </c>
      <c r="J1226">
        <v>16</v>
      </c>
      <c r="K1226" t="s">
        <v>51</v>
      </c>
      <c r="L1226">
        <v>3</v>
      </c>
      <c r="M1226" t="str">
        <f>VLOOKUP(D1226,State_Lookup!$A$2:$B$28,2,FALSE)</f>
        <v>Rio de Janeiro</v>
      </c>
    </row>
    <row r="1227" spans="1:13" x14ac:dyDescent="0.45">
      <c r="A1227" t="s">
        <v>1597</v>
      </c>
      <c r="B1227" t="s">
        <v>1592</v>
      </c>
      <c r="C1227" t="s">
        <v>1539</v>
      </c>
      <c r="D1227" t="s">
        <v>16</v>
      </c>
      <c r="E1227" t="s">
        <v>66</v>
      </c>
      <c r="F1227">
        <v>1</v>
      </c>
      <c r="G1227">
        <v>299.99</v>
      </c>
      <c r="H1227">
        <v>22.9</v>
      </c>
      <c r="I1227" t="s">
        <v>44</v>
      </c>
      <c r="J1227">
        <v>6</v>
      </c>
      <c r="K1227" t="s">
        <v>51</v>
      </c>
      <c r="L1227">
        <v>3</v>
      </c>
      <c r="M1227" t="str">
        <f>VLOOKUP(D1227,State_Lookup!$A$2:$B$28,2,FALSE)</f>
        <v>Sao Paulo</v>
      </c>
    </row>
    <row r="1228" spans="1:13" x14ac:dyDescent="0.45">
      <c r="A1228" t="s">
        <v>1598</v>
      </c>
      <c r="B1228" t="s">
        <v>1599</v>
      </c>
      <c r="C1228" t="s">
        <v>1539</v>
      </c>
      <c r="D1228" t="s">
        <v>16</v>
      </c>
      <c r="E1228" t="s">
        <v>49</v>
      </c>
      <c r="F1228">
        <v>1</v>
      </c>
      <c r="G1228">
        <v>159.9</v>
      </c>
      <c r="H1228">
        <v>14.14</v>
      </c>
      <c r="I1228" t="s">
        <v>44</v>
      </c>
      <c r="J1228">
        <v>9</v>
      </c>
      <c r="K1228" t="s">
        <v>51</v>
      </c>
      <c r="L1228">
        <v>5</v>
      </c>
      <c r="M1228" t="str">
        <f>VLOOKUP(D1228,State_Lookup!$A$2:$B$28,2,FALSE)</f>
        <v>Sao Paulo</v>
      </c>
    </row>
    <row r="1229" spans="1:13" x14ac:dyDescent="0.45">
      <c r="A1229" t="s">
        <v>1600</v>
      </c>
      <c r="B1229" t="s">
        <v>1599</v>
      </c>
      <c r="C1229" t="s">
        <v>1539</v>
      </c>
      <c r="D1229" t="s">
        <v>24</v>
      </c>
      <c r="E1229" t="s">
        <v>668</v>
      </c>
      <c r="F1229">
        <v>1</v>
      </c>
      <c r="G1229">
        <v>79</v>
      </c>
      <c r="H1229">
        <v>16.309999999999999</v>
      </c>
      <c r="I1229" t="s">
        <v>44</v>
      </c>
      <c r="J1229">
        <v>25</v>
      </c>
      <c r="K1229" t="s">
        <v>143</v>
      </c>
      <c r="L1229">
        <v>1</v>
      </c>
      <c r="M1229" t="str">
        <f>VLOOKUP(D1229,State_Lookup!$A$2:$B$28,2,FALSE)</f>
        <v>Distrito Federal</v>
      </c>
    </row>
    <row r="1230" spans="1:13" x14ac:dyDescent="0.45">
      <c r="A1230" t="s">
        <v>1601</v>
      </c>
      <c r="B1230" t="s">
        <v>1599</v>
      </c>
      <c r="C1230" t="s">
        <v>1539</v>
      </c>
      <c r="D1230" t="s">
        <v>21</v>
      </c>
      <c r="E1230" t="s">
        <v>64</v>
      </c>
      <c r="F1230">
        <v>1</v>
      </c>
      <c r="G1230">
        <v>39.5</v>
      </c>
      <c r="H1230">
        <v>15.1</v>
      </c>
      <c r="I1230" t="s">
        <v>44</v>
      </c>
      <c r="J1230">
        <v>5</v>
      </c>
      <c r="K1230" t="s">
        <v>51</v>
      </c>
      <c r="L1230">
        <v>5</v>
      </c>
      <c r="M1230" t="str">
        <f>VLOOKUP(D1230,State_Lookup!$A$2:$B$28,2,FALSE)</f>
        <v>Santa Catarina</v>
      </c>
    </row>
    <row r="1231" spans="1:13" x14ac:dyDescent="0.45">
      <c r="A1231" t="s">
        <v>1602</v>
      </c>
      <c r="B1231" t="s">
        <v>1599</v>
      </c>
      <c r="C1231" t="s">
        <v>1539</v>
      </c>
      <c r="D1231" t="s">
        <v>16</v>
      </c>
      <c r="E1231" t="s">
        <v>950</v>
      </c>
      <c r="F1231">
        <v>2</v>
      </c>
      <c r="G1231">
        <v>190.9</v>
      </c>
      <c r="H1231">
        <v>52.22</v>
      </c>
      <c r="I1231" t="s">
        <v>44</v>
      </c>
      <c r="J1231">
        <v>15</v>
      </c>
      <c r="K1231" t="s">
        <v>51</v>
      </c>
      <c r="L1231">
        <v>3</v>
      </c>
      <c r="M1231" t="str">
        <f>VLOOKUP(D1231,State_Lookup!$A$2:$B$28,2,FALSE)</f>
        <v>Sao Paulo</v>
      </c>
    </row>
    <row r="1232" spans="1:13" x14ac:dyDescent="0.45">
      <c r="A1232" t="s">
        <v>1603</v>
      </c>
      <c r="B1232" t="s">
        <v>1599</v>
      </c>
      <c r="C1232" t="s">
        <v>1539</v>
      </c>
      <c r="D1232" t="s">
        <v>22</v>
      </c>
      <c r="E1232" t="s">
        <v>148</v>
      </c>
      <c r="F1232">
        <v>1</v>
      </c>
      <c r="G1232">
        <v>99.99</v>
      </c>
      <c r="H1232">
        <v>19.940000000000001</v>
      </c>
      <c r="I1232" t="s">
        <v>50</v>
      </c>
      <c r="J1232">
        <v>16</v>
      </c>
      <c r="K1232" t="s">
        <v>51</v>
      </c>
      <c r="L1232">
        <v>5</v>
      </c>
      <c r="M1232" t="str">
        <f>VLOOKUP(D1232,State_Lookup!$A$2:$B$28,2,FALSE)</f>
        <v>Bahia</v>
      </c>
    </row>
    <row r="1233" spans="1:13" x14ac:dyDescent="0.45">
      <c r="A1233" t="s">
        <v>1604</v>
      </c>
      <c r="B1233" t="s">
        <v>1599</v>
      </c>
      <c r="C1233" t="s">
        <v>1539</v>
      </c>
      <c r="D1233" t="s">
        <v>16</v>
      </c>
      <c r="E1233" t="s">
        <v>49</v>
      </c>
      <c r="F1233">
        <v>1</v>
      </c>
      <c r="G1233">
        <v>205</v>
      </c>
      <c r="H1233">
        <v>14.45</v>
      </c>
      <c r="I1233" t="s">
        <v>44</v>
      </c>
      <c r="J1233">
        <v>8</v>
      </c>
      <c r="K1233" t="s">
        <v>51</v>
      </c>
      <c r="L1233">
        <v>5</v>
      </c>
      <c r="M1233" t="str">
        <f>VLOOKUP(D1233,State_Lookup!$A$2:$B$28,2,FALSE)</f>
        <v>Sao Paulo</v>
      </c>
    </row>
    <row r="1234" spans="1:13" x14ac:dyDescent="0.45">
      <c r="A1234" t="s">
        <v>1605</v>
      </c>
      <c r="B1234" t="s">
        <v>1599</v>
      </c>
      <c r="C1234" t="s">
        <v>1539</v>
      </c>
      <c r="D1234" t="s">
        <v>22</v>
      </c>
      <c r="E1234" t="s">
        <v>157</v>
      </c>
      <c r="F1234">
        <v>2</v>
      </c>
      <c r="G1234">
        <v>300</v>
      </c>
      <c r="H1234">
        <v>34.979999999999997</v>
      </c>
      <c r="I1234" t="s">
        <v>44</v>
      </c>
      <c r="J1234">
        <v>36</v>
      </c>
      <c r="K1234" t="s">
        <v>143</v>
      </c>
      <c r="L1234">
        <v>4</v>
      </c>
      <c r="M1234" t="str">
        <f>VLOOKUP(D1234,State_Lookup!$A$2:$B$28,2,FALSE)</f>
        <v>Bahia</v>
      </c>
    </row>
    <row r="1235" spans="1:13" x14ac:dyDescent="0.45">
      <c r="A1235" t="s">
        <v>1606</v>
      </c>
      <c r="B1235" t="s">
        <v>1599</v>
      </c>
      <c r="C1235" t="s">
        <v>1539</v>
      </c>
      <c r="D1235" t="s">
        <v>16</v>
      </c>
      <c r="E1235" t="s">
        <v>152</v>
      </c>
      <c r="F1235">
        <v>1</v>
      </c>
      <c r="G1235">
        <v>43.9</v>
      </c>
      <c r="H1235">
        <v>16.11</v>
      </c>
      <c r="I1235" t="s">
        <v>133</v>
      </c>
      <c r="J1235">
        <v>8</v>
      </c>
      <c r="K1235" t="s">
        <v>51</v>
      </c>
      <c r="L1235">
        <v>3</v>
      </c>
      <c r="M1235" t="str">
        <f>VLOOKUP(D1235,State_Lookup!$A$2:$B$28,2,FALSE)</f>
        <v>Sao Paulo</v>
      </c>
    </row>
    <row r="1236" spans="1:13" x14ac:dyDescent="0.45">
      <c r="A1236" t="s">
        <v>1607</v>
      </c>
      <c r="B1236" t="s">
        <v>1608</v>
      </c>
      <c r="C1236" t="s">
        <v>1539</v>
      </c>
      <c r="D1236" t="s">
        <v>16</v>
      </c>
      <c r="E1236" t="s">
        <v>49</v>
      </c>
      <c r="F1236">
        <v>1</v>
      </c>
      <c r="G1236">
        <v>24.99</v>
      </c>
      <c r="H1236">
        <v>8.7200000000000006</v>
      </c>
      <c r="I1236" t="s">
        <v>133</v>
      </c>
      <c r="J1236">
        <v>2</v>
      </c>
      <c r="K1236" t="s">
        <v>51</v>
      </c>
      <c r="L1236">
        <v>5</v>
      </c>
      <c r="M1236" t="str">
        <f>VLOOKUP(D1236,State_Lookup!$A$2:$B$28,2,FALSE)</f>
        <v>Sao Paulo</v>
      </c>
    </row>
    <row r="1237" spans="1:13" x14ac:dyDescent="0.45">
      <c r="A1237" t="s">
        <v>1609</v>
      </c>
      <c r="B1237" t="s">
        <v>1608</v>
      </c>
      <c r="C1237" t="s">
        <v>1539</v>
      </c>
      <c r="D1237" t="s">
        <v>17</v>
      </c>
      <c r="E1237" t="s">
        <v>148</v>
      </c>
      <c r="F1237">
        <v>1</v>
      </c>
      <c r="G1237">
        <v>99.99</v>
      </c>
      <c r="H1237">
        <v>16.95</v>
      </c>
      <c r="I1237" t="s">
        <v>44</v>
      </c>
      <c r="J1237">
        <v>22</v>
      </c>
      <c r="K1237" t="s">
        <v>143</v>
      </c>
      <c r="L1237">
        <v>1</v>
      </c>
      <c r="M1237" t="str">
        <f>VLOOKUP(D1237,State_Lookup!$A$2:$B$28,2,FALSE)</f>
        <v>Rio de Janeiro</v>
      </c>
    </row>
    <row r="1238" spans="1:13" x14ac:dyDescent="0.45">
      <c r="A1238" t="s">
        <v>1610</v>
      </c>
      <c r="B1238" t="s">
        <v>1608</v>
      </c>
      <c r="C1238" t="s">
        <v>1539</v>
      </c>
      <c r="D1238" t="s">
        <v>128</v>
      </c>
      <c r="E1238" t="s">
        <v>100</v>
      </c>
      <c r="F1238">
        <v>1</v>
      </c>
      <c r="G1238">
        <v>890</v>
      </c>
      <c r="H1238">
        <v>92.85</v>
      </c>
      <c r="I1238" t="s">
        <v>50</v>
      </c>
      <c r="J1238">
        <v>18</v>
      </c>
      <c r="K1238" t="s">
        <v>51</v>
      </c>
      <c r="L1238">
        <v>4</v>
      </c>
      <c r="M1238" t="str">
        <f>VLOOKUP(D1238,State_Lookup!$A$2:$B$28,2,FALSE)</f>
        <v>Ceara</v>
      </c>
    </row>
    <row r="1239" spans="1:13" x14ac:dyDescent="0.45">
      <c r="A1239" t="s">
        <v>1611</v>
      </c>
      <c r="B1239" t="s">
        <v>1608</v>
      </c>
      <c r="C1239" t="s">
        <v>1539</v>
      </c>
      <c r="D1239" t="s">
        <v>19</v>
      </c>
      <c r="E1239" t="s">
        <v>79</v>
      </c>
      <c r="F1239">
        <v>2</v>
      </c>
      <c r="G1239">
        <v>273.8</v>
      </c>
      <c r="H1239">
        <v>54.74</v>
      </c>
      <c r="I1239" t="s">
        <v>44</v>
      </c>
      <c r="J1239">
        <v>3</v>
      </c>
      <c r="K1239" t="s">
        <v>51</v>
      </c>
      <c r="L1239">
        <v>2</v>
      </c>
      <c r="M1239" t="str">
        <f>VLOOKUP(D1239,State_Lookup!$A$2:$B$28,2,FALSE)</f>
        <v>Rio Grande do Sul</v>
      </c>
    </row>
    <row r="1240" spans="1:13" x14ac:dyDescent="0.45">
      <c r="A1240" t="s">
        <v>1612</v>
      </c>
      <c r="B1240" t="s">
        <v>1613</v>
      </c>
      <c r="C1240" t="s">
        <v>1539</v>
      </c>
      <c r="D1240" t="s">
        <v>16</v>
      </c>
      <c r="E1240" t="s">
        <v>125</v>
      </c>
      <c r="F1240">
        <v>1</v>
      </c>
      <c r="G1240">
        <v>27.9</v>
      </c>
      <c r="H1240">
        <v>15.1</v>
      </c>
      <c r="I1240" t="s">
        <v>44</v>
      </c>
      <c r="J1240">
        <v>2</v>
      </c>
      <c r="K1240" t="s">
        <v>51</v>
      </c>
      <c r="L1240">
        <v>5</v>
      </c>
      <c r="M1240" t="str">
        <f>VLOOKUP(D1240,State_Lookup!$A$2:$B$28,2,FALSE)</f>
        <v>Sao Paulo</v>
      </c>
    </row>
    <row r="1241" spans="1:13" x14ac:dyDescent="0.45">
      <c r="A1241" t="s">
        <v>1614</v>
      </c>
      <c r="B1241" t="s">
        <v>1613</v>
      </c>
      <c r="C1241" t="s">
        <v>1539</v>
      </c>
      <c r="D1241" t="s">
        <v>16</v>
      </c>
      <c r="E1241" t="s">
        <v>49</v>
      </c>
      <c r="F1241">
        <v>2</v>
      </c>
      <c r="G1241">
        <v>319.98</v>
      </c>
      <c r="H1241">
        <v>26.92</v>
      </c>
      <c r="I1241" t="s">
        <v>44</v>
      </c>
      <c r="J1241">
        <v>6</v>
      </c>
      <c r="K1241" t="s">
        <v>51</v>
      </c>
      <c r="L1241">
        <v>3</v>
      </c>
      <c r="M1241" t="str">
        <f>VLOOKUP(D1241,State_Lookup!$A$2:$B$28,2,FALSE)</f>
        <v>Sao Paulo</v>
      </c>
    </row>
    <row r="1242" spans="1:13" x14ac:dyDescent="0.45">
      <c r="A1242" t="s">
        <v>1615</v>
      </c>
      <c r="B1242" t="s">
        <v>1613</v>
      </c>
      <c r="C1242" t="s">
        <v>1539</v>
      </c>
      <c r="D1242" t="s">
        <v>16</v>
      </c>
      <c r="E1242" t="s">
        <v>43</v>
      </c>
      <c r="F1242">
        <v>1</v>
      </c>
      <c r="G1242">
        <v>89.9</v>
      </c>
      <c r="H1242">
        <v>9.44</v>
      </c>
      <c r="I1242" t="s">
        <v>44</v>
      </c>
      <c r="J1242">
        <v>2</v>
      </c>
      <c r="K1242" t="s">
        <v>51</v>
      </c>
      <c r="L1242">
        <v>3</v>
      </c>
      <c r="M1242" t="str">
        <f>VLOOKUP(D1242,State_Lookup!$A$2:$B$28,2,FALSE)</f>
        <v>Sao Paulo</v>
      </c>
    </row>
    <row r="1243" spans="1:13" x14ac:dyDescent="0.45">
      <c r="A1243" t="s">
        <v>1616</v>
      </c>
      <c r="B1243" t="s">
        <v>1613</v>
      </c>
      <c r="C1243" t="s">
        <v>1539</v>
      </c>
      <c r="D1243" t="s">
        <v>16</v>
      </c>
      <c r="E1243" t="s">
        <v>157</v>
      </c>
      <c r="F1243">
        <v>1</v>
      </c>
      <c r="G1243">
        <v>55</v>
      </c>
      <c r="H1243">
        <v>11.89</v>
      </c>
      <c r="I1243" t="s">
        <v>44</v>
      </c>
      <c r="J1243">
        <v>8</v>
      </c>
      <c r="K1243" t="s">
        <v>51</v>
      </c>
      <c r="L1243">
        <v>5</v>
      </c>
      <c r="M1243" t="str">
        <f>VLOOKUP(D1243,State_Lookup!$A$2:$B$28,2,FALSE)</f>
        <v>Sao Paulo</v>
      </c>
    </row>
    <row r="1244" spans="1:13" x14ac:dyDescent="0.45">
      <c r="A1244" t="s">
        <v>1617</v>
      </c>
      <c r="B1244" t="s">
        <v>1613</v>
      </c>
      <c r="C1244" t="s">
        <v>1539</v>
      </c>
      <c r="D1244" t="s">
        <v>16</v>
      </c>
      <c r="E1244" t="s">
        <v>61</v>
      </c>
      <c r="F1244">
        <v>10</v>
      </c>
      <c r="G1244">
        <v>1379</v>
      </c>
      <c r="H1244">
        <v>388.1</v>
      </c>
      <c r="I1244" t="s">
        <v>50</v>
      </c>
      <c r="J1244">
        <v>14</v>
      </c>
      <c r="K1244" t="s">
        <v>51</v>
      </c>
      <c r="L1244">
        <v>1</v>
      </c>
      <c r="M1244" t="str">
        <f>VLOOKUP(D1244,State_Lookup!$A$2:$B$28,2,FALSE)</f>
        <v>Sao Paulo</v>
      </c>
    </row>
    <row r="1245" spans="1:13" x14ac:dyDescent="0.45">
      <c r="A1245" t="s">
        <v>1618</v>
      </c>
      <c r="B1245" t="s">
        <v>1613</v>
      </c>
      <c r="C1245" t="s">
        <v>1539</v>
      </c>
      <c r="D1245" t="s">
        <v>22</v>
      </c>
      <c r="E1245" t="s">
        <v>66</v>
      </c>
      <c r="F1245">
        <v>2</v>
      </c>
      <c r="G1245">
        <v>51.98</v>
      </c>
      <c r="H1245">
        <v>31.58</v>
      </c>
      <c r="I1245" t="s">
        <v>50</v>
      </c>
      <c r="J1245">
        <v>27</v>
      </c>
      <c r="K1245" t="s">
        <v>143</v>
      </c>
      <c r="L1245">
        <v>1</v>
      </c>
      <c r="M1245" t="str">
        <f>VLOOKUP(D1245,State_Lookup!$A$2:$B$28,2,FALSE)</f>
        <v>Bahia</v>
      </c>
    </row>
    <row r="1246" spans="1:13" x14ac:dyDescent="0.45">
      <c r="A1246" t="s">
        <v>1619</v>
      </c>
      <c r="B1246" t="s">
        <v>1613</v>
      </c>
      <c r="C1246" t="s">
        <v>1539</v>
      </c>
      <c r="D1246" t="s">
        <v>672</v>
      </c>
      <c r="E1246" t="s">
        <v>69</v>
      </c>
      <c r="F1246">
        <v>1</v>
      </c>
      <c r="G1246">
        <v>59.9</v>
      </c>
      <c r="H1246">
        <v>37.97</v>
      </c>
      <c r="I1246" t="s">
        <v>44</v>
      </c>
      <c r="J1246">
        <v>102</v>
      </c>
      <c r="K1246" t="s">
        <v>143</v>
      </c>
      <c r="M1246" t="str">
        <f>VLOOKUP(D1246,State_Lookup!$A$2:$B$28,2,FALSE)</f>
        <v>Paraiba</v>
      </c>
    </row>
    <row r="1247" spans="1:13" x14ac:dyDescent="0.45">
      <c r="A1247" t="s">
        <v>1620</v>
      </c>
      <c r="B1247" t="s">
        <v>1613</v>
      </c>
      <c r="C1247" t="s">
        <v>1539</v>
      </c>
      <c r="D1247" t="s">
        <v>16</v>
      </c>
      <c r="E1247" t="s">
        <v>142</v>
      </c>
      <c r="F1247">
        <v>1</v>
      </c>
      <c r="G1247">
        <v>55</v>
      </c>
      <c r="H1247">
        <v>11.89</v>
      </c>
      <c r="I1247" t="s">
        <v>44</v>
      </c>
      <c r="J1247">
        <v>8</v>
      </c>
      <c r="K1247" t="s">
        <v>51</v>
      </c>
      <c r="L1247">
        <v>5</v>
      </c>
      <c r="M1247" t="str">
        <f>VLOOKUP(D1247,State_Lookup!$A$2:$B$28,2,FALSE)</f>
        <v>Sao Paulo</v>
      </c>
    </row>
    <row r="1248" spans="1:13" x14ac:dyDescent="0.45">
      <c r="A1248" t="s">
        <v>1621</v>
      </c>
      <c r="B1248" t="s">
        <v>1613</v>
      </c>
      <c r="C1248" t="s">
        <v>1539</v>
      </c>
      <c r="D1248" t="s">
        <v>20</v>
      </c>
      <c r="E1248" t="s">
        <v>79</v>
      </c>
      <c r="F1248">
        <v>1</v>
      </c>
      <c r="G1248">
        <v>79.900000000000006</v>
      </c>
      <c r="H1248">
        <v>15.31</v>
      </c>
      <c r="I1248" t="s">
        <v>44</v>
      </c>
      <c r="J1248">
        <v>6</v>
      </c>
      <c r="K1248" t="s">
        <v>51</v>
      </c>
      <c r="L1248">
        <v>5</v>
      </c>
      <c r="M1248" t="str">
        <f>VLOOKUP(D1248,State_Lookup!$A$2:$B$28,2,FALSE)</f>
        <v>Parana</v>
      </c>
    </row>
    <row r="1249" spans="1:13" x14ac:dyDescent="0.45">
      <c r="A1249" t="s">
        <v>1622</v>
      </c>
      <c r="B1249" t="s">
        <v>1613</v>
      </c>
      <c r="C1249" t="s">
        <v>1539</v>
      </c>
      <c r="D1249" t="s">
        <v>16</v>
      </c>
      <c r="E1249" t="s">
        <v>103</v>
      </c>
      <c r="F1249">
        <v>1</v>
      </c>
      <c r="G1249">
        <v>172.33</v>
      </c>
      <c r="H1249">
        <v>18.489999999999998</v>
      </c>
      <c r="I1249" t="s">
        <v>44</v>
      </c>
      <c r="J1249">
        <v>10</v>
      </c>
      <c r="K1249" t="s">
        <v>51</v>
      </c>
      <c r="L1249">
        <v>5</v>
      </c>
      <c r="M1249" t="str">
        <f>VLOOKUP(D1249,State_Lookup!$A$2:$B$28,2,FALSE)</f>
        <v>Sao Paulo</v>
      </c>
    </row>
    <row r="1250" spans="1:13" x14ac:dyDescent="0.45">
      <c r="A1250" t="s">
        <v>1623</v>
      </c>
      <c r="B1250" t="s">
        <v>1613</v>
      </c>
      <c r="C1250" t="s">
        <v>1539</v>
      </c>
      <c r="D1250" t="s">
        <v>128</v>
      </c>
      <c r="E1250" t="s">
        <v>43</v>
      </c>
      <c r="F1250">
        <v>1</v>
      </c>
      <c r="G1250">
        <v>99.99</v>
      </c>
      <c r="H1250">
        <v>25.15</v>
      </c>
      <c r="I1250" t="s">
        <v>44</v>
      </c>
      <c r="J1250">
        <v>14</v>
      </c>
      <c r="K1250" t="s">
        <v>51</v>
      </c>
      <c r="L1250">
        <v>1</v>
      </c>
      <c r="M1250" t="str">
        <f>VLOOKUP(D1250,State_Lookup!$A$2:$B$28,2,FALSE)</f>
        <v>Ceara</v>
      </c>
    </row>
    <row r="1251" spans="1:13" x14ac:dyDescent="0.45">
      <c r="A1251" t="s">
        <v>1624</v>
      </c>
      <c r="B1251" t="s">
        <v>1613</v>
      </c>
      <c r="C1251" t="s">
        <v>1539</v>
      </c>
      <c r="D1251" t="s">
        <v>16</v>
      </c>
      <c r="E1251" t="s">
        <v>132</v>
      </c>
      <c r="F1251">
        <v>4</v>
      </c>
      <c r="G1251">
        <v>919.6</v>
      </c>
      <c r="H1251">
        <v>68.2</v>
      </c>
      <c r="I1251" t="s">
        <v>44</v>
      </c>
      <c r="J1251">
        <v>10</v>
      </c>
      <c r="K1251" t="s">
        <v>51</v>
      </c>
      <c r="L1251">
        <v>1</v>
      </c>
      <c r="M1251" t="str">
        <f>VLOOKUP(D1251,State_Lookup!$A$2:$B$28,2,FALSE)</f>
        <v>Sao Paulo</v>
      </c>
    </row>
    <row r="1252" spans="1:13" x14ac:dyDescent="0.45">
      <c r="A1252" t="s">
        <v>1625</v>
      </c>
      <c r="B1252" t="s">
        <v>1613</v>
      </c>
      <c r="C1252" t="s">
        <v>1539</v>
      </c>
      <c r="D1252" t="s">
        <v>18</v>
      </c>
      <c r="E1252" t="s">
        <v>53</v>
      </c>
      <c r="F1252">
        <v>1</v>
      </c>
      <c r="G1252">
        <v>74.8</v>
      </c>
      <c r="H1252">
        <v>17.77</v>
      </c>
      <c r="I1252" t="s">
        <v>44</v>
      </c>
      <c r="J1252">
        <v>10</v>
      </c>
      <c r="K1252" t="s">
        <v>51</v>
      </c>
      <c r="L1252">
        <v>5</v>
      </c>
      <c r="M1252" t="str">
        <f>VLOOKUP(D1252,State_Lookup!$A$2:$B$28,2,FALSE)</f>
        <v>Minas Gerais</v>
      </c>
    </row>
    <row r="1253" spans="1:13" x14ac:dyDescent="0.45">
      <c r="A1253" t="s">
        <v>1626</v>
      </c>
      <c r="B1253" t="s">
        <v>1627</v>
      </c>
      <c r="C1253" t="s">
        <v>1539</v>
      </c>
      <c r="D1253" t="s">
        <v>22</v>
      </c>
      <c r="E1253" t="s">
        <v>49</v>
      </c>
      <c r="F1253">
        <v>2</v>
      </c>
      <c r="G1253">
        <v>119.8</v>
      </c>
      <c r="H1253">
        <v>33.72</v>
      </c>
      <c r="I1253" t="s">
        <v>50</v>
      </c>
      <c r="J1253">
        <v>20</v>
      </c>
      <c r="K1253" t="s">
        <v>51</v>
      </c>
      <c r="L1253">
        <v>5</v>
      </c>
      <c r="M1253" t="str">
        <f>VLOOKUP(D1253,State_Lookup!$A$2:$B$28,2,FALSE)</f>
        <v>Bahia</v>
      </c>
    </row>
    <row r="1254" spans="1:13" x14ac:dyDescent="0.45">
      <c r="A1254" t="s">
        <v>1628</v>
      </c>
      <c r="B1254" t="s">
        <v>1627</v>
      </c>
      <c r="C1254" t="s">
        <v>1539</v>
      </c>
      <c r="D1254" t="s">
        <v>16</v>
      </c>
      <c r="E1254" t="s">
        <v>142</v>
      </c>
      <c r="F1254">
        <v>1</v>
      </c>
      <c r="G1254">
        <v>82.59</v>
      </c>
      <c r="H1254">
        <v>13.6</v>
      </c>
      <c r="I1254" t="s">
        <v>50</v>
      </c>
      <c r="J1254">
        <v>6</v>
      </c>
      <c r="K1254" t="s">
        <v>51</v>
      </c>
      <c r="L1254">
        <v>5</v>
      </c>
      <c r="M1254" t="str">
        <f>VLOOKUP(D1254,State_Lookup!$A$2:$B$28,2,FALSE)</f>
        <v>Sao Paulo</v>
      </c>
    </row>
    <row r="1255" spans="1:13" x14ac:dyDescent="0.45">
      <c r="A1255" t="s">
        <v>1629</v>
      </c>
      <c r="B1255" t="s">
        <v>1627</v>
      </c>
      <c r="C1255" t="s">
        <v>1539</v>
      </c>
      <c r="D1255" t="s">
        <v>16</v>
      </c>
      <c r="E1255" t="s">
        <v>103</v>
      </c>
      <c r="F1255">
        <v>1</v>
      </c>
      <c r="G1255">
        <v>50</v>
      </c>
      <c r="H1255">
        <v>9.34</v>
      </c>
      <c r="I1255" t="s">
        <v>44</v>
      </c>
      <c r="J1255">
        <v>3</v>
      </c>
      <c r="K1255" t="s">
        <v>51</v>
      </c>
      <c r="L1255">
        <v>5</v>
      </c>
      <c r="M1255" t="str">
        <f>VLOOKUP(D1255,State_Lookup!$A$2:$B$28,2,FALSE)</f>
        <v>Sao Paulo</v>
      </c>
    </row>
    <row r="1256" spans="1:13" x14ac:dyDescent="0.45">
      <c r="A1256" t="s">
        <v>1630</v>
      </c>
      <c r="B1256" t="s">
        <v>1627</v>
      </c>
      <c r="C1256" t="s">
        <v>1539</v>
      </c>
      <c r="D1256" t="s">
        <v>632</v>
      </c>
      <c r="E1256" t="s">
        <v>64</v>
      </c>
      <c r="F1256">
        <v>1</v>
      </c>
      <c r="G1256">
        <v>56.99</v>
      </c>
      <c r="H1256">
        <v>21.2</v>
      </c>
      <c r="I1256" t="s">
        <v>44</v>
      </c>
      <c r="J1256">
        <v>43</v>
      </c>
      <c r="K1256" t="s">
        <v>143</v>
      </c>
      <c r="L1256">
        <v>1</v>
      </c>
      <c r="M1256" t="str">
        <f>VLOOKUP(D1256,State_Lookup!$A$2:$B$28,2,FALSE)</f>
        <v>Alagoas</v>
      </c>
    </row>
    <row r="1257" spans="1:13" x14ac:dyDescent="0.45">
      <c r="A1257" t="s">
        <v>1631</v>
      </c>
      <c r="B1257" t="s">
        <v>1627</v>
      </c>
      <c r="C1257" t="s">
        <v>1539</v>
      </c>
      <c r="D1257" t="s">
        <v>63</v>
      </c>
      <c r="E1257" t="s">
        <v>43</v>
      </c>
      <c r="F1257">
        <v>1</v>
      </c>
      <c r="G1257">
        <v>89.9</v>
      </c>
      <c r="H1257">
        <v>27.17</v>
      </c>
      <c r="I1257" t="s">
        <v>44</v>
      </c>
      <c r="J1257">
        <v>15</v>
      </c>
      <c r="K1257" t="s">
        <v>51</v>
      </c>
      <c r="L1257">
        <v>5</v>
      </c>
      <c r="M1257" t="str">
        <f>VLOOKUP(D1257,State_Lookup!$A$2:$B$28,2,FALSE)</f>
        <v>Pernambuco</v>
      </c>
    </row>
    <row r="1258" spans="1:13" x14ac:dyDescent="0.45">
      <c r="A1258" t="s">
        <v>1632</v>
      </c>
      <c r="B1258" t="s">
        <v>1633</v>
      </c>
      <c r="C1258" t="s">
        <v>1539</v>
      </c>
      <c r="D1258" t="s">
        <v>19</v>
      </c>
      <c r="E1258" t="s">
        <v>64</v>
      </c>
      <c r="F1258">
        <v>1</v>
      </c>
      <c r="G1258">
        <v>56.99</v>
      </c>
      <c r="H1258">
        <v>14.15</v>
      </c>
      <c r="I1258" t="s">
        <v>44</v>
      </c>
      <c r="J1258">
        <v>15</v>
      </c>
      <c r="K1258" t="s">
        <v>51</v>
      </c>
      <c r="L1258">
        <v>5</v>
      </c>
      <c r="M1258" t="str">
        <f>VLOOKUP(D1258,State_Lookup!$A$2:$B$28,2,FALSE)</f>
        <v>Rio Grande do Sul</v>
      </c>
    </row>
    <row r="1259" spans="1:13" x14ac:dyDescent="0.45">
      <c r="A1259" t="s">
        <v>1634</v>
      </c>
      <c r="B1259" t="s">
        <v>1633</v>
      </c>
      <c r="C1259" t="s">
        <v>1539</v>
      </c>
      <c r="D1259" t="s">
        <v>16</v>
      </c>
      <c r="E1259" t="s">
        <v>53</v>
      </c>
      <c r="F1259">
        <v>2</v>
      </c>
      <c r="G1259">
        <v>109.9</v>
      </c>
      <c r="H1259">
        <v>25.44</v>
      </c>
      <c r="I1259" t="s">
        <v>44</v>
      </c>
      <c r="J1259">
        <v>27</v>
      </c>
      <c r="K1259" t="s">
        <v>143</v>
      </c>
      <c r="L1259">
        <v>1</v>
      </c>
      <c r="M1259" t="str">
        <f>VLOOKUP(D1259,State_Lookup!$A$2:$B$28,2,FALSE)</f>
        <v>Sao Paulo</v>
      </c>
    </row>
    <row r="1260" spans="1:13" x14ac:dyDescent="0.45">
      <c r="A1260" t="s">
        <v>1635</v>
      </c>
      <c r="B1260" t="s">
        <v>1633</v>
      </c>
      <c r="C1260" t="s">
        <v>1539</v>
      </c>
      <c r="D1260" t="s">
        <v>18</v>
      </c>
      <c r="E1260" t="s">
        <v>142</v>
      </c>
      <c r="F1260">
        <v>1</v>
      </c>
      <c r="G1260">
        <v>156.88999999999999</v>
      </c>
      <c r="H1260">
        <v>31.85</v>
      </c>
      <c r="I1260" t="s">
        <v>50</v>
      </c>
      <c r="J1260">
        <v>13</v>
      </c>
      <c r="K1260" t="s">
        <v>51</v>
      </c>
      <c r="L1260">
        <v>4</v>
      </c>
      <c r="M1260" t="str">
        <f>VLOOKUP(D1260,State_Lookup!$A$2:$B$28,2,FALSE)</f>
        <v>Minas Gerais</v>
      </c>
    </row>
    <row r="1261" spans="1:13" x14ac:dyDescent="0.45">
      <c r="A1261" t="s">
        <v>1636</v>
      </c>
      <c r="B1261" t="s">
        <v>1633</v>
      </c>
      <c r="C1261" t="s">
        <v>1539</v>
      </c>
      <c r="D1261" t="s">
        <v>24</v>
      </c>
      <c r="E1261" t="s">
        <v>1637</v>
      </c>
      <c r="F1261">
        <v>2</v>
      </c>
      <c r="G1261">
        <v>117.8</v>
      </c>
      <c r="H1261">
        <v>32.340000000000003</v>
      </c>
      <c r="I1261" t="s">
        <v>44</v>
      </c>
      <c r="J1261">
        <v>13</v>
      </c>
      <c r="K1261" t="s">
        <v>51</v>
      </c>
      <c r="L1261">
        <v>5</v>
      </c>
      <c r="M1261" t="str">
        <f>VLOOKUP(D1261,State_Lookup!$A$2:$B$28,2,FALSE)</f>
        <v>Distrito Federal</v>
      </c>
    </row>
    <row r="1262" spans="1:13" x14ac:dyDescent="0.45">
      <c r="A1262" t="s">
        <v>1638</v>
      </c>
      <c r="B1262" t="s">
        <v>1633</v>
      </c>
      <c r="C1262" t="s">
        <v>1539</v>
      </c>
      <c r="D1262" t="s">
        <v>17</v>
      </c>
      <c r="E1262" t="s">
        <v>157</v>
      </c>
      <c r="F1262">
        <v>1</v>
      </c>
      <c r="G1262">
        <v>499.9</v>
      </c>
      <c r="H1262">
        <v>17.25</v>
      </c>
      <c r="I1262" t="s">
        <v>44</v>
      </c>
      <c r="J1262">
        <v>12</v>
      </c>
      <c r="K1262" t="s">
        <v>51</v>
      </c>
      <c r="L1262">
        <v>5</v>
      </c>
      <c r="M1262" t="str">
        <f>VLOOKUP(D1262,State_Lookup!$A$2:$B$28,2,FALSE)</f>
        <v>Rio de Janeiro</v>
      </c>
    </row>
    <row r="1263" spans="1:13" x14ac:dyDescent="0.45">
      <c r="A1263" t="s">
        <v>1639</v>
      </c>
      <c r="B1263" t="s">
        <v>1633</v>
      </c>
      <c r="C1263" t="s">
        <v>1539</v>
      </c>
      <c r="D1263" t="s">
        <v>17</v>
      </c>
      <c r="E1263" t="s">
        <v>157</v>
      </c>
      <c r="F1263">
        <v>2</v>
      </c>
      <c r="G1263">
        <v>62.89</v>
      </c>
      <c r="H1263">
        <v>34.71</v>
      </c>
      <c r="I1263" t="s">
        <v>50</v>
      </c>
      <c r="J1263">
        <v>11</v>
      </c>
      <c r="K1263" t="s">
        <v>51</v>
      </c>
      <c r="L1263">
        <v>5</v>
      </c>
      <c r="M1263" t="str">
        <f>VLOOKUP(D1263,State_Lookup!$A$2:$B$28,2,FALSE)</f>
        <v>Rio de Janeiro</v>
      </c>
    </row>
    <row r="1264" spans="1:13" x14ac:dyDescent="0.45">
      <c r="A1264" t="s">
        <v>1640</v>
      </c>
      <c r="B1264" t="s">
        <v>1641</v>
      </c>
      <c r="C1264" t="s">
        <v>1539</v>
      </c>
      <c r="D1264" t="s">
        <v>16</v>
      </c>
      <c r="E1264" t="s">
        <v>1250</v>
      </c>
      <c r="F1264">
        <v>1</v>
      </c>
      <c r="G1264">
        <v>89.9</v>
      </c>
      <c r="H1264">
        <v>9.44</v>
      </c>
      <c r="I1264" t="s">
        <v>44</v>
      </c>
      <c r="K1264" t="s">
        <v>45</v>
      </c>
      <c r="L1264">
        <v>2</v>
      </c>
      <c r="M1264" t="str">
        <f>VLOOKUP(D1264,State_Lookup!$A$2:$B$28,2,FALSE)</f>
        <v>Sao Paulo</v>
      </c>
    </row>
    <row r="1265" spans="1:13" x14ac:dyDescent="0.45">
      <c r="A1265" t="s">
        <v>1642</v>
      </c>
      <c r="B1265" t="s">
        <v>1641</v>
      </c>
      <c r="C1265" t="s">
        <v>1539</v>
      </c>
      <c r="D1265" t="s">
        <v>16</v>
      </c>
      <c r="E1265" t="s">
        <v>244</v>
      </c>
      <c r="F1265">
        <v>1</v>
      </c>
      <c r="G1265">
        <v>69</v>
      </c>
      <c r="H1265">
        <v>13.5</v>
      </c>
      <c r="I1265" t="s">
        <v>50</v>
      </c>
      <c r="J1265">
        <v>7</v>
      </c>
      <c r="K1265" t="s">
        <v>51</v>
      </c>
      <c r="L1265">
        <v>4</v>
      </c>
      <c r="M1265" t="str">
        <f>VLOOKUP(D1265,State_Lookup!$A$2:$B$28,2,FALSE)</f>
        <v>Sao Paulo</v>
      </c>
    </row>
    <row r="1266" spans="1:13" x14ac:dyDescent="0.45">
      <c r="A1266" t="s">
        <v>1643</v>
      </c>
      <c r="B1266" t="s">
        <v>1641</v>
      </c>
      <c r="C1266" t="s">
        <v>1539</v>
      </c>
      <c r="D1266" t="s">
        <v>672</v>
      </c>
      <c r="E1266" t="s">
        <v>49</v>
      </c>
      <c r="F1266">
        <v>1</v>
      </c>
      <c r="G1266">
        <v>42.9</v>
      </c>
      <c r="H1266">
        <v>22.67</v>
      </c>
      <c r="I1266" t="s">
        <v>50</v>
      </c>
      <c r="J1266">
        <v>19</v>
      </c>
      <c r="K1266" t="s">
        <v>51</v>
      </c>
      <c r="L1266">
        <v>5</v>
      </c>
      <c r="M1266" t="str">
        <f>VLOOKUP(D1266,State_Lookup!$A$2:$B$28,2,FALSE)</f>
        <v>Paraiba</v>
      </c>
    </row>
    <row r="1267" spans="1:13" x14ac:dyDescent="0.45">
      <c r="A1267" t="s">
        <v>1644</v>
      </c>
      <c r="B1267" t="s">
        <v>1641</v>
      </c>
      <c r="C1267" t="s">
        <v>1539</v>
      </c>
      <c r="D1267" t="s">
        <v>17</v>
      </c>
      <c r="E1267" t="s">
        <v>142</v>
      </c>
      <c r="F1267">
        <v>3</v>
      </c>
      <c r="G1267">
        <v>39.69</v>
      </c>
      <c r="H1267">
        <v>45.3</v>
      </c>
      <c r="I1267" t="s">
        <v>44</v>
      </c>
      <c r="J1267">
        <v>10</v>
      </c>
      <c r="K1267" t="s">
        <v>51</v>
      </c>
      <c r="L1267">
        <v>3</v>
      </c>
      <c r="M1267" t="str">
        <f>VLOOKUP(D1267,State_Lookup!$A$2:$B$28,2,FALSE)</f>
        <v>Rio de Janeiro</v>
      </c>
    </row>
    <row r="1268" spans="1:13" x14ac:dyDescent="0.45">
      <c r="A1268" t="s">
        <v>1645</v>
      </c>
      <c r="B1268" t="s">
        <v>1641</v>
      </c>
      <c r="C1268" t="s">
        <v>1539</v>
      </c>
      <c r="D1268" t="s">
        <v>20</v>
      </c>
      <c r="E1268" t="s">
        <v>66</v>
      </c>
      <c r="F1268">
        <v>1</v>
      </c>
      <c r="G1268">
        <v>18.989999999999998</v>
      </c>
      <c r="H1268">
        <v>15.1</v>
      </c>
      <c r="I1268" t="s">
        <v>50</v>
      </c>
      <c r="J1268">
        <v>12</v>
      </c>
      <c r="K1268" t="s">
        <v>51</v>
      </c>
      <c r="L1268">
        <v>1</v>
      </c>
      <c r="M1268" t="str">
        <f>VLOOKUP(D1268,State_Lookup!$A$2:$B$28,2,FALSE)</f>
        <v>Parana</v>
      </c>
    </row>
    <row r="1269" spans="1:13" x14ac:dyDescent="0.45">
      <c r="A1269" t="s">
        <v>1646</v>
      </c>
      <c r="B1269" t="s">
        <v>1641</v>
      </c>
      <c r="C1269" t="s">
        <v>1539</v>
      </c>
      <c r="D1269" t="s">
        <v>17</v>
      </c>
      <c r="E1269" t="s">
        <v>49</v>
      </c>
      <c r="F1269">
        <v>1</v>
      </c>
      <c r="G1269">
        <v>59.9</v>
      </c>
      <c r="H1269">
        <v>17.989999999999998</v>
      </c>
      <c r="I1269" t="s">
        <v>44</v>
      </c>
      <c r="J1269">
        <v>17</v>
      </c>
      <c r="K1269" t="s">
        <v>51</v>
      </c>
      <c r="L1269">
        <v>5</v>
      </c>
      <c r="M1269" t="str">
        <f>VLOOKUP(D1269,State_Lookup!$A$2:$B$28,2,FALSE)</f>
        <v>Rio de Janeiro</v>
      </c>
    </row>
    <row r="1270" spans="1:13" x14ac:dyDescent="0.45">
      <c r="A1270" t="s">
        <v>1647</v>
      </c>
      <c r="B1270" t="s">
        <v>1641</v>
      </c>
      <c r="C1270" t="s">
        <v>1539</v>
      </c>
      <c r="D1270" t="s">
        <v>16</v>
      </c>
      <c r="E1270" t="s">
        <v>1648</v>
      </c>
      <c r="F1270">
        <v>1</v>
      </c>
      <c r="G1270">
        <v>69</v>
      </c>
      <c r="H1270">
        <v>33.840000000000003</v>
      </c>
      <c r="I1270" t="s">
        <v>44</v>
      </c>
      <c r="J1270">
        <v>14</v>
      </c>
      <c r="K1270" t="s">
        <v>51</v>
      </c>
      <c r="L1270">
        <v>5</v>
      </c>
      <c r="M1270" t="str">
        <f>VLOOKUP(D1270,State_Lookup!$A$2:$B$28,2,FALSE)</f>
        <v>Sao Paulo</v>
      </c>
    </row>
    <row r="1271" spans="1:13" x14ac:dyDescent="0.45">
      <c r="A1271" t="s">
        <v>1649</v>
      </c>
      <c r="B1271" t="s">
        <v>1641</v>
      </c>
      <c r="C1271" t="s">
        <v>1539</v>
      </c>
      <c r="D1271" t="s">
        <v>113</v>
      </c>
      <c r="E1271" t="s">
        <v>1650</v>
      </c>
      <c r="F1271">
        <v>1</v>
      </c>
      <c r="G1271">
        <v>730</v>
      </c>
      <c r="H1271">
        <v>80.13</v>
      </c>
      <c r="I1271" t="s">
        <v>44</v>
      </c>
      <c r="J1271">
        <v>13</v>
      </c>
      <c r="K1271" t="s">
        <v>51</v>
      </c>
      <c r="L1271">
        <v>5</v>
      </c>
      <c r="M1271" t="str">
        <f>VLOOKUP(D1271,State_Lookup!$A$2:$B$28,2,FALSE)</f>
        <v>Piaui</v>
      </c>
    </row>
    <row r="1272" spans="1:13" x14ac:dyDescent="0.45">
      <c r="A1272" t="s">
        <v>1651</v>
      </c>
      <c r="B1272" t="s">
        <v>1641</v>
      </c>
      <c r="C1272" t="s">
        <v>1539</v>
      </c>
      <c r="D1272" t="s">
        <v>22</v>
      </c>
      <c r="E1272" t="s">
        <v>61</v>
      </c>
      <c r="F1272">
        <v>1</v>
      </c>
      <c r="G1272">
        <v>47.7</v>
      </c>
      <c r="H1272">
        <v>15.79</v>
      </c>
      <c r="I1272" t="s">
        <v>44</v>
      </c>
      <c r="J1272">
        <v>11</v>
      </c>
      <c r="K1272" t="s">
        <v>51</v>
      </c>
      <c r="L1272">
        <v>5</v>
      </c>
      <c r="M1272" t="str">
        <f>VLOOKUP(D1272,State_Lookup!$A$2:$B$28,2,FALSE)</f>
        <v>Bahia</v>
      </c>
    </row>
    <row r="1273" spans="1:13" x14ac:dyDescent="0.45">
      <c r="A1273" t="s">
        <v>1652</v>
      </c>
      <c r="B1273" t="s">
        <v>1641</v>
      </c>
      <c r="C1273" t="s">
        <v>1539</v>
      </c>
      <c r="D1273" t="s">
        <v>16</v>
      </c>
      <c r="E1273" t="s">
        <v>110</v>
      </c>
      <c r="F1273">
        <v>1</v>
      </c>
      <c r="G1273">
        <v>69.989999999999995</v>
      </c>
      <c r="H1273">
        <v>12.83</v>
      </c>
      <c r="I1273" t="s">
        <v>44</v>
      </c>
      <c r="J1273">
        <v>11</v>
      </c>
      <c r="K1273" t="s">
        <v>51</v>
      </c>
      <c r="L1273">
        <v>4</v>
      </c>
      <c r="M1273" t="str">
        <f>VLOOKUP(D1273,State_Lookup!$A$2:$B$28,2,FALSE)</f>
        <v>Sao Paulo</v>
      </c>
    </row>
    <row r="1274" spans="1:13" x14ac:dyDescent="0.45">
      <c r="A1274" t="s">
        <v>1653</v>
      </c>
      <c r="B1274" t="s">
        <v>1641</v>
      </c>
      <c r="C1274" t="s">
        <v>1539</v>
      </c>
      <c r="D1274" t="s">
        <v>16</v>
      </c>
      <c r="E1274" t="s">
        <v>192</v>
      </c>
      <c r="F1274">
        <v>1</v>
      </c>
      <c r="G1274">
        <v>94.9</v>
      </c>
      <c r="H1274">
        <v>11.87</v>
      </c>
      <c r="I1274" t="s">
        <v>44</v>
      </c>
      <c r="J1274">
        <v>13</v>
      </c>
      <c r="K1274" t="s">
        <v>143</v>
      </c>
      <c r="L1274">
        <v>3</v>
      </c>
      <c r="M1274" t="str">
        <f>VLOOKUP(D1274,State_Lookup!$A$2:$B$28,2,FALSE)</f>
        <v>Sao Paulo</v>
      </c>
    </row>
    <row r="1275" spans="1:13" x14ac:dyDescent="0.45">
      <c r="A1275" t="s">
        <v>1654</v>
      </c>
      <c r="B1275" t="s">
        <v>1655</v>
      </c>
      <c r="C1275" t="s">
        <v>1539</v>
      </c>
      <c r="D1275" t="s">
        <v>16</v>
      </c>
      <c r="E1275" t="s">
        <v>110</v>
      </c>
      <c r="F1275">
        <v>1</v>
      </c>
      <c r="G1275">
        <v>209.9</v>
      </c>
      <c r="H1275">
        <v>15.22</v>
      </c>
      <c r="I1275" t="s">
        <v>44</v>
      </c>
      <c r="J1275">
        <v>5</v>
      </c>
      <c r="K1275" t="s">
        <v>51</v>
      </c>
      <c r="M1275" t="str">
        <f>VLOOKUP(D1275,State_Lookup!$A$2:$B$28,2,FALSE)</f>
        <v>Sao Paulo</v>
      </c>
    </row>
    <row r="1276" spans="1:13" x14ac:dyDescent="0.45">
      <c r="A1276" t="s">
        <v>1656</v>
      </c>
      <c r="B1276" t="s">
        <v>1655</v>
      </c>
      <c r="C1276" t="s">
        <v>1539</v>
      </c>
      <c r="D1276" t="s">
        <v>21</v>
      </c>
      <c r="E1276" t="s">
        <v>110</v>
      </c>
      <c r="F1276">
        <v>1</v>
      </c>
      <c r="G1276">
        <v>158</v>
      </c>
      <c r="H1276">
        <v>25.95</v>
      </c>
      <c r="I1276" t="s">
        <v>44</v>
      </c>
      <c r="J1276">
        <v>11</v>
      </c>
      <c r="K1276" t="s">
        <v>51</v>
      </c>
      <c r="L1276">
        <v>4</v>
      </c>
      <c r="M1276" t="str">
        <f>VLOOKUP(D1276,State_Lookup!$A$2:$B$28,2,FALSE)</f>
        <v>Santa Catarina</v>
      </c>
    </row>
    <row r="1277" spans="1:13" x14ac:dyDescent="0.45">
      <c r="A1277" t="s">
        <v>1657</v>
      </c>
      <c r="B1277" t="s">
        <v>1655</v>
      </c>
      <c r="C1277" t="s">
        <v>1539</v>
      </c>
      <c r="D1277" t="s">
        <v>16</v>
      </c>
      <c r="E1277" t="s">
        <v>110</v>
      </c>
      <c r="F1277">
        <v>1</v>
      </c>
      <c r="G1277">
        <v>157</v>
      </c>
      <c r="H1277">
        <v>17.809999999999999</v>
      </c>
      <c r="I1277" t="s">
        <v>50</v>
      </c>
      <c r="J1277">
        <v>8</v>
      </c>
      <c r="K1277" t="s">
        <v>51</v>
      </c>
      <c r="L1277">
        <v>5</v>
      </c>
      <c r="M1277" t="str">
        <f>VLOOKUP(D1277,State_Lookup!$A$2:$B$28,2,FALSE)</f>
        <v>Sao Paulo</v>
      </c>
    </row>
    <row r="1278" spans="1:13" x14ac:dyDescent="0.45">
      <c r="A1278" t="s">
        <v>1658</v>
      </c>
      <c r="B1278" t="s">
        <v>1655</v>
      </c>
      <c r="C1278" t="s">
        <v>1539</v>
      </c>
      <c r="D1278" t="s">
        <v>16</v>
      </c>
      <c r="E1278" t="s">
        <v>110</v>
      </c>
      <c r="F1278">
        <v>1</v>
      </c>
      <c r="G1278">
        <v>157</v>
      </c>
      <c r="H1278">
        <v>14.7</v>
      </c>
      <c r="I1278" t="s">
        <v>44</v>
      </c>
      <c r="J1278">
        <v>4</v>
      </c>
      <c r="K1278" t="s">
        <v>51</v>
      </c>
      <c r="L1278">
        <v>4</v>
      </c>
      <c r="M1278" t="str">
        <f>VLOOKUP(D1278,State_Lookup!$A$2:$B$28,2,FALSE)</f>
        <v>Sao Paulo</v>
      </c>
    </row>
    <row r="1279" spans="1:13" x14ac:dyDescent="0.45">
      <c r="A1279" t="s">
        <v>1659</v>
      </c>
      <c r="B1279" t="s">
        <v>1655</v>
      </c>
      <c r="C1279" t="s">
        <v>1539</v>
      </c>
      <c r="D1279" t="s">
        <v>63</v>
      </c>
      <c r="E1279" t="s">
        <v>118</v>
      </c>
      <c r="F1279">
        <v>1</v>
      </c>
      <c r="G1279">
        <v>157.9</v>
      </c>
      <c r="H1279">
        <v>29.51</v>
      </c>
      <c r="I1279" t="s">
        <v>44</v>
      </c>
      <c r="J1279">
        <v>11</v>
      </c>
      <c r="K1279" t="s">
        <v>51</v>
      </c>
      <c r="L1279">
        <v>5</v>
      </c>
      <c r="M1279" t="str">
        <f>VLOOKUP(D1279,State_Lookup!$A$2:$B$28,2,FALSE)</f>
        <v>Pernambuco</v>
      </c>
    </row>
    <row r="1280" spans="1:13" x14ac:dyDescent="0.45">
      <c r="A1280" t="s">
        <v>1660</v>
      </c>
      <c r="B1280" t="s">
        <v>1655</v>
      </c>
      <c r="C1280" t="s">
        <v>1539</v>
      </c>
      <c r="D1280" t="s">
        <v>16</v>
      </c>
      <c r="E1280" t="s">
        <v>43</v>
      </c>
      <c r="F1280">
        <v>1</v>
      </c>
      <c r="G1280">
        <v>59.55</v>
      </c>
      <c r="H1280">
        <v>13.44</v>
      </c>
      <c r="I1280" t="s">
        <v>50</v>
      </c>
      <c r="J1280">
        <v>17</v>
      </c>
      <c r="K1280" t="s">
        <v>51</v>
      </c>
      <c r="L1280">
        <v>4</v>
      </c>
      <c r="M1280" t="str">
        <f>VLOOKUP(D1280,State_Lookup!$A$2:$B$28,2,FALSE)</f>
        <v>Sao Paulo</v>
      </c>
    </row>
    <row r="1281" spans="1:13" x14ac:dyDescent="0.45">
      <c r="A1281" t="s">
        <v>1661</v>
      </c>
      <c r="B1281" t="s">
        <v>1655</v>
      </c>
      <c r="C1281" t="s">
        <v>1539</v>
      </c>
      <c r="D1281" t="s">
        <v>18</v>
      </c>
      <c r="E1281" t="s">
        <v>148</v>
      </c>
      <c r="F1281">
        <v>1</v>
      </c>
      <c r="G1281">
        <v>292.99</v>
      </c>
      <c r="H1281">
        <v>34.5</v>
      </c>
      <c r="I1281" t="s">
        <v>44</v>
      </c>
      <c r="K1281" t="s">
        <v>45</v>
      </c>
      <c r="L1281">
        <v>1</v>
      </c>
      <c r="M1281" t="str">
        <f>VLOOKUP(D1281,State_Lookup!$A$2:$B$28,2,FALSE)</f>
        <v>Minas Gerais</v>
      </c>
    </row>
    <row r="1282" spans="1:13" x14ac:dyDescent="0.45">
      <c r="A1282" t="s">
        <v>1662</v>
      </c>
      <c r="B1282" t="s">
        <v>1663</v>
      </c>
      <c r="C1282" t="s">
        <v>1539</v>
      </c>
      <c r="D1282" t="s">
        <v>25</v>
      </c>
      <c r="E1282" t="s">
        <v>142</v>
      </c>
      <c r="F1282">
        <v>1</v>
      </c>
      <c r="G1282">
        <v>76.099999999999994</v>
      </c>
      <c r="H1282">
        <v>20.02</v>
      </c>
      <c r="I1282" t="s">
        <v>44</v>
      </c>
      <c r="J1282">
        <v>9</v>
      </c>
      <c r="K1282" t="s">
        <v>51</v>
      </c>
      <c r="L1282">
        <v>5</v>
      </c>
      <c r="M1282" t="str">
        <f>VLOOKUP(D1282,State_Lookup!$A$2:$B$28,2,FALSE)</f>
        <v>Goias</v>
      </c>
    </row>
    <row r="1283" spans="1:13" x14ac:dyDescent="0.45">
      <c r="A1283" t="s">
        <v>1664</v>
      </c>
      <c r="B1283" t="s">
        <v>1663</v>
      </c>
      <c r="C1283" t="s">
        <v>1539</v>
      </c>
      <c r="D1283" t="s">
        <v>18</v>
      </c>
      <c r="E1283" t="s">
        <v>107</v>
      </c>
      <c r="F1283">
        <v>1</v>
      </c>
      <c r="G1283">
        <v>117.3</v>
      </c>
      <c r="H1283">
        <v>25.66</v>
      </c>
      <c r="I1283" t="s">
        <v>44</v>
      </c>
      <c r="J1283">
        <v>5</v>
      </c>
      <c r="K1283" t="s">
        <v>51</v>
      </c>
      <c r="L1283">
        <v>4</v>
      </c>
      <c r="M1283" t="str">
        <f>VLOOKUP(D1283,State_Lookup!$A$2:$B$28,2,FALSE)</f>
        <v>Minas Gerais</v>
      </c>
    </row>
    <row r="1284" spans="1:13" x14ac:dyDescent="0.45">
      <c r="A1284" t="s">
        <v>1665</v>
      </c>
      <c r="B1284" t="s">
        <v>1663</v>
      </c>
      <c r="C1284" t="s">
        <v>1539</v>
      </c>
      <c r="D1284" t="s">
        <v>16</v>
      </c>
      <c r="E1284" t="s">
        <v>157</v>
      </c>
      <c r="F1284">
        <v>1</v>
      </c>
      <c r="G1284">
        <v>138</v>
      </c>
      <c r="H1284">
        <v>12.47</v>
      </c>
      <c r="I1284" t="s">
        <v>44</v>
      </c>
      <c r="J1284">
        <v>7</v>
      </c>
      <c r="K1284" t="s">
        <v>51</v>
      </c>
      <c r="L1284">
        <v>4</v>
      </c>
      <c r="M1284" t="str">
        <f>VLOOKUP(D1284,State_Lookup!$A$2:$B$28,2,FALSE)</f>
        <v>Sao Paulo</v>
      </c>
    </row>
    <row r="1285" spans="1:13" x14ac:dyDescent="0.45">
      <c r="A1285" t="s">
        <v>1666</v>
      </c>
      <c r="B1285" t="s">
        <v>1667</v>
      </c>
      <c r="C1285" t="s">
        <v>1539</v>
      </c>
      <c r="D1285" t="s">
        <v>16</v>
      </c>
      <c r="E1285" t="s">
        <v>107</v>
      </c>
      <c r="F1285">
        <v>1</v>
      </c>
      <c r="G1285">
        <v>19</v>
      </c>
      <c r="H1285">
        <v>8.27</v>
      </c>
      <c r="I1285" t="s">
        <v>44</v>
      </c>
      <c r="J1285">
        <v>1</v>
      </c>
      <c r="K1285" t="s">
        <v>51</v>
      </c>
      <c r="L1285">
        <v>4</v>
      </c>
      <c r="M1285" t="str">
        <f>VLOOKUP(D1285,State_Lookup!$A$2:$B$28,2,FALSE)</f>
        <v>Sao Paulo</v>
      </c>
    </row>
    <row r="1286" spans="1:13" x14ac:dyDescent="0.45">
      <c r="A1286" t="s">
        <v>1668</v>
      </c>
      <c r="B1286" t="s">
        <v>1667</v>
      </c>
      <c r="C1286" t="s">
        <v>1539</v>
      </c>
      <c r="D1286" t="s">
        <v>22</v>
      </c>
      <c r="E1286" t="s">
        <v>79</v>
      </c>
      <c r="F1286">
        <v>1</v>
      </c>
      <c r="G1286">
        <v>57.81</v>
      </c>
      <c r="H1286">
        <v>16.84</v>
      </c>
      <c r="I1286" t="s">
        <v>44</v>
      </c>
      <c r="J1286">
        <v>15</v>
      </c>
      <c r="K1286" t="s">
        <v>51</v>
      </c>
      <c r="L1286">
        <v>5</v>
      </c>
      <c r="M1286" t="str">
        <f>VLOOKUP(D1286,State_Lookup!$A$2:$B$28,2,FALSE)</f>
        <v>Bahia</v>
      </c>
    </row>
    <row r="1287" spans="1:13" x14ac:dyDescent="0.45">
      <c r="A1287" t="s">
        <v>1669</v>
      </c>
      <c r="B1287" t="s">
        <v>1667</v>
      </c>
      <c r="C1287" t="s">
        <v>1539</v>
      </c>
      <c r="D1287" t="s">
        <v>17</v>
      </c>
      <c r="E1287" t="s">
        <v>244</v>
      </c>
      <c r="F1287">
        <v>1</v>
      </c>
      <c r="G1287">
        <v>99</v>
      </c>
      <c r="H1287">
        <v>17.940000000000001</v>
      </c>
      <c r="I1287" t="s">
        <v>44</v>
      </c>
      <c r="J1287">
        <v>50</v>
      </c>
      <c r="K1287" t="s">
        <v>143</v>
      </c>
      <c r="L1287">
        <v>4</v>
      </c>
      <c r="M1287" t="str">
        <f>VLOOKUP(D1287,State_Lookup!$A$2:$B$28,2,FALSE)</f>
        <v>Rio de Janeiro</v>
      </c>
    </row>
    <row r="1288" spans="1:13" x14ac:dyDescent="0.45">
      <c r="A1288" t="s">
        <v>1670</v>
      </c>
      <c r="B1288" t="s">
        <v>1667</v>
      </c>
      <c r="C1288" t="s">
        <v>1539</v>
      </c>
      <c r="D1288" t="s">
        <v>16</v>
      </c>
      <c r="E1288" t="s">
        <v>49</v>
      </c>
      <c r="F1288">
        <v>1</v>
      </c>
      <c r="G1288">
        <v>36</v>
      </c>
      <c r="H1288">
        <v>7.78</v>
      </c>
      <c r="I1288" t="s">
        <v>44</v>
      </c>
      <c r="J1288">
        <v>1</v>
      </c>
      <c r="K1288" t="s">
        <v>51</v>
      </c>
      <c r="L1288">
        <v>5</v>
      </c>
      <c r="M1288" t="str">
        <f>VLOOKUP(D1288,State_Lookup!$A$2:$B$28,2,FALSE)</f>
        <v>Sao Paulo</v>
      </c>
    </row>
    <row r="1289" spans="1:13" x14ac:dyDescent="0.45">
      <c r="A1289" t="s">
        <v>1671</v>
      </c>
      <c r="B1289" t="s">
        <v>1667</v>
      </c>
      <c r="C1289" t="s">
        <v>1539</v>
      </c>
      <c r="D1289" t="s">
        <v>25</v>
      </c>
      <c r="E1289" t="s">
        <v>110</v>
      </c>
      <c r="F1289">
        <v>1</v>
      </c>
      <c r="G1289">
        <v>113.57</v>
      </c>
      <c r="H1289">
        <v>18.04</v>
      </c>
      <c r="I1289" t="s">
        <v>44</v>
      </c>
      <c r="J1289">
        <v>22</v>
      </c>
      <c r="K1289" t="s">
        <v>51</v>
      </c>
      <c r="L1289">
        <v>2</v>
      </c>
      <c r="M1289" t="str">
        <f>VLOOKUP(D1289,State_Lookup!$A$2:$B$28,2,FALSE)</f>
        <v>Goias</v>
      </c>
    </row>
    <row r="1290" spans="1:13" x14ac:dyDescent="0.45">
      <c r="A1290" t="s">
        <v>1672</v>
      </c>
      <c r="B1290" t="s">
        <v>1667</v>
      </c>
      <c r="C1290" t="s">
        <v>1539</v>
      </c>
      <c r="D1290" t="s">
        <v>16</v>
      </c>
      <c r="E1290" t="s">
        <v>110</v>
      </c>
      <c r="F1290">
        <v>4</v>
      </c>
      <c r="G1290">
        <v>67.599999999999994</v>
      </c>
      <c r="H1290">
        <v>31.13</v>
      </c>
      <c r="I1290" t="s">
        <v>44</v>
      </c>
      <c r="J1290">
        <v>4</v>
      </c>
      <c r="K1290" t="s">
        <v>51</v>
      </c>
      <c r="L1290">
        <v>2</v>
      </c>
      <c r="M1290" t="str">
        <f>VLOOKUP(D1290,State_Lookup!$A$2:$B$28,2,FALSE)</f>
        <v>Sao Paulo</v>
      </c>
    </row>
    <row r="1291" spans="1:13" x14ac:dyDescent="0.45">
      <c r="A1291" t="s">
        <v>1673</v>
      </c>
      <c r="B1291" t="s">
        <v>1674</v>
      </c>
      <c r="C1291" t="s">
        <v>1539</v>
      </c>
      <c r="D1291" t="s">
        <v>22</v>
      </c>
      <c r="E1291" t="s">
        <v>110</v>
      </c>
      <c r="F1291">
        <v>1</v>
      </c>
      <c r="G1291">
        <v>65.900000000000006</v>
      </c>
      <c r="H1291">
        <v>16.899999999999999</v>
      </c>
      <c r="I1291" t="s">
        <v>44</v>
      </c>
      <c r="J1291">
        <v>20</v>
      </c>
      <c r="K1291" t="s">
        <v>51</v>
      </c>
      <c r="L1291">
        <v>4</v>
      </c>
      <c r="M1291" t="str">
        <f>VLOOKUP(D1291,State_Lookup!$A$2:$B$28,2,FALSE)</f>
        <v>Bahia</v>
      </c>
    </row>
    <row r="1292" spans="1:13" x14ac:dyDescent="0.45">
      <c r="A1292" t="s">
        <v>1675</v>
      </c>
      <c r="B1292" t="s">
        <v>1674</v>
      </c>
      <c r="C1292" t="s">
        <v>1539</v>
      </c>
      <c r="D1292" t="s">
        <v>18</v>
      </c>
      <c r="E1292" t="s">
        <v>64</v>
      </c>
      <c r="F1292">
        <v>1</v>
      </c>
      <c r="G1292">
        <v>84.99</v>
      </c>
      <c r="H1292">
        <v>15.34</v>
      </c>
      <c r="I1292" t="s">
        <v>44</v>
      </c>
      <c r="J1292">
        <v>6</v>
      </c>
      <c r="K1292" t="s">
        <v>51</v>
      </c>
      <c r="L1292">
        <v>5</v>
      </c>
      <c r="M1292" t="str">
        <f>VLOOKUP(D1292,State_Lookup!$A$2:$B$28,2,FALSE)</f>
        <v>Minas Gerais</v>
      </c>
    </row>
    <row r="1293" spans="1:13" x14ac:dyDescent="0.45">
      <c r="A1293" t="s">
        <v>1676</v>
      </c>
      <c r="B1293" t="s">
        <v>1674</v>
      </c>
      <c r="C1293" t="s">
        <v>1539</v>
      </c>
      <c r="D1293" t="s">
        <v>16</v>
      </c>
      <c r="E1293" t="s">
        <v>192</v>
      </c>
      <c r="F1293">
        <v>1</v>
      </c>
      <c r="G1293">
        <v>36.799999999999997</v>
      </c>
      <c r="H1293">
        <v>11.73</v>
      </c>
      <c r="I1293" t="s">
        <v>44</v>
      </c>
      <c r="J1293">
        <v>1</v>
      </c>
      <c r="K1293" t="s">
        <v>51</v>
      </c>
      <c r="L1293">
        <v>4</v>
      </c>
      <c r="M1293" t="str">
        <f>VLOOKUP(D1293,State_Lookup!$A$2:$B$28,2,FALSE)</f>
        <v>Sao Paulo</v>
      </c>
    </row>
    <row r="1294" spans="1:13" x14ac:dyDescent="0.45">
      <c r="A1294" t="s">
        <v>1677</v>
      </c>
      <c r="B1294" t="s">
        <v>1674</v>
      </c>
      <c r="C1294" t="s">
        <v>1539</v>
      </c>
      <c r="D1294" t="s">
        <v>16</v>
      </c>
      <c r="E1294" t="s">
        <v>107</v>
      </c>
      <c r="F1294">
        <v>2</v>
      </c>
      <c r="G1294">
        <v>33.799999999999997</v>
      </c>
      <c r="H1294">
        <v>23.7</v>
      </c>
      <c r="I1294" t="s">
        <v>44</v>
      </c>
      <c r="J1294">
        <v>7</v>
      </c>
      <c r="K1294" t="s">
        <v>51</v>
      </c>
      <c r="L1294">
        <v>3</v>
      </c>
      <c r="M1294" t="str">
        <f>VLOOKUP(D1294,State_Lookup!$A$2:$B$28,2,FALSE)</f>
        <v>Sao Paulo</v>
      </c>
    </row>
    <row r="1295" spans="1:13" x14ac:dyDescent="0.45">
      <c r="A1295" t="s">
        <v>1678</v>
      </c>
      <c r="B1295" t="s">
        <v>1674</v>
      </c>
      <c r="C1295" t="s">
        <v>1539</v>
      </c>
      <c r="D1295" t="s">
        <v>16</v>
      </c>
      <c r="E1295" t="s">
        <v>199</v>
      </c>
      <c r="F1295">
        <v>1</v>
      </c>
      <c r="G1295">
        <v>39.9</v>
      </c>
      <c r="H1295">
        <v>14.1</v>
      </c>
      <c r="I1295" t="s">
        <v>44</v>
      </c>
      <c r="J1295">
        <v>8</v>
      </c>
      <c r="K1295" t="s">
        <v>51</v>
      </c>
      <c r="L1295">
        <v>5</v>
      </c>
      <c r="M1295" t="str">
        <f>VLOOKUP(D1295,State_Lookup!$A$2:$B$28,2,FALSE)</f>
        <v>Sao Paulo</v>
      </c>
    </row>
    <row r="1296" spans="1:13" x14ac:dyDescent="0.45">
      <c r="A1296" t="s">
        <v>1679</v>
      </c>
      <c r="B1296" t="s">
        <v>1674</v>
      </c>
      <c r="C1296" t="s">
        <v>1539</v>
      </c>
      <c r="D1296" t="s">
        <v>19</v>
      </c>
      <c r="E1296" t="s">
        <v>69</v>
      </c>
      <c r="F1296">
        <v>1</v>
      </c>
      <c r="G1296">
        <v>59.9</v>
      </c>
      <c r="H1296">
        <v>17.670000000000002</v>
      </c>
      <c r="I1296" t="s">
        <v>44</v>
      </c>
      <c r="J1296">
        <v>14</v>
      </c>
      <c r="K1296" t="s">
        <v>51</v>
      </c>
      <c r="L1296">
        <v>5</v>
      </c>
      <c r="M1296" t="str">
        <f>VLOOKUP(D1296,State_Lookup!$A$2:$B$28,2,FALSE)</f>
        <v>Rio Grande do Sul</v>
      </c>
    </row>
    <row r="1297" spans="1:13" x14ac:dyDescent="0.45">
      <c r="A1297" t="s">
        <v>1680</v>
      </c>
      <c r="B1297" t="s">
        <v>1674</v>
      </c>
      <c r="C1297" t="s">
        <v>1539</v>
      </c>
      <c r="D1297" t="s">
        <v>25</v>
      </c>
      <c r="E1297" t="s">
        <v>110</v>
      </c>
      <c r="F1297">
        <v>1</v>
      </c>
      <c r="G1297">
        <v>143.54</v>
      </c>
      <c r="H1297">
        <v>21.49</v>
      </c>
      <c r="I1297" t="s">
        <v>50</v>
      </c>
      <c r="J1297">
        <v>13</v>
      </c>
      <c r="K1297" t="s">
        <v>51</v>
      </c>
      <c r="L1297">
        <v>4</v>
      </c>
      <c r="M1297" t="str">
        <f>VLOOKUP(D1297,State_Lookup!$A$2:$B$28,2,FALSE)</f>
        <v>Goias</v>
      </c>
    </row>
    <row r="1298" spans="1:13" x14ac:dyDescent="0.45">
      <c r="A1298" t="s">
        <v>1681</v>
      </c>
      <c r="B1298" t="s">
        <v>1674</v>
      </c>
      <c r="C1298" t="s">
        <v>1539</v>
      </c>
      <c r="D1298" t="s">
        <v>17</v>
      </c>
      <c r="E1298" t="s">
        <v>142</v>
      </c>
      <c r="F1298">
        <v>1</v>
      </c>
      <c r="G1298">
        <v>9.6</v>
      </c>
      <c r="H1298">
        <v>16.11</v>
      </c>
      <c r="I1298" t="s">
        <v>44</v>
      </c>
      <c r="J1298">
        <v>13</v>
      </c>
      <c r="K1298" t="s">
        <v>51</v>
      </c>
      <c r="L1298">
        <v>5</v>
      </c>
      <c r="M1298" t="str">
        <f>VLOOKUP(D1298,State_Lookup!$A$2:$B$28,2,FALSE)</f>
        <v>Rio de Janeiro</v>
      </c>
    </row>
    <row r="1299" spans="1:13" x14ac:dyDescent="0.45">
      <c r="A1299" t="s">
        <v>1682</v>
      </c>
      <c r="B1299" t="s">
        <v>1674</v>
      </c>
      <c r="C1299" t="s">
        <v>1539</v>
      </c>
      <c r="D1299" t="s">
        <v>16</v>
      </c>
      <c r="E1299" t="s">
        <v>110</v>
      </c>
      <c r="F1299">
        <v>1</v>
      </c>
      <c r="G1299">
        <v>59.99</v>
      </c>
      <c r="H1299">
        <v>13.44</v>
      </c>
      <c r="I1299" t="s">
        <v>50</v>
      </c>
      <c r="J1299">
        <v>9</v>
      </c>
      <c r="K1299" t="s">
        <v>51</v>
      </c>
      <c r="L1299">
        <v>5</v>
      </c>
      <c r="M1299" t="str">
        <f>VLOOKUP(D1299,State_Lookup!$A$2:$B$28,2,FALSE)</f>
        <v>Sao Paulo</v>
      </c>
    </row>
    <row r="1300" spans="1:13" x14ac:dyDescent="0.45">
      <c r="A1300" t="s">
        <v>1683</v>
      </c>
      <c r="B1300" t="s">
        <v>1674</v>
      </c>
      <c r="C1300" t="s">
        <v>1539</v>
      </c>
      <c r="D1300" t="s">
        <v>16</v>
      </c>
      <c r="E1300" t="s">
        <v>132</v>
      </c>
      <c r="F1300">
        <v>1</v>
      </c>
      <c r="G1300">
        <v>49.9</v>
      </c>
      <c r="H1300">
        <v>7.78</v>
      </c>
      <c r="I1300" t="s">
        <v>44</v>
      </c>
      <c r="J1300">
        <v>2</v>
      </c>
      <c r="K1300" t="s">
        <v>51</v>
      </c>
      <c r="L1300">
        <v>5</v>
      </c>
      <c r="M1300" t="str">
        <f>VLOOKUP(D1300,State_Lookup!$A$2:$B$28,2,FALSE)</f>
        <v>Sao Paulo</v>
      </c>
    </row>
    <row r="1301" spans="1:13" x14ac:dyDescent="0.45">
      <c r="A1301" t="s">
        <v>1684</v>
      </c>
      <c r="B1301" t="s">
        <v>1674</v>
      </c>
      <c r="C1301" t="s">
        <v>1539</v>
      </c>
      <c r="D1301" t="s">
        <v>194</v>
      </c>
      <c r="E1301" t="s">
        <v>132</v>
      </c>
      <c r="F1301">
        <v>1</v>
      </c>
      <c r="G1301">
        <v>29.99</v>
      </c>
      <c r="H1301">
        <v>17.63</v>
      </c>
      <c r="I1301" t="s">
        <v>44</v>
      </c>
      <c r="J1301">
        <v>6</v>
      </c>
      <c r="K1301" t="s">
        <v>51</v>
      </c>
      <c r="L1301">
        <v>4</v>
      </c>
      <c r="M1301" t="str">
        <f>VLOOKUP(D1301,State_Lookup!$A$2:$B$28,2,FALSE)</f>
        <v>Mato Grosso do Sul</v>
      </c>
    </row>
    <row r="1302" spans="1:13" x14ac:dyDescent="0.45">
      <c r="A1302" t="s">
        <v>1685</v>
      </c>
      <c r="B1302" t="s">
        <v>1674</v>
      </c>
      <c r="C1302" t="s">
        <v>1539</v>
      </c>
      <c r="D1302" t="s">
        <v>21</v>
      </c>
      <c r="E1302" t="s">
        <v>110</v>
      </c>
      <c r="F1302">
        <v>1</v>
      </c>
      <c r="G1302">
        <v>95</v>
      </c>
      <c r="H1302">
        <v>17.920000000000002</v>
      </c>
      <c r="I1302" t="s">
        <v>44</v>
      </c>
      <c r="J1302">
        <v>24</v>
      </c>
      <c r="K1302" t="s">
        <v>143</v>
      </c>
      <c r="L1302">
        <v>3</v>
      </c>
      <c r="M1302" t="str">
        <f>VLOOKUP(D1302,State_Lookup!$A$2:$B$28,2,FALSE)</f>
        <v>Santa Catarina</v>
      </c>
    </row>
    <row r="1303" spans="1:13" x14ac:dyDescent="0.45">
      <c r="A1303" t="s">
        <v>1686</v>
      </c>
      <c r="B1303" t="s">
        <v>1687</v>
      </c>
      <c r="C1303" t="s">
        <v>1539</v>
      </c>
      <c r="D1303" t="s">
        <v>16</v>
      </c>
      <c r="E1303" t="s">
        <v>61</v>
      </c>
      <c r="F1303">
        <v>1</v>
      </c>
      <c r="G1303">
        <v>199</v>
      </c>
      <c r="H1303">
        <v>22.23</v>
      </c>
      <c r="I1303" t="s">
        <v>50</v>
      </c>
      <c r="K1303" t="s">
        <v>45</v>
      </c>
      <c r="L1303">
        <v>1</v>
      </c>
      <c r="M1303" t="str">
        <f>VLOOKUP(D1303,State_Lookup!$A$2:$B$28,2,FALSE)</f>
        <v>Sao Paulo</v>
      </c>
    </row>
    <row r="1304" spans="1:13" x14ac:dyDescent="0.45">
      <c r="A1304" t="s">
        <v>1688</v>
      </c>
      <c r="B1304" t="s">
        <v>1687</v>
      </c>
      <c r="C1304" t="s">
        <v>1539</v>
      </c>
      <c r="D1304" t="s">
        <v>21</v>
      </c>
      <c r="E1304" t="s">
        <v>43</v>
      </c>
      <c r="F1304">
        <v>1</v>
      </c>
      <c r="G1304">
        <v>10.9</v>
      </c>
      <c r="H1304">
        <v>15.1</v>
      </c>
      <c r="I1304" t="s">
        <v>50</v>
      </c>
      <c r="K1304" t="s">
        <v>45</v>
      </c>
      <c r="L1304">
        <v>1</v>
      </c>
      <c r="M1304" t="str">
        <f>VLOOKUP(D1304,State_Lookup!$A$2:$B$28,2,FALSE)</f>
        <v>Santa Catarina</v>
      </c>
    </row>
    <row r="1305" spans="1:13" x14ac:dyDescent="0.45">
      <c r="A1305" t="s">
        <v>1689</v>
      </c>
      <c r="B1305" t="s">
        <v>1687</v>
      </c>
      <c r="C1305" t="s">
        <v>1539</v>
      </c>
      <c r="D1305" t="s">
        <v>22</v>
      </c>
      <c r="E1305" t="s">
        <v>148</v>
      </c>
      <c r="F1305">
        <v>1</v>
      </c>
      <c r="G1305">
        <v>59.99</v>
      </c>
      <c r="H1305">
        <v>19.66</v>
      </c>
      <c r="I1305" t="s">
        <v>44</v>
      </c>
      <c r="J1305">
        <v>14</v>
      </c>
      <c r="K1305" t="s">
        <v>51</v>
      </c>
      <c r="L1305">
        <v>5</v>
      </c>
      <c r="M1305" t="str">
        <f>VLOOKUP(D1305,State_Lookup!$A$2:$B$28,2,FALSE)</f>
        <v>Bahia</v>
      </c>
    </row>
    <row r="1306" spans="1:13" x14ac:dyDescent="0.45">
      <c r="A1306" t="s">
        <v>1690</v>
      </c>
      <c r="B1306" t="s">
        <v>1687</v>
      </c>
      <c r="C1306" t="s">
        <v>1539</v>
      </c>
      <c r="D1306" t="s">
        <v>16</v>
      </c>
      <c r="E1306" t="s">
        <v>64</v>
      </c>
      <c r="F1306">
        <v>1</v>
      </c>
      <c r="G1306">
        <v>129.99</v>
      </c>
      <c r="H1306">
        <v>9.1</v>
      </c>
      <c r="I1306" t="s">
        <v>44</v>
      </c>
      <c r="J1306">
        <v>5</v>
      </c>
      <c r="K1306" t="s">
        <v>51</v>
      </c>
      <c r="L1306">
        <v>5</v>
      </c>
      <c r="M1306" t="str">
        <f>VLOOKUP(D1306,State_Lookup!$A$2:$B$28,2,FALSE)</f>
        <v>Sao Paulo</v>
      </c>
    </row>
    <row r="1307" spans="1:13" x14ac:dyDescent="0.45">
      <c r="A1307" t="s">
        <v>1691</v>
      </c>
      <c r="B1307" t="s">
        <v>1687</v>
      </c>
      <c r="C1307" t="s">
        <v>1539</v>
      </c>
      <c r="D1307" t="s">
        <v>16</v>
      </c>
      <c r="E1307" t="s">
        <v>79</v>
      </c>
      <c r="F1307">
        <v>1</v>
      </c>
      <c r="G1307">
        <v>254</v>
      </c>
      <c r="H1307">
        <v>13.28</v>
      </c>
      <c r="I1307" t="s">
        <v>44</v>
      </c>
      <c r="J1307">
        <v>43</v>
      </c>
      <c r="K1307" t="s">
        <v>143</v>
      </c>
      <c r="M1307" t="str">
        <f>VLOOKUP(D1307,State_Lookup!$A$2:$B$28,2,FALSE)</f>
        <v>Sao Paulo</v>
      </c>
    </row>
    <row r="1308" spans="1:13" x14ac:dyDescent="0.45">
      <c r="A1308" t="s">
        <v>1692</v>
      </c>
      <c r="B1308" t="s">
        <v>1687</v>
      </c>
      <c r="C1308" t="s">
        <v>1539</v>
      </c>
      <c r="D1308" t="s">
        <v>16</v>
      </c>
      <c r="E1308" t="s">
        <v>192</v>
      </c>
      <c r="F1308">
        <v>1</v>
      </c>
      <c r="G1308">
        <v>94.9</v>
      </c>
      <c r="H1308">
        <v>11.87</v>
      </c>
      <c r="I1308" t="s">
        <v>44</v>
      </c>
      <c r="J1308">
        <v>1</v>
      </c>
      <c r="K1308" t="s">
        <v>51</v>
      </c>
      <c r="L1308">
        <v>2</v>
      </c>
      <c r="M1308" t="str">
        <f>VLOOKUP(D1308,State_Lookup!$A$2:$B$28,2,FALSE)</f>
        <v>Sao Paulo</v>
      </c>
    </row>
    <row r="1309" spans="1:13" x14ac:dyDescent="0.45">
      <c r="A1309" t="s">
        <v>1693</v>
      </c>
      <c r="B1309" t="s">
        <v>1687</v>
      </c>
      <c r="C1309" t="s">
        <v>1539</v>
      </c>
      <c r="D1309" t="s">
        <v>18</v>
      </c>
      <c r="E1309" t="s">
        <v>199</v>
      </c>
      <c r="F1309">
        <v>1</v>
      </c>
      <c r="G1309">
        <v>98.99</v>
      </c>
      <c r="H1309">
        <v>13.71</v>
      </c>
      <c r="I1309" t="s">
        <v>44</v>
      </c>
      <c r="J1309">
        <v>13</v>
      </c>
      <c r="K1309" t="s">
        <v>51</v>
      </c>
      <c r="L1309">
        <v>5</v>
      </c>
      <c r="M1309" t="str">
        <f>VLOOKUP(D1309,State_Lookup!$A$2:$B$28,2,FALSE)</f>
        <v>Minas Gerais</v>
      </c>
    </row>
    <row r="1310" spans="1:13" x14ac:dyDescent="0.45">
      <c r="A1310" t="s">
        <v>1694</v>
      </c>
      <c r="B1310" t="s">
        <v>1687</v>
      </c>
      <c r="C1310" t="s">
        <v>1539</v>
      </c>
      <c r="D1310" t="s">
        <v>632</v>
      </c>
      <c r="E1310" t="s">
        <v>668</v>
      </c>
      <c r="F1310">
        <v>1</v>
      </c>
      <c r="G1310">
        <v>89</v>
      </c>
      <c r="H1310">
        <v>21.42</v>
      </c>
      <c r="I1310" t="s">
        <v>44</v>
      </c>
      <c r="J1310">
        <v>29</v>
      </c>
      <c r="K1310" t="s">
        <v>143</v>
      </c>
      <c r="L1310">
        <v>5</v>
      </c>
      <c r="M1310" t="str">
        <f>VLOOKUP(D1310,State_Lookup!$A$2:$B$28,2,FALSE)</f>
        <v>Alagoas</v>
      </c>
    </row>
    <row r="1311" spans="1:13" x14ac:dyDescent="0.45">
      <c r="A1311" t="s">
        <v>1695</v>
      </c>
      <c r="B1311" t="s">
        <v>1696</v>
      </c>
      <c r="C1311" t="s">
        <v>1539</v>
      </c>
      <c r="D1311" t="s">
        <v>17</v>
      </c>
      <c r="E1311" t="s">
        <v>66</v>
      </c>
      <c r="F1311">
        <v>1</v>
      </c>
      <c r="G1311">
        <v>79.900000000000006</v>
      </c>
      <c r="H1311">
        <v>15.31</v>
      </c>
      <c r="I1311" t="s">
        <v>50</v>
      </c>
      <c r="J1311">
        <v>10</v>
      </c>
      <c r="K1311" t="s">
        <v>51</v>
      </c>
      <c r="L1311">
        <v>1</v>
      </c>
      <c r="M1311" t="str">
        <f>VLOOKUP(D1311,State_Lookup!$A$2:$B$28,2,FALSE)</f>
        <v>Rio de Janeiro</v>
      </c>
    </row>
    <row r="1312" spans="1:13" x14ac:dyDescent="0.45">
      <c r="A1312" t="s">
        <v>1697</v>
      </c>
      <c r="B1312" t="s">
        <v>1696</v>
      </c>
      <c r="C1312" t="s">
        <v>1539</v>
      </c>
      <c r="D1312" t="s">
        <v>18</v>
      </c>
      <c r="E1312" t="s">
        <v>1250</v>
      </c>
      <c r="F1312">
        <v>2</v>
      </c>
      <c r="G1312">
        <v>119.8</v>
      </c>
      <c r="H1312">
        <v>30.34</v>
      </c>
      <c r="I1312" t="s">
        <v>44</v>
      </c>
      <c r="J1312">
        <v>8</v>
      </c>
      <c r="K1312" t="s">
        <v>51</v>
      </c>
      <c r="L1312">
        <v>5</v>
      </c>
      <c r="M1312" t="str">
        <f>VLOOKUP(D1312,State_Lookup!$A$2:$B$28,2,FALSE)</f>
        <v>Minas Gerais</v>
      </c>
    </row>
    <row r="1313" spans="1:13" x14ac:dyDescent="0.45">
      <c r="A1313" t="s">
        <v>1698</v>
      </c>
      <c r="B1313" t="s">
        <v>1696</v>
      </c>
      <c r="C1313" t="s">
        <v>1539</v>
      </c>
      <c r="D1313" t="s">
        <v>16</v>
      </c>
      <c r="E1313" t="s">
        <v>110</v>
      </c>
      <c r="F1313">
        <v>2</v>
      </c>
      <c r="G1313">
        <v>208.98</v>
      </c>
      <c r="H1313">
        <v>29.44</v>
      </c>
      <c r="I1313" t="s">
        <v>44</v>
      </c>
      <c r="J1313">
        <v>5</v>
      </c>
      <c r="K1313" t="s">
        <v>51</v>
      </c>
      <c r="L1313">
        <v>5</v>
      </c>
      <c r="M1313" t="str">
        <f>VLOOKUP(D1313,State_Lookup!$A$2:$B$28,2,FALSE)</f>
        <v>Sao Paulo</v>
      </c>
    </row>
    <row r="1314" spans="1:13" x14ac:dyDescent="0.45">
      <c r="A1314" t="s">
        <v>1699</v>
      </c>
      <c r="B1314" t="s">
        <v>1696</v>
      </c>
      <c r="C1314" t="s">
        <v>1539</v>
      </c>
      <c r="D1314" t="s">
        <v>16</v>
      </c>
      <c r="E1314" t="s">
        <v>110</v>
      </c>
      <c r="F1314">
        <v>1</v>
      </c>
      <c r="G1314">
        <v>89.9</v>
      </c>
      <c r="H1314">
        <v>13.65</v>
      </c>
      <c r="I1314" t="s">
        <v>44</v>
      </c>
      <c r="J1314">
        <v>8</v>
      </c>
      <c r="K1314" t="s">
        <v>51</v>
      </c>
      <c r="L1314">
        <v>5</v>
      </c>
      <c r="M1314" t="str">
        <f>VLOOKUP(D1314,State_Lookup!$A$2:$B$28,2,FALSE)</f>
        <v>Sao Paulo</v>
      </c>
    </row>
    <row r="1315" spans="1:13" x14ac:dyDescent="0.45">
      <c r="A1315" t="s">
        <v>1700</v>
      </c>
      <c r="B1315" t="s">
        <v>1696</v>
      </c>
      <c r="C1315" t="s">
        <v>1539</v>
      </c>
      <c r="D1315" t="s">
        <v>19</v>
      </c>
      <c r="E1315" t="s">
        <v>110</v>
      </c>
      <c r="F1315">
        <v>2</v>
      </c>
      <c r="G1315">
        <v>226.99</v>
      </c>
      <c r="H1315">
        <v>39.33</v>
      </c>
      <c r="I1315" t="s">
        <v>44</v>
      </c>
      <c r="J1315">
        <v>11</v>
      </c>
      <c r="K1315" t="s">
        <v>51</v>
      </c>
      <c r="L1315">
        <v>1</v>
      </c>
      <c r="M1315" t="str">
        <f>VLOOKUP(D1315,State_Lookup!$A$2:$B$28,2,FALSE)</f>
        <v>Rio Grande do Sul</v>
      </c>
    </row>
    <row r="1316" spans="1:13" x14ac:dyDescent="0.45">
      <c r="A1316" t="s">
        <v>1701</v>
      </c>
      <c r="B1316" t="s">
        <v>1696</v>
      </c>
      <c r="C1316" t="s">
        <v>1539</v>
      </c>
      <c r="D1316" t="s">
        <v>16</v>
      </c>
      <c r="E1316" t="s">
        <v>79</v>
      </c>
      <c r="F1316">
        <v>1</v>
      </c>
      <c r="G1316">
        <v>39.9</v>
      </c>
      <c r="H1316">
        <v>16.11</v>
      </c>
      <c r="I1316" t="s">
        <v>44</v>
      </c>
      <c r="J1316">
        <v>12</v>
      </c>
      <c r="K1316" t="s">
        <v>51</v>
      </c>
      <c r="L1316">
        <v>5</v>
      </c>
      <c r="M1316" t="str">
        <f>VLOOKUP(D1316,State_Lookup!$A$2:$B$28,2,FALSE)</f>
        <v>Sao Paulo</v>
      </c>
    </row>
    <row r="1317" spans="1:13" x14ac:dyDescent="0.45">
      <c r="A1317" t="s">
        <v>1702</v>
      </c>
      <c r="B1317" t="s">
        <v>1696</v>
      </c>
      <c r="C1317" t="s">
        <v>1539</v>
      </c>
      <c r="D1317" t="s">
        <v>24</v>
      </c>
      <c r="E1317" t="s">
        <v>152</v>
      </c>
      <c r="F1317">
        <v>1</v>
      </c>
      <c r="G1317">
        <v>45.6</v>
      </c>
      <c r="H1317">
        <v>17.63</v>
      </c>
      <c r="I1317" t="s">
        <v>44</v>
      </c>
      <c r="J1317">
        <v>12</v>
      </c>
      <c r="K1317" t="s">
        <v>51</v>
      </c>
      <c r="L1317">
        <v>3</v>
      </c>
      <c r="M1317" t="str">
        <f>VLOOKUP(D1317,State_Lookup!$A$2:$B$28,2,FALSE)</f>
        <v>Distrito Federal</v>
      </c>
    </row>
    <row r="1318" spans="1:13" x14ac:dyDescent="0.45">
      <c r="A1318" t="s">
        <v>1703</v>
      </c>
      <c r="B1318" t="s">
        <v>1696</v>
      </c>
      <c r="C1318" t="s">
        <v>1539</v>
      </c>
      <c r="D1318" t="s">
        <v>21</v>
      </c>
      <c r="E1318" t="s">
        <v>49</v>
      </c>
      <c r="F1318">
        <v>1</v>
      </c>
      <c r="G1318">
        <v>19.989999999999998</v>
      </c>
      <c r="H1318">
        <v>16.11</v>
      </c>
      <c r="I1318" t="s">
        <v>44</v>
      </c>
      <c r="J1318">
        <v>18</v>
      </c>
      <c r="K1318" t="s">
        <v>51</v>
      </c>
      <c r="L1318">
        <v>4</v>
      </c>
      <c r="M1318" t="str">
        <f>VLOOKUP(D1318,State_Lookup!$A$2:$B$28,2,FALSE)</f>
        <v>Santa Catarina</v>
      </c>
    </row>
    <row r="1319" spans="1:13" x14ac:dyDescent="0.45">
      <c r="A1319" t="s">
        <v>1704</v>
      </c>
      <c r="B1319" t="s">
        <v>1705</v>
      </c>
      <c r="C1319" t="s">
        <v>1539</v>
      </c>
      <c r="D1319" t="s">
        <v>18</v>
      </c>
      <c r="E1319" t="s">
        <v>64</v>
      </c>
      <c r="F1319">
        <v>1</v>
      </c>
      <c r="G1319">
        <v>84.99</v>
      </c>
      <c r="H1319">
        <v>14.34</v>
      </c>
      <c r="I1319" t="s">
        <v>50</v>
      </c>
      <c r="J1319">
        <v>11</v>
      </c>
      <c r="K1319" t="s">
        <v>51</v>
      </c>
      <c r="L1319">
        <v>5</v>
      </c>
      <c r="M1319" t="str">
        <f>VLOOKUP(D1319,State_Lookup!$A$2:$B$28,2,FALSE)</f>
        <v>Minas Gerais</v>
      </c>
    </row>
    <row r="1320" spans="1:13" x14ac:dyDescent="0.45">
      <c r="A1320" t="s">
        <v>1706</v>
      </c>
      <c r="B1320" t="s">
        <v>1705</v>
      </c>
      <c r="C1320" t="s">
        <v>1539</v>
      </c>
      <c r="D1320" t="s">
        <v>18</v>
      </c>
      <c r="E1320" t="s">
        <v>157</v>
      </c>
      <c r="F1320">
        <v>1</v>
      </c>
      <c r="G1320">
        <v>69</v>
      </c>
      <c r="H1320">
        <v>14.23</v>
      </c>
      <c r="I1320" t="s">
        <v>50</v>
      </c>
      <c r="J1320">
        <v>13</v>
      </c>
      <c r="K1320" t="s">
        <v>51</v>
      </c>
      <c r="L1320">
        <v>3</v>
      </c>
      <c r="M1320" t="str">
        <f>VLOOKUP(D1320,State_Lookup!$A$2:$B$28,2,FALSE)</f>
        <v>Minas Gerais</v>
      </c>
    </row>
    <row r="1321" spans="1:13" x14ac:dyDescent="0.45">
      <c r="A1321" t="s">
        <v>1707</v>
      </c>
      <c r="B1321" t="s">
        <v>1705</v>
      </c>
      <c r="C1321" t="s">
        <v>1539</v>
      </c>
      <c r="D1321" t="s">
        <v>18</v>
      </c>
      <c r="E1321" t="s">
        <v>53</v>
      </c>
      <c r="F1321">
        <v>1</v>
      </c>
      <c r="G1321">
        <v>38.89</v>
      </c>
      <c r="H1321">
        <v>17.600000000000001</v>
      </c>
      <c r="I1321" t="s">
        <v>50</v>
      </c>
      <c r="J1321">
        <v>14</v>
      </c>
      <c r="K1321" t="s">
        <v>51</v>
      </c>
      <c r="L1321">
        <v>5</v>
      </c>
      <c r="M1321" t="str">
        <f>VLOOKUP(D1321,State_Lookup!$A$2:$B$28,2,FALSE)</f>
        <v>Minas Gerais</v>
      </c>
    </row>
    <row r="1322" spans="1:13" x14ac:dyDescent="0.45">
      <c r="A1322" t="s">
        <v>1708</v>
      </c>
      <c r="B1322" t="s">
        <v>1705</v>
      </c>
      <c r="C1322" t="s">
        <v>1539</v>
      </c>
      <c r="D1322" t="s">
        <v>22</v>
      </c>
      <c r="E1322" t="s">
        <v>53</v>
      </c>
      <c r="F1322">
        <v>1</v>
      </c>
      <c r="G1322">
        <v>49</v>
      </c>
      <c r="H1322">
        <v>16.79</v>
      </c>
      <c r="I1322" t="s">
        <v>44</v>
      </c>
      <c r="J1322">
        <v>17</v>
      </c>
      <c r="K1322" t="s">
        <v>51</v>
      </c>
      <c r="L1322">
        <v>4</v>
      </c>
      <c r="M1322" t="str">
        <f>VLOOKUP(D1322,State_Lookup!$A$2:$B$28,2,FALSE)</f>
        <v>Bahia</v>
      </c>
    </row>
    <row r="1323" spans="1:13" x14ac:dyDescent="0.45">
      <c r="A1323" t="s">
        <v>1709</v>
      </c>
      <c r="B1323" t="s">
        <v>1705</v>
      </c>
      <c r="C1323" t="s">
        <v>1539</v>
      </c>
      <c r="D1323" t="s">
        <v>16</v>
      </c>
      <c r="E1323" t="s">
        <v>49</v>
      </c>
      <c r="F1323">
        <v>1</v>
      </c>
      <c r="G1323">
        <v>103</v>
      </c>
      <c r="H1323">
        <v>12.22</v>
      </c>
      <c r="I1323" t="s">
        <v>44</v>
      </c>
      <c r="J1323">
        <v>4</v>
      </c>
      <c r="K1323" t="s">
        <v>51</v>
      </c>
      <c r="L1323">
        <v>5</v>
      </c>
      <c r="M1323" t="str">
        <f>VLOOKUP(D1323,State_Lookup!$A$2:$B$28,2,FALSE)</f>
        <v>Sao Paulo</v>
      </c>
    </row>
    <row r="1324" spans="1:13" x14ac:dyDescent="0.45">
      <c r="A1324" t="s">
        <v>1710</v>
      </c>
      <c r="B1324" t="s">
        <v>1705</v>
      </c>
      <c r="C1324" t="s">
        <v>1539</v>
      </c>
      <c r="D1324" t="s">
        <v>16</v>
      </c>
      <c r="E1324" t="s">
        <v>49</v>
      </c>
      <c r="F1324">
        <v>1</v>
      </c>
      <c r="G1324">
        <v>149.99</v>
      </c>
      <c r="H1324">
        <v>19.93</v>
      </c>
      <c r="I1324" t="s">
        <v>44</v>
      </c>
      <c r="J1324">
        <v>11</v>
      </c>
      <c r="K1324" t="s">
        <v>51</v>
      </c>
      <c r="L1324">
        <v>5</v>
      </c>
      <c r="M1324" t="str">
        <f>VLOOKUP(D1324,State_Lookup!$A$2:$B$28,2,FALSE)</f>
        <v>Sao Paulo</v>
      </c>
    </row>
    <row r="1325" spans="1:13" x14ac:dyDescent="0.45">
      <c r="A1325" t="s">
        <v>1711</v>
      </c>
      <c r="B1325" t="s">
        <v>1705</v>
      </c>
      <c r="C1325" t="s">
        <v>1539</v>
      </c>
      <c r="D1325" t="s">
        <v>20</v>
      </c>
      <c r="E1325" t="s">
        <v>260</v>
      </c>
      <c r="F1325">
        <v>1</v>
      </c>
      <c r="G1325">
        <v>56.97</v>
      </c>
      <c r="H1325">
        <v>16.16</v>
      </c>
      <c r="I1325" t="s">
        <v>44</v>
      </c>
      <c r="J1325">
        <v>7</v>
      </c>
      <c r="K1325" t="s">
        <v>51</v>
      </c>
      <c r="L1325">
        <v>5</v>
      </c>
      <c r="M1325" t="str">
        <f>VLOOKUP(D1325,State_Lookup!$A$2:$B$28,2,FALSE)</f>
        <v>Parana</v>
      </c>
    </row>
    <row r="1326" spans="1:13" x14ac:dyDescent="0.45">
      <c r="A1326" t="s">
        <v>1712</v>
      </c>
      <c r="B1326" t="s">
        <v>1713</v>
      </c>
      <c r="C1326" t="s">
        <v>1539</v>
      </c>
      <c r="D1326" t="s">
        <v>17</v>
      </c>
      <c r="E1326" t="s">
        <v>64</v>
      </c>
      <c r="F1326">
        <v>1</v>
      </c>
      <c r="G1326">
        <v>13.99</v>
      </c>
      <c r="H1326">
        <v>14.1</v>
      </c>
      <c r="I1326" t="s">
        <v>50</v>
      </c>
      <c r="J1326">
        <v>6</v>
      </c>
      <c r="K1326" t="s">
        <v>51</v>
      </c>
      <c r="L1326">
        <v>3</v>
      </c>
      <c r="M1326" t="str">
        <f>VLOOKUP(D1326,State_Lookup!$A$2:$B$28,2,FALSE)</f>
        <v>Rio de Janeiro</v>
      </c>
    </row>
    <row r="1327" spans="1:13" x14ac:dyDescent="0.45">
      <c r="A1327" t="s">
        <v>1714</v>
      </c>
      <c r="B1327" t="s">
        <v>1713</v>
      </c>
      <c r="C1327" t="s">
        <v>1539</v>
      </c>
      <c r="D1327" t="s">
        <v>122</v>
      </c>
      <c r="E1327" t="s">
        <v>49</v>
      </c>
      <c r="F1327">
        <v>1</v>
      </c>
      <c r="G1327">
        <v>279.99</v>
      </c>
      <c r="H1327">
        <v>37.32</v>
      </c>
      <c r="I1327" t="s">
        <v>44</v>
      </c>
      <c r="J1327">
        <v>18</v>
      </c>
      <c r="K1327" t="s">
        <v>51</v>
      </c>
      <c r="L1327">
        <v>5</v>
      </c>
      <c r="M1327" t="str">
        <f>VLOOKUP(D1327,State_Lookup!$A$2:$B$28,2,FALSE)</f>
        <v>Para</v>
      </c>
    </row>
    <row r="1328" spans="1:13" x14ac:dyDescent="0.45">
      <c r="A1328" t="s">
        <v>1715</v>
      </c>
      <c r="B1328" t="s">
        <v>1713</v>
      </c>
      <c r="C1328" t="s">
        <v>1539</v>
      </c>
      <c r="D1328" t="s">
        <v>16</v>
      </c>
      <c r="E1328" t="s">
        <v>79</v>
      </c>
      <c r="F1328">
        <v>2</v>
      </c>
      <c r="G1328">
        <v>25.8</v>
      </c>
      <c r="H1328">
        <v>15.56</v>
      </c>
      <c r="I1328" t="s">
        <v>44</v>
      </c>
      <c r="J1328">
        <v>2</v>
      </c>
      <c r="K1328" t="s">
        <v>51</v>
      </c>
      <c r="L1328">
        <v>1</v>
      </c>
      <c r="M1328" t="str">
        <f>VLOOKUP(D1328,State_Lookup!$A$2:$B$28,2,FALSE)</f>
        <v>Sao Paulo</v>
      </c>
    </row>
    <row r="1329" spans="1:13" x14ac:dyDescent="0.45">
      <c r="A1329" t="s">
        <v>1716</v>
      </c>
      <c r="B1329" t="s">
        <v>1713</v>
      </c>
      <c r="C1329" t="s">
        <v>1539</v>
      </c>
      <c r="D1329" t="s">
        <v>18</v>
      </c>
      <c r="E1329" t="s">
        <v>53</v>
      </c>
      <c r="F1329">
        <v>1</v>
      </c>
      <c r="G1329">
        <v>349.99</v>
      </c>
      <c r="H1329">
        <v>19.7</v>
      </c>
      <c r="I1329" t="s">
        <v>44</v>
      </c>
      <c r="J1329">
        <v>10</v>
      </c>
      <c r="K1329" t="s">
        <v>51</v>
      </c>
      <c r="L1329">
        <v>5</v>
      </c>
      <c r="M1329" t="str">
        <f>VLOOKUP(D1329,State_Lookup!$A$2:$B$28,2,FALSE)</f>
        <v>Minas Gerais</v>
      </c>
    </row>
    <row r="1330" spans="1:13" x14ac:dyDescent="0.45">
      <c r="A1330" t="s">
        <v>1717</v>
      </c>
      <c r="B1330" t="s">
        <v>1718</v>
      </c>
      <c r="C1330" t="s">
        <v>1539</v>
      </c>
      <c r="D1330" t="s">
        <v>18</v>
      </c>
      <c r="E1330" t="s">
        <v>110</v>
      </c>
      <c r="F1330">
        <v>2</v>
      </c>
      <c r="G1330">
        <v>160</v>
      </c>
      <c r="H1330">
        <v>35.619999999999997</v>
      </c>
      <c r="I1330" t="s">
        <v>44</v>
      </c>
      <c r="J1330">
        <v>4</v>
      </c>
      <c r="K1330" t="s">
        <v>51</v>
      </c>
      <c r="L1330">
        <v>5</v>
      </c>
      <c r="M1330" t="str">
        <f>VLOOKUP(D1330,State_Lookup!$A$2:$B$28,2,FALSE)</f>
        <v>Minas Gerais</v>
      </c>
    </row>
    <row r="1331" spans="1:13" x14ac:dyDescent="0.45">
      <c r="A1331" t="s">
        <v>1719</v>
      </c>
      <c r="B1331" t="s">
        <v>1718</v>
      </c>
      <c r="C1331" t="s">
        <v>1539</v>
      </c>
      <c r="D1331" t="s">
        <v>16</v>
      </c>
      <c r="E1331" t="s">
        <v>157</v>
      </c>
      <c r="F1331">
        <v>1</v>
      </c>
      <c r="G1331">
        <v>134.9</v>
      </c>
      <c r="H1331">
        <v>12.44</v>
      </c>
      <c r="I1331" t="s">
        <v>50</v>
      </c>
      <c r="J1331">
        <v>9</v>
      </c>
      <c r="K1331" t="s">
        <v>51</v>
      </c>
      <c r="L1331">
        <v>4</v>
      </c>
      <c r="M1331" t="str">
        <f>VLOOKUP(D1331,State_Lookup!$A$2:$B$28,2,FALSE)</f>
        <v>Sao Paulo</v>
      </c>
    </row>
    <row r="1332" spans="1:13" x14ac:dyDescent="0.45">
      <c r="A1332" t="s">
        <v>1720</v>
      </c>
      <c r="B1332" t="s">
        <v>1718</v>
      </c>
      <c r="C1332" t="s">
        <v>1539</v>
      </c>
      <c r="D1332" t="s">
        <v>219</v>
      </c>
      <c r="E1332" t="s">
        <v>157</v>
      </c>
      <c r="F1332">
        <v>1</v>
      </c>
      <c r="G1332">
        <v>56</v>
      </c>
      <c r="H1332">
        <v>21.19</v>
      </c>
      <c r="I1332" t="s">
        <v>44</v>
      </c>
      <c r="J1332">
        <v>15</v>
      </c>
      <c r="K1332" t="s">
        <v>51</v>
      </c>
      <c r="L1332">
        <v>5</v>
      </c>
      <c r="M1332" t="str">
        <f>VLOOKUP(D1332,State_Lookup!$A$2:$B$28,2,FALSE)</f>
        <v>Rondonia</v>
      </c>
    </row>
    <row r="1333" spans="1:13" x14ac:dyDescent="0.45">
      <c r="A1333" t="s">
        <v>1721</v>
      </c>
      <c r="B1333" t="s">
        <v>1718</v>
      </c>
      <c r="C1333" t="s">
        <v>1539</v>
      </c>
      <c r="D1333" t="s">
        <v>17</v>
      </c>
      <c r="E1333" t="s">
        <v>123</v>
      </c>
      <c r="F1333">
        <v>1</v>
      </c>
      <c r="G1333">
        <v>69.900000000000006</v>
      </c>
      <c r="H1333">
        <v>18.059999999999999</v>
      </c>
      <c r="I1333" t="s">
        <v>44</v>
      </c>
      <c r="J1333">
        <v>15</v>
      </c>
      <c r="K1333" t="s">
        <v>51</v>
      </c>
      <c r="L1333">
        <v>5</v>
      </c>
      <c r="M1333" t="str">
        <f>VLOOKUP(D1333,State_Lookup!$A$2:$B$28,2,FALSE)</f>
        <v>Rio de Janeiro</v>
      </c>
    </row>
    <row r="1334" spans="1:13" x14ac:dyDescent="0.45">
      <c r="A1334" t="s">
        <v>1722</v>
      </c>
      <c r="B1334" t="s">
        <v>1723</v>
      </c>
      <c r="C1334" t="s">
        <v>1539</v>
      </c>
      <c r="D1334" t="s">
        <v>20</v>
      </c>
      <c r="E1334" t="s">
        <v>49</v>
      </c>
      <c r="F1334">
        <v>1</v>
      </c>
      <c r="G1334">
        <v>99</v>
      </c>
      <c r="H1334">
        <v>16.940000000000001</v>
      </c>
      <c r="I1334" t="s">
        <v>44</v>
      </c>
      <c r="J1334">
        <v>6</v>
      </c>
      <c r="K1334" t="s">
        <v>51</v>
      </c>
      <c r="L1334">
        <v>4</v>
      </c>
      <c r="M1334" t="str">
        <f>VLOOKUP(D1334,State_Lookup!$A$2:$B$28,2,FALSE)</f>
        <v>Parana</v>
      </c>
    </row>
    <row r="1335" spans="1:13" x14ac:dyDescent="0.45">
      <c r="A1335" t="s">
        <v>1724</v>
      </c>
      <c r="B1335" t="s">
        <v>1723</v>
      </c>
      <c r="C1335" t="s">
        <v>1539</v>
      </c>
      <c r="D1335" t="s">
        <v>16</v>
      </c>
      <c r="E1335" t="s">
        <v>110</v>
      </c>
      <c r="F1335">
        <v>1</v>
      </c>
      <c r="G1335">
        <v>147.13</v>
      </c>
      <c r="H1335">
        <v>16.66</v>
      </c>
      <c r="I1335" t="s">
        <v>44</v>
      </c>
      <c r="J1335">
        <v>10</v>
      </c>
      <c r="K1335" t="s">
        <v>51</v>
      </c>
      <c r="L1335">
        <v>4</v>
      </c>
      <c r="M1335" t="str">
        <f>VLOOKUP(D1335,State_Lookup!$A$2:$B$28,2,FALSE)</f>
        <v>Sao Paulo</v>
      </c>
    </row>
    <row r="1336" spans="1:13" x14ac:dyDescent="0.45">
      <c r="A1336" t="s">
        <v>1725</v>
      </c>
      <c r="B1336" t="s">
        <v>1723</v>
      </c>
      <c r="C1336" t="s">
        <v>1539</v>
      </c>
      <c r="D1336" t="s">
        <v>63</v>
      </c>
      <c r="E1336" t="s">
        <v>79</v>
      </c>
      <c r="F1336">
        <v>1</v>
      </c>
      <c r="G1336">
        <v>89.99</v>
      </c>
      <c r="H1336">
        <v>17.91</v>
      </c>
      <c r="I1336" t="s">
        <v>44</v>
      </c>
      <c r="J1336">
        <v>13</v>
      </c>
      <c r="K1336" t="s">
        <v>51</v>
      </c>
      <c r="L1336">
        <v>4</v>
      </c>
      <c r="M1336" t="str">
        <f>VLOOKUP(D1336,State_Lookup!$A$2:$B$28,2,FALSE)</f>
        <v>Pernambuco</v>
      </c>
    </row>
    <row r="1337" spans="1:13" x14ac:dyDescent="0.45">
      <c r="A1337" t="s">
        <v>1726</v>
      </c>
      <c r="B1337" t="s">
        <v>1723</v>
      </c>
      <c r="C1337" t="s">
        <v>1539</v>
      </c>
      <c r="D1337" t="s">
        <v>19</v>
      </c>
      <c r="E1337" t="s">
        <v>79</v>
      </c>
      <c r="F1337">
        <v>1</v>
      </c>
      <c r="G1337">
        <v>84.99</v>
      </c>
      <c r="H1337">
        <v>15.35</v>
      </c>
      <c r="I1337" t="s">
        <v>44</v>
      </c>
      <c r="J1337">
        <v>14</v>
      </c>
      <c r="K1337" t="s">
        <v>51</v>
      </c>
      <c r="L1337">
        <v>5</v>
      </c>
      <c r="M1337" t="str">
        <f>VLOOKUP(D1337,State_Lookup!$A$2:$B$28,2,FALSE)</f>
        <v>Rio Grande do Sul</v>
      </c>
    </row>
    <row r="1338" spans="1:13" x14ac:dyDescent="0.45">
      <c r="A1338" t="s">
        <v>1727</v>
      </c>
      <c r="B1338" t="s">
        <v>1723</v>
      </c>
      <c r="C1338" t="s">
        <v>1539</v>
      </c>
      <c r="D1338" t="s">
        <v>18</v>
      </c>
      <c r="E1338" t="s">
        <v>79</v>
      </c>
      <c r="F1338">
        <v>1</v>
      </c>
      <c r="G1338">
        <v>117.79</v>
      </c>
      <c r="H1338">
        <v>17.260000000000002</v>
      </c>
      <c r="I1338" t="s">
        <v>50</v>
      </c>
      <c r="J1338">
        <v>7</v>
      </c>
      <c r="K1338" t="s">
        <v>51</v>
      </c>
      <c r="L1338">
        <v>5</v>
      </c>
      <c r="M1338" t="str">
        <f>VLOOKUP(D1338,State_Lookup!$A$2:$B$28,2,FALSE)</f>
        <v>Minas Gerais</v>
      </c>
    </row>
    <row r="1339" spans="1:13" x14ac:dyDescent="0.45">
      <c r="A1339" t="s">
        <v>1728</v>
      </c>
      <c r="B1339" t="s">
        <v>1723</v>
      </c>
      <c r="C1339" t="s">
        <v>1539</v>
      </c>
      <c r="D1339" t="s">
        <v>18</v>
      </c>
      <c r="E1339" t="s">
        <v>53</v>
      </c>
      <c r="F1339">
        <v>1</v>
      </c>
      <c r="G1339">
        <v>99.9</v>
      </c>
      <c r="H1339">
        <v>17.95</v>
      </c>
      <c r="I1339" t="s">
        <v>44</v>
      </c>
      <c r="J1339">
        <v>8</v>
      </c>
      <c r="K1339" t="s">
        <v>51</v>
      </c>
      <c r="L1339">
        <v>1</v>
      </c>
      <c r="M1339" t="str">
        <f>VLOOKUP(D1339,State_Lookup!$A$2:$B$28,2,FALSE)</f>
        <v>Minas Gerais</v>
      </c>
    </row>
    <row r="1340" spans="1:13" x14ac:dyDescent="0.45">
      <c r="A1340" t="s">
        <v>1729</v>
      </c>
      <c r="B1340" t="s">
        <v>1730</v>
      </c>
      <c r="C1340" t="s">
        <v>1539</v>
      </c>
      <c r="D1340" t="s">
        <v>16</v>
      </c>
      <c r="E1340" t="s">
        <v>79</v>
      </c>
      <c r="F1340">
        <v>1</v>
      </c>
      <c r="G1340">
        <v>39.9</v>
      </c>
      <c r="H1340">
        <v>8.7200000000000006</v>
      </c>
      <c r="I1340" t="s">
        <v>44</v>
      </c>
      <c r="J1340">
        <v>13</v>
      </c>
      <c r="K1340" t="s">
        <v>51</v>
      </c>
      <c r="L1340">
        <v>4</v>
      </c>
      <c r="M1340" t="str">
        <f>VLOOKUP(D1340,State_Lookup!$A$2:$B$28,2,FALSE)</f>
        <v>Sao Paulo</v>
      </c>
    </row>
    <row r="1341" spans="1:13" x14ac:dyDescent="0.45">
      <c r="A1341" t="s">
        <v>1731</v>
      </c>
      <c r="B1341" t="s">
        <v>1730</v>
      </c>
      <c r="C1341" t="s">
        <v>1539</v>
      </c>
      <c r="D1341" t="s">
        <v>17</v>
      </c>
      <c r="E1341" t="s">
        <v>110</v>
      </c>
      <c r="F1341">
        <v>2</v>
      </c>
      <c r="G1341">
        <v>359.98</v>
      </c>
      <c r="H1341">
        <v>52.2</v>
      </c>
      <c r="I1341" t="s">
        <v>44</v>
      </c>
      <c r="J1341">
        <v>13</v>
      </c>
      <c r="K1341" t="s">
        <v>51</v>
      </c>
      <c r="L1341">
        <v>5</v>
      </c>
      <c r="M1341" t="str">
        <f>VLOOKUP(D1341,State_Lookup!$A$2:$B$28,2,FALSE)</f>
        <v>Rio de Janeiro</v>
      </c>
    </row>
    <row r="1342" spans="1:13" x14ac:dyDescent="0.45">
      <c r="A1342" t="s">
        <v>1732</v>
      </c>
      <c r="B1342" t="s">
        <v>1730</v>
      </c>
      <c r="C1342" t="s">
        <v>1539</v>
      </c>
      <c r="D1342" t="s">
        <v>16</v>
      </c>
      <c r="E1342" t="s">
        <v>157</v>
      </c>
      <c r="F1342">
        <v>1</v>
      </c>
      <c r="G1342">
        <v>258.89999999999998</v>
      </c>
      <c r="H1342">
        <v>16.559999999999999</v>
      </c>
      <c r="I1342" t="s">
        <v>44</v>
      </c>
      <c r="J1342">
        <v>6</v>
      </c>
      <c r="K1342" t="s">
        <v>51</v>
      </c>
      <c r="L1342">
        <v>5</v>
      </c>
      <c r="M1342" t="str">
        <f>VLOOKUP(D1342,State_Lookup!$A$2:$B$28,2,FALSE)</f>
        <v>Sao Paulo</v>
      </c>
    </row>
    <row r="1343" spans="1:13" x14ac:dyDescent="0.45">
      <c r="A1343" t="s">
        <v>1733</v>
      </c>
      <c r="B1343" t="s">
        <v>1730</v>
      </c>
      <c r="C1343" t="s">
        <v>1539</v>
      </c>
      <c r="D1343" t="s">
        <v>16</v>
      </c>
      <c r="E1343" t="s">
        <v>43</v>
      </c>
      <c r="F1343">
        <v>2</v>
      </c>
      <c r="G1343">
        <v>135.80000000000001</v>
      </c>
      <c r="H1343">
        <v>26.34</v>
      </c>
      <c r="I1343" t="s">
        <v>44</v>
      </c>
      <c r="J1343">
        <v>10</v>
      </c>
      <c r="K1343" t="s">
        <v>51</v>
      </c>
      <c r="L1343">
        <v>5</v>
      </c>
      <c r="M1343" t="str">
        <f>VLOOKUP(D1343,State_Lookup!$A$2:$B$28,2,FALSE)</f>
        <v>Sao Paulo</v>
      </c>
    </row>
    <row r="1344" spans="1:13" x14ac:dyDescent="0.45">
      <c r="A1344" t="s">
        <v>1734</v>
      </c>
      <c r="B1344" t="s">
        <v>1730</v>
      </c>
      <c r="C1344" t="s">
        <v>1539</v>
      </c>
      <c r="D1344" t="s">
        <v>21</v>
      </c>
      <c r="E1344" t="s">
        <v>302</v>
      </c>
      <c r="F1344">
        <v>1</v>
      </c>
      <c r="G1344">
        <v>320</v>
      </c>
      <c r="H1344">
        <v>11.66</v>
      </c>
      <c r="I1344" t="s">
        <v>50</v>
      </c>
      <c r="J1344">
        <v>7</v>
      </c>
      <c r="K1344" t="s">
        <v>51</v>
      </c>
      <c r="L1344">
        <v>5</v>
      </c>
      <c r="M1344" t="str">
        <f>VLOOKUP(D1344,State_Lookup!$A$2:$B$28,2,FALSE)</f>
        <v>Santa Catarina</v>
      </c>
    </row>
    <row r="1345" spans="1:13" x14ac:dyDescent="0.45">
      <c r="A1345" t="s">
        <v>1735</v>
      </c>
      <c r="B1345" t="s">
        <v>1730</v>
      </c>
      <c r="C1345" t="s">
        <v>1539</v>
      </c>
      <c r="D1345" t="s">
        <v>24</v>
      </c>
      <c r="E1345" t="s">
        <v>142</v>
      </c>
      <c r="F1345">
        <v>1</v>
      </c>
      <c r="G1345">
        <v>69.900000000000006</v>
      </c>
      <c r="H1345">
        <v>16.739999999999998</v>
      </c>
      <c r="I1345" t="s">
        <v>44</v>
      </c>
      <c r="K1345" t="s">
        <v>45</v>
      </c>
      <c r="L1345">
        <v>1</v>
      </c>
      <c r="M1345" t="str">
        <f>VLOOKUP(D1345,State_Lookup!$A$2:$B$28,2,FALSE)</f>
        <v>Distrito Federal</v>
      </c>
    </row>
    <row r="1346" spans="1:13" x14ac:dyDescent="0.45">
      <c r="A1346" t="s">
        <v>1736</v>
      </c>
      <c r="B1346" t="s">
        <v>1730</v>
      </c>
      <c r="C1346" t="s">
        <v>1539</v>
      </c>
      <c r="D1346" t="s">
        <v>16</v>
      </c>
      <c r="E1346" t="s">
        <v>53</v>
      </c>
      <c r="F1346">
        <v>1</v>
      </c>
      <c r="G1346">
        <v>20</v>
      </c>
      <c r="H1346">
        <v>11.85</v>
      </c>
      <c r="I1346" t="s">
        <v>44</v>
      </c>
      <c r="J1346">
        <v>5</v>
      </c>
      <c r="K1346" t="s">
        <v>51</v>
      </c>
      <c r="L1346">
        <v>4</v>
      </c>
      <c r="M1346" t="str">
        <f>VLOOKUP(D1346,State_Lookup!$A$2:$B$28,2,FALSE)</f>
        <v>Sao Paulo</v>
      </c>
    </row>
    <row r="1347" spans="1:13" x14ac:dyDescent="0.45">
      <c r="A1347" t="s">
        <v>1737</v>
      </c>
      <c r="B1347" t="s">
        <v>1730</v>
      </c>
      <c r="C1347" t="s">
        <v>1539</v>
      </c>
      <c r="D1347" t="s">
        <v>16</v>
      </c>
      <c r="E1347" t="s">
        <v>66</v>
      </c>
      <c r="F1347">
        <v>1</v>
      </c>
      <c r="G1347">
        <v>20.99</v>
      </c>
      <c r="H1347">
        <v>11.85</v>
      </c>
      <c r="I1347" t="s">
        <v>44</v>
      </c>
      <c r="J1347">
        <v>8</v>
      </c>
      <c r="K1347" t="s">
        <v>51</v>
      </c>
      <c r="L1347">
        <v>5</v>
      </c>
      <c r="M1347" t="str">
        <f>VLOOKUP(D1347,State_Lookup!$A$2:$B$28,2,FALSE)</f>
        <v>Sao Paulo</v>
      </c>
    </row>
    <row r="1348" spans="1:13" x14ac:dyDescent="0.45">
      <c r="A1348" t="s">
        <v>1738</v>
      </c>
      <c r="B1348" t="s">
        <v>1730</v>
      </c>
      <c r="C1348" t="s">
        <v>1539</v>
      </c>
      <c r="D1348" t="s">
        <v>16</v>
      </c>
      <c r="E1348" t="s">
        <v>152</v>
      </c>
      <c r="F1348">
        <v>1</v>
      </c>
      <c r="G1348">
        <v>37.9</v>
      </c>
      <c r="H1348">
        <v>13.37</v>
      </c>
      <c r="I1348" t="s">
        <v>44</v>
      </c>
      <c r="J1348">
        <v>7</v>
      </c>
      <c r="K1348" t="s">
        <v>51</v>
      </c>
      <c r="L1348">
        <v>5</v>
      </c>
      <c r="M1348" t="str">
        <f>VLOOKUP(D1348,State_Lookup!$A$2:$B$28,2,FALSE)</f>
        <v>Sao Paulo</v>
      </c>
    </row>
    <row r="1349" spans="1:13" x14ac:dyDescent="0.45">
      <c r="A1349" t="s">
        <v>1739</v>
      </c>
      <c r="B1349" t="s">
        <v>1730</v>
      </c>
      <c r="C1349" t="s">
        <v>1539</v>
      </c>
      <c r="D1349" t="s">
        <v>17</v>
      </c>
      <c r="E1349" t="s">
        <v>61</v>
      </c>
      <c r="F1349">
        <v>1</v>
      </c>
      <c r="G1349">
        <v>150</v>
      </c>
      <c r="H1349">
        <v>16.809999999999999</v>
      </c>
      <c r="I1349" t="s">
        <v>44</v>
      </c>
      <c r="J1349">
        <v>15</v>
      </c>
      <c r="K1349" t="s">
        <v>51</v>
      </c>
      <c r="L1349">
        <v>4</v>
      </c>
      <c r="M1349" t="str">
        <f>VLOOKUP(D1349,State_Lookup!$A$2:$B$28,2,FALSE)</f>
        <v>Rio de Janeiro</v>
      </c>
    </row>
    <row r="1350" spans="1:13" x14ac:dyDescent="0.45">
      <c r="A1350" t="s">
        <v>1740</v>
      </c>
      <c r="B1350" t="s">
        <v>1730</v>
      </c>
      <c r="C1350" t="s">
        <v>1539</v>
      </c>
      <c r="D1350" t="s">
        <v>23</v>
      </c>
      <c r="E1350" t="s">
        <v>49</v>
      </c>
      <c r="F1350">
        <v>1</v>
      </c>
      <c r="G1350">
        <v>169.9</v>
      </c>
      <c r="H1350">
        <v>21.59</v>
      </c>
      <c r="I1350" t="s">
        <v>50</v>
      </c>
      <c r="J1350">
        <v>20</v>
      </c>
      <c r="K1350" t="s">
        <v>51</v>
      </c>
      <c r="L1350">
        <v>5</v>
      </c>
      <c r="M1350" t="str">
        <f>VLOOKUP(D1350,State_Lookup!$A$2:$B$28,2,FALSE)</f>
        <v>Espirito Santo</v>
      </c>
    </row>
    <row r="1351" spans="1:13" x14ac:dyDescent="0.45">
      <c r="A1351" t="s">
        <v>1741</v>
      </c>
      <c r="B1351" t="s">
        <v>1730</v>
      </c>
      <c r="C1351" t="s">
        <v>1539</v>
      </c>
      <c r="D1351" t="s">
        <v>21</v>
      </c>
      <c r="E1351" t="s">
        <v>43</v>
      </c>
      <c r="F1351">
        <v>1</v>
      </c>
      <c r="G1351">
        <v>54.9</v>
      </c>
      <c r="H1351">
        <v>16.14</v>
      </c>
      <c r="I1351" t="s">
        <v>44</v>
      </c>
      <c r="J1351">
        <v>8</v>
      </c>
      <c r="K1351" t="s">
        <v>51</v>
      </c>
      <c r="L1351">
        <v>5</v>
      </c>
      <c r="M1351" t="str">
        <f>VLOOKUP(D1351,State_Lookup!$A$2:$B$28,2,FALSE)</f>
        <v>Santa Catarina</v>
      </c>
    </row>
    <row r="1352" spans="1:13" x14ac:dyDescent="0.45">
      <c r="A1352" t="s">
        <v>1742</v>
      </c>
      <c r="B1352" t="s">
        <v>1743</v>
      </c>
      <c r="C1352" t="s">
        <v>1539</v>
      </c>
      <c r="D1352" t="s">
        <v>17</v>
      </c>
      <c r="E1352" t="s">
        <v>107</v>
      </c>
      <c r="F1352">
        <v>1</v>
      </c>
      <c r="G1352">
        <v>143.80000000000001</v>
      </c>
      <c r="H1352">
        <v>23.33</v>
      </c>
      <c r="I1352" t="s">
        <v>44</v>
      </c>
      <c r="J1352">
        <v>6</v>
      </c>
      <c r="K1352" t="s">
        <v>51</v>
      </c>
      <c r="L1352">
        <v>5</v>
      </c>
      <c r="M1352" t="str">
        <f>VLOOKUP(D1352,State_Lookup!$A$2:$B$28,2,FALSE)</f>
        <v>Rio de Janeiro</v>
      </c>
    </row>
    <row r="1353" spans="1:13" x14ac:dyDescent="0.45">
      <c r="A1353" t="s">
        <v>1744</v>
      </c>
      <c r="B1353" t="s">
        <v>1743</v>
      </c>
      <c r="C1353" t="s">
        <v>1539</v>
      </c>
      <c r="D1353" t="s">
        <v>18</v>
      </c>
      <c r="E1353" t="s">
        <v>79</v>
      </c>
      <c r="F1353">
        <v>1</v>
      </c>
      <c r="G1353">
        <v>72.34</v>
      </c>
      <c r="H1353">
        <v>16.760000000000002</v>
      </c>
      <c r="I1353" t="s">
        <v>44</v>
      </c>
      <c r="J1353">
        <v>8</v>
      </c>
      <c r="K1353" t="s">
        <v>51</v>
      </c>
      <c r="L1353">
        <v>5</v>
      </c>
      <c r="M1353" t="str">
        <f>VLOOKUP(D1353,State_Lookup!$A$2:$B$28,2,FALSE)</f>
        <v>Minas Gerais</v>
      </c>
    </row>
    <row r="1354" spans="1:13" x14ac:dyDescent="0.45">
      <c r="A1354" t="s">
        <v>1745</v>
      </c>
      <c r="B1354" t="s">
        <v>1743</v>
      </c>
      <c r="C1354" t="s">
        <v>1539</v>
      </c>
      <c r="D1354" t="s">
        <v>16</v>
      </c>
      <c r="E1354" t="s">
        <v>43</v>
      </c>
      <c r="F1354">
        <v>1</v>
      </c>
      <c r="G1354">
        <v>12.99</v>
      </c>
      <c r="H1354">
        <v>8.7200000000000006</v>
      </c>
      <c r="I1354" t="s">
        <v>44</v>
      </c>
      <c r="J1354">
        <v>2</v>
      </c>
      <c r="K1354" t="s">
        <v>51</v>
      </c>
      <c r="M1354" t="str">
        <f>VLOOKUP(D1354,State_Lookup!$A$2:$B$28,2,FALSE)</f>
        <v>Sao Paulo</v>
      </c>
    </row>
    <row r="1355" spans="1:13" x14ac:dyDescent="0.45">
      <c r="A1355" t="s">
        <v>1746</v>
      </c>
      <c r="B1355" t="s">
        <v>1743</v>
      </c>
      <c r="C1355" t="s">
        <v>1539</v>
      </c>
      <c r="D1355" t="s">
        <v>63</v>
      </c>
      <c r="E1355" t="s">
        <v>220</v>
      </c>
      <c r="F1355">
        <v>1</v>
      </c>
      <c r="G1355">
        <v>179.98</v>
      </c>
      <c r="H1355">
        <v>116.88</v>
      </c>
      <c r="I1355" t="s">
        <v>44</v>
      </c>
      <c r="J1355">
        <v>14</v>
      </c>
      <c r="K1355" t="s">
        <v>51</v>
      </c>
      <c r="L1355">
        <v>5</v>
      </c>
      <c r="M1355" t="str">
        <f>VLOOKUP(D1355,State_Lookup!$A$2:$B$28,2,FALSE)</f>
        <v>Pernambuco</v>
      </c>
    </row>
    <row r="1356" spans="1:13" x14ac:dyDescent="0.45">
      <c r="A1356" t="s">
        <v>1747</v>
      </c>
      <c r="B1356" t="s">
        <v>1743</v>
      </c>
      <c r="C1356" t="s">
        <v>1539</v>
      </c>
      <c r="D1356" t="s">
        <v>16</v>
      </c>
      <c r="E1356" t="s">
        <v>53</v>
      </c>
      <c r="F1356">
        <v>2</v>
      </c>
      <c r="G1356">
        <v>76.5</v>
      </c>
      <c r="H1356">
        <v>32.22</v>
      </c>
      <c r="I1356" t="s">
        <v>44</v>
      </c>
      <c r="J1356">
        <v>8</v>
      </c>
      <c r="K1356" t="s">
        <v>51</v>
      </c>
      <c r="L1356">
        <v>5</v>
      </c>
      <c r="M1356" t="str">
        <f>VLOOKUP(D1356,State_Lookup!$A$2:$B$28,2,FALSE)</f>
        <v>Sao Paulo</v>
      </c>
    </row>
    <row r="1357" spans="1:13" x14ac:dyDescent="0.45">
      <c r="A1357" t="s">
        <v>1748</v>
      </c>
      <c r="B1357" t="s">
        <v>1749</v>
      </c>
      <c r="C1357" t="s">
        <v>1539</v>
      </c>
      <c r="D1357" t="s">
        <v>17</v>
      </c>
      <c r="E1357" t="s">
        <v>103</v>
      </c>
      <c r="F1357">
        <v>1</v>
      </c>
      <c r="G1357">
        <v>159.99</v>
      </c>
      <c r="H1357">
        <v>57.79</v>
      </c>
      <c r="I1357" t="s">
        <v>50</v>
      </c>
      <c r="J1357">
        <v>18</v>
      </c>
      <c r="K1357" t="s">
        <v>51</v>
      </c>
      <c r="L1357">
        <v>4</v>
      </c>
      <c r="M1357" t="str">
        <f>VLOOKUP(D1357,State_Lookup!$A$2:$B$28,2,FALSE)</f>
        <v>Rio de Janeiro</v>
      </c>
    </row>
    <row r="1358" spans="1:13" x14ac:dyDescent="0.45">
      <c r="A1358" t="s">
        <v>1750</v>
      </c>
      <c r="B1358" t="s">
        <v>1749</v>
      </c>
      <c r="C1358" t="s">
        <v>1539</v>
      </c>
      <c r="D1358" t="s">
        <v>18</v>
      </c>
      <c r="E1358" t="s">
        <v>148</v>
      </c>
      <c r="F1358">
        <v>1</v>
      </c>
      <c r="G1358">
        <v>25</v>
      </c>
      <c r="H1358">
        <v>17.920000000000002</v>
      </c>
      <c r="I1358" t="s">
        <v>44</v>
      </c>
      <c r="J1358">
        <v>19</v>
      </c>
      <c r="K1358" t="s">
        <v>51</v>
      </c>
      <c r="L1358">
        <v>3</v>
      </c>
      <c r="M1358" t="str">
        <f>VLOOKUP(D1358,State_Lookup!$A$2:$B$28,2,FALSE)</f>
        <v>Minas Gerais</v>
      </c>
    </row>
    <row r="1359" spans="1:13" x14ac:dyDescent="0.45">
      <c r="A1359" t="s">
        <v>1751</v>
      </c>
      <c r="B1359" t="s">
        <v>1749</v>
      </c>
      <c r="C1359" t="s">
        <v>1539</v>
      </c>
      <c r="D1359" t="s">
        <v>22</v>
      </c>
      <c r="E1359" t="s">
        <v>110</v>
      </c>
      <c r="F1359">
        <v>2</v>
      </c>
      <c r="G1359">
        <v>438.9</v>
      </c>
      <c r="H1359">
        <v>49.68</v>
      </c>
      <c r="I1359" t="s">
        <v>44</v>
      </c>
      <c r="J1359">
        <v>21</v>
      </c>
      <c r="K1359" t="s">
        <v>51</v>
      </c>
      <c r="L1359">
        <v>5</v>
      </c>
      <c r="M1359" t="str">
        <f>VLOOKUP(D1359,State_Lookup!$A$2:$B$28,2,FALSE)</f>
        <v>Bahia</v>
      </c>
    </row>
    <row r="1360" spans="1:13" x14ac:dyDescent="0.45">
      <c r="A1360" t="s">
        <v>1752</v>
      </c>
      <c r="B1360" t="s">
        <v>1749</v>
      </c>
      <c r="C1360" t="s">
        <v>1539</v>
      </c>
      <c r="D1360" t="s">
        <v>19</v>
      </c>
      <c r="E1360" t="s">
        <v>173</v>
      </c>
      <c r="F1360">
        <v>1</v>
      </c>
      <c r="G1360">
        <v>43.3</v>
      </c>
      <c r="H1360">
        <v>15.11</v>
      </c>
      <c r="I1360" t="s">
        <v>50</v>
      </c>
      <c r="J1360">
        <v>18</v>
      </c>
      <c r="K1360" t="s">
        <v>51</v>
      </c>
      <c r="L1360">
        <v>5</v>
      </c>
      <c r="M1360" t="str">
        <f>VLOOKUP(D1360,State_Lookup!$A$2:$B$28,2,FALSE)</f>
        <v>Rio Grande do Sul</v>
      </c>
    </row>
    <row r="1361" spans="1:13" x14ac:dyDescent="0.45">
      <c r="A1361" t="s">
        <v>1753</v>
      </c>
      <c r="B1361" t="s">
        <v>1749</v>
      </c>
      <c r="C1361" t="s">
        <v>1539</v>
      </c>
      <c r="D1361" t="s">
        <v>19</v>
      </c>
      <c r="E1361" t="s">
        <v>157</v>
      </c>
      <c r="F1361">
        <v>1</v>
      </c>
      <c r="G1361">
        <v>159.9</v>
      </c>
      <c r="H1361">
        <v>15.87</v>
      </c>
      <c r="I1361" t="s">
        <v>44</v>
      </c>
      <c r="J1361">
        <v>11</v>
      </c>
      <c r="K1361" t="s">
        <v>51</v>
      </c>
      <c r="L1361">
        <v>5</v>
      </c>
      <c r="M1361" t="str">
        <f>VLOOKUP(D1361,State_Lookup!$A$2:$B$28,2,FALSE)</f>
        <v>Rio Grande do Sul</v>
      </c>
    </row>
    <row r="1362" spans="1:13" x14ac:dyDescent="0.45">
      <c r="A1362" t="s">
        <v>1754</v>
      </c>
      <c r="B1362" t="s">
        <v>1749</v>
      </c>
      <c r="C1362" t="s">
        <v>1539</v>
      </c>
      <c r="D1362" t="s">
        <v>18</v>
      </c>
      <c r="E1362" t="s">
        <v>157</v>
      </c>
      <c r="F1362">
        <v>1</v>
      </c>
      <c r="G1362">
        <v>248</v>
      </c>
      <c r="H1362">
        <v>16.489999999999998</v>
      </c>
      <c r="I1362" t="s">
        <v>44</v>
      </c>
      <c r="J1362">
        <v>11</v>
      </c>
      <c r="K1362" t="s">
        <v>51</v>
      </c>
      <c r="L1362">
        <v>5</v>
      </c>
      <c r="M1362" t="str">
        <f>VLOOKUP(D1362,State_Lookup!$A$2:$B$28,2,FALSE)</f>
        <v>Minas Gerais</v>
      </c>
    </row>
    <row r="1363" spans="1:13" x14ac:dyDescent="0.45">
      <c r="A1363" t="s">
        <v>1755</v>
      </c>
      <c r="B1363" t="s">
        <v>1749</v>
      </c>
      <c r="C1363" t="s">
        <v>1539</v>
      </c>
      <c r="D1363" t="s">
        <v>16</v>
      </c>
      <c r="E1363" t="s">
        <v>110</v>
      </c>
      <c r="F1363">
        <v>2</v>
      </c>
      <c r="G1363">
        <v>106.89</v>
      </c>
      <c r="H1363">
        <v>28.85</v>
      </c>
      <c r="I1363" t="s">
        <v>50</v>
      </c>
      <c r="J1363">
        <v>14</v>
      </c>
      <c r="K1363" t="s">
        <v>51</v>
      </c>
      <c r="L1363">
        <v>1</v>
      </c>
      <c r="M1363" t="str">
        <f>VLOOKUP(D1363,State_Lookup!$A$2:$B$28,2,FALSE)</f>
        <v>Sao Paulo</v>
      </c>
    </row>
    <row r="1364" spans="1:13" x14ac:dyDescent="0.45">
      <c r="A1364" t="s">
        <v>1756</v>
      </c>
      <c r="B1364" t="s">
        <v>1757</v>
      </c>
      <c r="C1364" t="s">
        <v>1539</v>
      </c>
      <c r="D1364" t="s">
        <v>16</v>
      </c>
      <c r="E1364" t="s">
        <v>53</v>
      </c>
      <c r="F1364">
        <v>1</v>
      </c>
      <c r="G1364">
        <v>25</v>
      </c>
      <c r="H1364">
        <v>12.69</v>
      </c>
      <c r="I1364" t="s">
        <v>44</v>
      </c>
      <c r="J1364">
        <v>14</v>
      </c>
      <c r="K1364" t="s">
        <v>51</v>
      </c>
      <c r="L1364">
        <v>4</v>
      </c>
      <c r="M1364" t="str">
        <f>VLOOKUP(D1364,State_Lookup!$A$2:$B$28,2,FALSE)</f>
        <v>Sao Paulo</v>
      </c>
    </row>
    <row r="1365" spans="1:13" x14ac:dyDescent="0.45">
      <c r="A1365" t="s">
        <v>1758</v>
      </c>
      <c r="B1365" t="s">
        <v>1757</v>
      </c>
      <c r="C1365" t="s">
        <v>1539</v>
      </c>
      <c r="D1365" t="s">
        <v>16</v>
      </c>
      <c r="E1365" t="s">
        <v>157</v>
      </c>
      <c r="F1365">
        <v>1</v>
      </c>
      <c r="G1365">
        <v>132.6</v>
      </c>
      <c r="H1365">
        <v>15.68</v>
      </c>
      <c r="I1365" t="s">
        <v>44</v>
      </c>
      <c r="J1365">
        <v>10</v>
      </c>
      <c r="K1365" t="s">
        <v>51</v>
      </c>
      <c r="L1365">
        <v>5</v>
      </c>
      <c r="M1365" t="str">
        <f>VLOOKUP(D1365,State_Lookup!$A$2:$B$28,2,FALSE)</f>
        <v>Sao Paulo</v>
      </c>
    </row>
    <row r="1366" spans="1:13" x14ac:dyDescent="0.45">
      <c r="A1366" t="s">
        <v>1759</v>
      </c>
      <c r="B1366" t="s">
        <v>1757</v>
      </c>
      <c r="C1366" t="s">
        <v>1539</v>
      </c>
      <c r="D1366" t="s">
        <v>19</v>
      </c>
      <c r="E1366" t="s">
        <v>53</v>
      </c>
      <c r="F1366">
        <v>1</v>
      </c>
      <c r="G1366">
        <v>139.99</v>
      </c>
      <c r="H1366">
        <v>15.74</v>
      </c>
      <c r="I1366" t="s">
        <v>44</v>
      </c>
      <c r="J1366">
        <v>10</v>
      </c>
      <c r="K1366" t="s">
        <v>51</v>
      </c>
      <c r="L1366">
        <v>5</v>
      </c>
      <c r="M1366" t="str">
        <f>VLOOKUP(D1366,State_Lookup!$A$2:$B$28,2,FALSE)</f>
        <v>Rio Grande do Sul</v>
      </c>
    </row>
    <row r="1367" spans="1:13" x14ac:dyDescent="0.45">
      <c r="A1367" t="s">
        <v>1760</v>
      </c>
      <c r="B1367" t="s">
        <v>1757</v>
      </c>
      <c r="C1367" t="s">
        <v>1539</v>
      </c>
      <c r="D1367" t="s">
        <v>17</v>
      </c>
      <c r="E1367" t="s">
        <v>79</v>
      </c>
      <c r="F1367">
        <v>1</v>
      </c>
      <c r="G1367">
        <v>59.99</v>
      </c>
      <c r="H1367">
        <v>15.18</v>
      </c>
      <c r="I1367" t="s">
        <v>44</v>
      </c>
      <c r="J1367">
        <v>14</v>
      </c>
      <c r="K1367" t="s">
        <v>51</v>
      </c>
      <c r="L1367">
        <v>5</v>
      </c>
      <c r="M1367" t="str">
        <f>VLOOKUP(D1367,State_Lookup!$A$2:$B$28,2,FALSE)</f>
        <v>Rio de Janeiro</v>
      </c>
    </row>
    <row r="1368" spans="1:13" x14ac:dyDescent="0.45">
      <c r="A1368" t="s">
        <v>1761</v>
      </c>
      <c r="B1368" t="s">
        <v>1757</v>
      </c>
      <c r="C1368" t="s">
        <v>1539</v>
      </c>
      <c r="D1368" t="s">
        <v>16</v>
      </c>
      <c r="E1368" t="s">
        <v>110</v>
      </c>
      <c r="F1368">
        <v>1</v>
      </c>
      <c r="G1368">
        <v>64.900000000000006</v>
      </c>
      <c r="H1368">
        <v>7.78</v>
      </c>
      <c r="I1368" t="s">
        <v>44</v>
      </c>
      <c r="J1368">
        <v>6</v>
      </c>
      <c r="K1368" t="s">
        <v>51</v>
      </c>
      <c r="L1368">
        <v>4</v>
      </c>
      <c r="M1368" t="str">
        <f>VLOOKUP(D1368,State_Lookup!$A$2:$B$28,2,FALSE)</f>
        <v>Sao Paulo</v>
      </c>
    </row>
    <row r="1369" spans="1:13" x14ac:dyDescent="0.45">
      <c r="A1369" t="s">
        <v>1762</v>
      </c>
      <c r="B1369" t="s">
        <v>1757</v>
      </c>
      <c r="C1369" t="s">
        <v>1539</v>
      </c>
      <c r="D1369" t="s">
        <v>16</v>
      </c>
      <c r="E1369" t="s">
        <v>43</v>
      </c>
      <c r="F1369">
        <v>1</v>
      </c>
      <c r="G1369">
        <v>18.5</v>
      </c>
      <c r="H1369">
        <v>11.85</v>
      </c>
      <c r="I1369" t="s">
        <v>44</v>
      </c>
      <c r="J1369">
        <v>9</v>
      </c>
      <c r="K1369" t="s">
        <v>51</v>
      </c>
      <c r="L1369">
        <v>5</v>
      </c>
      <c r="M1369" t="str">
        <f>VLOOKUP(D1369,State_Lookup!$A$2:$B$28,2,FALSE)</f>
        <v>Sao Paulo</v>
      </c>
    </row>
    <row r="1370" spans="1:13" x14ac:dyDescent="0.45">
      <c r="A1370" t="s">
        <v>1763</v>
      </c>
      <c r="B1370" t="s">
        <v>1757</v>
      </c>
      <c r="C1370" t="s">
        <v>1539</v>
      </c>
      <c r="D1370" t="s">
        <v>17</v>
      </c>
      <c r="E1370" t="s">
        <v>1031</v>
      </c>
      <c r="F1370">
        <v>8</v>
      </c>
      <c r="G1370">
        <v>13440</v>
      </c>
      <c r="H1370">
        <v>224.08</v>
      </c>
      <c r="I1370" t="s">
        <v>44</v>
      </c>
      <c r="J1370">
        <v>18</v>
      </c>
      <c r="K1370" t="s">
        <v>51</v>
      </c>
      <c r="L1370">
        <v>1</v>
      </c>
      <c r="M1370" t="str">
        <f>VLOOKUP(D1370,State_Lookup!$A$2:$B$28,2,FALSE)</f>
        <v>Rio de Janeiro</v>
      </c>
    </row>
    <row r="1371" spans="1:13" x14ac:dyDescent="0.45">
      <c r="A1371" t="s">
        <v>1764</v>
      </c>
      <c r="B1371" t="s">
        <v>1765</v>
      </c>
      <c r="C1371" t="s">
        <v>1539</v>
      </c>
      <c r="D1371" t="s">
        <v>22</v>
      </c>
      <c r="E1371" t="s">
        <v>100</v>
      </c>
      <c r="F1371">
        <v>1</v>
      </c>
      <c r="G1371">
        <v>17.8</v>
      </c>
      <c r="H1371">
        <v>16.920000000000002</v>
      </c>
      <c r="I1371" t="s">
        <v>50</v>
      </c>
      <c r="J1371">
        <v>17</v>
      </c>
      <c r="K1371" t="s">
        <v>51</v>
      </c>
      <c r="L1371">
        <v>5</v>
      </c>
      <c r="M1371" t="str">
        <f>VLOOKUP(D1371,State_Lookup!$A$2:$B$28,2,FALSE)</f>
        <v>Bahia</v>
      </c>
    </row>
    <row r="1372" spans="1:13" x14ac:dyDescent="0.45">
      <c r="A1372" t="s">
        <v>1766</v>
      </c>
      <c r="B1372" t="s">
        <v>1765</v>
      </c>
      <c r="C1372" t="s">
        <v>1539</v>
      </c>
      <c r="D1372" t="s">
        <v>16</v>
      </c>
      <c r="E1372" t="s">
        <v>58</v>
      </c>
      <c r="F1372">
        <v>1</v>
      </c>
      <c r="G1372">
        <v>29.9</v>
      </c>
      <c r="H1372">
        <v>14.1</v>
      </c>
      <c r="I1372" t="s">
        <v>44</v>
      </c>
      <c r="J1372">
        <v>4</v>
      </c>
      <c r="K1372" t="s">
        <v>51</v>
      </c>
      <c r="L1372">
        <v>4</v>
      </c>
      <c r="M1372" t="str">
        <f>VLOOKUP(D1372,State_Lookup!$A$2:$B$28,2,FALSE)</f>
        <v>Sao Paulo</v>
      </c>
    </row>
    <row r="1373" spans="1:13" x14ac:dyDescent="0.45">
      <c r="A1373" t="s">
        <v>1767</v>
      </c>
      <c r="B1373" t="s">
        <v>1765</v>
      </c>
      <c r="C1373" t="s">
        <v>1539</v>
      </c>
      <c r="D1373" t="s">
        <v>17</v>
      </c>
      <c r="E1373" t="s">
        <v>43</v>
      </c>
      <c r="F1373">
        <v>1</v>
      </c>
      <c r="G1373">
        <v>149.9</v>
      </c>
      <c r="H1373">
        <v>15.8</v>
      </c>
      <c r="I1373" t="s">
        <v>44</v>
      </c>
      <c r="J1373">
        <v>13</v>
      </c>
      <c r="K1373" t="s">
        <v>51</v>
      </c>
      <c r="L1373">
        <v>5</v>
      </c>
      <c r="M1373" t="str">
        <f>VLOOKUP(D1373,State_Lookup!$A$2:$B$28,2,FALSE)</f>
        <v>Rio de Janeiro</v>
      </c>
    </row>
    <row r="1374" spans="1:13" x14ac:dyDescent="0.45">
      <c r="A1374" t="s">
        <v>1768</v>
      </c>
      <c r="B1374" t="s">
        <v>1765</v>
      </c>
      <c r="C1374" t="s">
        <v>1539</v>
      </c>
      <c r="D1374" t="s">
        <v>16</v>
      </c>
      <c r="E1374" t="s">
        <v>110</v>
      </c>
      <c r="F1374">
        <v>1</v>
      </c>
      <c r="G1374">
        <v>26.9</v>
      </c>
      <c r="H1374">
        <v>11.85</v>
      </c>
      <c r="I1374" t="s">
        <v>44</v>
      </c>
      <c r="J1374">
        <v>11</v>
      </c>
      <c r="K1374" t="s">
        <v>51</v>
      </c>
      <c r="L1374">
        <v>3</v>
      </c>
      <c r="M1374" t="str">
        <f>VLOOKUP(D1374,State_Lookup!$A$2:$B$28,2,FALSE)</f>
        <v>Sao Paulo</v>
      </c>
    </row>
    <row r="1375" spans="1:13" x14ac:dyDescent="0.45">
      <c r="A1375" t="s">
        <v>1769</v>
      </c>
      <c r="B1375" t="s">
        <v>1765</v>
      </c>
      <c r="C1375" t="s">
        <v>1539</v>
      </c>
      <c r="D1375" t="s">
        <v>16</v>
      </c>
      <c r="E1375" t="s">
        <v>49</v>
      </c>
      <c r="F1375">
        <v>1</v>
      </c>
      <c r="G1375">
        <v>69.900000000000006</v>
      </c>
      <c r="H1375">
        <v>16.25</v>
      </c>
      <c r="I1375" t="s">
        <v>44</v>
      </c>
      <c r="J1375">
        <v>25</v>
      </c>
      <c r="K1375" t="s">
        <v>143</v>
      </c>
      <c r="L1375">
        <v>4</v>
      </c>
      <c r="M1375" t="str">
        <f>VLOOKUP(D1375,State_Lookup!$A$2:$B$28,2,FALSE)</f>
        <v>Sao Paulo</v>
      </c>
    </row>
    <row r="1376" spans="1:13" x14ac:dyDescent="0.45">
      <c r="A1376" t="s">
        <v>1770</v>
      </c>
      <c r="B1376" t="s">
        <v>1771</v>
      </c>
      <c r="C1376" t="s">
        <v>1772</v>
      </c>
      <c r="D1376" t="s">
        <v>20</v>
      </c>
      <c r="E1376" t="s">
        <v>110</v>
      </c>
      <c r="F1376">
        <v>1</v>
      </c>
      <c r="G1376">
        <v>113.57</v>
      </c>
      <c r="H1376">
        <v>18.04</v>
      </c>
      <c r="I1376" t="s">
        <v>44</v>
      </c>
      <c r="J1376">
        <v>11</v>
      </c>
      <c r="K1376" t="s">
        <v>51</v>
      </c>
      <c r="L1376">
        <v>4</v>
      </c>
      <c r="M1376" t="str">
        <f>VLOOKUP(D1376,State_Lookup!$A$2:$B$28,2,FALSE)</f>
        <v>Parana</v>
      </c>
    </row>
    <row r="1377" spans="1:13" x14ac:dyDescent="0.45">
      <c r="A1377" t="s">
        <v>1773</v>
      </c>
      <c r="B1377" t="s">
        <v>1771</v>
      </c>
      <c r="C1377" t="s">
        <v>1772</v>
      </c>
      <c r="D1377" t="s">
        <v>18</v>
      </c>
      <c r="E1377" t="s">
        <v>69</v>
      </c>
      <c r="F1377">
        <v>1</v>
      </c>
      <c r="G1377">
        <v>59.9</v>
      </c>
      <c r="H1377">
        <v>17.670000000000002</v>
      </c>
      <c r="I1377" t="s">
        <v>44</v>
      </c>
      <c r="J1377">
        <v>8</v>
      </c>
      <c r="K1377" t="s">
        <v>51</v>
      </c>
      <c r="L1377">
        <v>5</v>
      </c>
      <c r="M1377" t="str">
        <f>VLOOKUP(D1377,State_Lookup!$A$2:$B$28,2,FALSE)</f>
        <v>Minas Gerais</v>
      </c>
    </row>
    <row r="1378" spans="1:13" x14ac:dyDescent="0.45">
      <c r="A1378" t="s">
        <v>1774</v>
      </c>
      <c r="B1378" t="s">
        <v>1771</v>
      </c>
      <c r="C1378" t="s">
        <v>1772</v>
      </c>
      <c r="D1378" t="s">
        <v>16</v>
      </c>
      <c r="E1378" t="s">
        <v>49</v>
      </c>
      <c r="F1378">
        <v>1</v>
      </c>
      <c r="G1378">
        <v>99</v>
      </c>
      <c r="H1378">
        <v>16.940000000000001</v>
      </c>
      <c r="I1378" t="s">
        <v>44</v>
      </c>
      <c r="J1378">
        <v>5</v>
      </c>
      <c r="K1378" t="s">
        <v>51</v>
      </c>
      <c r="L1378">
        <v>5</v>
      </c>
      <c r="M1378" t="str">
        <f>VLOOKUP(D1378,State_Lookup!$A$2:$B$28,2,FALSE)</f>
        <v>Sao Paulo</v>
      </c>
    </row>
    <row r="1379" spans="1:13" x14ac:dyDescent="0.45">
      <c r="A1379" t="s">
        <v>1775</v>
      </c>
      <c r="B1379" t="s">
        <v>1776</v>
      </c>
      <c r="C1379" t="s">
        <v>1772</v>
      </c>
      <c r="D1379" t="s">
        <v>18</v>
      </c>
      <c r="E1379" t="s">
        <v>49</v>
      </c>
      <c r="F1379">
        <v>1</v>
      </c>
      <c r="G1379">
        <v>113</v>
      </c>
      <c r="H1379">
        <v>21.28</v>
      </c>
      <c r="I1379" t="s">
        <v>44</v>
      </c>
      <c r="J1379">
        <v>7</v>
      </c>
      <c r="K1379" t="s">
        <v>51</v>
      </c>
      <c r="L1379">
        <v>3</v>
      </c>
      <c r="M1379" t="str">
        <f>VLOOKUP(D1379,State_Lookup!$A$2:$B$28,2,FALSE)</f>
        <v>Minas Gerais</v>
      </c>
    </row>
    <row r="1380" spans="1:13" x14ac:dyDescent="0.45">
      <c r="A1380" t="s">
        <v>1777</v>
      </c>
      <c r="B1380" t="s">
        <v>1776</v>
      </c>
      <c r="C1380" t="s">
        <v>1772</v>
      </c>
      <c r="D1380" t="s">
        <v>16</v>
      </c>
      <c r="E1380" t="s">
        <v>110</v>
      </c>
      <c r="F1380">
        <v>1</v>
      </c>
      <c r="G1380">
        <v>27.99</v>
      </c>
      <c r="H1380">
        <v>11.85</v>
      </c>
      <c r="I1380" t="s">
        <v>44</v>
      </c>
      <c r="J1380">
        <v>6</v>
      </c>
      <c r="K1380" t="s">
        <v>51</v>
      </c>
      <c r="L1380">
        <v>4</v>
      </c>
      <c r="M1380" t="str">
        <f>VLOOKUP(D1380,State_Lookup!$A$2:$B$28,2,FALSE)</f>
        <v>Sao Paulo</v>
      </c>
    </row>
    <row r="1381" spans="1:13" x14ac:dyDescent="0.45">
      <c r="A1381" t="s">
        <v>1778</v>
      </c>
      <c r="B1381" t="s">
        <v>1776</v>
      </c>
      <c r="C1381" t="s">
        <v>1772</v>
      </c>
      <c r="D1381" t="s">
        <v>16</v>
      </c>
      <c r="E1381" t="s">
        <v>61</v>
      </c>
      <c r="F1381">
        <v>1</v>
      </c>
      <c r="G1381">
        <v>155</v>
      </c>
      <c r="H1381">
        <v>13.43</v>
      </c>
      <c r="I1381" t="s">
        <v>44</v>
      </c>
      <c r="K1381" t="s">
        <v>45</v>
      </c>
      <c r="L1381">
        <v>1</v>
      </c>
      <c r="M1381" t="str">
        <f>VLOOKUP(D1381,State_Lookup!$A$2:$B$28,2,FALSE)</f>
        <v>Sao Paulo</v>
      </c>
    </row>
    <row r="1382" spans="1:13" x14ac:dyDescent="0.45">
      <c r="A1382" t="s">
        <v>1779</v>
      </c>
      <c r="B1382" t="s">
        <v>1776</v>
      </c>
      <c r="C1382" t="s">
        <v>1772</v>
      </c>
      <c r="D1382" t="s">
        <v>16</v>
      </c>
      <c r="E1382" t="s">
        <v>53</v>
      </c>
      <c r="F1382">
        <v>1</v>
      </c>
      <c r="G1382">
        <v>29</v>
      </c>
      <c r="H1382">
        <v>12.69</v>
      </c>
      <c r="I1382" t="s">
        <v>44</v>
      </c>
      <c r="J1382">
        <v>5</v>
      </c>
      <c r="K1382" t="s">
        <v>51</v>
      </c>
      <c r="L1382">
        <v>5</v>
      </c>
      <c r="M1382" t="str">
        <f>VLOOKUP(D1382,State_Lookup!$A$2:$B$28,2,FALSE)</f>
        <v>Sao Paulo</v>
      </c>
    </row>
    <row r="1383" spans="1:13" x14ac:dyDescent="0.45">
      <c r="A1383" t="s">
        <v>1780</v>
      </c>
      <c r="B1383" t="s">
        <v>1776</v>
      </c>
      <c r="C1383" t="s">
        <v>1772</v>
      </c>
      <c r="D1383" t="s">
        <v>17</v>
      </c>
      <c r="E1383" t="s">
        <v>244</v>
      </c>
      <c r="F1383">
        <v>1</v>
      </c>
      <c r="G1383">
        <v>99</v>
      </c>
      <c r="H1383">
        <v>17.940000000000001</v>
      </c>
      <c r="I1383" t="s">
        <v>133</v>
      </c>
      <c r="J1383">
        <v>8</v>
      </c>
      <c r="K1383" t="s">
        <v>51</v>
      </c>
      <c r="L1383">
        <v>1</v>
      </c>
      <c r="M1383" t="str">
        <f>VLOOKUP(D1383,State_Lookup!$A$2:$B$28,2,FALSE)</f>
        <v>Rio de Janeiro</v>
      </c>
    </row>
    <row r="1384" spans="1:13" x14ac:dyDescent="0.45">
      <c r="A1384" t="s">
        <v>1781</v>
      </c>
      <c r="B1384" t="s">
        <v>1782</v>
      </c>
      <c r="C1384" t="s">
        <v>1772</v>
      </c>
      <c r="D1384" t="s">
        <v>22</v>
      </c>
      <c r="E1384" t="s">
        <v>43</v>
      </c>
      <c r="F1384">
        <v>1</v>
      </c>
      <c r="G1384">
        <v>39.99</v>
      </c>
      <c r="H1384">
        <v>17.920000000000002</v>
      </c>
      <c r="I1384" t="s">
        <v>50</v>
      </c>
      <c r="J1384">
        <v>19</v>
      </c>
      <c r="K1384" t="s">
        <v>51</v>
      </c>
      <c r="L1384">
        <v>4</v>
      </c>
      <c r="M1384" t="str">
        <f>VLOOKUP(D1384,State_Lookup!$A$2:$B$28,2,FALSE)</f>
        <v>Bahia</v>
      </c>
    </row>
    <row r="1385" spans="1:13" x14ac:dyDescent="0.45">
      <c r="A1385" t="s">
        <v>1783</v>
      </c>
      <c r="B1385" t="s">
        <v>1782</v>
      </c>
      <c r="C1385" t="s">
        <v>1772</v>
      </c>
      <c r="D1385" t="s">
        <v>19</v>
      </c>
      <c r="E1385" t="s">
        <v>66</v>
      </c>
      <c r="F1385">
        <v>1</v>
      </c>
      <c r="G1385">
        <v>18.899999999999999</v>
      </c>
      <c r="H1385">
        <v>15.1</v>
      </c>
      <c r="I1385" t="s">
        <v>44</v>
      </c>
      <c r="J1385">
        <v>6</v>
      </c>
      <c r="K1385" t="s">
        <v>51</v>
      </c>
      <c r="L1385">
        <v>1</v>
      </c>
      <c r="M1385" t="str">
        <f>VLOOKUP(D1385,State_Lookup!$A$2:$B$28,2,FALSE)</f>
        <v>Rio Grande do Sul</v>
      </c>
    </row>
    <row r="1386" spans="1:13" x14ac:dyDescent="0.45">
      <c r="A1386" t="s">
        <v>1784</v>
      </c>
      <c r="B1386" t="s">
        <v>1782</v>
      </c>
      <c r="C1386" t="s">
        <v>1772</v>
      </c>
      <c r="D1386" t="s">
        <v>19</v>
      </c>
      <c r="E1386" t="s">
        <v>53</v>
      </c>
      <c r="F1386">
        <v>1</v>
      </c>
      <c r="G1386">
        <v>59.9</v>
      </c>
      <c r="H1386">
        <v>15.17</v>
      </c>
      <c r="I1386" t="s">
        <v>44</v>
      </c>
      <c r="J1386">
        <v>13</v>
      </c>
      <c r="K1386" t="s">
        <v>51</v>
      </c>
      <c r="L1386">
        <v>4</v>
      </c>
      <c r="M1386" t="str">
        <f>VLOOKUP(D1386,State_Lookup!$A$2:$B$28,2,FALSE)</f>
        <v>Rio Grande do Sul</v>
      </c>
    </row>
    <row r="1387" spans="1:13" x14ac:dyDescent="0.45">
      <c r="A1387" t="s">
        <v>1785</v>
      </c>
      <c r="B1387" t="s">
        <v>1782</v>
      </c>
      <c r="C1387" t="s">
        <v>1772</v>
      </c>
      <c r="D1387" t="s">
        <v>16</v>
      </c>
      <c r="E1387" t="s">
        <v>110</v>
      </c>
      <c r="F1387">
        <v>1</v>
      </c>
      <c r="G1387">
        <v>104</v>
      </c>
      <c r="H1387">
        <v>12.23</v>
      </c>
      <c r="I1387" t="s">
        <v>50</v>
      </c>
      <c r="J1387">
        <v>14</v>
      </c>
      <c r="K1387" t="s">
        <v>51</v>
      </c>
      <c r="L1387">
        <v>1</v>
      </c>
      <c r="M1387" t="str">
        <f>VLOOKUP(D1387,State_Lookup!$A$2:$B$28,2,FALSE)</f>
        <v>Sao Paulo</v>
      </c>
    </row>
    <row r="1388" spans="1:13" x14ac:dyDescent="0.45">
      <c r="A1388" t="s">
        <v>1786</v>
      </c>
      <c r="B1388" t="s">
        <v>1782</v>
      </c>
      <c r="C1388" t="s">
        <v>1772</v>
      </c>
      <c r="D1388" t="s">
        <v>18</v>
      </c>
      <c r="E1388" t="s">
        <v>69</v>
      </c>
      <c r="F1388">
        <v>1</v>
      </c>
      <c r="G1388">
        <v>129.99</v>
      </c>
      <c r="H1388">
        <v>25.75</v>
      </c>
      <c r="I1388" t="s">
        <v>44</v>
      </c>
      <c r="J1388">
        <v>6</v>
      </c>
      <c r="K1388" t="s">
        <v>51</v>
      </c>
      <c r="L1388">
        <v>5</v>
      </c>
      <c r="M1388" t="str">
        <f>VLOOKUP(D1388,State_Lookup!$A$2:$B$28,2,FALSE)</f>
        <v>Minas Gerais</v>
      </c>
    </row>
    <row r="1389" spans="1:13" x14ac:dyDescent="0.45">
      <c r="A1389" t="s">
        <v>1787</v>
      </c>
      <c r="B1389" t="s">
        <v>1782</v>
      </c>
      <c r="C1389" t="s">
        <v>1772</v>
      </c>
      <c r="D1389" t="s">
        <v>17</v>
      </c>
      <c r="E1389" t="s">
        <v>64</v>
      </c>
      <c r="F1389">
        <v>2</v>
      </c>
      <c r="G1389">
        <v>11.8</v>
      </c>
      <c r="H1389">
        <v>30.2</v>
      </c>
      <c r="I1389" t="s">
        <v>44</v>
      </c>
      <c r="J1389">
        <v>10</v>
      </c>
      <c r="K1389" t="s">
        <v>51</v>
      </c>
      <c r="L1389">
        <v>4</v>
      </c>
      <c r="M1389" t="str">
        <f>VLOOKUP(D1389,State_Lookup!$A$2:$B$28,2,FALSE)</f>
        <v>Rio de Janeiro</v>
      </c>
    </row>
    <row r="1390" spans="1:13" x14ac:dyDescent="0.45">
      <c r="A1390" t="s">
        <v>1788</v>
      </c>
      <c r="B1390" t="s">
        <v>1782</v>
      </c>
      <c r="C1390" t="s">
        <v>1772</v>
      </c>
      <c r="D1390" t="s">
        <v>16</v>
      </c>
      <c r="E1390" t="s">
        <v>142</v>
      </c>
      <c r="F1390">
        <v>1</v>
      </c>
      <c r="G1390">
        <v>49.9</v>
      </c>
      <c r="H1390">
        <v>20.84</v>
      </c>
      <c r="I1390" t="s">
        <v>44</v>
      </c>
      <c r="J1390">
        <v>6</v>
      </c>
      <c r="K1390" t="s">
        <v>51</v>
      </c>
      <c r="L1390">
        <v>4</v>
      </c>
      <c r="M1390" t="str">
        <f>VLOOKUP(D1390,State_Lookup!$A$2:$B$28,2,FALSE)</f>
        <v>Sao Paulo</v>
      </c>
    </row>
    <row r="1391" spans="1:13" x14ac:dyDescent="0.45">
      <c r="A1391" t="s">
        <v>1789</v>
      </c>
      <c r="B1391" t="s">
        <v>1790</v>
      </c>
      <c r="C1391" t="s">
        <v>1772</v>
      </c>
      <c r="D1391" t="s">
        <v>219</v>
      </c>
      <c r="E1391" t="s">
        <v>61</v>
      </c>
      <c r="F1391">
        <v>1</v>
      </c>
      <c r="G1391">
        <v>149.99</v>
      </c>
      <c r="H1391">
        <v>88.06</v>
      </c>
      <c r="I1391" t="s">
        <v>44</v>
      </c>
      <c r="J1391">
        <v>19</v>
      </c>
      <c r="K1391" t="s">
        <v>51</v>
      </c>
      <c r="L1391">
        <v>5</v>
      </c>
      <c r="M1391" t="str">
        <f>VLOOKUP(D1391,State_Lookup!$A$2:$B$28,2,FALSE)</f>
        <v>Rondonia</v>
      </c>
    </row>
    <row r="1392" spans="1:13" x14ac:dyDescent="0.45">
      <c r="A1392" t="s">
        <v>1791</v>
      </c>
      <c r="B1392" t="s">
        <v>1790</v>
      </c>
      <c r="C1392" t="s">
        <v>1772</v>
      </c>
      <c r="D1392" t="s">
        <v>16</v>
      </c>
      <c r="E1392" t="s">
        <v>142</v>
      </c>
      <c r="F1392">
        <v>1</v>
      </c>
      <c r="G1392">
        <v>139</v>
      </c>
      <c r="H1392">
        <v>25.81</v>
      </c>
      <c r="I1392" t="s">
        <v>44</v>
      </c>
      <c r="J1392">
        <v>14</v>
      </c>
      <c r="K1392" t="s">
        <v>51</v>
      </c>
      <c r="M1392" t="str">
        <f>VLOOKUP(D1392,State_Lookup!$A$2:$B$28,2,FALSE)</f>
        <v>Sao Paulo</v>
      </c>
    </row>
    <row r="1393" spans="1:13" x14ac:dyDescent="0.45">
      <c r="A1393" t="s">
        <v>1792</v>
      </c>
      <c r="B1393" t="s">
        <v>1790</v>
      </c>
      <c r="C1393" t="s">
        <v>1772</v>
      </c>
      <c r="D1393" t="s">
        <v>16</v>
      </c>
      <c r="E1393" t="s">
        <v>192</v>
      </c>
      <c r="F1393">
        <v>1</v>
      </c>
      <c r="G1393">
        <v>59.9</v>
      </c>
      <c r="H1393">
        <v>11.73</v>
      </c>
      <c r="I1393" t="s">
        <v>133</v>
      </c>
      <c r="J1393">
        <v>3</v>
      </c>
      <c r="K1393" t="s">
        <v>51</v>
      </c>
      <c r="L1393">
        <v>3</v>
      </c>
      <c r="M1393" t="str">
        <f>VLOOKUP(D1393,State_Lookup!$A$2:$B$28,2,FALSE)</f>
        <v>Sao Paulo</v>
      </c>
    </row>
    <row r="1394" spans="1:13" x14ac:dyDescent="0.45">
      <c r="A1394" t="s">
        <v>1793</v>
      </c>
      <c r="B1394" t="s">
        <v>1790</v>
      </c>
      <c r="C1394" t="s">
        <v>1772</v>
      </c>
      <c r="D1394" t="s">
        <v>63</v>
      </c>
      <c r="E1394" t="s">
        <v>66</v>
      </c>
      <c r="F1394">
        <v>1</v>
      </c>
      <c r="G1394">
        <v>119.9</v>
      </c>
      <c r="H1394">
        <v>26.12</v>
      </c>
      <c r="I1394" t="s">
        <v>50</v>
      </c>
      <c r="J1394">
        <v>22</v>
      </c>
      <c r="K1394" t="s">
        <v>51</v>
      </c>
      <c r="L1394">
        <v>3</v>
      </c>
      <c r="M1394" t="str">
        <f>VLOOKUP(D1394,State_Lookup!$A$2:$B$28,2,FALSE)</f>
        <v>Pernambuco</v>
      </c>
    </row>
    <row r="1395" spans="1:13" x14ac:dyDescent="0.45">
      <c r="A1395" t="s">
        <v>1794</v>
      </c>
      <c r="B1395" t="s">
        <v>1790</v>
      </c>
      <c r="C1395" t="s">
        <v>1772</v>
      </c>
      <c r="D1395" t="s">
        <v>113</v>
      </c>
      <c r="E1395" t="s">
        <v>950</v>
      </c>
      <c r="F1395">
        <v>1</v>
      </c>
      <c r="G1395">
        <v>599.5</v>
      </c>
      <c r="H1395">
        <v>75.33</v>
      </c>
      <c r="I1395" t="s">
        <v>44</v>
      </c>
      <c r="J1395">
        <v>19</v>
      </c>
      <c r="K1395" t="s">
        <v>51</v>
      </c>
      <c r="L1395">
        <v>5</v>
      </c>
      <c r="M1395" t="str">
        <f>VLOOKUP(D1395,State_Lookup!$A$2:$B$28,2,FALSE)</f>
        <v>Piaui</v>
      </c>
    </row>
    <row r="1396" spans="1:13" x14ac:dyDescent="0.45">
      <c r="A1396" t="s">
        <v>1795</v>
      </c>
      <c r="B1396" t="s">
        <v>1790</v>
      </c>
      <c r="C1396" t="s">
        <v>1772</v>
      </c>
      <c r="D1396" t="s">
        <v>17</v>
      </c>
      <c r="E1396" t="s">
        <v>61</v>
      </c>
      <c r="F1396">
        <v>1</v>
      </c>
      <c r="G1396">
        <v>78.900000000000006</v>
      </c>
      <c r="H1396">
        <v>16.989999999999998</v>
      </c>
      <c r="I1396" t="s">
        <v>44</v>
      </c>
      <c r="J1396">
        <v>13</v>
      </c>
      <c r="K1396" t="s">
        <v>51</v>
      </c>
      <c r="L1396">
        <v>5</v>
      </c>
      <c r="M1396" t="str">
        <f>VLOOKUP(D1396,State_Lookup!$A$2:$B$28,2,FALSE)</f>
        <v>Rio de Janeiro</v>
      </c>
    </row>
    <row r="1397" spans="1:13" x14ac:dyDescent="0.45">
      <c r="A1397" t="s">
        <v>1796</v>
      </c>
      <c r="B1397" t="s">
        <v>1790</v>
      </c>
      <c r="C1397" t="s">
        <v>1772</v>
      </c>
      <c r="D1397" t="s">
        <v>18</v>
      </c>
      <c r="E1397" t="s">
        <v>110</v>
      </c>
      <c r="F1397">
        <v>2</v>
      </c>
      <c r="G1397">
        <v>147.99</v>
      </c>
      <c r="H1397">
        <v>33.17</v>
      </c>
      <c r="I1397" t="s">
        <v>44</v>
      </c>
      <c r="J1397">
        <v>7</v>
      </c>
      <c r="K1397" t="s">
        <v>51</v>
      </c>
      <c r="L1397">
        <v>4</v>
      </c>
      <c r="M1397" t="str">
        <f>VLOOKUP(D1397,State_Lookup!$A$2:$B$28,2,FALSE)</f>
        <v>Minas Gerais</v>
      </c>
    </row>
    <row r="1398" spans="1:13" x14ac:dyDescent="0.45">
      <c r="A1398" t="s">
        <v>1797</v>
      </c>
      <c r="B1398" t="s">
        <v>1790</v>
      </c>
      <c r="C1398" t="s">
        <v>1772</v>
      </c>
      <c r="D1398" t="s">
        <v>16</v>
      </c>
      <c r="E1398" t="s">
        <v>49</v>
      </c>
      <c r="F1398">
        <v>1</v>
      </c>
      <c r="G1398">
        <v>279.99</v>
      </c>
      <c r="H1398">
        <v>29.32</v>
      </c>
      <c r="I1398" t="s">
        <v>44</v>
      </c>
      <c r="J1398">
        <v>12</v>
      </c>
      <c r="K1398" t="s">
        <v>51</v>
      </c>
      <c r="L1398">
        <v>5</v>
      </c>
      <c r="M1398" t="str">
        <f>VLOOKUP(D1398,State_Lookup!$A$2:$B$28,2,FALSE)</f>
        <v>Sao Paulo</v>
      </c>
    </row>
    <row r="1399" spans="1:13" x14ac:dyDescent="0.45">
      <c r="A1399" t="s">
        <v>1798</v>
      </c>
      <c r="B1399" t="s">
        <v>1790</v>
      </c>
      <c r="C1399" t="s">
        <v>1772</v>
      </c>
      <c r="D1399" t="s">
        <v>16</v>
      </c>
      <c r="E1399" t="s">
        <v>79</v>
      </c>
      <c r="F1399">
        <v>1</v>
      </c>
      <c r="G1399">
        <v>33.49</v>
      </c>
      <c r="H1399">
        <v>7.78</v>
      </c>
      <c r="I1399" t="s">
        <v>44</v>
      </c>
      <c r="J1399">
        <v>2</v>
      </c>
      <c r="K1399" t="s">
        <v>51</v>
      </c>
      <c r="L1399">
        <v>5</v>
      </c>
      <c r="M1399" t="str">
        <f>VLOOKUP(D1399,State_Lookup!$A$2:$B$28,2,FALSE)</f>
        <v>Sao Paulo</v>
      </c>
    </row>
    <row r="1400" spans="1:13" x14ac:dyDescent="0.45">
      <c r="A1400" t="s">
        <v>1799</v>
      </c>
      <c r="B1400" t="s">
        <v>1790</v>
      </c>
      <c r="C1400" t="s">
        <v>1772</v>
      </c>
      <c r="D1400" t="s">
        <v>16</v>
      </c>
      <c r="E1400" t="s">
        <v>110</v>
      </c>
      <c r="F1400">
        <v>1</v>
      </c>
      <c r="G1400">
        <v>173</v>
      </c>
      <c r="H1400">
        <v>14.23</v>
      </c>
      <c r="I1400" t="s">
        <v>44</v>
      </c>
      <c r="J1400">
        <v>9</v>
      </c>
      <c r="K1400" t="s">
        <v>51</v>
      </c>
      <c r="L1400">
        <v>5</v>
      </c>
      <c r="M1400" t="str">
        <f>VLOOKUP(D1400,State_Lookup!$A$2:$B$28,2,FALSE)</f>
        <v>Sao Paulo</v>
      </c>
    </row>
    <row r="1401" spans="1:13" x14ac:dyDescent="0.45">
      <c r="A1401" t="s">
        <v>1800</v>
      </c>
      <c r="B1401" t="s">
        <v>1790</v>
      </c>
      <c r="C1401" t="s">
        <v>1772</v>
      </c>
      <c r="D1401" t="s">
        <v>17</v>
      </c>
      <c r="E1401" t="s">
        <v>157</v>
      </c>
      <c r="F1401">
        <v>1</v>
      </c>
      <c r="G1401">
        <v>899.99</v>
      </c>
      <c r="H1401">
        <v>21.05</v>
      </c>
      <c r="I1401" t="s">
        <v>50</v>
      </c>
      <c r="J1401">
        <v>14</v>
      </c>
      <c r="K1401" t="s">
        <v>51</v>
      </c>
      <c r="L1401">
        <v>3</v>
      </c>
      <c r="M1401" t="str">
        <f>VLOOKUP(D1401,State_Lookup!$A$2:$B$28,2,FALSE)</f>
        <v>Rio de Janeiro</v>
      </c>
    </row>
    <row r="1402" spans="1:13" x14ac:dyDescent="0.45">
      <c r="A1402" t="s">
        <v>1801</v>
      </c>
      <c r="B1402" t="s">
        <v>1790</v>
      </c>
      <c r="C1402" t="s">
        <v>1772</v>
      </c>
      <c r="D1402" t="s">
        <v>18</v>
      </c>
      <c r="E1402" t="s">
        <v>132</v>
      </c>
      <c r="F1402">
        <v>1</v>
      </c>
      <c r="G1402">
        <v>69</v>
      </c>
      <c r="H1402">
        <v>15.23</v>
      </c>
      <c r="I1402" t="s">
        <v>44</v>
      </c>
      <c r="J1402">
        <v>6</v>
      </c>
      <c r="K1402" t="s">
        <v>51</v>
      </c>
      <c r="L1402">
        <v>4</v>
      </c>
      <c r="M1402" t="str">
        <f>VLOOKUP(D1402,State_Lookup!$A$2:$B$28,2,FALSE)</f>
        <v>Minas Gerais</v>
      </c>
    </row>
    <row r="1403" spans="1:13" x14ac:dyDescent="0.45">
      <c r="A1403" t="s">
        <v>1802</v>
      </c>
      <c r="B1403" t="s">
        <v>1790</v>
      </c>
      <c r="C1403" t="s">
        <v>1772</v>
      </c>
      <c r="D1403" t="s">
        <v>22</v>
      </c>
      <c r="E1403" t="s">
        <v>64</v>
      </c>
      <c r="F1403">
        <v>1</v>
      </c>
      <c r="G1403">
        <v>143</v>
      </c>
      <c r="H1403">
        <v>38.549999999999997</v>
      </c>
      <c r="I1403" t="s">
        <v>44</v>
      </c>
      <c r="J1403">
        <v>12</v>
      </c>
      <c r="K1403" t="s">
        <v>51</v>
      </c>
      <c r="L1403">
        <v>5</v>
      </c>
      <c r="M1403" t="str">
        <f>VLOOKUP(D1403,State_Lookup!$A$2:$B$28,2,FALSE)</f>
        <v>Bahia</v>
      </c>
    </row>
    <row r="1404" spans="1:13" x14ac:dyDescent="0.45">
      <c r="A1404" t="s">
        <v>1803</v>
      </c>
      <c r="B1404" t="s">
        <v>1804</v>
      </c>
      <c r="C1404" t="s">
        <v>1772</v>
      </c>
      <c r="D1404" t="s">
        <v>16</v>
      </c>
      <c r="E1404" t="s">
        <v>79</v>
      </c>
      <c r="F1404">
        <v>1</v>
      </c>
      <c r="G1404">
        <v>79.900000000000006</v>
      </c>
      <c r="H1404">
        <v>18.8</v>
      </c>
      <c r="I1404" t="s">
        <v>44</v>
      </c>
      <c r="J1404">
        <v>8</v>
      </c>
      <c r="K1404" t="s">
        <v>51</v>
      </c>
      <c r="L1404">
        <v>2</v>
      </c>
      <c r="M1404" t="str">
        <f>VLOOKUP(D1404,State_Lookup!$A$2:$B$28,2,FALSE)</f>
        <v>Sao Paulo</v>
      </c>
    </row>
    <row r="1405" spans="1:13" x14ac:dyDescent="0.45">
      <c r="A1405" t="s">
        <v>1805</v>
      </c>
      <c r="B1405" t="s">
        <v>1804</v>
      </c>
      <c r="C1405" t="s">
        <v>1772</v>
      </c>
      <c r="D1405" t="s">
        <v>16</v>
      </c>
      <c r="E1405" t="s">
        <v>61</v>
      </c>
      <c r="F1405">
        <v>1</v>
      </c>
      <c r="G1405">
        <v>105</v>
      </c>
      <c r="H1405">
        <v>21.57</v>
      </c>
      <c r="I1405" t="s">
        <v>44</v>
      </c>
      <c r="J1405">
        <v>4</v>
      </c>
      <c r="K1405" t="s">
        <v>51</v>
      </c>
      <c r="L1405">
        <v>5</v>
      </c>
      <c r="M1405" t="str">
        <f>VLOOKUP(D1405,State_Lookup!$A$2:$B$28,2,FALSE)</f>
        <v>Sao Paulo</v>
      </c>
    </row>
    <row r="1406" spans="1:13" x14ac:dyDescent="0.45">
      <c r="A1406" t="s">
        <v>1806</v>
      </c>
      <c r="B1406" t="s">
        <v>1804</v>
      </c>
      <c r="C1406" t="s">
        <v>1772</v>
      </c>
      <c r="D1406" t="s">
        <v>16</v>
      </c>
      <c r="E1406" t="s">
        <v>61</v>
      </c>
      <c r="F1406">
        <v>4</v>
      </c>
      <c r="G1406">
        <v>599.52</v>
      </c>
      <c r="H1406">
        <v>73.2</v>
      </c>
      <c r="I1406" t="s">
        <v>44</v>
      </c>
      <c r="J1406">
        <v>14</v>
      </c>
      <c r="K1406" t="s">
        <v>51</v>
      </c>
      <c r="L1406">
        <v>4</v>
      </c>
      <c r="M1406" t="str">
        <f>VLOOKUP(D1406,State_Lookup!$A$2:$B$28,2,FALSE)</f>
        <v>Sao Paulo</v>
      </c>
    </row>
    <row r="1407" spans="1:13" x14ac:dyDescent="0.45">
      <c r="A1407" t="s">
        <v>1807</v>
      </c>
      <c r="B1407" t="s">
        <v>1804</v>
      </c>
      <c r="C1407" t="s">
        <v>1772</v>
      </c>
      <c r="D1407" t="s">
        <v>18</v>
      </c>
      <c r="E1407" t="s">
        <v>43</v>
      </c>
      <c r="F1407">
        <v>3</v>
      </c>
      <c r="G1407">
        <v>234</v>
      </c>
      <c r="H1407">
        <v>45.900000000000013</v>
      </c>
      <c r="I1407" t="s">
        <v>44</v>
      </c>
      <c r="J1407">
        <v>21</v>
      </c>
      <c r="K1407" t="s">
        <v>51</v>
      </c>
      <c r="L1407">
        <v>4</v>
      </c>
      <c r="M1407" t="str">
        <f>VLOOKUP(D1407,State_Lookup!$A$2:$B$28,2,FALSE)</f>
        <v>Minas Gerais</v>
      </c>
    </row>
    <row r="1408" spans="1:13" x14ac:dyDescent="0.45">
      <c r="A1408" t="s">
        <v>1808</v>
      </c>
      <c r="B1408" t="s">
        <v>1804</v>
      </c>
      <c r="C1408" t="s">
        <v>1772</v>
      </c>
      <c r="D1408" t="s">
        <v>17</v>
      </c>
      <c r="E1408" t="s">
        <v>61</v>
      </c>
      <c r="F1408">
        <v>1</v>
      </c>
      <c r="G1408">
        <v>99.9</v>
      </c>
      <c r="H1408">
        <v>23.02</v>
      </c>
      <c r="I1408" t="s">
        <v>44</v>
      </c>
      <c r="J1408">
        <v>6</v>
      </c>
      <c r="K1408" t="s">
        <v>51</v>
      </c>
      <c r="L1408">
        <v>5</v>
      </c>
      <c r="M1408" t="str">
        <f>VLOOKUP(D1408,State_Lookup!$A$2:$B$28,2,FALSE)</f>
        <v>Rio de Janeiro</v>
      </c>
    </row>
    <row r="1409" spans="1:13" x14ac:dyDescent="0.45">
      <c r="A1409" t="s">
        <v>1809</v>
      </c>
      <c r="B1409" t="s">
        <v>1804</v>
      </c>
      <c r="C1409" t="s">
        <v>1772</v>
      </c>
      <c r="D1409" t="s">
        <v>18</v>
      </c>
      <c r="E1409" t="s">
        <v>79</v>
      </c>
      <c r="F1409">
        <v>1</v>
      </c>
      <c r="G1409">
        <v>34.99</v>
      </c>
      <c r="H1409">
        <v>17.600000000000001</v>
      </c>
      <c r="I1409" t="s">
        <v>44</v>
      </c>
      <c r="J1409">
        <v>6</v>
      </c>
      <c r="K1409" t="s">
        <v>51</v>
      </c>
      <c r="L1409">
        <v>5</v>
      </c>
      <c r="M1409" t="str">
        <f>VLOOKUP(D1409,State_Lookup!$A$2:$B$28,2,FALSE)</f>
        <v>Minas Gerais</v>
      </c>
    </row>
    <row r="1410" spans="1:13" x14ac:dyDescent="0.45">
      <c r="A1410" t="s">
        <v>1810</v>
      </c>
      <c r="B1410" t="s">
        <v>1804</v>
      </c>
      <c r="C1410" t="s">
        <v>1772</v>
      </c>
      <c r="D1410" t="s">
        <v>16</v>
      </c>
      <c r="E1410" t="s">
        <v>49</v>
      </c>
      <c r="F1410">
        <v>1</v>
      </c>
      <c r="G1410">
        <v>69.900000000000006</v>
      </c>
      <c r="H1410">
        <v>16.12</v>
      </c>
      <c r="I1410" t="s">
        <v>108</v>
      </c>
      <c r="J1410">
        <v>5</v>
      </c>
      <c r="K1410" t="s">
        <v>51</v>
      </c>
      <c r="L1410">
        <v>5</v>
      </c>
      <c r="M1410" t="str">
        <f>VLOOKUP(D1410,State_Lookup!$A$2:$B$28,2,FALSE)</f>
        <v>Sao Paulo</v>
      </c>
    </row>
    <row r="1411" spans="1:13" x14ac:dyDescent="0.45">
      <c r="A1411" t="s">
        <v>1811</v>
      </c>
      <c r="B1411" t="s">
        <v>1812</v>
      </c>
      <c r="C1411" t="s">
        <v>1772</v>
      </c>
      <c r="D1411" t="s">
        <v>16</v>
      </c>
      <c r="E1411" t="s">
        <v>142</v>
      </c>
      <c r="F1411">
        <v>1</v>
      </c>
      <c r="G1411">
        <v>69.900000000000006</v>
      </c>
      <c r="H1411">
        <v>16.12</v>
      </c>
      <c r="I1411" t="s">
        <v>44</v>
      </c>
      <c r="J1411">
        <v>5</v>
      </c>
      <c r="K1411" t="s">
        <v>51</v>
      </c>
      <c r="L1411">
        <v>5</v>
      </c>
      <c r="M1411" t="str">
        <f>VLOOKUP(D1411,State_Lookup!$A$2:$B$28,2,FALSE)</f>
        <v>Sao Paulo</v>
      </c>
    </row>
    <row r="1412" spans="1:13" x14ac:dyDescent="0.45">
      <c r="A1412" t="s">
        <v>1813</v>
      </c>
      <c r="B1412" t="s">
        <v>1812</v>
      </c>
      <c r="C1412" t="s">
        <v>1772</v>
      </c>
      <c r="D1412" t="s">
        <v>16</v>
      </c>
      <c r="E1412" t="s">
        <v>76</v>
      </c>
      <c r="F1412">
        <v>1</v>
      </c>
      <c r="G1412">
        <v>1699.99</v>
      </c>
      <c r="H1412">
        <v>87.73</v>
      </c>
      <c r="I1412" t="s">
        <v>44</v>
      </c>
      <c r="J1412">
        <v>19</v>
      </c>
      <c r="K1412" t="s">
        <v>51</v>
      </c>
      <c r="L1412">
        <v>5</v>
      </c>
      <c r="M1412" t="str">
        <f>VLOOKUP(D1412,State_Lookup!$A$2:$B$28,2,FALSE)</f>
        <v>Sao Paulo</v>
      </c>
    </row>
    <row r="1413" spans="1:13" x14ac:dyDescent="0.45">
      <c r="A1413" t="s">
        <v>1814</v>
      </c>
      <c r="B1413" t="s">
        <v>1812</v>
      </c>
      <c r="C1413" t="s">
        <v>1772</v>
      </c>
      <c r="D1413" t="s">
        <v>25</v>
      </c>
      <c r="E1413" t="s">
        <v>58</v>
      </c>
      <c r="F1413">
        <v>1</v>
      </c>
      <c r="G1413">
        <v>139.99</v>
      </c>
      <c r="H1413">
        <v>14.73</v>
      </c>
      <c r="I1413" t="s">
        <v>44</v>
      </c>
      <c r="J1413">
        <v>10</v>
      </c>
      <c r="K1413" t="s">
        <v>51</v>
      </c>
      <c r="L1413">
        <v>5</v>
      </c>
      <c r="M1413" t="str">
        <f>VLOOKUP(D1413,State_Lookup!$A$2:$B$28,2,FALSE)</f>
        <v>Goias</v>
      </c>
    </row>
    <row r="1414" spans="1:13" x14ac:dyDescent="0.45">
      <c r="A1414" t="s">
        <v>1815</v>
      </c>
      <c r="B1414" t="s">
        <v>1812</v>
      </c>
      <c r="C1414" t="s">
        <v>1772</v>
      </c>
      <c r="D1414" t="s">
        <v>19</v>
      </c>
      <c r="E1414" t="s">
        <v>53</v>
      </c>
      <c r="F1414">
        <v>1</v>
      </c>
      <c r="G1414">
        <v>49.9</v>
      </c>
      <c r="H1414">
        <v>14.1</v>
      </c>
      <c r="I1414" t="s">
        <v>133</v>
      </c>
      <c r="J1414">
        <v>12</v>
      </c>
      <c r="K1414" t="s">
        <v>51</v>
      </c>
      <c r="L1414">
        <v>5</v>
      </c>
      <c r="M1414" t="str">
        <f>VLOOKUP(D1414,State_Lookup!$A$2:$B$28,2,FALSE)</f>
        <v>Rio Grande do Sul</v>
      </c>
    </row>
    <row r="1415" spans="1:13" x14ac:dyDescent="0.45">
      <c r="A1415" t="s">
        <v>1816</v>
      </c>
      <c r="B1415" t="s">
        <v>1817</v>
      </c>
      <c r="C1415" t="s">
        <v>1772</v>
      </c>
      <c r="D1415" t="s">
        <v>17</v>
      </c>
      <c r="E1415" t="s">
        <v>110</v>
      </c>
      <c r="F1415">
        <v>1</v>
      </c>
      <c r="G1415">
        <v>47.99</v>
      </c>
      <c r="H1415">
        <v>15.1</v>
      </c>
      <c r="I1415" t="s">
        <v>44</v>
      </c>
      <c r="J1415">
        <v>12</v>
      </c>
      <c r="K1415" t="s">
        <v>51</v>
      </c>
      <c r="L1415">
        <v>5</v>
      </c>
      <c r="M1415" t="str">
        <f>VLOOKUP(D1415,State_Lookup!$A$2:$B$28,2,FALSE)</f>
        <v>Rio de Janeiro</v>
      </c>
    </row>
    <row r="1416" spans="1:13" x14ac:dyDescent="0.45">
      <c r="A1416" t="s">
        <v>1818</v>
      </c>
      <c r="B1416" t="s">
        <v>1817</v>
      </c>
      <c r="C1416" t="s">
        <v>1772</v>
      </c>
      <c r="D1416" t="s">
        <v>16</v>
      </c>
      <c r="E1416" t="s">
        <v>79</v>
      </c>
      <c r="F1416">
        <v>1</v>
      </c>
      <c r="G1416">
        <v>16</v>
      </c>
      <c r="H1416">
        <v>7.78</v>
      </c>
      <c r="I1416" t="s">
        <v>44</v>
      </c>
      <c r="J1416">
        <v>3</v>
      </c>
      <c r="K1416" t="s">
        <v>51</v>
      </c>
      <c r="L1416">
        <v>5</v>
      </c>
      <c r="M1416" t="str">
        <f>VLOOKUP(D1416,State_Lookup!$A$2:$B$28,2,FALSE)</f>
        <v>Sao Paulo</v>
      </c>
    </row>
    <row r="1417" spans="1:13" x14ac:dyDescent="0.45">
      <c r="A1417" t="s">
        <v>1819</v>
      </c>
      <c r="B1417" t="s">
        <v>1817</v>
      </c>
      <c r="C1417" t="s">
        <v>1772</v>
      </c>
      <c r="D1417" t="s">
        <v>19</v>
      </c>
      <c r="E1417" t="s">
        <v>125</v>
      </c>
      <c r="F1417">
        <v>1</v>
      </c>
      <c r="G1417">
        <v>18.899999999999999</v>
      </c>
      <c r="H1417">
        <v>15.1</v>
      </c>
      <c r="I1417" t="s">
        <v>44</v>
      </c>
      <c r="J1417">
        <v>18</v>
      </c>
      <c r="K1417" t="s">
        <v>51</v>
      </c>
      <c r="L1417">
        <v>2</v>
      </c>
      <c r="M1417" t="str">
        <f>VLOOKUP(D1417,State_Lookup!$A$2:$B$28,2,FALSE)</f>
        <v>Rio Grande do Sul</v>
      </c>
    </row>
    <row r="1418" spans="1:13" x14ac:dyDescent="0.45">
      <c r="A1418" t="s">
        <v>1820</v>
      </c>
      <c r="B1418" t="s">
        <v>1817</v>
      </c>
      <c r="C1418" t="s">
        <v>1772</v>
      </c>
      <c r="D1418" t="s">
        <v>17</v>
      </c>
      <c r="E1418" t="s">
        <v>1650</v>
      </c>
      <c r="F1418">
        <v>1</v>
      </c>
      <c r="G1418">
        <v>1599.99</v>
      </c>
      <c r="H1418">
        <v>35.65</v>
      </c>
      <c r="I1418" t="s">
        <v>44</v>
      </c>
      <c r="J1418">
        <v>13</v>
      </c>
      <c r="K1418" t="s">
        <v>51</v>
      </c>
      <c r="L1418">
        <v>5</v>
      </c>
      <c r="M1418" t="str">
        <f>VLOOKUP(D1418,State_Lookup!$A$2:$B$28,2,FALSE)</f>
        <v>Rio de Janeiro</v>
      </c>
    </row>
    <row r="1419" spans="1:13" x14ac:dyDescent="0.45">
      <c r="A1419" t="s">
        <v>1821</v>
      </c>
      <c r="B1419" t="s">
        <v>1817</v>
      </c>
      <c r="C1419" t="s">
        <v>1772</v>
      </c>
      <c r="D1419" t="s">
        <v>16</v>
      </c>
      <c r="E1419" t="s">
        <v>53</v>
      </c>
      <c r="F1419">
        <v>1</v>
      </c>
      <c r="G1419">
        <v>79.900000000000006</v>
      </c>
      <c r="H1419">
        <v>11.76</v>
      </c>
      <c r="I1419" t="s">
        <v>44</v>
      </c>
      <c r="J1419">
        <v>6</v>
      </c>
      <c r="K1419" t="s">
        <v>51</v>
      </c>
      <c r="L1419">
        <v>4</v>
      </c>
      <c r="M1419" t="str">
        <f>VLOOKUP(D1419,State_Lookup!$A$2:$B$28,2,FALSE)</f>
        <v>Sao Paulo</v>
      </c>
    </row>
    <row r="1420" spans="1:13" x14ac:dyDescent="0.45">
      <c r="A1420" t="s">
        <v>1822</v>
      </c>
      <c r="B1420" t="s">
        <v>1823</v>
      </c>
      <c r="C1420" t="s">
        <v>1772</v>
      </c>
      <c r="D1420" t="s">
        <v>17</v>
      </c>
      <c r="E1420" t="s">
        <v>49</v>
      </c>
      <c r="F1420">
        <v>1</v>
      </c>
      <c r="G1420">
        <v>120</v>
      </c>
      <c r="H1420">
        <v>8.26</v>
      </c>
      <c r="I1420" t="s">
        <v>50</v>
      </c>
      <c r="J1420">
        <v>8</v>
      </c>
      <c r="K1420" t="s">
        <v>51</v>
      </c>
      <c r="L1420">
        <v>5</v>
      </c>
      <c r="M1420" t="str">
        <f>VLOOKUP(D1420,State_Lookup!$A$2:$B$28,2,FALSE)</f>
        <v>Rio de Janeiro</v>
      </c>
    </row>
    <row r="1421" spans="1:13" x14ac:dyDescent="0.45">
      <c r="A1421" t="s">
        <v>1824</v>
      </c>
      <c r="B1421" t="s">
        <v>1823</v>
      </c>
      <c r="C1421" t="s">
        <v>1772</v>
      </c>
      <c r="D1421" t="s">
        <v>16</v>
      </c>
      <c r="E1421" t="s">
        <v>110</v>
      </c>
      <c r="F1421">
        <v>1</v>
      </c>
      <c r="G1421">
        <v>51</v>
      </c>
      <c r="H1421">
        <v>12.7</v>
      </c>
      <c r="I1421" t="s">
        <v>44</v>
      </c>
      <c r="J1421">
        <v>8</v>
      </c>
      <c r="K1421" t="s">
        <v>51</v>
      </c>
      <c r="L1421">
        <v>5</v>
      </c>
      <c r="M1421" t="str">
        <f>VLOOKUP(D1421,State_Lookup!$A$2:$B$28,2,FALSE)</f>
        <v>Sao Paulo</v>
      </c>
    </row>
    <row r="1422" spans="1:13" x14ac:dyDescent="0.45">
      <c r="A1422" t="s">
        <v>1825</v>
      </c>
      <c r="B1422" t="s">
        <v>1823</v>
      </c>
      <c r="C1422" t="s">
        <v>1772</v>
      </c>
      <c r="D1422" t="s">
        <v>17</v>
      </c>
      <c r="E1422" t="s">
        <v>110</v>
      </c>
      <c r="F1422">
        <v>1</v>
      </c>
      <c r="G1422">
        <v>45.9</v>
      </c>
      <c r="H1422">
        <v>15.11</v>
      </c>
      <c r="I1422" t="s">
        <v>44</v>
      </c>
      <c r="J1422">
        <v>23</v>
      </c>
      <c r="K1422" t="s">
        <v>143</v>
      </c>
      <c r="L1422">
        <v>5</v>
      </c>
      <c r="M1422" t="str">
        <f>VLOOKUP(D1422,State_Lookup!$A$2:$B$28,2,FALSE)</f>
        <v>Rio de Janeiro</v>
      </c>
    </row>
    <row r="1423" spans="1:13" x14ac:dyDescent="0.45">
      <c r="A1423" t="s">
        <v>1826</v>
      </c>
      <c r="B1423" t="s">
        <v>1823</v>
      </c>
      <c r="C1423" t="s">
        <v>1772</v>
      </c>
      <c r="D1423" t="s">
        <v>16</v>
      </c>
      <c r="E1423" t="s">
        <v>43</v>
      </c>
      <c r="F1423">
        <v>1</v>
      </c>
      <c r="G1423">
        <v>199.99</v>
      </c>
      <c r="H1423">
        <v>37.49</v>
      </c>
      <c r="I1423" t="s">
        <v>44</v>
      </c>
      <c r="J1423">
        <v>1</v>
      </c>
      <c r="K1423" t="s">
        <v>51</v>
      </c>
      <c r="L1423">
        <v>5</v>
      </c>
      <c r="M1423" t="str">
        <f>VLOOKUP(D1423,State_Lookup!$A$2:$B$28,2,FALSE)</f>
        <v>Sao Paulo</v>
      </c>
    </row>
    <row r="1424" spans="1:13" x14ac:dyDescent="0.45">
      <c r="A1424" t="s">
        <v>1827</v>
      </c>
      <c r="B1424" t="s">
        <v>1823</v>
      </c>
      <c r="C1424" t="s">
        <v>1772</v>
      </c>
      <c r="D1424" t="s">
        <v>18</v>
      </c>
      <c r="E1424" t="s">
        <v>103</v>
      </c>
      <c r="F1424">
        <v>1</v>
      </c>
      <c r="G1424">
        <v>64.989999999999995</v>
      </c>
      <c r="H1424">
        <v>12.58</v>
      </c>
      <c r="I1424" t="s">
        <v>44</v>
      </c>
      <c r="J1424">
        <v>5</v>
      </c>
      <c r="K1424" t="s">
        <v>51</v>
      </c>
      <c r="L1424">
        <v>5</v>
      </c>
      <c r="M1424" t="str">
        <f>VLOOKUP(D1424,State_Lookup!$A$2:$B$28,2,FALSE)</f>
        <v>Minas Gerais</v>
      </c>
    </row>
    <row r="1425" spans="1:13" x14ac:dyDescent="0.45">
      <c r="A1425" t="s">
        <v>1828</v>
      </c>
      <c r="B1425" t="s">
        <v>1823</v>
      </c>
      <c r="C1425" t="s">
        <v>1772</v>
      </c>
      <c r="D1425" t="s">
        <v>83</v>
      </c>
      <c r="E1425" t="s">
        <v>69</v>
      </c>
      <c r="F1425">
        <v>1</v>
      </c>
      <c r="G1425">
        <v>69</v>
      </c>
      <c r="H1425">
        <v>38.03</v>
      </c>
      <c r="I1425" t="s">
        <v>44</v>
      </c>
      <c r="J1425">
        <v>18</v>
      </c>
      <c r="K1425" t="s">
        <v>51</v>
      </c>
      <c r="L1425">
        <v>4</v>
      </c>
      <c r="M1425" t="str">
        <f>VLOOKUP(D1425,State_Lookup!$A$2:$B$28,2,FALSE)</f>
        <v>Sergipe</v>
      </c>
    </row>
    <row r="1426" spans="1:13" x14ac:dyDescent="0.45">
      <c r="A1426" t="s">
        <v>1829</v>
      </c>
      <c r="B1426" t="s">
        <v>1823</v>
      </c>
      <c r="C1426" t="s">
        <v>1772</v>
      </c>
      <c r="D1426" t="s">
        <v>17</v>
      </c>
      <c r="E1426" t="s">
        <v>66</v>
      </c>
      <c r="F1426">
        <v>1</v>
      </c>
      <c r="G1426">
        <v>299.99</v>
      </c>
      <c r="H1426">
        <v>27.38</v>
      </c>
      <c r="I1426" t="s">
        <v>50</v>
      </c>
      <c r="J1426">
        <v>23</v>
      </c>
      <c r="K1426" t="s">
        <v>51</v>
      </c>
      <c r="L1426">
        <v>5</v>
      </c>
      <c r="M1426" t="str">
        <f>VLOOKUP(D1426,State_Lookup!$A$2:$B$28,2,FALSE)</f>
        <v>Rio de Janeiro</v>
      </c>
    </row>
    <row r="1427" spans="1:13" x14ac:dyDescent="0.45">
      <c r="A1427" t="s">
        <v>1830</v>
      </c>
      <c r="B1427" t="s">
        <v>1823</v>
      </c>
      <c r="C1427" t="s">
        <v>1772</v>
      </c>
      <c r="D1427" t="s">
        <v>19</v>
      </c>
      <c r="E1427" t="s">
        <v>53</v>
      </c>
      <c r="F1427">
        <v>1</v>
      </c>
      <c r="G1427">
        <v>129.9</v>
      </c>
      <c r="H1427">
        <v>14.64</v>
      </c>
      <c r="I1427" t="s">
        <v>50</v>
      </c>
      <c r="J1427">
        <v>5</v>
      </c>
      <c r="K1427" t="s">
        <v>51</v>
      </c>
      <c r="L1427">
        <v>5</v>
      </c>
      <c r="M1427" t="str">
        <f>VLOOKUP(D1427,State_Lookup!$A$2:$B$28,2,FALSE)</f>
        <v>Rio Grande do Sul</v>
      </c>
    </row>
    <row r="1428" spans="1:13" x14ac:dyDescent="0.45">
      <c r="A1428" t="s">
        <v>1831</v>
      </c>
      <c r="B1428" t="s">
        <v>1823</v>
      </c>
      <c r="C1428" t="s">
        <v>1772</v>
      </c>
      <c r="D1428" t="s">
        <v>16</v>
      </c>
      <c r="E1428" t="s">
        <v>142</v>
      </c>
      <c r="F1428">
        <v>1</v>
      </c>
      <c r="G1428">
        <v>59.9</v>
      </c>
      <c r="H1428">
        <v>14.13</v>
      </c>
      <c r="I1428" t="s">
        <v>44</v>
      </c>
      <c r="J1428">
        <v>5</v>
      </c>
      <c r="K1428" t="s">
        <v>51</v>
      </c>
      <c r="L1428">
        <v>3</v>
      </c>
      <c r="M1428" t="str">
        <f>VLOOKUP(D1428,State_Lookup!$A$2:$B$28,2,FALSE)</f>
        <v>Sao Paulo</v>
      </c>
    </row>
    <row r="1429" spans="1:13" x14ac:dyDescent="0.45">
      <c r="A1429" t="s">
        <v>1832</v>
      </c>
      <c r="B1429" t="s">
        <v>1833</v>
      </c>
      <c r="C1429" t="s">
        <v>1772</v>
      </c>
      <c r="D1429" t="s">
        <v>22</v>
      </c>
      <c r="E1429" t="s">
        <v>107</v>
      </c>
      <c r="F1429">
        <v>1</v>
      </c>
      <c r="G1429">
        <v>117.48</v>
      </c>
      <c r="H1429">
        <v>17.260000000000002</v>
      </c>
      <c r="I1429" t="s">
        <v>50</v>
      </c>
      <c r="J1429">
        <v>15</v>
      </c>
      <c r="K1429" t="s">
        <v>51</v>
      </c>
      <c r="L1429">
        <v>4</v>
      </c>
      <c r="M1429" t="str">
        <f>VLOOKUP(D1429,State_Lookup!$A$2:$B$28,2,FALSE)</f>
        <v>Bahia</v>
      </c>
    </row>
    <row r="1430" spans="1:13" x14ac:dyDescent="0.45">
      <c r="A1430" t="s">
        <v>1834</v>
      </c>
      <c r="B1430" t="s">
        <v>1833</v>
      </c>
      <c r="C1430" t="s">
        <v>1772</v>
      </c>
      <c r="D1430" t="s">
        <v>16</v>
      </c>
      <c r="E1430" t="s">
        <v>61</v>
      </c>
      <c r="F1430">
        <v>1</v>
      </c>
      <c r="G1430">
        <v>399.5</v>
      </c>
      <c r="H1430">
        <v>15.82</v>
      </c>
      <c r="I1430" t="s">
        <v>50</v>
      </c>
      <c r="J1430">
        <v>10</v>
      </c>
      <c r="K1430" t="s">
        <v>51</v>
      </c>
      <c r="L1430">
        <v>5</v>
      </c>
      <c r="M1430" t="str">
        <f>VLOOKUP(D1430,State_Lookup!$A$2:$B$28,2,FALSE)</f>
        <v>Sao Paulo</v>
      </c>
    </row>
    <row r="1431" spans="1:13" x14ac:dyDescent="0.45">
      <c r="A1431" t="s">
        <v>1835</v>
      </c>
      <c r="B1431" t="s">
        <v>1833</v>
      </c>
      <c r="C1431" t="s">
        <v>1772</v>
      </c>
      <c r="D1431" t="s">
        <v>17</v>
      </c>
      <c r="E1431" t="s">
        <v>64</v>
      </c>
      <c r="F1431">
        <v>1</v>
      </c>
      <c r="G1431">
        <v>75.900000000000006</v>
      </c>
      <c r="H1431">
        <v>14.28</v>
      </c>
      <c r="I1431" t="s">
        <v>50</v>
      </c>
      <c r="J1431">
        <v>36</v>
      </c>
      <c r="K1431" t="s">
        <v>51</v>
      </c>
      <c r="L1431">
        <v>1</v>
      </c>
      <c r="M1431" t="str">
        <f>VLOOKUP(D1431,State_Lookup!$A$2:$B$28,2,FALSE)</f>
        <v>Rio de Janeiro</v>
      </c>
    </row>
    <row r="1432" spans="1:13" x14ac:dyDescent="0.45">
      <c r="A1432" t="s">
        <v>1836</v>
      </c>
      <c r="B1432" t="s">
        <v>1833</v>
      </c>
      <c r="C1432" t="s">
        <v>1772</v>
      </c>
      <c r="D1432" t="s">
        <v>19</v>
      </c>
      <c r="E1432" t="s">
        <v>61</v>
      </c>
      <c r="F1432">
        <v>1</v>
      </c>
      <c r="G1432">
        <v>119</v>
      </c>
      <c r="H1432">
        <v>13.85</v>
      </c>
      <c r="I1432" t="s">
        <v>44</v>
      </c>
      <c r="J1432">
        <v>14</v>
      </c>
      <c r="K1432" t="s">
        <v>51</v>
      </c>
      <c r="L1432">
        <v>4</v>
      </c>
      <c r="M1432" t="str">
        <f>VLOOKUP(D1432,State_Lookup!$A$2:$B$28,2,FALSE)</f>
        <v>Rio Grande do Sul</v>
      </c>
    </row>
    <row r="1433" spans="1:13" x14ac:dyDescent="0.45">
      <c r="A1433" t="s">
        <v>1837</v>
      </c>
      <c r="B1433" t="s">
        <v>1833</v>
      </c>
      <c r="C1433" t="s">
        <v>1772</v>
      </c>
      <c r="D1433" t="s">
        <v>24</v>
      </c>
      <c r="E1433" t="s">
        <v>366</v>
      </c>
      <c r="F1433">
        <v>1</v>
      </c>
      <c r="G1433">
        <v>699</v>
      </c>
      <c r="H1433">
        <v>57.49</v>
      </c>
      <c r="I1433" t="s">
        <v>44</v>
      </c>
      <c r="J1433">
        <v>22</v>
      </c>
      <c r="K1433" t="s">
        <v>143</v>
      </c>
      <c r="L1433">
        <v>5</v>
      </c>
      <c r="M1433" t="str">
        <f>VLOOKUP(D1433,State_Lookup!$A$2:$B$28,2,FALSE)</f>
        <v>Distrito Federal</v>
      </c>
    </row>
    <row r="1434" spans="1:13" x14ac:dyDescent="0.45">
      <c r="A1434" t="s">
        <v>1838</v>
      </c>
      <c r="B1434" t="s">
        <v>1833</v>
      </c>
      <c r="C1434" t="s">
        <v>1772</v>
      </c>
      <c r="D1434" t="s">
        <v>17</v>
      </c>
      <c r="E1434" t="s">
        <v>1839</v>
      </c>
      <c r="F1434">
        <v>2</v>
      </c>
      <c r="G1434">
        <v>179.98</v>
      </c>
      <c r="H1434">
        <v>33.76</v>
      </c>
      <c r="I1434" t="s">
        <v>44</v>
      </c>
      <c r="J1434">
        <v>7</v>
      </c>
      <c r="K1434" t="s">
        <v>51</v>
      </c>
      <c r="L1434">
        <v>5</v>
      </c>
      <c r="M1434" t="str">
        <f>VLOOKUP(D1434,State_Lookup!$A$2:$B$28,2,FALSE)</f>
        <v>Rio de Janeiro</v>
      </c>
    </row>
    <row r="1435" spans="1:13" x14ac:dyDescent="0.45">
      <c r="A1435" t="s">
        <v>1840</v>
      </c>
      <c r="B1435" t="s">
        <v>1833</v>
      </c>
      <c r="C1435" t="s">
        <v>1772</v>
      </c>
      <c r="D1435" t="s">
        <v>18</v>
      </c>
      <c r="E1435" t="s">
        <v>66</v>
      </c>
      <c r="F1435">
        <v>1</v>
      </c>
      <c r="G1435">
        <v>35</v>
      </c>
      <c r="H1435">
        <v>15.1</v>
      </c>
      <c r="I1435" t="s">
        <v>44</v>
      </c>
      <c r="J1435">
        <v>17</v>
      </c>
      <c r="K1435" t="s">
        <v>143</v>
      </c>
      <c r="L1435">
        <v>5</v>
      </c>
      <c r="M1435" t="str">
        <f>VLOOKUP(D1435,State_Lookup!$A$2:$B$28,2,FALSE)</f>
        <v>Minas Gerais</v>
      </c>
    </row>
    <row r="1436" spans="1:13" x14ac:dyDescent="0.45">
      <c r="A1436" t="s">
        <v>1841</v>
      </c>
      <c r="B1436" t="s">
        <v>1833</v>
      </c>
      <c r="C1436" t="s">
        <v>1772</v>
      </c>
      <c r="D1436" t="s">
        <v>21</v>
      </c>
      <c r="E1436" t="s">
        <v>103</v>
      </c>
      <c r="F1436">
        <v>1</v>
      </c>
      <c r="G1436">
        <v>58.9</v>
      </c>
      <c r="H1436">
        <v>18</v>
      </c>
      <c r="I1436" t="s">
        <v>50</v>
      </c>
      <c r="J1436">
        <v>11</v>
      </c>
      <c r="K1436" t="s">
        <v>51</v>
      </c>
      <c r="L1436">
        <v>1</v>
      </c>
      <c r="M1436" t="str">
        <f>VLOOKUP(D1436,State_Lookup!$A$2:$B$28,2,FALSE)</f>
        <v>Santa Catarina</v>
      </c>
    </row>
    <row r="1437" spans="1:13" x14ac:dyDescent="0.45">
      <c r="A1437" t="s">
        <v>1842</v>
      </c>
      <c r="B1437" t="s">
        <v>1833</v>
      </c>
      <c r="C1437" t="s">
        <v>1772</v>
      </c>
      <c r="D1437" t="s">
        <v>16</v>
      </c>
      <c r="E1437" t="s">
        <v>192</v>
      </c>
      <c r="F1437">
        <v>1</v>
      </c>
      <c r="G1437">
        <v>89.9</v>
      </c>
      <c r="H1437">
        <v>29.42</v>
      </c>
      <c r="I1437" t="s">
        <v>44</v>
      </c>
      <c r="J1437">
        <v>10</v>
      </c>
      <c r="K1437" t="s">
        <v>51</v>
      </c>
      <c r="L1437">
        <v>4</v>
      </c>
      <c r="M1437" t="str">
        <f>VLOOKUP(D1437,State_Lookup!$A$2:$B$28,2,FALSE)</f>
        <v>Sao Paulo</v>
      </c>
    </row>
    <row r="1438" spans="1:13" x14ac:dyDescent="0.45">
      <c r="A1438" t="s">
        <v>1843</v>
      </c>
      <c r="B1438" t="s">
        <v>1833</v>
      </c>
      <c r="C1438" t="s">
        <v>1772</v>
      </c>
      <c r="D1438" t="s">
        <v>17</v>
      </c>
      <c r="E1438" t="s">
        <v>66</v>
      </c>
      <c r="F1438">
        <v>1</v>
      </c>
      <c r="G1438">
        <v>19.989999999999998</v>
      </c>
      <c r="H1438">
        <v>14.1</v>
      </c>
      <c r="I1438" t="s">
        <v>50</v>
      </c>
      <c r="J1438">
        <v>8</v>
      </c>
      <c r="K1438" t="s">
        <v>51</v>
      </c>
      <c r="L1438">
        <v>5</v>
      </c>
      <c r="M1438" t="str">
        <f>VLOOKUP(D1438,State_Lookup!$A$2:$B$28,2,FALSE)</f>
        <v>Rio de Janeiro</v>
      </c>
    </row>
    <row r="1439" spans="1:13" x14ac:dyDescent="0.45">
      <c r="A1439" t="s">
        <v>1844</v>
      </c>
      <c r="B1439" t="s">
        <v>1845</v>
      </c>
      <c r="C1439" t="s">
        <v>1772</v>
      </c>
      <c r="D1439" t="s">
        <v>17</v>
      </c>
      <c r="E1439" t="s">
        <v>148</v>
      </c>
      <c r="F1439">
        <v>1</v>
      </c>
      <c r="G1439">
        <v>99.9</v>
      </c>
      <c r="H1439">
        <v>15.46</v>
      </c>
      <c r="I1439" t="s">
        <v>44</v>
      </c>
      <c r="J1439">
        <v>6</v>
      </c>
      <c r="K1439" t="s">
        <v>51</v>
      </c>
      <c r="L1439">
        <v>4</v>
      </c>
      <c r="M1439" t="str">
        <f>VLOOKUP(D1439,State_Lookup!$A$2:$B$28,2,FALSE)</f>
        <v>Rio de Janeiro</v>
      </c>
    </row>
    <row r="1440" spans="1:13" x14ac:dyDescent="0.45">
      <c r="A1440" t="s">
        <v>1846</v>
      </c>
      <c r="B1440" t="s">
        <v>1845</v>
      </c>
      <c r="C1440" t="s">
        <v>1772</v>
      </c>
      <c r="D1440" t="s">
        <v>128</v>
      </c>
      <c r="E1440" t="s">
        <v>79</v>
      </c>
      <c r="F1440">
        <v>1</v>
      </c>
      <c r="G1440">
        <v>359</v>
      </c>
      <c r="H1440">
        <v>27.79</v>
      </c>
      <c r="I1440" t="s">
        <v>44</v>
      </c>
      <c r="J1440">
        <v>24</v>
      </c>
      <c r="K1440" t="s">
        <v>51</v>
      </c>
      <c r="L1440">
        <v>5</v>
      </c>
      <c r="M1440" t="str">
        <f>VLOOKUP(D1440,State_Lookup!$A$2:$B$28,2,FALSE)</f>
        <v>Ceara</v>
      </c>
    </row>
    <row r="1441" spans="1:13" x14ac:dyDescent="0.45">
      <c r="A1441" t="s">
        <v>1847</v>
      </c>
      <c r="B1441" t="s">
        <v>1845</v>
      </c>
      <c r="C1441" t="s">
        <v>1772</v>
      </c>
      <c r="D1441" t="s">
        <v>17</v>
      </c>
      <c r="E1441" t="s">
        <v>152</v>
      </c>
      <c r="F1441">
        <v>1</v>
      </c>
      <c r="G1441">
        <v>43.9</v>
      </c>
      <c r="H1441">
        <v>16.11</v>
      </c>
      <c r="I1441" t="s">
        <v>44</v>
      </c>
      <c r="J1441">
        <v>7</v>
      </c>
      <c r="K1441" t="s">
        <v>51</v>
      </c>
      <c r="L1441">
        <v>5</v>
      </c>
      <c r="M1441" t="str">
        <f>VLOOKUP(D1441,State_Lookup!$A$2:$B$28,2,FALSE)</f>
        <v>Rio de Janeiro</v>
      </c>
    </row>
    <row r="1442" spans="1:13" x14ac:dyDescent="0.45">
      <c r="A1442" t="s">
        <v>1848</v>
      </c>
      <c r="B1442" t="s">
        <v>1845</v>
      </c>
      <c r="C1442" t="s">
        <v>1772</v>
      </c>
      <c r="D1442" t="s">
        <v>16</v>
      </c>
      <c r="E1442" t="s">
        <v>142</v>
      </c>
      <c r="F1442">
        <v>1</v>
      </c>
      <c r="G1442">
        <v>44.9</v>
      </c>
      <c r="H1442">
        <v>11.73</v>
      </c>
      <c r="I1442" t="s">
        <v>50</v>
      </c>
      <c r="J1442">
        <v>16</v>
      </c>
      <c r="K1442" t="s">
        <v>143</v>
      </c>
      <c r="L1442">
        <v>4</v>
      </c>
      <c r="M1442" t="str">
        <f>VLOOKUP(D1442,State_Lookup!$A$2:$B$28,2,FALSE)</f>
        <v>Sao Paulo</v>
      </c>
    </row>
    <row r="1443" spans="1:13" x14ac:dyDescent="0.45">
      <c r="A1443" t="s">
        <v>1849</v>
      </c>
      <c r="B1443" t="s">
        <v>1850</v>
      </c>
      <c r="C1443" t="s">
        <v>1772</v>
      </c>
      <c r="D1443" t="s">
        <v>20</v>
      </c>
      <c r="E1443" t="s">
        <v>142</v>
      </c>
      <c r="F1443">
        <v>2</v>
      </c>
      <c r="G1443">
        <v>178.9</v>
      </c>
      <c r="H1443">
        <v>34.74</v>
      </c>
      <c r="I1443" t="s">
        <v>44</v>
      </c>
      <c r="J1443">
        <v>6</v>
      </c>
      <c r="K1443" t="s">
        <v>51</v>
      </c>
      <c r="L1443">
        <v>1</v>
      </c>
      <c r="M1443" t="str">
        <f>VLOOKUP(D1443,State_Lookup!$A$2:$B$28,2,FALSE)</f>
        <v>Parana</v>
      </c>
    </row>
    <row r="1444" spans="1:13" x14ac:dyDescent="0.45">
      <c r="A1444" t="s">
        <v>1851</v>
      </c>
      <c r="B1444" t="s">
        <v>1850</v>
      </c>
      <c r="C1444" t="s">
        <v>1772</v>
      </c>
      <c r="D1444" t="s">
        <v>141</v>
      </c>
      <c r="E1444" t="s">
        <v>66</v>
      </c>
      <c r="F1444">
        <v>2</v>
      </c>
      <c r="G1444">
        <v>39.799999999999997</v>
      </c>
      <c r="H1444">
        <v>42.3</v>
      </c>
      <c r="I1444" t="s">
        <v>44</v>
      </c>
      <c r="J1444">
        <v>26</v>
      </c>
      <c r="K1444" t="s">
        <v>143</v>
      </c>
      <c r="L1444">
        <v>1</v>
      </c>
      <c r="M1444" t="str">
        <f>VLOOKUP(D1444,State_Lookup!$A$2:$B$28,2,FALSE)</f>
        <v>Maranhao</v>
      </c>
    </row>
    <row r="1445" spans="1:13" x14ac:dyDescent="0.45">
      <c r="A1445" t="s">
        <v>1852</v>
      </c>
      <c r="B1445" t="s">
        <v>1850</v>
      </c>
      <c r="C1445" t="s">
        <v>1772</v>
      </c>
      <c r="D1445" t="s">
        <v>21</v>
      </c>
      <c r="E1445" t="s">
        <v>66</v>
      </c>
      <c r="F1445">
        <v>1</v>
      </c>
      <c r="G1445">
        <v>17.989999999999998</v>
      </c>
      <c r="H1445">
        <v>16.11</v>
      </c>
      <c r="I1445" t="s">
        <v>44</v>
      </c>
      <c r="J1445">
        <v>9</v>
      </c>
      <c r="K1445" t="s">
        <v>51</v>
      </c>
      <c r="L1445">
        <v>5</v>
      </c>
      <c r="M1445" t="str">
        <f>VLOOKUP(D1445,State_Lookup!$A$2:$B$28,2,FALSE)</f>
        <v>Santa Catarina</v>
      </c>
    </row>
    <row r="1446" spans="1:13" x14ac:dyDescent="0.45">
      <c r="A1446" t="s">
        <v>1853</v>
      </c>
      <c r="B1446" t="s">
        <v>1850</v>
      </c>
      <c r="C1446" t="s">
        <v>1772</v>
      </c>
      <c r="D1446" t="s">
        <v>16</v>
      </c>
      <c r="E1446" t="s">
        <v>53</v>
      </c>
      <c r="F1446">
        <v>1</v>
      </c>
      <c r="G1446">
        <v>329.9</v>
      </c>
      <c r="H1446">
        <v>67.400000000000006</v>
      </c>
      <c r="I1446" t="s">
        <v>44</v>
      </c>
      <c r="J1446">
        <v>13</v>
      </c>
      <c r="K1446" t="s">
        <v>51</v>
      </c>
      <c r="L1446">
        <v>5</v>
      </c>
      <c r="M1446" t="str">
        <f>VLOOKUP(D1446,State_Lookup!$A$2:$B$28,2,FALSE)</f>
        <v>Sao Paulo</v>
      </c>
    </row>
    <row r="1447" spans="1:13" x14ac:dyDescent="0.45">
      <c r="A1447" t="s">
        <v>1854</v>
      </c>
      <c r="B1447" t="s">
        <v>1850</v>
      </c>
      <c r="C1447" t="s">
        <v>1772</v>
      </c>
      <c r="D1447" t="s">
        <v>16</v>
      </c>
      <c r="E1447" t="s">
        <v>61</v>
      </c>
      <c r="F1447">
        <v>2</v>
      </c>
      <c r="G1447">
        <v>351.81</v>
      </c>
      <c r="H1447">
        <v>21.3</v>
      </c>
      <c r="I1447" t="s">
        <v>44</v>
      </c>
      <c r="J1447">
        <v>9</v>
      </c>
      <c r="K1447" t="s">
        <v>51</v>
      </c>
      <c r="M1447" t="str">
        <f>VLOOKUP(D1447,State_Lookup!$A$2:$B$28,2,FALSE)</f>
        <v>Sao Paulo</v>
      </c>
    </row>
    <row r="1448" spans="1:13" x14ac:dyDescent="0.45">
      <c r="A1448" t="s">
        <v>1855</v>
      </c>
      <c r="B1448" t="s">
        <v>1850</v>
      </c>
      <c r="C1448" t="s">
        <v>1772</v>
      </c>
      <c r="D1448" t="s">
        <v>16</v>
      </c>
      <c r="E1448" t="s">
        <v>199</v>
      </c>
      <c r="F1448">
        <v>1</v>
      </c>
      <c r="G1448">
        <v>1989</v>
      </c>
      <c r="H1448">
        <v>34.58</v>
      </c>
      <c r="I1448" t="s">
        <v>44</v>
      </c>
      <c r="K1448" t="s">
        <v>45</v>
      </c>
      <c r="L1448">
        <v>4</v>
      </c>
      <c r="M1448" t="str">
        <f>VLOOKUP(D1448,State_Lookup!$A$2:$B$28,2,FALSE)</f>
        <v>Sao Paulo</v>
      </c>
    </row>
    <row r="1449" spans="1:13" x14ac:dyDescent="0.45">
      <c r="A1449" t="s">
        <v>1856</v>
      </c>
      <c r="B1449" t="s">
        <v>1850</v>
      </c>
      <c r="C1449" t="s">
        <v>1772</v>
      </c>
      <c r="D1449" t="s">
        <v>19</v>
      </c>
      <c r="E1449" t="s">
        <v>43</v>
      </c>
      <c r="F1449">
        <v>1</v>
      </c>
      <c r="G1449">
        <v>95.9</v>
      </c>
      <c r="H1449">
        <v>21.16</v>
      </c>
      <c r="I1449" t="s">
        <v>44</v>
      </c>
      <c r="J1449">
        <v>9</v>
      </c>
      <c r="K1449" t="s">
        <v>51</v>
      </c>
      <c r="L1449">
        <v>5</v>
      </c>
      <c r="M1449" t="str">
        <f>VLOOKUP(D1449,State_Lookup!$A$2:$B$28,2,FALSE)</f>
        <v>Rio Grande do Sul</v>
      </c>
    </row>
    <row r="1450" spans="1:13" x14ac:dyDescent="0.45">
      <c r="A1450" t="s">
        <v>1857</v>
      </c>
      <c r="B1450" t="s">
        <v>1850</v>
      </c>
      <c r="C1450" t="s">
        <v>1772</v>
      </c>
      <c r="D1450" t="s">
        <v>16</v>
      </c>
      <c r="E1450" t="s">
        <v>49</v>
      </c>
      <c r="F1450">
        <v>1</v>
      </c>
      <c r="G1450">
        <v>92.9</v>
      </c>
      <c r="H1450">
        <v>14.38</v>
      </c>
      <c r="I1450" t="s">
        <v>44</v>
      </c>
      <c r="J1450">
        <v>6</v>
      </c>
      <c r="K1450" t="s">
        <v>51</v>
      </c>
      <c r="L1450">
        <v>5</v>
      </c>
      <c r="M1450" t="str">
        <f>VLOOKUP(D1450,State_Lookup!$A$2:$B$28,2,FALSE)</f>
        <v>Sao Paulo</v>
      </c>
    </row>
    <row r="1451" spans="1:13" x14ac:dyDescent="0.45">
      <c r="A1451" t="s">
        <v>1858</v>
      </c>
      <c r="B1451" t="s">
        <v>1859</v>
      </c>
      <c r="C1451" t="s">
        <v>1772</v>
      </c>
      <c r="D1451" t="s">
        <v>18</v>
      </c>
      <c r="E1451" t="s">
        <v>53</v>
      </c>
      <c r="F1451">
        <v>1</v>
      </c>
      <c r="G1451">
        <v>94.99</v>
      </c>
      <c r="H1451">
        <v>15.41</v>
      </c>
      <c r="I1451" t="s">
        <v>133</v>
      </c>
      <c r="J1451">
        <v>9</v>
      </c>
      <c r="K1451" t="s">
        <v>51</v>
      </c>
      <c r="L1451">
        <v>5</v>
      </c>
      <c r="M1451" t="str">
        <f>VLOOKUP(D1451,State_Lookup!$A$2:$B$28,2,FALSE)</f>
        <v>Minas Gerais</v>
      </c>
    </row>
    <row r="1452" spans="1:13" x14ac:dyDescent="0.45">
      <c r="A1452" t="s">
        <v>1860</v>
      </c>
      <c r="B1452" t="s">
        <v>1859</v>
      </c>
      <c r="C1452" t="s">
        <v>1772</v>
      </c>
      <c r="D1452" t="s">
        <v>16</v>
      </c>
      <c r="E1452" t="s">
        <v>64</v>
      </c>
      <c r="F1452">
        <v>1</v>
      </c>
      <c r="G1452">
        <v>56.99</v>
      </c>
      <c r="H1452">
        <v>8.7200000000000006</v>
      </c>
      <c r="I1452" t="s">
        <v>44</v>
      </c>
      <c r="J1452">
        <v>7</v>
      </c>
      <c r="K1452" t="s">
        <v>51</v>
      </c>
      <c r="L1452">
        <v>5</v>
      </c>
      <c r="M1452" t="str">
        <f>VLOOKUP(D1452,State_Lookup!$A$2:$B$28,2,FALSE)</f>
        <v>Sao Paulo</v>
      </c>
    </row>
    <row r="1453" spans="1:13" x14ac:dyDescent="0.45">
      <c r="A1453" t="s">
        <v>1861</v>
      </c>
      <c r="B1453" t="s">
        <v>1859</v>
      </c>
      <c r="C1453" t="s">
        <v>1772</v>
      </c>
      <c r="D1453" t="s">
        <v>16</v>
      </c>
      <c r="E1453" t="s">
        <v>199</v>
      </c>
      <c r="F1453">
        <v>2</v>
      </c>
      <c r="G1453">
        <v>112</v>
      </c>
      <c r="H1453">
        <v>16.54</v>
      </c>
      <c r="I1453" t="s">
        <v>44</v>
      </c>
      <c r="J1453">
        <v>4</v>
      </c>
      <c r="K1453" t="s">
        <v>51</v>
      </c>
      <c r="L1453">
        <v>5</v>
      </c>
      <c r="M1453" t="str">
        <f>VLOOKUP(D1453,State_Lookup!$A$2:$B$28,2,FALSE)</f>
        <v>Sao Paulo</v>
      </c>
    </row>
    <row r="1454" spans="1:13" x14ac:dyDescent="0.45">
      <c r="A1454" t="s">
        <v>1862</v>
      </c>
      <c r="B1454" t="s">
        <v>1859</v>
      </c>
      <c r="C1454" t="s">
        <v>1772</v>
      </c>
      <c r="D1454" t="s">
        <v>20</v>
      </c>
      <c r="E1454" t="s">
        <v>123</v>
      </c>
      <c r="F1454">
        <v>1</v>
      </c>
      <c r="G1454">
        <v>139.9</v>
      </c>
      <c r="H1454">
        <v>15.73</v>
      </c>
      <c r="I1454" t="s">
        <v>44</v>
      </c>
      <c r="J1454">
        <v>13</v>
      </c>
      <c r="K1454" t="s">
        <v>51</v>
      </c>
      <c r="L1454">
        <v>5</v>
      </c>
      <c r="M1454" t="str">
        <f>VLOOKUP(D1454,State_Lookup!$A$2:$B$28,2,FALSE)</f>
        <v>Parana</v>
      </c>
    </row>
    <row r="1455" spans="1:13" x14ac:dyDescent="0.45">
      <c r="A1455" t="s">
        <v>1863</v>
      </c>
      <c r="B1455" t="s">
        <v>1859</v>
      </c>
      <c r="C1455" t="s">
        <v>1772</v>
      </c>
      <c r="D1455" t="s">
        <v>16</v>
      </c>
      <c r="E1455" t="s">
        <v>142</v>
      </c>
      <c r="F1455">
        <v>1</v>
      </c>
      <c r="G1455">
        <v>81.99</v>
      </c>
      <c r="H1455">
        <v>12.91</v>
      </c>
      <c r="I1455" t="s">
        <v>44</v>
      </c>
      <c r="J1455">
        <v>19</v>
      </c>
      <c r="K1455" t="s">
        <v>51</v>
      </c>
      <c r="L1455">
        <v>5</v>
      </c>
      <c r="M1455" t="str">
        <f>VLOOKUP(D1455,State_Lookup!$A$2:$B$28,2,FALSE)</f>
        <v>Sao Paulo</v>
      </c>
    </row>
    <row r="1456" spans="1:13" x14ac:dyDescent="0.45">
      <c r="A1456" t="s">
        <v>1864</v>
      </c>
      <c r="B1456" t="s">
        <v>1859</v>
      </c>
      <c r="C1456" t="s">
        <v>1772</v>
      </c>
      <c r="D1456" t="s">
        <v>16</v>
      </c>
      <c r="E1456" t="s">
        <v>148</v>
      </c>
      <c r="F1456">
        <v>1</v>
      </c>
      <c r="G1456">
        <v>70.900000000000006</v>
      </c>
      <c r="H1456">
        <v>26.82</v>
      </c>
      <c r="I1456" t="s">
        <v>44</v>
      </c>
      <c r="J1456">
        <v>8</v>
      </c>
      <c r="K1456" t="s">
        <v>51</v>
      </c>
      <c r="L1456">
        <v>4</v>
      </c>
      <c r="M1456" t="str">
        <f>VLOOKUP(D1456,State_Lookup!$A$2:$B$28,2,FALSE)</f>
        <v>Sao Paulo</v>
      </c>
    </row>
    <row r="1457" spans="1:13" x14ac:dyDescent="0.45">
      <c r="A1457" t="s">
        <v>1865</v>
      </c>
      <c r="B1457" t="s">
        <v>1859</v>
      </c>
      <c r="C1457" t="s">
        <v>1772</v>
      </c>
      <c r="D1457" t="s">
        <v>16</v>
      </c>
      <c r="E1457" t="s">
        <v>152</v>
      </c>
      <c r="F1457">
        <v>1</v>
      </c>
      <c r="G1457">
        <v>135</v>
      </c>
      <c r="H1457">
        <v>13.29</v>
      </c>
      <c r="I1457" t="s">
        <v>44</v>
      </c>
      <c r="J1457">
        <v>20</v>
      </c>
      <c r="K1457" t="s">
        <v>143</v>
      </c>
      <c r="L1457">
        <v>5</v>
      </c>
      <c r="M1457" t="str">
        <f>VLOOKUP(D1457,State_Lookup!$A$2:$B$28,2,FALSE)</f>
        <v>Sao Paulo</v>
      </c>
    </row>
    <row r="1458" spans="1:13" x14ac:dyDescent="0.45">
      <c r="A1458" t="s">
        <v>1866</v>
      </c>
      <c r="B1458" t="s">
        <v>1867</v>
      </c>
      <c r="C1458" t="s">
        <v>1772</v>
      </c>
      <c r="D1458" t="s">
        <v>18</v>
      </c>
      <c r="E1458" t="s">
        <v>43</v>
      </c>
      <c r="F1458">
        <v>1</v>
      </c>
      <c r="G1458">
        <v>212.33</v>
      </c>
      <c r="H1458">
        <v>82.58</v>
      </c>
      <c r="I1458" t="s">
        <v>50</v>
      </c>
      <c r="J1458">
        <v>11</v>
      </c>
      <c r="K1458" t="s">
        <v>51</v>
      </c>
      <c r="L1458">
        <v>5</v>
      </c>
      <c r="M1458" t="str">
        <f>VLOOKUP(D1458,State_Lookup!$A$2:$B$28,2,FALSE)</f>
        <v>Minas Gerais</v>
      </c>
    </row>
    <row r="1459" spans="1:13" x14ac:dyDescent="0.45">
      <c r="A1459" t="s">
        <v>1868</v>
      </c>
      <c r="B1459" t="s">
        <v>1867</v>
      </c>
      <c r="C1459" t="s">
        <v>1772</v>
      </c>
      <c r="D1459" t="s">
        <v>63</v>
      </c>
      <c r="E1459" t="s">
        <v>103</v>
      </c>
      <c r="F1459">
        <v>1</v>
      </c>
      <c r="G1459">
        <v>159.99</v>
      </c>
      <c r="H1459">
        <v>33.57</v>
      </c>
      <c r="I1459" t="s">
        <v>44</v>
      </c>
      <c r="J1459">
        <v>67</v>
      </c>
      <c r="K1459" t="s">
        <v>143</v>
      </c>
      <c r="M1459" t="str">
        <f>VLOOKUP(D1459,State_Lookup!$A$2:$B$28,2,FALSE)</f>
        <v>Pernambuco</v>
      </c>
    </row>
    <row r="1460" spans="1:13" x14ac:dyDescent="0.45">
      <c r="A1460" t="s">
        <v>1869</v>
      </c>
      <c r="B1460" t="s">
        <v>1867</v>
      </c>
      <c r="C1460" t="s">
        <v>1772</v>
      </c>
      <c r="D1460" t="s">
        <v>24</v>
      </c>
      <c r="E1460" t="s">
        <v>157</v>
      </c>
      <c r="F1460">
        <v>1</v>
      </c>
      <c r="G1460">
        <v>29</v>
      </c>
      <c r="H1460">
        <v>14.1</v>
      </c>
      <c r="I1460" t="s">
        <v>44</v>
      </c>
      <c r="J1460">
        <v>10</v>
      </c>
      <c r="K1460" t="s">
        <v>51</v>
      </c>
      <c r="L1460">
        <v>1</v>
      </c>
      <c r="M1460" t="str">
        <f>VLOOKUP(D1460,State_Lookup!$A$2:$B$28,2,FALSE)</f>
        <v>Distrito Federal</v>
      </c>
    </row>
    <row r="1461" spans="1:13" x14ac:dyDescent="0.45">
      <c r="A1461" t="s">
        <v>1870</v>
      </c>
      <c r="B1461" t="s">
        <v>1867</v>
      </c>
      <c r="C1461" t="s">
        <v>1772</v>
      </c>
      <c r="D1461" t="s">
        <v>18</v>
      </c>
      <c r="E1461" t="s">
        <v>43</v>
      </c>
      <c r="F1461">
        <v>1</v>
      </c>
      <c r="G1461">
        <v>119.9</v>
      </c>
      <c r="H1461">
        <v>20.75</v>
      </c>
      <c r="I1461" t="s">
        <v>50</v>
      </c>
      <c r="J1461">
        <v>12</v>
      </c>
      <c r="K1461" t="s">
        <v>51</v>
      </c>
      <c r="L1461">
        <v>5</v>
      </c>
      <c r="M1461" t="str">
        <f>VLOOKUP(D1461,State_Lookup!$A$2:$B$28,2,FALSE)</f>
        <v>Minas Gerais</v>
      </c>
    </row>
    <row r="1462" spans="1:13" x14ac:dyDescent="0.45">
      <c r="A1462" t="s">
        <v>1871</v>
      </c>
      <c r="B1462" t="s">
        <v>1867</v>
      </c>
      <c r="C1462" t="s">
        <v>1772</v>
      </c>
      <c r="D1462" t="s">
        <v>17</v>
      </c>
      <c r="E1462" t="s">
        <v>157</v>
      </c>
      <c r="F1462">
        <v>1</v>
      </c>
      <c r="G1462">
        <v>179.99</v>
      </c>
      <c r="H1462">
        <v>16.010000000000002</v>
      </c>
      <c r="I1462" t="s">
        <v>50</v>
      </c>
      <c r="J1462">
        <v>24</v>
      </c>
      <c r="K1462" t="s">
        <v>143</v>
      </c>
      <c r="L1462">
        <v>5</v>
      </c>
      <c r="M1462" t="str">
        <f>VLOOKUP(D1462,State_Lookup!$A$2:$B$28,2,FALSE)</f>
        <v>Rio de Janeiro</v>
      </c>
    </row>
    <row r="1463" spans="1:13" x14ac:dyDescent="0.45">
      <c r="A1463" t="s">
        <v>1872</v>
      </c>
      <c r="B1463" t="s">
        <v>1873</v>
      </c>
      <c r="C1463" t="s">
        <v>1772</v>
      </c>
      <c r="D1463" t="s">
        <v>17</v>
      </c>
      <c r="E1463" t="s">
        <v>148</v>
      </c>
      <c r="F1463">
        <v>1</v>
      </c>
      <c r="G1463">
        <v>249.9</v>
      </c>
      <c r="H1463">
        <v>69.209999999999994</v>
      </c>
      <c r="I1463" t="s">
        <v>50</v>
      </c>
      <c r="J1463">
        <v>10</v>
      </c>
      <c r="K1463" t="s">
        <v>51</v>
      </c>
      <c r="L1463">
        <v>1</v>
      </c>
      <c r="M1463" t="str">
        <f>VLOOKUP(D1463,State_Lookup!$A$2:$B$28,2,FALSE)</f>
        <v>Rio de Janeiro</v>
      </c>
    </row>
    <row r="1464" spans="1:13" x14ac:dyDescent="0.45">
      <c r="A1464" t="s">
        <v>1874</v>
      </c>
      <c r="B1464" t="s">
        <v>1873</v>
      </c>
      <c r="C1464" t="s">
        <v>1772</v>
      </c>
      <c r="D1464" t="s">
        <v>17</v>
      </c>
      <c r="E1464" t="s">
        <v>107</v>
      </c>
      <c r="F1464">
        <v>1</v>
      </c>
      <c r="G1464">
        <v>179.49</v>
      </c>
      <c r="H1464">
        <v>16.010000000000002</v>
      </c>
      <c r="I1464" t="s">
        <v>44</v>
      </c>
      <c r="J1464">
        <v>12</v>
      </c>
      <c r="K1464" t="s">
        <v>51</v>
      </c>
      <c r="L1464">
        <v>3</v>
      </c>
      <c r="M1464" t="str">
        <f>VLOOKUP(D1464,State_Lookup!$A$2:$B$28,2,FALSE)</f>
        <v>Rio de Janeiro</v>
      </c>
    </row>
    <row r="1465" spans="1:13" x14ac:dyDescent="0.45">
      <c r="A1465" t="s">
        <v>1875</v>
      </c>
      <c r="B1465" t="s">
        <v>1873</v>
      </c>
      <c r="C1465" t="s">
        <v>1772</v>
      </c>
      <c r="D1465" t="s">
        <v>23</v>
      </c>
      <c r="E1465" t="s">
        <v>53</v>
      </c>
      <c r="F1465">
        <v>1</v>
      </c>
      <c r="G1465">
        <v>299</v>
      </c>
      <c r="H1465">
        <v>21.58</v>
      </c>
      <c r="I1465" t="s">
        <v>44</v>
      </c>
      <c r="J1465">
        <v>12</v>
      </c>
      <c r="K1465" t="s">
        <v>51</v>
      </c>
      <c r="L1465">
        <v>5</v>
      </c>
      <c r="M1465" t="str">
        <f>VLOOKUP(D1465,State_Lookup!$A$2:$B$28,2,FALSE)</f>
        <v>Espirito Santo</v>
      </c>
    </row>
    <row r="1466" spans="1:13" x14ac:dyDescent="0.45">
      <c r="A1466" t="s">
        <v>1876</v>
      </c>
      <c r="B1466" t="s">
        <v>1873</v>
      </c>
      <c r="C1466" t="s">
        <v>1772</v>
      </c>
      <c r="D1466" t="s">
        <v>20</v>
      </c>
      <c r="E1466" t="s">
        <v>132</v>
      </c>
      <c r="F1466">
        <v>1</v>
      </c>
      <c r="G1466">
        <v>55.9</v>
      </c>
      <c r="H1466">
        <v>16.149999999999999</v>
      </c>
      <c r="I1466" t="s">
        <v>44</v>
      </c>
      <c r="J1466">
        <v>9</v>
      </c>
      <c r="K1466" t="s">
        <v>51</v>
      </c>
      <c r="L1466">
        <v>1</v>
      </c>
      <c r="M1466" t="str">
        <f>VLOOKUP(D1466,State_Lookup!$A$2:$B$28,2,FALSE)</f>
        <v>Parana</v>
      </c>
    </row>
    <row r="1467" spans="1:13" x14ac:dyDescent="0.45">
      <c r="A1467" t="s">
        <v>1877</v>
      </c>
      <c r="B1467" t="s">
        <v>1878</v>
      </c>
      <c r="C1467" t="s">
        <v>1772</v>
      </c>
      <c r="D1467" t="s">
        <v>16</v>
      </c>
      <c r="E1467" t="s">
        <v>142</v>
      </c>
      <c r="F1467">
        <v>1</v>
      </c>
      <c r="G1467">
        <v>69.900000000000006</v>
      </c>
      <c r="H1467">
        <v>13.08</v>
      </c>
      <c r="I1467" t="s">
        <v>50</v>
      </c>
      <c r="J1467">
        <v>3</v>
      </c>
      <c r="K1467" t="s">
        <v>51</v>
      </c>
      <c r="L1467">
        <v>4</v>
      </c>
      <c r="M1467" t="str">
        <f>VLOOKUP(D1467,State_Lookup!$A$2:$B$28,2,FALSE)</f>
        <v>Sao Paulo</v>
      </c>
    </row>
    <row r="1468" spans="1:13" x14ac:dyDescent="0.45">
      <c r="A1468" t="s">
        <v>1879</v>
      </c>
      <c r="B1468" t="s">
        <v>1878</v>
      </c>
      <c r="C1468" t="s">
        <v>1772</v>
      </c>
      <c r="D1468" t="s">
        <v>25</v>
      </c>
      <c r="E1468" t="s">
        <v>69</v>
      </c>
      <c r="F1468">
        <v>3</v>
      </c>
      <c r="G1468">
        <v>179.7</v>
      </c>
      <c r="H1468">
        <v>53.010000000000012</v>
      </c>
      <c r="I1468" t="s">
        <v>44</v>
      </c>
      <c r="J1468">
        <v>10</v>
      </c>
      <c r="K1468" t="s">
        <v>51</v>
      </c>
      <c r="L1468">
        <v>1</v>
      </c>
      <c r="M1468" t="str">
        <f>VLOOKUP(D1468,State_Lookup!$A$2:$B$28,2,FALSE)</f>
        <v>Goias</v>
      </c>
    </row>
    <row r="1469" spans="1:13" x14ac:dyDescent="0.45">
      <c r="A1469" t="s">
        <v>1880</v>
      </c>
      <c r="B1469" t="s">
        <v>1878</v>
      </c>
      <c r="C1469" t="s">
        <v>1772</v>
      </c>
      <c r="D1469" t="s">
        <v>16</v>
      </c>
      <c r="E1469" t="s">
        <v>110</v>
      </c>
      <c r="F1469">
        <v>1</v>
      </c>
      <c r="G1469">
        <v>241.89</v>
      </c>
      <c r="H1469">
        <v>32.72</v>
      </c>
      <c r="I1469" t="s">
        <v>44</v>
      </c>
      <c r="J1469">
        <v>8</v>
      </c>
      <c r="K1469" t="s">
        <v>51</v>
      </c>
      <c r="L1469">
        <v>5</v>
      </c>
      <c r="M1469" t="str">
        <f>VLOOKUP(D1469,State_Lookup!$A$2:$B$28,2,FALSE)</f>
        <v>Sao Paulo</v>
      </c>
    </row>
    <row r="1470" spans="1:13" x14ac:dyDescent="0.45">
      <c r="A1470" t="s">
        <v>1881</v>
      </c>
      <c r="B1470" t="s">
        <v>1878</v>
      </c>
      <c r="C1470" t="s">
        <v>1772</v>
      </c>
      <c r="D1470" t="s">
        <v>18</v>
      </c>
      <c r="E1470" t="s">
        <v>61</v>
      </c>
      <c r="F1470">
        <v>1</v>
      </c>
      <c r="G1470">
        <v>31.9</v>
      </c>
      <c r="H1470">
        <v>8.11</v>
      </c>
      <c r="I1470" t="s">
        <v>44</v>
      </c>
      <c r="J1470">
        <v>4</v>
      </c>
      <c r="K1470" t="s">
        <v>51</v>
      </c>
      <c r="L1470">
        <v>5</v>
      </c>
      <c r="M1470" t="str">
        <f>VLOOKUP(D1470,State_Lookup!$A$2:$B$28,2,FALSE)</f>
        <v>Minas Gerais</v>
      </c>
    </row>
    <row r="1471" spans="1:13" x14ac:dyDescent="0.45">
      <c r="A1471" t="s">
        <v>1882</v>
      </c>
      <c r="B1471" t="s">
        <v>1878</v>
      </c>
      <c r="C1471" t="s">
        <v>1772</v>
      </c>
      <c r="D1471" t="s">
        <v>20</v>
      </c>
      <c r="E1471" t="s">
        <v>49</v>
      </c>
      <c r="F1471">
        <v>1</v>
      </c>
      <c r="G1471">
        <v>35.9</v>
      </c>
      <c r="H1471">
        <v>14.1</v>
      </c>
      <c r="I1471" t="s">
        <v>44</v>
      </c>
      <c r="J1471">
        <v>13</v>
      </c>
      <c r="K1471" t="s">
        <v>51</v>
      </c>
      <c r="L1471">
        <v>5</v>
      </c>
      <c r="M1471" t="str">
        <f>VLOOKUP(D1471,State_Lookup!$A$2:$B$28,2,FALSE)</f>
        <v>Parana</v>
      </c>
    </row>
    <row r="1472" spans="1:13" x14ac:dyDescent="0.45">
      <c r="A1472" t="s">
        <v>1883</v>
      </c>
      <c r="B1472" t="s">
        <v>1878</v>
      </c>
      <c r="C1472" t="s">
        <v>1772</v>
      </c>
      <c r="D1472" t="s">
        <v>17</v>
      </c>
      <c r="E1472" t="s">
        <v>110</v>
      </c>
      <c r="F1472">
        <v>1</v>
      </c>
      <c r="G1472">
        <v>45.9</v>
      </c>
      <c r="H1472">
        <v>15.11</v>
      </c>
      <c r="I1472" t="s">
        <v>44</v>
      </c>
      <c r="J1472">
        <v>11</v>
      </c>
      <c r="K1472" t="s">
        <v>51</v>
      </c>
      <c r="L1472">
        <v>5</v>
      </c>
      <c r="M1472" t="str">
        <f>VLOOKUP(D1472,State_Lookup!$A$2:$B$28,2,FALSE)</f>
        <v>Rio de Janeiro</v>
      </c>
    </row>
    <row r="1473" spans="1:13" x14ac:dyDescent="0.45">
      <c r="A1473" t="s">
        <v>1884</v>
      </c>
      <c r="B1473" t="s">
        <v>1878</v>
      </c>
      <c r="C1473" t="s">
        <v>1772</v>
      </c>
      <c r="D1473" t="s">
        <v>16</v>
      </c>
      <c r="E1473" t="s">
        <v>66</v>
      </c>
      <c r="F1473">
        <v>1</v>
      </c>
      <c r="G1473">
        <v>49.9</v>
      </c>
      <c r="H1473">
        <v>8.7200000000000006</v>
      </c>
      <c r="I1473" t="s">
        <v>50</v>
      </c>
      <c r="J1473">
        <v>16</v>
      </c>
      <c r="K1473" t="s">
        <v>143</v>
      </c>
      <c r="L1473">
        <v>1</v>
      </c>
      <c r="M1473" t="str">
        <f>VLOOKUP(D1473,State_Lookup!$A$2:$B$28,2,FALSE)</f>
        <v>Sao Paulo</v>
      </c>
    </row>
    <row r="1474" spans="1:13" x14ac:dyDescent="0.45">
      <c r="A1474" t="s">
        <v>1885</v>
      </c>
      <c r="B1474" t="s">
        <v>1878</v>
      </c>
      <c r="C1474" t="s">
        <v>1772</v>
      </c>
      <c r="D1474" t="s">
        <v>20</v>
      </c>
      <c r="E1474" t="s">
        <v>49</v>
      </c>
      <c r="F1474">
        <v>1</v>
      </c>
      <c r="G1474">
        <v>59.9</v>
      </c>
      <c r="H1474">
        <v>13.44</v>
      </c>
      <c r="I1474" t="s">
        <v>50</v>
      </c>
      <c r="J1474">
        <v>12</v>
      </c>
      <c r="K1474" t="s">
        <v>51</v>
      </c>
      <c r="L1474">
        <v>4</v>
      </c>
      <c r="M1474" t="str">
        <f>VLOOKUP(D1474,State_Lookup!$A$2:$B$28,2,FALSE)</f>
        <v>Parana</v>
      </c>
    </row>
    <row r="1475" spans="1:13" x14ac:dyDescent="0.45">
      <c r="A1475" t="s">
        <v>1886</v>
      </c>
      <c r="B1475" t="s">
        <v>1878</v>
      </c>
      <c r="C1475" t="s">
        <v>1772</v>
      </c>
      <c r="D1475" t="s">
        <v>16</v>
      </c>
      <c r="E1475" t="s">
        <v>142</v>
      </c>
      <c r="F1475">
        <v>1</v>
      </c>
      <c r="G1475">
        <v>129</v>
      </c>
      <c r="H1475">
        <v>27.45</v>
      </c>
      <c r="I1475" t="s">
        <v>44</v>
      </c>
      <c r="J1475">
        <v>10</v>
      </c>
      <c r="K1475" t="s">
        <v>51</v>
      </c>
      <c r="L1475">
        <v>5</v>
      </c>
      <c r="M1475" t="str">
        <f>VLOOKUP(D1475,State_Lookup!$A$2:$B$28,2,FALSE)</f>
        <v>Sao Paulo</v>
      </c>
    </row>
    <row r="1476" spans="1:13" x14ac:dyDescent="0.45">
      <c r="A1476" t="s">
        <v>1887</v>
      </c>
      <c r="B1476" t="s">
        <v>1888</v>
      </c>
      <c r="C1476" t="s">
        <v>1772</v>
      </c>
      <c r="D1476" t="s">
        <v>19</v>
      </c>
      <c r="E1476" t="s">
        <v>79</v>
      </c>
      <c r="F1476">
        <v>3</v>
      </c>
      <c r="G1476">
        <v>71.97</v>
      </c>
      <c r="H1476">
        <v>45.3</v>
      </c>
      <c r="I1476" t="s">
        <v>50</v>
      </c>
      <c r="J1476">
        <v>11</v>
      </c>
      <c r="K1476" t="s">
        <v>51</v>
      </c>
      <c r="L1476">
        <v>4</v>
      </c>
      <c r="M1476" t="str">
        <f>VLOOKUP(D1476,State_Lookup!$A$2:$B$28,2,FALSE)</f>
        <v>Rio Grande do Sul</v>
      </c>
    </row>
    <row r="1477" spans="1:13" x14ac:dyDescent="0.45">
      <c r="A1477" t="s">
        <v>1889</v>
      </c>
      <c r="B1477" t="s">
        <v>1888</v>
      </c>
      <c r="C1477" t="s">
        <v>1772</v>
      </c>
      <c r="D1477" t="s">
        <v>16</v>
      </c>
      <c r="E1477" t="s">
        <v>157</v>
      </c>
      <c r="F1477">
        <v>1</v>
      </c>
      <c r="G1477">
        <v>699.99</v>
      </c>
      <c r="H1477">
        <v>13.71</v>
      </c>
      <c r="I1477" t="s">
        <v>44</v>
      </c>
      <c r="J1477">
        <v>4</v>
      </c>
      <c r="K1477" t="s">
        <v>51</v>
      </c>
      <c r="L1477">
        <v>4</v>
      </c>
      <c r="M1477" t="str">
        <f>VLOOKUP(D1477,State_Lookup!$A$2:$B$28,2,FALSE)</f>
        <v>Sao Paulo</v>
      </c>
    </row>
    <row r="1478" spans="1:13" x14ac:dyDescent="0.45">
      <c r="A1478" t="s">
        <v>1890</v>
      </c>
      <c r="B1478" t="s">
        <v>1888</v>
      </c>
      <c r="C1478" t="s">
        <v>1772</v>
      </c>
      <c r="D1478" t="s">
        <v>20</v>
      </c>
      <c r="E1478" t="s">
        <v>103</v>
      </c>
      <c r="F1478">
        <v>1</v>
      </c>
      <c r="G1478">
        <v>159.99</v>
      </c>
      <c r="H1478">
        <v>57.79</v>
      </c>
      <c r="I1478" t="s">
        <v>44</v>
      </c>
      <c r="J1478">
        <v>16</v>
      </c>
      <c r="K1478" t="s">
        <v>51</v>
      </c>
      <c r="L1478">
        <v>1</v>
      </c>
      <c r="M1478" t="str">
        <f>VLOOKUP(D1478,State_Lookup!$A$2:$B$28,2,FALSE)</f>
        <v>Parana</v>
      </c>
    </row>
    <row r="1479" spans="1:13" x14ac:dyDescent="0.45">
      <c r="A1479" t="s">
        <v>1891</v>
      </c>
      <c r="B1479" t="s">
        <v>1888</v>
      </c>
      <c r="C1479" t="s">
        <v>1772</v>
      </c>
      <c r="D1479" t="s">
        <v>17</v>
      </c>
      <c r="E1479" t="s">
        <v>1650</v>
      </c>
      <c r="F1479">
        <v>1</v>
      </c>
      <c r="G1479">
        <v>1437</v>
      </c>
      <c r="H1479">
        <v>34.51</v>
      </c>
      <c r="I1479" t="s">
        <v>44</v>
      </c>
      <c r="J1479">
        <v>9</v>
      </c>
      <c r="K1479" t="s">
        <v>51</v>
      </c>
      <c r="M1479" t="str">
        <f>VLOOKUP(D1479,State_Lookup!$A$2:$B$28,2,FALSE)</f>
        <v>Rio de Janeiro</v>
      </c>
    </row>
    <row r="1480" spans="1:13" x14ac:dyDescent="0.45">
      <c r="A1480" t="s">
        <v>1892</v>
      </c>
      <c r="B1480" t="s">
        <v>1888</v>
      </c>
      <c r="C1480" t="s">
        <v>1772</v>
      </c>
      <c r="D1480" t="s">
        <v>22</v>
      </c>
      <c r="E1480" t="s">
        <v>79</v>
      </c>
      <c r="F1480">
        <v>1</v>
      </c>
      <c r="G1480">
        <v>550</v>
      </c>
      <c r="H1480">
        <v>135.4</v>
      </c>
      <c r="I1480" t="s">
        <v>44</v>
      </c>
      <c r="J1480">
        <v>18</v>
      </c>
      <c r="K1480" t="s">
        <v>51</v>
      </c>
      <c r="L1480">
        <v>5</v>
      </c>
      <c r="M1480" t="str">
        <f>VLOOKUP(D1480,State_Lookup!$A$2:$B$28,2,FALSE)</f>
        <v>Bahia</v>
      </c>
    </row>
    <row r="1481" spans="1:13" x14ac:dyDescent="0.45">
      <c r="A1481" t="s">
        <v>1893</v>
      </c>
      <c r="B1481" t="s">
        <v>1888</v>
      </c>
      <c r="C1481" t="s">
        <v>1772</v>
      </c>
      <c r="D1481" t="s">
        <v>25</v>
      </c>
      <c r="E1481" t="s">
        <v>148</v>
      </c>
      <c r="F1481">
        <v>1</v>
      </c>
      <c r="G1481">
        <v>129.99</v>
      </c>
      <c r="H1481">
        <v>18.16</v>
      </c>
      <c r="I1481" t="s">
        <v>44</v>
      </c>
      <c r="J1481">
        <v>8</v>
      </c>
      <c r="K1481" t="s">
        <v>51</v>
      </c>
      <c r="L1481">
        <v>5</v>
      </c>
      <c r="M1481" t="str">
        <f>VLOOKUP(D1481,State_Lookup!$A$2:$B$28,2,FALSE)</f>
        <v>Goias</v>
      </c>
    </row>
    <row r="1482" spans="1:13" x14ac:dyDescent="0.45">
      <c r="A1482" t="s">
        <v>1894</v>
      </c>
      <c r="B1482" t="s">
        <v>1888</v>
      </c>
      <c r="C1482" t="s">
        <v>1772</v>
      </c>
      <c r="D1482" t="s">
        <v>18</v>
      </c>
      <c r="E1482" t="s">
        <v>148</v>
      </c>
      <c r="F1482">
        <v>1</v>
      </c>
      <c r="G1482">
        <v>239.99</v>
      </c>
      <c r="H1482">
        <v>22.17</v>
      </c>
      <c r="I1482" t="s">
        <v>44</v>
      </c>
      <c r="J1482">
        <v>6</v>
      </c>
      <c r="K1482" t="s">
        <v>51</v>
      </c>
      <c r="L1482">
        <v>5</v>
      </c>
      <c r="M1482" t="str">
        <f>VLOOKUP(D1482,State_Lookup!$A$2:$B$28,2,FALSE)</f>
        <v>Minas Gerais</v>
      </c>
    </row>
    <row r="1483" spans="1:13" x14ac:dyDescent="0.45">
      <c r="A1483" t="s">
        <v>1895</v>
      </c>
      <c r="B1483" t="s">
        <v>1888</v>
      </c>
      <c r="C1483" t="s">
        <v>1772</v>
      </c>
      <c r="D1483" t="s">
        <v>20</v>
      </c>
      <c r="E1483" t="s">
        <v>49</v>
      </c>
      <c r="F1483">
        <v>1</v>
      </c>
      <c r="G1483">
        <v>115</v>
      </c>
      <c r="H1483">
        <v>21.3</v>
      </c>
      <c r="I1483" t="s">
        <v>44</v>
      </c>
      <c r="J1483">
        <v>9</v>
      </c>
      <c r="K1483" t="s">
        <v>51</v>
      </c>
      <c r="L1483">
        <v>5</v>
      </c>
      <c r="M1483" t="str">
        <f>VLOOKUP(D1483,State_Lookup!$A$2:$B$28,2,FALSE)</f>
        <v>Parana</v>
      </c>
    </row>
    <row r="1484" spans="1:13" x14ac:dyDescent="0.45">
      <c r="A1484" t="s">
        <v>1896</v>
      </c>
      <c r="B1484" t="s">
        <v>1897</v>
      </c>
      <c r="C1484" t="s">
        <v>1772</v>
      </c>
      <c r="D1484" t="s">
        <v>23</v>
      </c>
      <c r="E1484" t="s">
        <v>220</v>
      </c>
      <c r="F1484">
        <v>2</v>
      </c>
      <c r="G1484">
        <v>399.98</v>
      </c>
      <c r="H1484">
        <v>148.69999999999999</v>
      </c>
      <c r="I1484" t="s">
        <v>44</v>
      </c>
      <c r="J1484">
        <v>20</v>
      </c>
      <c r="K1484" t="s">
        <v>51</v>
      </c>
      <c r="L1484">
        <v>3</v>
      </c>
      <c r="M1484" t="str">
        <f>VLOOKUP(D1484,State_Lookup!$A$2:$B$28,2,FALSE)</f>
        <v>Espirito Santo</v>
      </c>
    </row>
    <row r="1485" spans="1:13" x14ac:dyDescent="0.45">
      <c r="A1485" t="s">
        <v>1898</v>
      </c>
      <c r="B1485" t="s">
        <v>1897</v>
      </c>
      <c r="C1485" t="s">
        <v>1772</v>
      </c>
      <c r="D1485" t="s">
        <v>23</v>
      </c>
      <c r="E1485" t="s">
        <v>125</v>
      </c>
      <c r="F1485">
        <v>1</v>
      </c>
      <c r="G1485">
        <v>28.9</v>
      </c>
      <c r="H1485">
        <v>25.63</v>
      </c>
      <c r="I1485" t="s">
        <v>50</v>
      </c>
      <c r="J1485">
        <v>10</v>
      </c>
      <c r="K1485" t="s">
        <v>51</v>
      </c>
      <c r="L1485">
        <v>5</v>
      </c>
      <c r="M1485" t="str">
        <f>VLOOKUP(D1485,State_Lookup!$A$2:$B$28,2,FALSE)</f>
        <v>Espirito Santo</v>
      </c>
    </row>
    <row r="1486" spans="1:13" x14ac:dyDescent="0.45">
      <c r="A1486" t="s">
        <v>1899</v>
      </c>
      <c r="B1486" t="s">
        <v>1897</v>
      </c>
      <c r="C1486" t="s">
        <v>1772</v>
      </c>
      <c r="D1486" t="s">
        <v>17</v>
      </c>
      <c r="E1486" t="s">
        <v>1900</v>
      </c>
      <c r="F1486">
        <v>1</v>
      </c>
      <c r="G1486">
        <v>33.6</v>
      </c>
      <c r="H1486">
        <v>17.600000000000001</v>
      </c>
      <c r="I1486" t="s">
        <v>44</v>
      </c>
      <c r="J1486">
        <v>6</v>
      </c>
      <c r="K1486" t="s">
        <v>51</v>
      </c>
      <c r="L1486">
        <v>5</v>
      </c>
      <c r="M1486" t="str">
        <f>VLOOKUP(D1486,State_Lookup!$A$2:$B$28,2,FALSE)</f>
        <v>Rio de Janeiro</v>
      </c>
    </row>
    <row r="1487" spans="1:13" x14ac:dyDescent="0.45">
      <c r="A1487" t="s">
        <v>1901</v>
      </c>
      <c r="B1487" t="s">
        <v>1897</v>
      </c>
      <c r="C1487" t="s">
        <v>1772</v>
      </c>
      <c r="D1487" t="s">
        <v>63</v>
      </c>
      <c r="E1487" t="s">
        <v>204</v>
      </c>
      <c r="F1487">
        <v>1</v>
      </c>
      <c r="G1487">
        <v>849.98</v>
      </c>
      <c r="H1487">
        <v>98.37</v>
      </c>
      <c r="I1487" t="s">
        <v>44</v>
      </c>
      <c r="J1487">
        <v>15</v>
      </c>
      <c r="K1487" t="s">
        <v>51</v>
      </c>
      <c r="L1487">
        <v>5</v>
      </c>
      <c r="M1487" t="str">
        <f>VLOOKUP(D1487,State_Lookup!$A$2:$B$28,2,FALSE)</f>
        <v>Pernambuco</v>
      </c>
    </row>
    <row r="1488" spans="1:13" x14ac:dyDescent="0.45">
      <c r="A1488" t="s">
        <v>1902</v>
      </c>
      <c r="B1488" t="s">
        <v>1897</v>
      </c>
      <c r="C1488" t="s">
        <v>1772</v>
      </c>
      <c r="D1488" t="s">
        <v>18</v>
      </c>
      <c r="E1488" t="s">
        <v>1903</v>
      </c>
      <c r="F1488">
        <v>1</v>
      </c>
      <c r="G1488">
        <v>65</v>
      </c>
      <c r="H1488">
        <v>15.2</v>
      </c>
      <c r="I1488" t="s">
        <v>44</v>
      </c>
      <c r="J1488">
        <v>9</v>
      </c>
      <c r="K1488" t="s">
        <v>51</v>
      </c>
      <c r="L1488">
        <v>5</v>
      </c>
      <c r="M1488" t="str">
        <f>VLOOKUP(D1488,State_Lookup!$A$2:$B$28,2,FALSE)</f>
        <v>Minas Gerais</v>
      </c>
    </row>
    <row r="1489" spans="1:13" x14ac:dyDescent="0.45">
      <c r="A1489" t="s">
        <v>1904</v>
      </c>
      <c r="B1489" t="s">
        <v>1897</v>
      </c>
      <c r="C1489" t="s">
        <v>1772</v>
      </c>
      <c r="D1489" t="s">
        <v>18</v>
      </c>
      <c r="E1489" t="s">
        <v>49</v>
      </c>
      <c r="F1489">
        <v>1</v>
      </c>
      <c r="G1489">
        <v>113.9</v>
      </c>
      <c r="H1489">
        <v>16.559999999999999</v>
      </c>
      <c r="I1489" t="s">
        <v>44</v>
      </c>
      <c r="J1489">
        <v>7</v>
      </c>
      <c r="K1489" t="s">
        <v>51</v>
      </c>
      <c r="L1489">
        <v>5</v>
      </c>
      <c r="M1489" t="str">
        <f>VLOOKUP(D1489,State_Lookup!$A$2:$B$28,2,FALSE)</f>
        <v>Minas Gerais</v>
      </c>
    </row>
    <row r="1490" spans="1:13" x14ac:dyDescent="0.45">
      <c r="A1490" t="s">
        <v>1905</v>
      </c>
      <c r="B1490" t="s">
        <v>1906</v>
      </c>
      <c r="C1490" t="s">
        <v>1772</v>
      </c>
      <c r="D1490" t="s">
        <v>17</v>
      </c>
      <c r="E1490" t="s">
        <v>157</v>
      </c>
      <c r="F1490">
        <v>1</v>
      </c>
      <c r="G1490">
        <v>65</v>
      </c>
      <c r="H1490">
        <v>15.2</v>
      </c>
      <c r="I1490" t="s">
        <v>44</v>
      </c>
      <c r="J1490">
        <v>9</v>
      </c>
      <c r="K1490" t="s">
        <v>51</v>
      </c>
      <c r="L1490">
        <v>5</v>
      </c>
      <c r="M1490" t="str">
        <f>VLOOKUP(D1490,State_Lookup!$A$2:$B$28,2,FALSE)</f>
        <v>Rio de Janeiro</v>
      </c>
    </row>
    <row r="1491" spans="1:13" x14ac:dyDescent="0.45">
      <c r="A1491" t="s">
        <v>1907</v>
      </c>
      <c r="B1491" t="s">
        <v>1906</v>
      </c>
      <c r="C1491" t="s">
        <v>1772</v>
      </c>
      <c r="D1491" t="s">
        <v>487</v>
      </c>
      <c r="E1491" t="s">
        <v>79</v>
      </c>
      <c r="F1491">
        <v>1</v>
      </c>
      <c r="G1491">
        <v>47</v>
      </c>
      <c r="H1491">
        <v>34.15</v>
      </c>
      <c r="I1491" t="s">
        <v>50</v>
      </c>
      <c r="J1491">
        <v>19</v>
      </c>
      <c r="K1491" t="s">
        <v>51</v>
      </c>
      <c r="L1491">
        <v>4</v>
      </c>
      <c r="M1491" t="str">
        <f>VLOOKUP(D1491,State_Lookup!$A$2:$B$28,2,FALSE)</f>
        <v>Rio Grande do Norte</v>
      </c>
    </row>
    <row r="1492" spans="1:13" x14ac:dyDescent="0.45">
      <c r="A1492" t="s">
        <v>1908</v>
      </c>
      <c r="B1492" t="s">
        <v>1906</v>
      </c>
      <c r="C1492" t="s">
        <v>1772</v>
      </c>
      <c r="D1492" t="s">
        <v>18</v>
      </c>
      <c r="E1492" t="s">
        <v>58</v>
      </c>
      <c r="F1492">
        <v>1</v>
      </c>
      <c r="G1492">
        <v>39.9</v>
      </c>
      <c r="H1492">
        <v>12.48</v>
      </c>
      <c r="I1492" t="s">
        <v>44</v>
      </c>
      <c r="J1492">
        <v>5</v>
      </c>
      <c r="K1492" t="s">
        <v>51</v>
      </c>
      <c r="L1492">
        <v>5</v>
      </c>
      <c r="M1492" t="str">
        <f>VLOOKUP(D1492,State_Lookup!$A$2:$B$28,2,FALSE)</f>
        <v>Minas Gerais</v>
      </c>
    </row>
    <row r="1493" spans="1:13" x14ac:dyDescent="0.45">
      <c r="A1493" t="s">
        <v>1909</v>
      </c>
      <c r="B1493" t="s">
        <v>1906</v>
      </c>
      <c r="C1493" t="s">
        <v>1772</v>
      </c>
      <c r="D1493" t="s">
        <v>16</v>
      </c>
      <c r="E1493" t="s">
        <v>58</v>
      </c>
      <c r="F1493">
        <v>1</v>
      </c>
      <c r="G1493">
        <v>19.899999999999999</v>
      </c>
      <c r="H1493">
        <v>11.85</v>
      </c>
      <c r="I1493" t="s">
        <v>44</v>
      </c>
      <c r="J1493">
        <v>11</v>
      </c>
      <c r="K1493" t="s">
        <v>51</v>
      </c>
      <c r="L1493">
        <v>4</v>
      </c>
      <c r="M1493" t="str">
        <f>VLOOKUP(D1493,State_Lookup!$A$2:$B$28,2,FALSE)</f>
        <v>Sao Paulo</v>
      </c>
    </row>
    <row r="1494" spans="1:13" x14ac:dyDescent="0.45">
      <c r="A1494" t="s">
        <v>1910</v>
      </c>
      <c r="B1494" t="s">
        <v>1906</v>
      </c>
      <c r="C1494" t="s">
        <v>1772</v>
      </c>
      <c r="D1494" t="s">
        <v>16</v>
      </c>
      <c r="E1494" t="s">
        <v>267</v>
      </c>
      <c r="F1494">
        <v>1</v>
      </c>
      <c r="G1494">
        <v>79</v>
      </c>
      <c r="H1494">
        <v>9.3699999999999992</v>
      </c>
      <c r="I1494" t="s">
        <v>44</v>
      </c>
      <c r="J1494">
        <v>1</v>
      </c>
      <c r="K1494" t="s">
        <v>51</v>
      </c>
      <c r="L1494">
        <v>5</v>
      </c>
      <c r="M1494" t="str">
        <f>VLOOKUP(D1494,State_Lookup!$A$2:$B$28,2,FALSE)</f>
        <v>Sao Paulo</v>
      </c>
    </row>
    <row r="1495" spans="1:13" x14ac:dyDescent="0.45">
      <c r="A1495" t="s">
        <v>1911</v>
      </c>
      <c r="B1495" t="s">
        <v>1906</v>
      </c>
      <c r="C1495" t="s">
        <v>1772</v>
      </c>
      <c r="D1495" t="s">
        <v>17</v>
      </c>
      <c r="E1495" t="s">
        <v>53</v>
      </c>
      <c r="F1495">
        <v>1</v>
      </c>
      <c r="G1495">
        <v>129.80000000000001</v>
      </c>
      <c r="H1495">
        <v>24.29</v>
      </c>
      <c r="I1495" t="s">
        <v>44</v>
      </c>
      <c r="J1495">
        <v>13</v>
      </c>
      <c r="K1495" t="s">
        <v>51</v>
      </c>
      <c r="L1495">
        <v>5</v>
      </c>
      <c r="M1495" t="str">
        <f>VLOOKUP(D1495,State_Lookup!$A$2:$B$28,2,FALSE)</f>
        <v>Rio de Janeiro</v>
      </c>
    </row>
    <row r="1496" spans="1:13" x14ac:dyDescent="0.45">
      <c r="A1496" t="s">
        <v>1912</v>
      </c>
      <c r="B1496" t="s">
        <v>1906</v>
      </c>
      <c r="C1496" t="s">
        <v>1772</v>
      </c>
      <c r="D1496" t="s">
        <v>21</v>
      </c>
      <c r="E1496" t="s">
        <v>79</v>
      </c>
      <c r="F1496">
        <v>1</v>
      </c>
      <c r="G1496">
        <v>23.99</v>
      </c>
      <c r="H1496">
        <v>15.1</v>
      </c>
      <c r="I1496" t="s">
        <v>44</v>
      </c>
      <c r="J1496">
        <v>9</v>
      </c>
      <c r="K1496" t="s">
        <v>51</v>
      </c>
      <c r="L1496">
        <v>5</v>
      </c>
      <c r="M1496" t="str">
        <f>VLOOKUP(D1496,State_Lookup!$A$2:$B$28,2,FALSE)</f>
        <v>Santa Catarina</v>
      </c>
    </row>
    <row r="1497" spans="1:13" x14ac:dyDescent="0.45">
      <c r="A1497" t="s">
        <v>1913</v>
      </c>
      <c r="B1497" t="s">
        <v>1906</v>
      </c>
      <c r="C1497" t="s">
        <v>1772</v>
      </c>
      <c r="D1497" t="s">
        <v>22</v>
      </c>
      <c r="E1497" t="s">
        <v>53</v>
      </c>
      <c r="F1497">
        <v>1</v>
      </c>
      <c r="G1497">
        <v>629</v>
      </c>
      <c r="H1497">
        <v>36.85</v>
      </c>
      <c r="I1497" t="s">
        <v>44</v>
      </c>
      <c r="J1497">
        <v>14</v>
      </c>
      <c r="K1497" t="s">
        <v>51</v>
      </c>
      <c r="L1497">
        <v>4</v>
      </c>
      <c r="M1497" t="str">
        <f>VLOOKUP(D1497,State_Lookup!$A$2:$B$28,2,FALSE)</f>
        <v>Bahia</v>
      </c>
    </row>
    <row r="1498" spans="1:13" x14ac:dyDescent="0.45">
      <c r="A1498" t="s">
        <v>1914</v>
      </c>
      <c r="B1498" t="s">
        <v>1906</v>
      </c>
      <c r="C1498" t="s">
        <v>1772</v>
      </c>
      <c r="D1498" t="s">
        <v>16</v>
      </c>
      <c r="E1498" t="s">
        <v>49</v>
      </c>
      <c r="F1498">
        <v>1</v>
      </c>
      <c r="G1498">
        <v>29.5</v>
      </c>
      <c r="H1498">
        <v>16.11</v>
      </c>
      <c r="I1498" t="s">
        <v>50</v>
      </c>
      <c r="J1498">
        <v>6</v>
      </c>
      <c r="K1498" t="s">
        <v>51</v>
      </c>
      <c r="L1498">
        <v>4</v>
      </c>
      <c r="M1498" t="str">
        <f>VLOOKUP(D1498,State_Lookup!$A$2:$B$28,2,FALSE)</f>
        <v>Sao Paulo</v>
      </c>
    </row>
    <row r="1499" spans="1:13" x14ac:dyDescent="0.45">
      <c r="A1499" t="s">
        <v>1915</v>
      </c>
      <c r="B1499" t="s">
        <v>1906</v>
      </c>
      <c r="C1499" t="s">
        <v>1772</v>
      </c>
      <c r="D1499" t="s">
        <v>17</v>
      </c>
      <c r="E1499" t="s">
        <v>244</v>
      </c>
      <c r="F1499">
        <v>1</v>
      </c>
      <c r="G1499">
        <v>149</v>
      </c>
      <c r="H1499">
        <v>16.48</v>
      </c>
      <c r="I1499" t="s">
        <v>44</v>
      </c>
      <c r="J1499">
        <v>15</v>
      </c>
      <c r="K1499" t="s">
        <v>51</v>
      </c>
      <c r="L1499">
        <v>5</v>
      </c>
      <c r="M1499" t="str">
        <f>VLOOKUP(D1499,State_Lookup!$A$2:$B$28,2,FALSE)</f>
        <v>Rio de Janeiro</v>
      </c>
    </row>
    <row r="1500" spans="1:13" x14ac:dyDescent="0.45">
      <c r="A1500" t="s">
        <v>1916</v>
      </c>
      <c r="B1500" t="s">
        <v>1906</v>
      </c>
      <c r="C1500" t="s">
        <v>1772</v>
      </c>
      <c r="D1500" t="s">
        <v>63</v>
      </c>
      <c r="E1500" t="s">
        <v>58</v>
      </c>
      <c r="F1500">
        <v>1</v>
      </c>
      <c r="G1500">
        <v>219</v>
      </c>
      <c r="H1500">
        <v>45.38</v>
      </c>
      <c r="I1500" t="s">
        <v>44</v>
      </c>
      <c r="J1500">
        <v>19</v>
      </c>
      <c r="K1500" t="s">
        <v>51</v>
      </c>
      <c r="L1500">
        <v>5</v>
      </c>
      <c r="M1500" t="str">
        <f>VLOOKUP(D1500,State_Lookup!$A$2:$B$28,2,FALSE)</f>
        <v>Pernambuco</v>
      </c>
    </row>
    <row r="1501" spans="1:13" x14ac:dyDescent="0.45">
      <c r="A1501" t="s">
        <v>1917</v>
      </c>
      <c r="B1501" t="s">
        <v>1906</v>
      </c>
      <c r="C1501" t="s">
        <v>1772</v>
      </c>
      <c r="D1501" t="s">
        <v>17</v>
      </c>
      <c r="E1501" t="s">
        <v>53</v>
      </c>
      <c r="F1501">
        <v>5</v>
      </c>
      <c r="G1501">
        <v>599.94999999999993</v>
      </c>
      <c r="H1501">
        <v>41.25</v>
      </c>
      <c r="I1501" t="s">
        <v>44</v>
      </c>
      <c r="J1501">
        <v>1</v>
      </c>
      <c r="K1501" t="s">
        <v>51</v>
      </c>
      <c r="L1501">
        <v>5</v>
      </c>
      <c r="M1501" t="str">
        <f>VLOOKUP(D1501,State_Lookup!$A$2:$B$28,2,FALSE)</f>
        <v>Rio de Janeiro</v>
      </c>
    </row>
    <row r="1502" spans="1:13" x14ac:dyDescent="0.45">
      <c r="A1502" t="s">
        <v>1918</v>
      </c>
      <c r="B1502" t="s">
        <v>1906</v>
      </c>
      <c r="C1502" t="s">
        <v>1772</v>
      </c>
      <c r="D1502" t="s">
        <v>23</v>
      </c>
      <c r="E1502" t="s">
        <v>110</v>
      </c>
      <c r="F1502">
        <v>1</v>
      </c>
      <c r="G1502">
        <v>45.9</v>
      </c>
      <c r="H1502">
        <v>16.11</v>
      </c>
      <c r="I1502" t="s">
        <v>50</v>
      </c>
      <c r="J1502">
        <v>16</v>
      </c>
      <c r="K1502" t="s">
        <v>51</v>
      </c>
      <c r="L1502">
        <v>4</v>
      </c>
      <c r="M1502" t="str">
        <f>VLOOKUP(D1502,State_Lookup!$A$2:$B$28,2,FALSE)</f>
        <v>Espirito Santo</v>
      </c>
    </row>
    <row r="1503" spans="1:13" x14ac:dyDescent="0.45">
      <c r="A1503" t="s">
        <v>1919</v>
      </c>
      <c r="B1503" t="s">
        <v>1906</v>
      </c>
      <c r="C1503" t="s">
        <v>1772</v>
      </c>
      <c r="D1503" t="s">
        <v>19</v>
      </c>
      <c r="E1503" t="s">
        <v>110</v>
      </c>
      <c r="F1503">
        <v>1</v>
      </c>
      <c r="G1503">
        <v>219.99</v>
      </c>
      <c r="H1503">
        <v>22.38</v>
      </c>
      <c r="I1503" t="s">
        <v>44</v>
      </c>
      <c r="J1503">
        <v>13</v>
      </c>
      <c r="K1503" t="s">
        <v>51</v>
      </c>
      <c r="L1503">
        <v>5</v>
      </c>
      <c r="M1503" t="str">
        <f>VLOOKUP(D1503,State_Lookup!$A$2:$B$28,2,FALSE)</f>
        <v>Rio Grande do Sul</v>
      </c>
    </row>
    <row r="1504" spans="1:13" x14ac:dyDescent="0.45">
      <c r="A1504" t="s">
        <v>1920</v>
      </c>
      <c r="B1504" t="s">
        <v>1921</v>
      </c>
      <c r="C1504" t="s">
        <v>1772</v>
      </c>
      <c r="D1504" t="s">
        <v>23</v>
      </c>
      <c r="E1504" t="s">
        <v>148</v>
      </c>
      <c r="F1504">
        <v>1</v>
      </c>
      <c r="G1504">
        <v>199</v>
      </c>
      <c r="H1504">
        <v>21.79</v>
      </c>
      <c r="I1504" t="s">
        <v>50</v>
      </c>
      <c r="J1504">
        <v>18</v>
      </c>
      <c r="K1504" t="s">
        <v>51</v>
      </c>
      <c r="L1504">
        <v>5</v>
      </c>
      <c r="M1504" t="str">
        <f>VLOOKUP(D1504,State_Lookup!$A$2:$B$28,2,FALSE)</f>
        <v>Espirito Santo</v>
      </c>
    </row>
    <row r="1505" spans="1:13" x14ac:dyDescent="0.45">
      <c r="A1505" t="s">
        <v>1922</v>
      </c>
      <c r="B1505" t="s">
        <v>1921</v>
      </c>
      <c r="C1505" t="s">
        <v>1772</v>
      </c>
      <c r="D1505" t="s">
        <v>18</v>
      </c>
      <c r="E1505" t="s">
        <v>142</v>
      </c>
      <c r="F1505">
        <v>1</v>
      </c>
      <c r="G1505">
        <v>85</v>
      </c>
      <c r="H1505">
        <v>21.08</v>
      </c>
      <c r="I1505" t="s">
        <v>44</v>
      </c>
      <c r="J1505">
        <v>5</v>
      </c>
      <c r="K1505" t="s">
        <v>51</v>
      </c>
      <c r="L1505">
        <v>5</v>
      </c>
      <c r="M1505" t="str">
        <f>VLOOKUP(D1505,State_Lookup!$A$2:$B$28,2,FALSE)</f>
        <v>Minas Gerais</v>
      </c>
    </row>
    <row r="1506" spans="1:13" x14ac:dyDescent="0.45">
      <c r="A1506" t="s">
        <v>1923</v>
      </c>
      <c r="B1506" t="s">
        <v>1921</v>
      </c>
      <c r="C1506" t="s">
        <v>1772</v>
      </c>
      <c r="D1506" t="s">
        <v>16</v>
      </c>
      <c r="E1506" t="s">
        <v>64</v>
      </c>
      <c r="F1506">
        <v>1</v>
      </c>
      <c r="G1506">
        <v>13.99</v>
      </c>
      <c r="H1506">
        <v>11.85</v>
      </c>
      <c r="I1506" t="s">
        <v>44</v>
      </c>
      <c r="J1506">
        <v>5</v>
      </c>
      <c r="K1506" t="s">
        <v>51</v>
      </c>
      <c r="L1506">
        <v>4</v>
      </c>
      <c r="M1506" t="str">
        <f>VLOOKUP(D1506,State_Lookup!$A$2:$B$28,2,FALSE)</f>
        <v>Sao Paulo</v>
      </c>
    </row>
    <row r="1507" spans="1:13" x14ac:dyDescent="0.45">
      <c r="A1507" t="s">
        <v>1924</v>
      </c>
      <c r="B1507" t="s">
        <v>1921</v>
      </c>
      <c r="C1507" t="s">
        <v>1772</v>
      </c>
      <c r="D1507" t="s">
        <v>17</v>
      </c>
      <c r="E1507" t="s">
        <v>142</v>
      </c>
      <c r="F1507">
        <v>1</v>
      </c>
      <c r="G1507">
        <v>32.9</v>
      </c>
      <c r="H1507">
        <v>17.63</v>
      </c>
      <c r="I1507" t="s">
        <v>44</v>
      </c>
      <c r="J1507">
        <v>13</v>
      </c>
      <c r="K1507" t="s">
        <v>51</v>
      </c>
      <c r="L1507">
        <v>1</v>
      </c>
      <c r="M1507" t="str">
        <f>VLOOKUP(D1507,State_Lookup!$A$2:$B$28,2,FALSE)</f>
        <v>Rio de Janeiro</v>
      </c>
    </row>
    <row r="1508" spans="1:13" x14ac:dyDescent="0.45">
      <c r="A1508" t="s">
        <v>1925</v>
      </c>
      <c r="B1508" t="s">
        <v>1921</v>
      </c>
      <c r="C1508" t="s">
        <v>1772</v>
      </c>
      <c r="D1508" t="s">
        <v>18</v>
      </c>
      <c r="E1508" t="s">
        <v>61</v>
      </c>
      <c r="F1508">
        <v>1</v>
      </c>
      <c r="G1508">
        <v>31.9</v>
      </c>
      <c r="H1508">
        <v>9.09</v>
      </c>
      <c r="I1508" t="s">
        <v>50</v>
      </c>
      <c r="J1508">
        <v>15</v>
      </c>
      <c r="K1508" t="s">
        <v>51</v>
      </c>
      <c r="L1508">
        <v>5</v>
      </c>
      <c r="M1508" t="str">
        <f>VLOOKUP(D1508,State_Lookup!$A$2:$B$28,2,FALSE)</f>
        <v>Minas Gerais</v>
      </c>
    </row>
    <row r="1509" spans="1:13" x14ac:dyDescent="0.45">
      <c r="A1509" t="s">
        <v>1926</v>
      </c>
      <c r="B1509" t="s">
        <v>1921</v>
      </c>
      <c r="C1509" t="s">
        <v>1772</v>
      </c>
      <c r="D1509" t="s">
        <v>632</v>
      </c>
      <c r="E1509" t="s">
        <v>244</v>
      </c>
      <c r="F1509">
        <v>1</v>
      </c>
      <c r="G1509">
        <v>95</v>
      </c>
      <c r="H1509">
        <v>38.22</v>
      </c>
      <c r="I1509" t="s">
        <v>50</v>
      </c>
      <c r="J1509">
        <v>21</v>
      </c>
      <c r="K1509" t="s">
        <v>51</v>
      </c>
      <c r="L1509">
        <v>5</v>
      </c>
      <c r="M1509" t="str">
        <f>VLOOKUP(D1509,State_Lookup!$A$2:$B$28,2,FALSE)</f>
        <v>Alagoas</v>
      </c>
    </row>
    <row r="1510" spans="1:13" x14ac:dyDescent="0.45">
      <c r="A1510" t="s">
        <v>1927</v>
      </c>
      <c r="B1510" t="s">
        <v>1921</v>
      </c>
      <c r="C1510" t="s">
        <v>1772</v>
      </c>
      <c r="D1510" t="s">
        <v>18</v>
      </c>
      <c r="E1510" t="s">
        <v>142</v>
      </c>
      <c r="F1510">
        <v>1</v>
      </c>
      <c r="G1510">
        <v>129</v>
      </c>
      <c r="H1510">
        <v>17.38</v>
      </c>
      <c r="I1510" t="s">
        <v>44</v>
      </c>
      <c r="J1510">
        <v>7</v>
      </c>
      <c r="K1510" t="s">
        <v>51</v>
      </c>
      <c r="L1510">
        <v>5</v>
      </c>
      <c r="M1510" t="str">
        <f>VLOOKUP(D1510,State_Lookup!$A$2:$B$28,2,FALSE)</f>
        <v>Minas Gerais</v>
      </c>
    </row>
    <row r="1511" spans="1:13" x14ac:dyDescent="0.45">
      <c r="A1511" t="s">
        <v>1928</v>
      </c>
      <c r="B1511" t="s">
        <v>1921</v>
      </c>
      <c r="C1511" t="s">
        <v>1772</v>
      </c>
      <c r="D1511" t="s">
        <v>16</v>
      </c>
      <c r="E1511" t="s">
        <v>49</v>
      </c>
      <c r="F1511">
        <v>2</v>
      </c>
      <c r="G1511">
        <v>105.89</v>
      </c>
      <c r="H1511">
        <v>18</v>
      </c>
      <c r="I1511" t="s">
        <v>44</v>
      </c>
      <c r="J1511">
        <v>4</v>
      </c>
      <c r="K1511" t="s">
        <v>51</v>
      </c>
      <c r="L1511">
        <v>1</v>
      </c>
      <c r="M1511" t="str">
        <f>VLOOKUP(D1511,State_Lookup!$A$2:$B$28,2,FALSE)</f>
        <v>Sao Paulo</v>
      </c>
    </row>
    <row r="1512" spans="1:13" x14ac:dyDescent="0.45">
      <c r="A1512" t="s">
        <v>1929</v>
      </c>
      <c r="B1512" t="s">
        <v>1921</v>
      </c>
      <c r="C1512" t="s">
        <v>1772</v>
      </c>
      <c r="D1512" t="s">
        <v>63</v>
      </c>
      <c r="E1512" t="s">
        <v>110</v>
      </c>
      <c r="F1512">
        <v>1</v>
      </c>
      <c r="G1512">
        <v>113.57</v>
      </c>
      <c r="H1512">
        <v>29.19</v>
      </c>
      <c r="I1512" t="s">
        <v>50</v>
      </c>
      <c r="J1512">
        <v>13</v>
      </c>
      <c r="K1512" t="s">
        <v>51</v>
      </c>
      <c r="L1512">
        <v>1</v>
      </c>
      <c r="M1512" t="str">
        <f>VLOOKUP(D1512,State_Lookup!$A$2:$B$28,2,FALSE)</f>
        <v>Pernambuco</v>
      </c>
    </row>
    <row r="1513" spans="1:13" x14ac:dyDescent="0.45">
      <c r="A1513" t="s">
        <v>1930</v>
      </c>
      <c r="B1513" t="s">
        <v>1931</v>
      </c>
      <c r="C1513" t="s">
        <v>1772</v>
      </c>
      <c r="D1513" t="s">
        <v>122</v>
      </c>
      <c r="E1513" t="s">
        <v>43</v>
      </c>
      <c r="F1513">
        <v>1</v>
      </c>
      <c r="G1513">
        <v>49.9</v>
      </c>
      <c r="H1513">
        <v>17.63</v>
      </c>
      <c r="I1513" t="s">
        <v>50</v>
      </c>
      <c r="J1513">
        <v>27</v>
      </c>
      <c r="K1513" t="s">
        <v>51</v>
      </c>
      <c r="L1513">
        <v>3</v>
      </c>
      <c r="M1513" t="str">
        <f>VLOOKUP(D1513,State_Lookup!$A$2:$B$28,2,FALSE)</f>
        <v>Para</v>
      </c>
    </row>
    <row r="1514" spans="1:13" x14ac:dyDescent="0.45">
      <c r="A1514" t="s">
        <v>1932</v>
      </c>
      <c r="B1514" t="s">
        <v>1931</v>
      </c>
      <c r="C1514" t="s">
        <v>1772</v>
      </c>
      <c r="D1514" t="s">
        <v>20</v>
      </c>
      <c r="E1514" t="s">
        <v>220</v>
      </c>
      <c r="F1514">
        <v>1</v>
      </c>
      <c r="G1514">
        <v>196.99</v>
      </c>
      <c r="H1514">
        <v>56.66</v>
      </c>
      <c r="I1514" t="s">
        <v>44</v>
      </c>
      <c r="J1514">
        <v>16</v>
      </c>
      <c r="K1514" t="s">
        <v>51</v>
      </c>
      <c r="L1514">
        <v>5</v>
      </c>
      <c r="M1514" t="str">
        <f>VLOOKUP(D1514,State_Lookup!$A$2:$B$28,2,FALSE)</f>
        <v>Parana</v>
      </c>
    </row>
    <row r="1515" spans="1:13" x14ac:dyDescent="0.45">
      <c r="A1515" t="s">
        <v>1933</v>
      </c>
      <c r="B1515" t="s">
        <v>1931</v>
      </c>
      <c r="C1515" t="s">
        <v>1772</v>
      </c>
      <c r="D1515" t="s">
        <v>16</v>
      </c>
      <c r="E1515" t="s">
        <v>69</v>
      </c>
      <c r="F1515">
        <v>1</v>
      </c>
      <c r="G1515">
        <v>89</v>
      </c>
      <c r="H1515">
        <v>45.08</v>
      </c>
      <c r="I1515" t="s">
        <v>44</v>
      </c>
      <c r="J1515">
        <v>6</v>
      </c>
      <c r="K1515" t="s">
        <v>51</v>
      </c>
      <c r="L1515">
        <v>5</v>
      </c>
      <c r="M1515" t="str">
        <f>VLOOKUP(D1515,State_Lookup!$A$2:$B$28,2,FALSE)</f>
        <v>Sao Paulo</v>
      </c>
    </row>
    <row r="1516" spans="1:13" x14ac:dyDescent="0.45">
      <c r="A1516" t="s">
        <v>1934</v>
      </c>
      <c r="B1516" t="s">
        <v>1931</v>
      </c>
      <c r="C1516" t="s">
        <v>1772</v>
      </c>
      <c r="D1516" t="s">
        <v>194</v>
      </c>
      <c r="E1516" t="s">
        <v>1935</v>
      </c>
      <c r="F1516">
        <v>1</v>
      </c>
      <c r="G1516">
        <v>70</v>
      </c>
      <c r="H1516">
        <v>14.24</v>
      </c>
      <c r="I1516" t="s">
        <v>44</v>
      </c>
      <c r="J1516">
        <v>7</v>
      </c>
      <c r="K1516" t="s">
        <v>51</v>
      </c>
      <c r="L1516">
        <v>4</v>
      </c>
      <c r="M1516" t="str">
        <f>VLOOKUP(D1516,State_Lookup!$A$2:$B$28,2,FALSE)</f>
        <v>Mato Grosso do Sul</v>
      </c>
    </row>
    <row r="1517" spans="1:13" x14ac:dyDescent="0.45">
      <c r="A1517" t="s">
        <v>1936</v>
      </c>
      <c r="B1517" t="s">
        <v>1931</v>
      </c>
      <c r="C1517" t="s">
        <v>1772</v>
      </c>
      <c r="D1517" t="s">
        <v>17</v>
      </c>
      <c r="E1517" t="s">
        <v>148</v>
      </c>
      <c r="F1517">
        <v>1</v>
      </c>
      <c r="G1517">
        <v>139.9</v>
      </c>
      <c r="H1517">
        <v>22.85</v>
      </c>
      <c r="I1517" t="s">
        <v>44</v>
      </c>
      <c r="J1517">
        <v>10</v>
      </c>
      <c r="K1517" t="s">
        <v>51</v>
      </c>
      <c r="L1517">
        <v>4</v>
      </c>
      <c r="M1517" t="str">
        <f>VLOOKUP(D1517,State_Lookup!$A$2:$B$28,2,FALSE)</f>
        <v>Rio de Janeiro</v>
      </c>
    </row>
    <row r="1518" spans="1:13" x14ac:dyDescent="0.45">
      <c r="A1518" t="s">
        <v>1937</v>
      </c>
      <c r="B1518" t="s">
        <v>1938</v>
      </c>
      <c r="C1518" t="s">
        <v>1772</v>
      </c>
      <c r="D1518" t="s">
        <v>18</v>
      </c>
      <c r="E1518" t="s">
        <v>79</v>
      </c>
      <c r="F1518">
        <v>1</v>
      </c>
      <c r="G1518">
        <v>23.99</v>
      </c>
      <c r="H1518">
        <v>14.1</v>
      </c>
      <c r="I1518" t="s">
        <v>50</v>
      </c>
      <c r="K1518" t="s">
        <v>45</v>
      </c>
      <c r="L1518">
        <v>4</v>
      </c>
      <c r="M1518" t="str">
        <f>VLOOKUP(D1518,State_Lookup!$A$2:$B$28,2,FALSE)</f>
        <v>Minas Gerais</v>
      </c>
    </row>
    <row r="1519" spans="1:13" x14ac:dyDescent="0.45">
      <c r="A1519" t="s">
        <v>1939</v>
      </c>
      <c r="B1519" t="s">
        <v>1938</v>
      </c>
      <c r="C1519" t="s">
        <v>1772</v>
      </c>
      <c r="D1519" t="s">
        <v>17</v>
      </c>
      <c r="E1519" t="s">
        <v>53</v>
      </c>
      <c r="F1519">
        <v>1</v>
      </c>
      <c r="G1519">
        <v>82.9</v>
      </c>
      <c r="H1519">
        <v>15.33</v>
      </c>
      <c r="I1519" t="s">
        <v>44</v>
      </c>
      <c r="J1519">
        <v>5</v>
      </c>
      <c r="K1519" t="s">
        <v>51</v>
      </c>
      <c r="L1519">
        <v>5</v>
      </c>
      <c r="M1519" t="str">
        <f>VLOOKUP(D1519,State_Lookup!$A$2:$B$28,2,FALSE)</f>
        <v>Rio de Janeiro</v>
      </c>
    </row>
    <row r="1520" spans="1:13" x14ac:dyDescent="0.45">
      <c r="A1520" t="s">
        <v>1940</v>
      </c>
      <c r="B1520" t="s">
        <v>1938</v>
      </c>
      <c r="C1520" t="s">
        <v>1772</v>
      </c>
      <c r="D1520" t="s">
        <v>16</v>
      </c>
      <c r="E1520" t="s">
        <v>157</v>
      </c>
      <c r="F1520">
        <v>1</v>
      </c>
      <c r="G1520">
        <v>146</v>
      </c>
      <c r="H1520">
        <v>12.52</v>
      </c>
      <c r="I1520" t="s">
        <v>44</v>
      </c>
      <c r="J1520">
        <v>6</v>
      </c>
      <c r="K1520" t="s">
        <v>51</v>
      </c>
      <c r="L1520">
        <v>5</v>
      </c>
      <c r="M1520" t="str">
        <f>VLOOKUP(D1520,State_Lookup!$A$2:$B$28,2,FALSE)</f>
        <v>Sao Paulo</v>
      </c>
    </row>
    <row r="1521" spans="1:13" x14ac:dyDescent="0.45">
      <c r="A1521" t="s">
        <v>1941</v>
      </c>
      <c r="B1521" t="s">
        <v>1938</v>
      </c>
      <c r="C1521" t="s">
        <v>1772</v>
      </c>
      <c r="D1521" t="s">
        <v>18</v>
      </c>
      <c r="E1521" t="s">
        <v>69</v>
      </c>
      <c r="F1521">
        <v>1</v>
      </c>
      <c r="G1521">
        <v>179.9</v>
      </c>
      <c r="H1521">
        <v>17.02</v>
      </c>
      <c r="I1521" t="s">
        <v>44</v>
      </c>
      <c r="J1521">
        <v>6</v>
      </c>
      <c r="K1521" t="s">
        <v>51</v>
      </c>
      <c r="L1521">
        <v>5</v>
      </c>
      <c r="M1521" t="str">
        <f>VLOOKUP(D1521,State_Lookup!$A$2:$B$28,2,FALSE)</f>
        <v>Minas Gerais</v>
      </c>
    </row>
    <row r="1522" spans="1:13" x14ac:dyDescent="0.45">
      <c r="A1522" t="s">
        <v>1942</v>
      </c>
      <c r="B1522" t="s">
        <v>1938</v>
      </c>
      <c r="C1522" t="s">
        <v>1772</v>
      </c>
      <c r="D1522" t="s">
        <v>18</v>
      </c>
      <c r="E1522" t="s">
        <v>61</v>
      </c>
      <c r="F1522">
        <v>1</v>
      </c>
      <c r="G1522">
        <v>31.9</v>
      </c>
      <c r="H1522">
        <v>9.09</v>
      </c>
      <c r="I1522" t="s">
        <v>44</v>
      </c>
      <c r="J1522">
        <v>5</v>
      </c>
      <c r="K1522" t="s">
        <v>51</v>
      </c>
      <c r="L1522">
        <v>5</v>
      </c>
      <c r="M1522" t="str">
        <f>VLOOKUP(D1522,State_Lookup!$A$2:$B$28,2,FALSE)</f>
        <v>Minas Gerais</v>
      </c>
    </row>
    <row r="1523" spans="1:13" x14ac:dyDescent="0.45">
      <c r="A1523" t="s">
        <v>1943</v>
      </c>
      <c r="B1523" t="s">
        <v>1938</v>
      </c>
      <c r="C1523" t="s">
        <v>1772</v>
      </c>
      <c r="D1523" t="s">
        <v>18</v>
      </c>
      <c r="E1523" t="s">
        <v>79</v>
      </c>
      <c r="F1523">
        <v>1</v>
      </c>
      <c r="G1523">
        <v>149.9</v>
      </c>
      <c r="H1523">
        <v>18.3</v>
      </c>
      <c r="I1523" t="s">
        <v>44</v>
      </c>
      <c r="J1523">
        <v>12</v>
      </c>
      <c r="K1523" t="s">
        <v>51</v>
      </c>
      <c r="L1523">
        <v>4</v>
      </c>
      <c r="M1523" t="str">
        <f>VLOOKUP(D1523,State_Lookup!$A$2:$B$28,2,FALSE)</f>
        <v>Minas Gerais</v>
      </c>
    </row>
    <row r="1524" spans="1:13" x14ac:dyDescent="0.45">
      <c r="A1524" t="s">
        <v>1944</v>
      </c>
      <c r="B1524" t="s">
        <v>1945</v>
      </c>
      <c r="C1524" t="s">
        <v>1772</v>
      </c>
      <c r="D1524" t="s">
        <v>17</v>
      </c>
      <c r="E1524" t="s">
        <v>69</v>
      </c>
      <c r="F1524">
        <v>4</v>
      </c>
      <c r="G1524">
        <v>239.6</v>
      </c>
      <c r="H1524">
        <v>70.680000000000007</v>
      </c>
      <c r="I1524" t="s">
        <v>44</v>
      </c>
      <c r="J1524">
        <v>10</v>
      </c>
      <c r="K1524" t="s">
        <v>51</v>
      </c>
      <c r="L1524">
        <v>5</v>
      </c>
      <c r="M1524" t="str">
        <f>VLOOKUP(D1524,State_Lookup!$A$2:$B$28,2,FALSE)</f>
        <v>Rio de Janeiro</v>
      </c>
    </row>
    <row r="1525" spans="1:13" x14ac:dyDescent="0.45">
      <c r="A1525" t="s">
        <v>1946</v>
      </c>
      <c r="B1525" t="s">
        <v>1945</v>
      </c>
      <c r="C1525" t="s">
        <v>1772</v>
      </c>
      <c r="D1525" t="s">
        <v>16</v>
      </c>
      <c r="E1525" t="s">
        <v>142</v>
      </c>
      <c r="F1525">
        <v>2</v>
      </c>
      <c r="G1525">
        <v>29.8</v>
      </c>
      <c r="H1525">
        <v>15.56</v>
      </c>
      <c r="I1525" t="s">
        <v>44</v>
      </c>
      <c r="J1525">
        <v>2</v>
      </c>
      <c r="K1525" t="s">
        <v>51</v>
      </c>
      <c r="L1525">
        <v>5</v>
      </c>
      <c r="M1525" t="str">
        <f>VLOOKUP(D1525,State_Lookup!$A$2:$B$28,2,FALSE)</f>
        <v>Sao Paulo</v>
      </c>
    </row>
    <row r="1526" spans="1:13" x14ac:dyDescent="0.45">
      <c r="A1526" t="s">
        <v>1947</v>
      </c>
      <c r="B1526" t="s">
        <v>1945</v>
      </c>
      <c r="C1526" t="s">
        <v>1772</v>
      </c>
      <c r="D1526" t="s">
        <v>19</v>
      </c>
      <c r="E1526" t="s">
        <v>668</v>
      </c>
      <c r="F1526">
        <v>1</v>
      </c>
      <c r="G1526">
        <v>89</v>
      </c>
      <c r="H1526">
        <v>14.37</v>
      </c>
      <c r="I1526" t="s">
        <v>44</v>
      </c>
      <c r="J1526">
        <v>15</v>
      </c>
      <c r="K1526" t="s">
        <v>51</v>
      </c>
      <c r="L1526">
        <v>5</v>
      </c>
      <c r="M1526" t="str">
        <f>VLOOKUP(D1526,State_Lookup!$A$2:$B$28,2,FALSE)</f>
        <v>Rio Grande do Sul</v>
      </c>
    </row>
    <row r="1527" spans="1:13" x14ac:dyDescent="0.45">
      <c r="A1527" t="s">
        <v>1948</v>
      </c>
      <c r="B1527" t="s">
        <v>1945</v>
      </c>
      <c r="C1527" t="s">
        <v>1772</v>
      </c>
      <c r="D1527" t="s">
        <v>18</v>
      </c>
      <c r="E1527" t="s">
        <v>66</v>
      </c>
      <c r="F1527">
        <v>1</v>
      </c>
      <c r="G1527">
        <v>27.99</v>
      </c>
      <c r="H1527">
        <v>15.1</v>
      </c>
      <c r="I1527" t="s">
        <v>44</v>
      </c>
      <c r="J1527">
        <v>5</v>
      </c>
      <c r="K1527" t="s">
        <v>51</v>
      </c>
      <c r="L1527">
        <v>5</v>
      </c>
      <c r="M1527" t="str">
        <f>VLOOKUP(D1527,State_Lookup!$A$2:$B$28,2,FALSE)</f>
        <v>Minas Gerais</v>
      </c>
    </row>
    <row r="1528" spans="1:13" x14ac:dyDescent="0.45">
      <c r="A1528" t="s">
        <v>1949</v>
      </c>
      <c r="B1528" t="s">
        <v>1945</v>
      </c>
      <c r="C1528" t="s">
        <v>1772</v>
      </c>
      <c r="D1528" t="s">
        <v>22</v>
      </c>
      <c r="E1528" t="s">
        <v>244</v>
      </c>
      <c r="F1528">
        <v>1</v>
      </c>
      <c r="G1528">
        <v>97.47</v>
      </c>
      <c r="H1528">
        <v>47.21</v>
      </c>
      <c r="I1528" t="s">
        <v>44</v>
      </c>
      <c r="J1528">
        <v>26</v>
      </c>
      <c r="K1528" t="s">
        <v>51</v>
      </c>
      <c r="L1528">
        <v>5</v>
      </c>
      <c r="M1528" t="str">
        <f>VLOOKUP(D1528,State_Lookup!$A$2:$B$28,2,FALSE)</f>
        <v>Bahia</v>
      </c>
    </row>
    <row r="1529" spans="1:13" x14ac:dyDescent="0.45">
      <c r="A1529" t="s">
        <v>1950</v>
      </c>
      <c r="B1529" t="s">
        <v>1945</v>
      </c>
      <c r="C1529" t="s">
        <v>1772</v>
      </c>
      <c r="D1529" t="s">
        <v>17</v>
      </c>
      <c r="E1529" t="s">
        <v>103</v>
      </c>
      <c r="F1529">
        <v>1</v>
      </c>
      <c r="G1529">
        <v>79.900000000000006</v>
      </c>
      <c r="H1529">
        <v>16.32</v>
      </c>
      <c r="I1529" t="s">
        <v>44</v>
      </c>
      <c r="J1529">
        <v>16</v>
      </c>
      <c r="K1529" t="s">
        <v>51</v>
      </c>
      <c r="L1529">
        <v>4</v>
      </c>
      <c r="M1529" t="str">
        <f>VLOOKUP(D1529,State_Lookup!$A$2:$B$28,2,FALSE)</f>
        <v>Rio de Janeiro</v>
      </c>
    </row>
    <row r="1530" spans="1:13" x14ac:dyDescent="0.45">
      <c r="A1530" t="s">
        <v>1951</v>
      </c>
      <c r="B1530" t="s">
        <v>1945</v>
      </c>
      <c r="C1530" t="s">
        <v>1772</v>
      </c>
      <c r="D1530" t="s">
        <v>16</v>
      </c>
      <c r="E1530" t="s">
        <v>148</v>
      </c>
      <c r="F1530">
        <v>1</v>
      </c>
      <c r="G1530">
        <v>146.99</v>
      </c>
      <c r="H1530">
        <v>13.58</v>
      </c>
      <c r="I1530" t="s">
        <v>50</v>
      </c>
      <c r="J1530">
        <v>4</v>
      </c>
      <c r="K1530" t="s">
        <v>51</v>
      </c>
      <c r="L1530">
        <v>5</v>
      </c>
      <c r="M1530" t="str">
        <f>VLOOKUP(D1530,State_Lookup!$A$2:$B$28,2,FALSE)</f>
        <v>Sao Paulo</v>
      </c>
    </row>
    <row r="1531" spans="1:13" x14ac:dyDescent="0.45">
      <c r="A1531" t="s">
        <v>1952</v>
      </c>
      <c r="B1531" t="s">
        <v>1945</v>
      </c>
      <c r="C1531" t="s">
        <v>1772</v>
      </c>
      <c r="D1531" t="s">
        <v>17</v>
      </c>
      <c r="E1531" t="s">
        <v>142</v>
      </c>
      <c r="F1531">
        <v>6</v>
      </c>
      <c r="G1531">
        <v>57.6</v>
      </c>
      <c r="H1531">
        <v>96.66</v>
      </c>
      <c r="I1531" t="s">
        <v>44</v>
      </c>
      <c r="J1531">
        <v>10</v>
      </c>
      <c r="K1531" t="s">
        <v>51</v>
      </c>
      <c r="L1531">
        <v>1</v>
      </c>
      <c r="M1531" t="str">
        <f>VLOOKUP(D1531,State_Lookup!$A$2:$B$28,2,FALSE)</f>
        <v>Rio de Janeiro</v>
      </c>
    </row>
    <row r="1532" spans="1:13" x14ac:dyDescent="0.45">
      <c r="A1532" t="s">
        <v>1953</v>
      </c>
      <c r="B1532" t="s">
        <v>1954</v>
      </c>
      <c r="C1532" t="s">
        <v>1772</v>
      </c>
      <c r="D1532" t="s">
        <v>17</v>
      </c>
      <c r="E1532" t="s">
        <v>79</v>
      </c>
      <c r="F1532">
        <v>1</v>
      </c>
      <c r="G1532">
        <v>79.900000000000006</v>
      </c>
      <c r="H1532">
        <v>18.8</v>
      </c>
      <c r="I1532" t="s">
        <v>50</v>
      </c>
      <c r="J1532">
        <v>8</v>
      </c>
      <c r="K1532" t="s">
        <v>51</v>
      </c>
      <c r="L1532">
        <v>2</v>
      </c>
      <c r="M1532" t="str">
        <f>VLOOKUP(D1532,State_Lookup!$A$2:$B$28,2,FALSE)</f>
        <v>Rio de Janeiro</v>
      </c>
    </row>
    <row r="1533" spans="1:13" x14ac:dyDescent="0.45">
      <c r="A1533" t="s">
        <v>1955</v>
      </c>
      <c r="B1533" t="s">
        <v>1954</v>
      </c>
      <c r="C1533" t="s">
        <v>1772</v>
      </c>
      <c r="D1533" t="s">
        <v>18</v>
      </c>
      <c r="E1533" t="s">
        <v>66</v>
      </c>
      <c r="F1533">
        <v>1</v>
      </c>
      <c r="G1533">
        <v>28.99</v>
      </c>
      <c r="H1533">
        <v>15.1</v>
      </c>
      <c r="I1533" t="s">
        <v>44</v>
      </c>
      <c r="J1533">
        <v>11</v>
      </c>
      <c r="K1533" t="s">
        <v>51</v>
      </c>
      <c r="L1533">
        <v>1</v>
      </c>
      <c r="M1533" t="str">
        <f>VLOOKUP(D1533,State_Lookup!$A$2:$B$28,2,FALSE)</f>
        <v>Minas Gerais</v>
      </c>
    </row>
    <row r="1534" spans="1:13" x14ac:dyDescent="0.45">
      <c r="A1534" t="s">
        <v>1956</v>
      </c>
      <c r="B1534" t="s">
        <v>1954</v>
      </c>
      <c r="C1534" t="s">
        <v>1772</v>
      </c>
      <c r="D1534" t="s">
        <v>17</v>
      </c>
      <c r="E1534" t="s">
        <v>148</v>
      </c>
      <c r="F1534">
        <v>1</v>
      </c>
      <c r="G1534">
        <v>99.99</v>
      </c>
      <c r="H1534">
        <v>15.46</v>
      </c>
      <c r="I1534" t="s">
        <v>44</v>
      </c>
      <c r="J1534">
        <v>3</v>
      </c>
      <c r="K1534" t="s">
        <v>51</v>
      </c>
      <c r="L1534">
        <v>5</v>
      </c>
      <c r="M1534" t="str">
        <f>VLOOKUP(D1534,State_Lookup!$A$2:$B$28,2,FALSE)</f>
        <v>Rio de Janeiro</v>
      </c>
    </row>
    <row r="1535" spans="1:13" x14ac:dyDescent="0.45">
      <c r="A1535" t="s">
        <v>1957</v>
      </c>
      <c r="B1535" t="s">
        <v>1954</v>
      </c>
      <c r="C1535" t="s">
        <v>1772</v>
      </c>
      <c r="D1535" t="s">
        <v>16</v>
      </c>
      <c r="E1535" t="s">
        <v>53</v>
      </c>
      <c r="F1535">
        <v>1</v>
      </c>
      <c r="G1535">
        <v>15</v>
      </c>
      <c r="H1535">
        <v>11.85</v>
      </c>
      <c r="I1535" t="s">
        <v>44</v>
      </c>
      <c r="J1535">
        <v>4</v>
      </c>
      <c r="K1535" t="s">
        <v>51</v>
      </c>
      <c r="L1535">
        <v>5</v>
      </c>
      <c r="M1535" t="str">
        <f>VLOOKUP(D1535,State_Lookup!$A$2:$B$28,2,FALSE)</f>
        <v>Sao Paulo</v>
      </c>
    </row>
    <row r="1536" spans="1:13" x14ac:dyDescent="0.45">
      <c r="A1536" t="s">
        <v>1958</v>
      </c>
      <c r="B1536" t="s">
        <v>1954</v>
      </c>
      <c r="C1536" t="s">
        <v>1772</v>
      </c>
      <c r="D1536" t="s">
        <v>23</v>
      </c>
      <c r="E1536" t="s">
        <v>204</v>
      </c>
      <c r="F1536">
        <v>1</v>
      </c>
      <c r="G1536">
        <v>44.3</v>
      </c>
      <c r="H1536">
        <v>17.63</v>
      </c>
      <c r="I1536" t="s">
        <v>50</v>
      </c>
      <c r="J1536">
        <v>14</v>
      </c>
      <c r="K1536" t="s">
        <v>51</v>
      </c>
      <c r="L1536">
        <v>5</v>
      </c>
      <c r="M1536" t="str">
        <f>VLOOKUP(D1536,State_Lookup!$A$2:$B$28,2,FALSE)</f>
        <v>Espirito Santo</v>
      </c>
    </row>
    <row r="1537" spans="1:13" x14ac:dyDescent="0.45">
      <c r="A1537" t="s">
        <v>1959</v>
      </c>
      <c r="B1537" t="s">
        <v>1954</v>
      </c>
      <c r="C1537" t="s">
        <v>1772</v>
      </c>
      <c r="D1537" t="s">
        <v>16</v>
      </c>
      <c r="E1537" t="s">
        <v>110</v>
      </c>
      <c r="F1537">
        <v>1</v>
      </c>
      <c r="G1537">
        <v>113.57</v>
      </c>
      <c r="H1537">
        <v>13.81</v>
      </c>
      <c r="I1537" t="s">
        <v>44</v>
      </c>
      <c r="J1537">
        <v>4</v>
      </c>
      <c r="K1537" t="s">
        <v>51</v>
      </c>
      <c r="L1537">
        <v>2</v>
      </c>
      <c r="M1537" t="str">
        <f>VLOOKUP(D1537,State_Lookup!$A$2:$B$28,2,FALSE)</f>
        <v>Sao Paulo</v>
      </c>
    </row>
    <row r="1538" spans="1:13" x14ac:dyDescent="0.45">
      <c r="A1538" t="s">
        <v>1960</v>
      </c>
      <c r="B1538" t="s">
        <v>1954</v>
      </c>
      <c r="C1538" t="s">
        <v>1772</v>
      </c>
      <c r="D1538" t="s">
        <v>17</v>
      </c>
      <c r="E1538" t="s">
        <v>1650</v>
      </c>
      <c r="F1538">
        <v>1</v>
      </c>
      <c r="G1538">
        <v>1437</v>
      </c>
      <c r="H1538">
        <v>34.51</v>
      </c>
      <c r="I1538" t="s">
        <v>44</v>
      </c>
      <c r="J1538">
        <v>7</v>
      </c>
      <c r="K1538" t="s">
        <v>51</v>
      </c>
      <c r="L1538">
        <v>5</v>
      </c>
      <c r="M1538" t="str">
        <f>VLOOKUP(D1538,State_Lookup!$A$2:$B$28,2,FALSE)</f>
        <v>Rio de Janeiro</v>
      </c>
    </row>
    <row r="1539" spans="1:13" x14ac:dyDescent="0.45">
      <c r="A1539" t="s">
        <v>1961</v>
      </c>
      <c r="B1539" t="s">
        <v>1954</v>
      </c>
      <c r="C1539" t="s">
        <v>1772</v>
      </c>
      <c r="D1539" t="s">
        <v>21</v>
      </c>
      <c r="E1539" t="s">
        <v>66</v>
      </c>
      <c r="F1539">
        <v>1</v>
      </c>
      <c r="G1539">
        <v>29.99</v>
      </c>
      <c r="H1539">
        <v>15.1</v>
      </c>
      <c r="I1539" t="s">
        <v>50</v>
      </c>
      <c r="J1539">
        <v>23</v>
      </c>
      <c r="K1539" t="s">
        <v>51</v>
      </c>
      <c r="L1539">
        <v>5</v>
      </c>
      <c r="M1539" t="str">
        <f>VLOOKUP(D1539,State_Lookup!$A$2:$B$28,2,FALSE)</f>
        <v>Santa Catarina</v>
      </c>
    </row>
    <row r="1540" spans="1:13" x14ac:dyDescent="0.45">
      <c r="A1540" t="s">
        <v>1962</v>
      </c>
      <c r="B1540" t="s">
        <v>1954</v>
      </c>
      <c r="C1540" t="s">
        <v>1772</v>
      </c>
      <c r="D1540" t="s">
        <v>22</v>
      </c>
      <c r="E1540" t="s">
        <v>79</v>
      </c>
      <c r="F1540">
        <v>1</v>
      </c>
      <c r="G1540">
        <v>29.9</v>
      </c>
      <c r="H1540">
        <v>16.79</v>
      </c>
      <c r="I1540" t="s">
        <v>133</v>
      </c>
      <c r="J1540">
        <v>8</v>
      </c>
      <c r="K1540" t="s">
        <v>51</v>
      </c>
      <c r="L1540">
        <v>1</v>
      </c>
      <c r="M1540" t="str">
        <f>VLOOKUP(D1540,State_Lookup!$A$2:$B$28,2,FALSE)</f>
        <v>Bahia</v>
      </c>
    </row>
    <row r="1541" spans="1:13" x14ac:dyDescent="0.45">
      <c r="A1541" t="s">
        <v>1963</v>
      </c>
      <c r="B1541" t="s">
        <v>1964</v>
      </c>
      <c r="C1541" t="s">
        <v>1772</v>
      </c>
      <c r="D1541" t="s">
        <v>21</v>
      </c>
      <c r="E1541" t="s">
        <v>142</v>
      </c>
      <c r="F1541">
        <v>1</v>
      </c>
      <c r="G1541">
        <v>52.9</v>
      </c>
      <c r="H1541">
        <v>15.12</v>
      </c>
      <c r="I1541" t="s">
        <v>50</v>
      </c>
      <c r="J1541">
        <v>14</v>
      </c>
      <c r="K1541" t="s">
        <v>51</v>
      </c>
      <c r="L1541">
        <v>5</v>
      </c>
      <c r="M1541" t="str">
        <f>VLOOKUP(D1541,State_Lookup!$A$2:$B$28,2,FALSE)</f>
        <v>Santa Catarina</v>
      </c>
    </row>
    <row r="1542" spans="1:13" x14ac:dyDescent="0.45">
      <c r="A1542" t="s">
        <v>1965</v>
      </c>
      <c r="B1542" t="s">
        <v>1964</v>
      </c>
      <c r="C1542" t="s">
        <v>1772</v>
      </c>
      <c r="D1542" t="s">
        <v>17</v>
      </c>
      <c r="E1542" t="s">
        <v>58</v>
      </c>
      <c r="F1542">
        <v>2</v>
      </c>
      <c r="G1542">
        <v>31.8</v>
      </c>
      <c r="H1542">
        <v>33.58</v>
      </c>
      <c r="I1542" t="s">
        <v>50</v>
      </c>
      <c r="J1542">
        <v>8</v>
      </c>
      <c r="K1542" t="s">
        <v>51</v>
      </c>
      <c r="L1542">
        <v>1</v>
      </c>
      <c r="M1542" t="str">
        <f>VLOOKUP(D1542,State_Lookup!$A$2:$B$28,2,FALSE)</f>
        <v>Rio de Janeiro</v>
      </c>
    </row>
    <row r="1543" spans="1:13" x14ac:dyDescent="0.45">
      <c r="A1543" t="s">
        <v>1966</v>
      </c>
      <c r="B1543" t="s">
        <v>1964</v>
      </c>
      <c r="C1543" t="s">
        <v>1772</v>
      </c>
      <c r="D1543" t="s">
        <v>19</v>
      </c>
      <c r="E1543" t="s">
        <v>61</v>
      </c>
      <c r="F1543">
        <v>2</v>
      </c>
      <c r="G1543">
        <v>350</v>
      </c>
      <c r="H1543">
        <v>33.979999999999997</v>
      </c>
      <c r="I1543" t="s">
        <v>50</v>
      </c>
      <c r="J1543">
        <v>8</v>
      </c>
      <c r="K1543" t="s">
        <v>51</v>
      </c>
      <c r="L1543">
        <v>4</v>
      </c>
      <c r="M1543" t="str">
        <f>VLOOKUP(D1543,State_Lookup!$A$2:$B$28,2,FALSE)</f>
        <v>Rio Grande do Sul</v>
      </c>
    </row>
    <row r="1544" spans="1:13" x14ac:dyDescent="0.45">
      <c r="A1544" t="s">
        <v>1967</v>
      </c>
      <c r="B1544" t="s">
        <v>1964</v>
      </c>
      <c r="C1544" t="s">
        <v>1772</v>
      </c>
      <c r="D1544" t="s">
        <v>24</v>
      </c>
      <c r="E1544" t="s">
        <v>58</v>
      </c>
      <c r="F1544">
        <v>1</v>
      </c>
      <c r="G1544">
        <v>223.64</v>
      </c>
      <c r="H1544">
        <v>16.32</v>
      </c>
      <c r="I1544" t="s">
        <v>44</v>
      </c>
      <c r="J1544">
        <v>10</v>
      </c>
      <c r="K1544" t="s">
        <v>51</v>
      </c>
      <c r="L1544">
        <v>5</v>
      </c>
      <c r="M1544" t="str">
        <f>VLOOKUP(D1544,State_Lookup!$A$2:$B$28,2,FALSE)</f>
        <v>Distrito Federal</v>
      </c>
    </row>
    <row r="1545" spans="1:13" x14ac:dyDescent="0.45">
      <c r="A1545" t="s">
        <v>1968</v>
      </c>
      <c r="B1545" t="s">
        <v>1964</v>
      </c>
      <c r="C1545" t="s">
        <v>1772</v>
      </c>
      <c r="D1545" t="s">
        <v>18</v>
      </c>
      <c r="E1545" t="s">
        <v>64</v>
      </c>
      <c r="F1545">
        <v>1</v>
      </c>
      <c r="G1545">
        <v>149.9</v>
      </c>
      <c r="H1545">
        <v>15.8</v>
      </c>
      <c r="I1545" t="s">
        <v>50</v>
      </c>
      <c r="J1545">
        <v>14</v>
      </c>
      <c r="K1545" t="s">
        <v>51</v>
      </c>
      <c r="L1545">
        <v>5</v>
      </c>
      <c r="M1545" t="str">
        <f>VLOOKUP(D1545,State_Lookup!$A$2:$B$28,2,FALSE)</f>
        <v>Minas Gerais</v>
      </c>
    </row>
    <row r="1546" spans="1:13" x14ac:dyDescent="0.45">
      <c r="A1546" t="s">
        <v>1969</v>
      </c>
      <c r="B1546" t="s">
        <v>1964</v>
      </c>
      <c r="C1546" t="s">
        <v>1772</v>
      </c>
      <c r="D1546" t="s">
        <v>128</v>
      </c>
      <c r="E1546" t="s">
        <v>1056</v>
      </c>
      <c r="F1546">
        <v>1</v>
      </c>
      <c r="G1546">
        <v>215.56</v>
      </c>
      <c r="H1546">
        <v>21.91</v>
      </c>
      <c r="I1546" t="s">
        <v>44</v>
      </c>
      <c r="J1546">
        <v>7</v>
      </c>
      <c r="K1546" t="s">
        <v>51</v>
      </c>
      <c r="L1546">
        <v>5</v>
      </c>
      <c r="M1546" t="str">
        <f>VLOOKUP(D1546,State_Lookup!$A$2:$B$28,2,FALSE)</f>
        <v>Ceara</v>
      </c>
    </row>
    <row r="1547" spans="1:13" x14ac:dyDescent="0.45">
      <c r="A1547" t="s">
        <v>1970</v>
      </c>
      <c r="B1547" t="s">
        <v>1964</v>
      </c>
      <c r="C1547" t="s">
        <v>1772</v>
      </c>
      <c r="D1547" t="s">
        <v>24</v>
      </c>
      <c r="E1547" t="s">
        <v>53</v>
      </c>
      <c r="F1547">
        <v>1</v>
      </c>
      <c r="G1547">
        <v>99</v>
      </c>
      <c r="H1547">
        <v>16.940000000000001</v>
      </c>
      <c r="I1547" t="s">
        <v>50</v>
      </c>
      <c r="J1547">
        <v>11</v>
      </c>
      <c r="K1547" t="s">
        <v>51</v>
      </c>
      <c r="L1547">
        <v>4</v>
      </c>
      <c r="M1547" t="str">
        <f>VLOOKUP(D1547,State_Lookup!$A$2:$B$28,2,FALSE)</f>
        <v>Distrito Federal</v>
      </c>
    </row>
    <row r="1548" spans="1:13" x14ac:dyDescent="0.45">
      <c r="A1548" t="s">
        <v>1971</v>
      </c>
      <c r="B1548" t="s">
        <v>1964</v>
      </c>
      <c r="C1548" t="s">
        <v>1772</v>
      </c>
      <c r="D1548" t="s">
        <v>16</v>
      </c>
      <c r="E1548" t="s">
        <v>148</v>
      </c>
      <c r="F1548">
        <v>1</v>
      </c>
      <c r="G1548">
        <v>59.9</v>
      </c>
      <c r="H1548">
        <v>11.73</v>
      </c>
      <c r="I1548" t="s">
        <v>50</v>
      </c>
      <c r="J1548">
        <v>5</v>
      </c>
      <c r="K1548" t="s">
        <v>51</v>
      </c>
      <c r="L1548">
        <v>4</v>
      </c>
      <c r="M1548" t="str">
        <f>VLOOKUP(D1548,State_Lookup!$A$2:$B$28,2,FALSE)</f>
        <v>Sao Paulo</v>
      </c>
    </row>
    <row r="1549" spans="1:13" x14ac:dyDescent="0.45">
      <c r="A1549" t="s">
        <v>1972</v>
      </c>
      <c r="B1549" t="s">
        <v>1964</v>
      </c>
      <c r="C1549" t="s">
        <v>1772</v>
      </c>
      <c r="D1549" t="s">
        <v>17</v>
      </c>
      <c r="E1549" t="s">
        <v>64</v>
      </c>
      <c r="F1549">
        <v>1</v>
      </c>
      <c r="G1549">
        <v>259.89999999999998</v>
      </c>
      <c r="H1549">
        <v>19.39</v>
      </c>
      <c r="I1549" t="s">
        <v>44</v>
      </c>
      <c r="J1549">
        <v>29</v>
      </c>
      <c r="K1549" t="s">
        <v>143</v>
      </c>
      <c r="L1549">
        <v>5</v>
      </c>
      <c r="M1549" t="str">
        <f>VLOOKUP(D1549,State_Lookup!$A$2:$B$28,2,FALSE)</f>
        <v>Rio de Janeiro</v>
      </c>
    </row>
    <row r="1550" spans="1:13" x14ac:dyDescent="0.45">
      <c r="A1550" t="s">
        <v>1973</v>
      </c>
      <c r="B1550" t="s">
        <v>1964</v>
      </c>
      <c r="C1550" t="s">
        <v>1772</v>
      </c>
      <c r="D1550" t="s">
        <v>16</v>
      </c>
      <c r="E1550" t="s">
        <v>598</v>
      </c>
      <c r="F1550">
        <v>1</v>
      </c>
      <c r="G1550">
        <v>27.93</v>
      </c>
      <c r="H1550">
        <v>8.7200000000000006</v>
      </c>
      <c r="I1550" t="s">
        <v>50</v>
      </c>
      <c r="J1550">
        <v>16</v>
      </c>
      <c r="K1550" t="s">
        <v>143</v>
      </c>
      <c r="L1550">
        <v>5</v>
      </c>
      <c r="M1550" t="str">
        <f>VLOOKUP(D1550,State_Lookup!$A$2:$B$28,2,FALSE)</f>
        <v>Sao Paulo</v>
      </c>
    </row>
    <row r="1551" spans="1:13" x14ac:dyDescent="0.45">
      <c r="A1551" t="s">
        <v>1974</v>
      </c>
      <c r="B1551" t="s">
        <v>1975</v>
      </c>
      <c r="C1551" t="s">
        <v>1772</v>
      </c>
      <c r="D1551" t="s">
        <v>18</v>
      </c>
      <c r="E1551" t="s">
        <v>1839</v>
      </c>
      <c r="F1551">
        <v>1</v>
      </c>
      <c r="G1551">
        <v>660.45</v>
      </c>
      <c r="H1551">
        <v>25.11</v>
      </c>
      <c r="I1551" t="s">
        <v>44</v>
      </c>
      <c r="J1551">
        <v>30</v>
      </c>
      <c r="K1551" t="s">
        <v>143</v>
      </c>
      <c r="L1551">
        <v>1</v>
      </c>
      <c r="M1551" t="str">
        <f>VLOOKUP(D1551,State_Lookup!$A$2:$B$28,2,FALSE)</f>
        <v>Minas Gerais</v>
      </c>
    </row>
    <row r="1552" spans="1:13" x14ac:dyDescent="0.45">
      <c r="A1552" t="s">
        <v>1976</v>
      </c>
      <c r="B1552" t="s">
        <v>1975</v>
      </c>
      <c r="C1552" t="s">
        <v>1772</v>
      </c>
      <c r="D1552" t="s">
        <v>16</v>
      </c>
      <c r="E1552" t="s">
        <v>43</v>
      </c>
      <c r="F1552">
        <v>1</v>
      </c>
      <c r="G1552">
        <v>89.9</v>
      </c>
      <c r="H1552">
        <v>36.14</v>
      </c>
      <c r="I1552" t="s">
        <v>50</v>
      </c>
      <c r="J1552">
        <v>16</v>
      </c>
      <c r="K1552" t="s">
        <v>51</v>
      </c>
      <c r="L1552">
        <v>2</v>
      </c>
      <c r="M1552" t="str">
        <f>VLOOKUP(D1552,State_Lookup!$A$2:$B$28,2,FALSE)</f>
        <v>Sao Paulo</v>
      </c>
    </row>
    <row r="1553" spans="1:13" x14ac:dyDescent="0.45">
      <c r="A1553" t="s">
        <v>1977</v>
      </c>
      <c r="B1553" t="s">
        <v>1975</v>
      </c>
      <c r="C1553" t="s">
        <v>1772</v>
      </c>
      <c r="D1553" t="s">
        <v>17</v>
      </c>
      <c r="E1553" t="s">
        <v>110</v>
      </c>
      <c r="F1553">
        <v>1</v>
      </c>
      <c r="G1553">
        <v>69.900000000000006</v>
      </c>
      <c r="H1553">
        <v>18.059999999999999</v>
      </c>
      <c r="I1553" t="s">
        <v>44</v>
      </c>
      <c r="J1553">
        <v>11</v>
      </c>
      <c r="K1553" t="s">
        <v>51</v>
      </c>
      <c r="L1553">
        <v>5</v>
      </c>
      <c r="M1553" t="str">
        <f>VLOOKUP(D1553,State_Lookup!$A$2:$B$28,2,FALSE)</f>
        <v>Rio de Janeiro</v>
      </c>
    </row>
    <row r="1554" spans="1:13" x14ac:dyDescent="0.45">
      <c r="A1554" t="s">
        <v>1978</v>
      </c>
      <c r="B1554" t="s">
        <v>1975</v>
      </c>
      <c r="C1554" t="s">
        <v>1772</v>
      </c>
      <c r="D1554" t="s">
        <v>194</v>
      </c>
      <c r="E1554" t="s">
        <v>157</v>
      </c>
      <c r="F1554">
        <v>6</v>
      </c>
      <c r="G1554">
        <v>330</v>
      </c>
      <c r="H1554">
        <v>100.98</v>
      </c>
      <c r="I1554" t="s">
        <v>44</v>
      </c>
      <c r="J1554">
        <v>13</v>
      </c>
      <c r="K1554" t="s">
        <v>51</v>
      </c>
      <c r="L1554">
        <v>3</v>
      </c>
      <c r="M1554" t="str">
        <f>VLOOKUP(D1554,State_Lookup!$A$2:$B$28,2,FALSE)</f>
        <v>Mato Grosso do Sul</v>
      </c>
    </row>
    <row r="1555" spans="1:13" x14ac:dyDescent="0.45">
      <c r="A1555" t="s">
        <v>1979</v>
      </c>
      <c r="B1555" t="s">
        <v>1975</v>
      </c>
      <c r="C1555" t="s">
        <v>1772</v>
      </c>
      <c r="D1555" t="s">
        <v>18</v>
      </c>
      <c r="E1555" t="s">
        <v>49</v>
      </c>
      <c r="F1555">
        <v>1</v>
      </c>
      <c r="G1555">
        <v>97</v>
      </c>
      <c r="H1555">
        <v>17.93</v>
      </c>
      <c r="I1555" t="s">
        <v>44</v>
      </c>
      <c r="J1555">
        <v>12</v>
      </c>
      <c r="K1555" t="s">
        <v>51</v>
      </c>
      <c r="L1555">
        <v>5</v>
      </c>
      <c r="M1555" t="str">
        <f>VLOOKUP(D1555,State_Lookup!$A$2:$B$28,2,FALSE)</f>
        <v>Minas Gerais</v>
      </c>
    </row>
    <row r="1556" spans="1:13" x14ac:dyDescent="0.45">
      <c r="A1556" t="s">
        <v>1980</v>
      </c>
      <c r="B1556" t="s">
        <v>1975</v>
      </c>
      <c r="C1556" t="s">
        <v>1772</v>
      </c>
      <c r="D1556" t="s">
        <v>141</v>
      </c>
      <c r="E1556" t="s">
        <v>132</v>
      </c>
      <c r="F1556">
        <v>1</v>
      </c>
      <c r="G1556">
        <v>89</v>
      </c>
      <c r="H1556">
        <v>25.65</v>
      </c>
      <c r="I1556" t="s">
        <v>50</v>
      </c>
      <c r="J1556">
        <v>18</v>
      </c>
      <c r="K1556" t="s">
        <v>51</v>
      </c>
      <c r="L1556">
        <v>5</v>
      </c>
      <c r="M1556" t="str">
        <f>VLOOKUP(D1556,State_Lookup!$A$2:$B$28,2,FALSE)</f>
        <v>Maranhao</v>
      </c>
    </row>
    <row r="1557" spans="1:13" x14ac:dyDescent="0.45">
      <c r="A1557" t="s">
        <v>1981</v>
      </c>
      <c r="B1557" t="s">
        <v>1982</v>
      </c>
      <c r="C1557" t="s">
        <v>1772</v>
      </c>
      <c r="D1557" t="s">
        <v>18</v>
      </c>
      <c r="E1557" t="s">
        <v>668</v>
      </c>
      <c r="F1557">
        <v>1</v>
      </c>
      <c r="G1557">
        <v>19.899999999999999</v>
      </c>
      <c r="H1557">
        <v>14.1</v>
      </c>
      <c r="I1557" t="s">
        <v>50</v>
      </c>
      <c r="J1557">
        <v>12</v>
      </c>
      <c r="K1557" t="s">
        <v>51</v>
      </c>
      <c r="L1557">
        <v>1</v>
      </c>
      <c r="M1557" t="str">
        <f>VLOOKUP(D1557,State_Lookup!$A$2:$B$28,2,FALSE)</f>
        <v>Minas Gerais</v>
      </c>
    </row>
    <row r="1558" spans="1:13" x14ac:dyDescent="0.45">
      <c r="A1558" t="s">
        <v>1983</v>
      </c>
      <c r="B1558" t="s">
        <v>1982</v>
      </c>
      <c r="C1558" t="s">
        <v>1772</v>
      </c>
      <c r="D1558" t="s">
        <v>194</v>
      </c>
      <c r="E1558" t="s">
        <v>61</v>
      </c>
      <c r="F1558">
        <v>1</v>
      </c>
      <c r="G1558">
        <v>42.99</v>
      </c>
      <c r="H1558">
        <v>15.1</v>
      </c>
      <c r="I1558" t="s">
        <v>44</v>
      </c>
      <c r="J1558">
        <v>12</v>
      </c>
      <c r="K1558" t="s">
        <v>51</v>
      </c>
      <c r="L1558">
        <v>5</v>
      </c>
      <c r="M1558" t="str">
        <f>VLOOKUP(D1558,State_Lookup!$A$2:$B$28,2,FALSE)</f>
        <v>Mato Grosso do Sul</v>
      </c>
    </row>
    <row r="1559" spans="1:13" x14ac:dyDescent="0.45">
      <c r="A1559" t="s">
        <v>1984</v>
      </c>
      <c r="B1559" t="s">
        <v>1982</v>
      </c>
      <c r="C1559" t="s">
        <v>1772</v>
      </c>
      <c r="D1559" t="s">
        <v>16</v>
      </c>
      <c r="E1559" t="s">
        <v>49</v>
      </c>
      <c r="F1559">
        <v>1</v>
      </c>
      <c r="G1559">
        <v>19.989999999999998</v>
      </c>
      <c r="H1559">
        <v>7.78</v>
      </c>
      <c r="I1559" t="s">
        <v>44</v>
      </c>
      <c r="J1559">
        <v>1</v>
      </c>
      <c r="K1559" t="s">
        <v>51</v>
      </c>
      <c r="L1559">
        <v>5</v>
      </c>
      <c r="M1559" t="str">
        <f>VLOOKUP(D1559,State_Lookup!$A$2:$B$28,2,FALSE)</f>
        <v>Sao Paulo</v>
      </c>
    </row>
    <row r="1560" spans="1:13" x14ac:dyDescent="0.45">
      <c r="A1560" t="s">
        <v>1985</v>
      </c>
      <c r="B1560" t="s">
        <v>1982</v>
      </c>
      <c r="C1560" t="s">
        <v>1772</v>
      </c>
      <c r="D1560" t="s">
        <v>16</v>
      </c>
      <c r="E1560" t="s">
        <v>244</v>
      </c>
      <c r="F1560">
        <v>5</v>
      </c>
      <c r="G1560">
        <v>322.7</v>
      </c>
      <c r="H1560">
        <v>65.3</v>
      </c>
      <c r="I1560" t="s">
        <v>44</v>
      </c>
      <c r="J1560">
        <v>4</v>
      </c>
      <c r="K1560" t="s">
        <v>51</v>
      </c>
      <c r="L1560">
        <v>2</v>
      </c>
      <c r="M1560" t="str">
        <f>VLOOKUP(D1560,State_Lookup!$A$2:$B$28,2,FALSE)</f>
        <v>Sao Paulo</v>
      </c>
    </row>
    <row r="1561" spans="1:13" x14ac:dyDescent="0.45">
      <c r="A1561" t="s">
        <v>1986</v>
      </c>
      <c r="B1561" t="s">
        <v>1982</v>
      </c>
      <c r="C1561" t="s">
        <v>1772</v>
      </c>
      <c r="D1561" t="s">
        <v>208</v>
      </c>
      <c r="E1561" t="s">
        <v>49</v>
      </c>
      <c r="F1561">
        <v>1</v>
      </c>
      <c r="G1561">
        <v>65</v>
      </c>
      <c r="H1561">
        <v>15.89</v>
      </c>
      <c r="I1561" t="s">
        <v>44</v>
      </c>
      <c r="J1561">
        <v>11</v>
      </c>
      <c r="K1561" t="s">
        <v>51</v>
      </c>
      <c r="L1561">
        <v>4</v>
      </c>
      <c r="M1561" t="str">
        <f>VLOOKUP(D1561,State_Lookup!$A$2:$B$28,2,FALSE)</f>
        <v>Mato Grosso</v>
      </c>
    </row>
    <row r="1562" spans="1:13" x14ac:dyDescent="0.45">
      <c r="A1562" t="s">
        <v>1987</v>
      </c>
      <c r="B1562" t="s">
        <v>1982</v>
      </c>
      <c r="C1562" t="s">
        <v>1772</v>
      </c>
      <c r="D1562" t="s">
        <v>16</v>
      </c>
      <c r="E1562" t="s">
        <v>199</v>
      </c>
      <c r="F1562">
        <v>1</v>
      </c>
      <c r="G1562">
        <v>279.89999999999998</v>
      </c>
      <c r="H1562">
        <v>28.4</v>
      </c>
      <c r="I1562" t="s">
        <v>44</v>
      </c>
      <c r="J1562">
        <v>5</v>
      </c>
      <c r="K1562" t="s">
        <v>51</v>
      </c>
      <c r="L1562">
        <v>5</v>
      </c>
      <c r="M1562" t="str">
        <f>VLOOKUP(D1562,State_Lookup!$A$2:$B$28,2,FALSE)</f>
        <v>Sao Paulo</v>
      </c>
    </row>
    <row r="1563" spans="1:13" x14ac:dyDescent="0.45">
      <c r="A1563" t="s">
        <v>1988</v>
      </c>
      <c r="B1563" t="s">
        <v>1982</v>
      </c>
      <c r="C1563" t="s">
        <v>1772</v>
      </c>
      <c r="D1563" t="s">
        <v>16</v>
      </c>
      <c r="E1563" t="s">
        <v>110</v>
      </c>
      <c r="F1563">
        <v>1</v>
      </c>
      <c r="G1563">
        <v>135</v>
      </c>
      <c r="H1563">
        <v>16.579999999999998</v>
      </c>
      <c r="I1563" t="s">
        <v>44</v>
      </c>
      <c r="J1563">
        <v>11</v>
      </c>
      <c r="K1563" t="s">
        <v>51</v>
      </c>
      <c r="L1563">
        <v>5</v>
      </c>
      <c r="M1563" t="str">
        <f>VLOOKUP(D1563,State_Lookup!$A$2:$B$28,2,FALSE)</f>
        <v>Sao Paulo</v>
      </c>
    </row>
    <row r="1564" spans="1:13" x14ac:dyDescent="0.45">
      <c r="A1564" t="s">
        <v>1989</v>
      </c>
      <c r="B1564" t="s">
        <v>1990</v>
      </c>
      <c r="C1564" t="s">
        <v>1772</v>
      </c>
      <c r="D1564" t="s">
        <v>20</v>
      </c>
      <c r="E1564" t="s">
        <v>43</v>
      </c>
      <c r="F1564">
        <v>2</v>
      </c>
      <c r="G1564">
        <v>156</v>
      </c>
      <c r="H1564">
        <v>16.32</v>
      </c>
      <c r="I1564" t="s">
        <v>44</v>
      </c>
      <c r="J1564">
        <v>10</v>
      </c>
      <c r="K1564" t="s">
        <v>51</v>
      </c>
      <c r="L1564">
        <v>4</v>
      </c>
      <c r="M1564" t="str">
        <f>VLOOKUP(D1564,State_Lookup!$A$2:$B$28,2,FALSE)</f>
        <v>Parana</v>
      </c>
    </row>
    <row r="1565" spans="1:13" x14ac:dyDescent="0.45">
      <c r="A1565" t="s">
        <v>1991</v>
      </c>
      <c r="B1565" t="s">
        <v>1990</v>
      </c>
      <c r="C1565" t="s">
        <v>1772</v>
      </c>
      <c r="D1565" t="s">
        <v>17</v>
      </c>
      <c r="E1565" t="s">
        <v>1056</v>
      </c>
      <c r="F1565">
        <v>1</v>
      </c>
      <c r="G1565">
        <v>18.600000000000001</v>
      </c>
      <c r="H1565">
        <v>15.1</v>
      </c>
      <c r="I1565" t="s">
        <v>44</v>
      </c>
      <c r="J1565">
        <v>19</v>
      </c>
      <c r="K1565" t="s">
        <v>143</v>
      </c>
      <c r="L1565">
        <v>5</v>
      </c>
      <c r="M1565" t="str">
        <f>VLOOKUP(D1565,State_Lookup!$A$2:$B$28,2,FALSE)</f>
        <v>Rio de Janeiro</v>
      </c>
    </row>
    <row r="1566" spans="1:13" x14ac:dyDescent="0.45">
      <c r="A1566" t="s">
        <v>1992</v>
      </c>
      <c r="B1566" t="s">
        <v>1990</v>
      </c>
      <c r="C1566" t="s">
        <v>1772</v>
      </c>
      <c r="D1566" t="s">
        <v>16</v>
      </c>
      <c r="E1566" t="s">
        <v>64</v>
      </c>
      <c r="F1566">
        <v>2</v>
      </c>
      <c r="G1566">
        <v>27.98</v>
      </c>
      <c r="H1566">
        <v>15.56</v>
      </c>
      <c r="I1566" t="s">
        <v>44</v>
      </c>
      <c r="J1566">
        <v>5</v>
      </c>
      <c r="K1566" t="s">
        <v>51</v>
      </c>
      <c r="L1566">
        <v>5</v>
      </c>
      <c r="M1566" t="str">
        <f>VLOOKUP(D1566,State_Lookup!$A$2:$B$28,2,FALSE)</f>
        <v>Sao Paulo</v>
      </c>
    </row>
    <row r="1567" spans="1:13" x14ac:dyDescent="0.45">
      <c r="A1567" t="s">
        <v>1993</v>
      </c>
      <c r="B1567" t="s">
        <v>1990</v>
      </c>
      <c r="C1567" t="s">
        <v>1772</v>
      </c>
      <c r="D1567" t="s">
        <v>141</v>
      </c>
      <c r="E1567" t="s">
        <v>79</v>
      </c>
      <c r="F1567">
        <v>1</v>
      </c>
      <c r="G1567">
        <v>63</v>
      </c>
      <c r="H1567">
        <v>22.76</v>
      </c>
      <c r="I1567" t="s">
        <v>50</v>
      </c>
      <c r="J1567">
        <v>11</v>
      </c>
      <c r="K1567" t="s">
        <v>51</v>
      </c>
      <c r="L1567">
        <v>5</v>
      </c>
      <c r="M1567" t="str">
        <f>VLOOKUP(D1567,State_Lookup!$A$2:$B$28,2,FALSE)</f>
        <v>Maranhao</v>
      </c>
    </row>
    <row r="1568" spans="1:13" x14ac:dyDescent="0.45">
      <c r="A1568" t="s">
        <v>1994</v>
      </c>
      <c r="B1568" t="s">
        <v>1990</v>
      </c>
      <c r="C1568" t="s">
        <v>1772</v>
      </c>
      <c r="D1568" t="s">
        <v>63</v>
      </c>
      <c r="E1568" t="s">
        <v>157</v>
      </c>
      <c r="F1568">
        <v>1</v>
      </c>
      <c r="G1568">
        <v>55</v>
      </c>
      <c r="H1568">
        <v>21.19</v>
      </c>
      <c r="I1568" t="s">
        <v>44</v>
      </c>
      <c r="J1568">
        <v>21</v>
      </c>
      <c r="K1568" t="s">
        <v>51</v>
      </c>
      <c r="L1568">
        <v>5</v>
      </c>
      <c r="M1568" t="str">
        <f>VLOOKUP(D1568,State_Lookup!$A$2:$B$28,2,FALSE)</f>
        <v>Pernambuco</v>
      </c>
    </row>
    <row r="1569" spans="1:13" x14ac:dyDescent="0.45">
      <c r="A1569" t="s">
        <v>1995</v>
      </c>
      <c r="B1569" t="s">
        <v>1990</v>
      </c>
      <c r="C1569" t="s">
        <v>1772</v>
      </c>
      <c r="D1569" t="s">
        <v>16</v>
      </c>
      <c r="E1569" t="s">
        <v>148</v>
      </c>
      <c r="F1569">
        <v>1</v>
      </c>
      <c r="G1569">
        <v>34.9</v>
      </c>
      <c r="H1569">
        <v>12.69</v>
      </c>
      <c r="I1569" t="s">
        <v>44</v>
      </c>
      <c r="J1569">
        <v>4</v>
      </c>
      <c r="K1569" t="s">
        <v>51</v>
      </c>
      <c r="L1569">
        <v>5</v>
      </c>
      <c r="M1569" t="str">
        <f>VLOOKUP(D1569,State_Lookup!$A$2:$B$28,2,FALSE)</f>
        <v>Sao Paulo</v>
      </c>
    </row>
    <row r="1570" spans="1:13" x14ac:dyDescent="0.45">
      <c r="A1570" t="s">
        <v>1996</v>
      </c>
      <c r="B1570" t="s">
        <v>1990</v>
      </c>
      <c r="C1570" t="s">
        <v>1772</v>
      </c>
      <c r="D1570" t="s">
        <v>19</v>
      </c>
      <c r="E1570" t="s">
        <v>61</v>
      </c>
      <c r="F1570">
        <v>1</v>
      </c>
      <c r="G1570">
        <v>945</v>
      </c>
      <c r="H1570">
        <v>108.74</v>
      </c>
      <c r="I1570" t="s">
        <v>44</v>
      </c>
      <c r="J1570">
        <v>11</v>
      </c>
      <c r="K1570" t="s">
        <v>51</v>
      </c>
      <c r="L1570">
        <v>5</v>
      </c>
      <c r="M1570" t="str">
        <f>VLOOKUP(D1570,State_Lookup!$A$2:$B$28,2,FALSE)</f>
        <v>Rio Grande do Sul</v>
      </c>
    </row>
    <row r="1571" spans="1:13" x14ac:dyDescent="0.45">
      <c r="A1571" t="s">
        <v>1997</v>
      </c>
      <c r="B1571" t="s">
        <v>1990</v>
      </c>
      <c r="C1571" t="s">
        <v>1772</v>
      </c>
      <c r="D1571" t="s">
        <v>83</v>
      </c>
      <c r="E1571" t="s">
        <v>61</v>
      </c>
      <c r="F1571">
        <v>1</v>
      </c>
      <c r="G1571">
        <v>15.87</v>
      </c>
      <c r="H1571">
        <v>15.1</v>
      </c>
      <c r="I1571" t="s">
        <v>44</v>
      </c>
      <c r="J1571">
        <v>20</v>
      </c>
      <c r="K1571" t="s">
        <v>51</v>
      </c>
      <c r="L1571">
        <v>5</v>
      </c>
      <c r="M1571" t="str">
        <f>VLOOKUP(D1571,State_Lookup!$A$2:$B$28,2,FALSE)</f>
        <v>Sergipe</v>
      </c>
    </row>
    <row r="1572" spans="1:13" x14ac:dyDescent="0.45">
      <c r="A1572" t="s">
        <v>1998</v>
      </c>
      <c r="B1572" t="s">
        <v>1999</v>
      </c>
      <c r="C1572" t="s">
        <v>1772</v>
      </c>
      <c r="D1572" t="s">
        <v>17</v>
      </c>
      <c r="E1572" t="s">
        <v>43</v>
      </c>
      <c r="F1572">
        <v>1</v>
      </c>
      <c r="G1572">
        <v>93.9</v>
      </c>
      <c r="H1572">
        <v>17.91</v>
      </c>
      <c r="I1572" t="s">
        <v>44</v>
      </c>
      <c r="J1572">
        <v>10</v>
      </c>
      <c r="K1572" t="s">
        <v>51</v>
      </c>
      <c r="L1572">
        <v>4</v>
      </c>
      <c r="M1572" t="str">
        <f>VLOOKUP(D1572,State_Lookup!$A$2:$B$28,2,FALSE)</f>
        <v>Rio de Janeiro</v>
      </c>
    </row>
    <row r="1573" spans="1:13" x14ac:dyDescent="0.45">
      <c r="A1573" t="s">
        <v>2000</v>
      </c>
      <c r="B1573" t="s">
        <v>1999</v>
      </c>
      <c r="C1573" t="s">
        <v>1772</v>
      </c>
      <c r="D1573" t="s">
        <v>122</v>
      </c>
      <c r="E1573" t="s">
        <v>61</v>
      </c>
      <c r="F1573">
        <v>1</v>
      </c>
      <c r="G1573">
        <v>31.9</v>
      </c>
      <c r="H1573">
        <v>21.15</v>
      </c>
      <c r="I1573" t="s">
        <v>44</v>
      </c>
      <c r="J1573">
        <v>42</v>
      </c>
      <c r="K1573" t="s">
        <v>51</v>
      </c>
      <c r="L1573">
        <v>5</v>
      </c>
      <c r="M1573" t="str">
        <f>VLOOKUP(D1573,State_Lookup!$A$2:$B$28,2,FALSE)</f>
        <v>Para</v>
      </c>
    </row>
    <row r="1574" spans="1:13" x14ac:dyDescent="0.45">
      <c r="A1574" t="s">
        <v>2001</v>
      </c>
      <c r="B1574" t="s">
        <v>1999</v>
      </c>
      <c r="C1574" t="s">
        <v>1772</v>
      </c>
      <c r="D1574" t="s">
        <v>208</v>
      </c>
      <c r="E1574" t="s">
        <v>340</v>
      </c>
      <c r="F1574">
        <v>1</v>
      </c>
      <c r="G1574">
        <v>564</v>
      </c>
      <c r="H1574">
        <v>237.84</v>
      </c>
      <c r="I1574" t="s">
        <v>44</v>
      </c>
      <c r="J1574">
        <v>16</v>
      </c>
      <c r="K1574" t="s">
        <v>51</v>
      </c>
      <c r="L1574">
        <v>3</v>
      </c>
      <c r="M1574" t="str">
        <f>VLOOKUP(D1574,State_Lookup!$A$2:$B$28,2,FALSE)</f>
        <v>Mato Grosso</v>
      </c>
    </row>
    <row r="1575" spans="1:13" x14ac:dyDescent="0.45">
      <c r="A1575" t="s">
        <v>2002</v>
      </c>
      <c r="B1575" t="s">
        <v>1999</v>
      </c>
      <c r="C1575" t="s">
        <v>1772</v>
      </c>
      <c r="D1575" t="s">
        <v>17</v>
      </c>
      <c r="E1575" t="s">
        <v>64</v>
      </c>
      <c r="F1575">
        <v>1</v>
      </c>
      <c r="G1575">
        <v>48.9</v>
      </c>
      <c r="H1575">
        <v>15.1</v>
      </c>
      <c r="I1575" t="s">
        <v>44</v>
      </c>
      <c r="J1575">
        <v>18</v>
      </c>
      <c r="K1575" t="s">
        <v>51</v>
      </c>
      <c r="L1575">
        <v>4</v>
      </c>
      <c r="M1575" t="str">
        <f>VLOOKUP(D1575,State_Lookup!$A$2:$B$28,2,FALSE)</f>
        <v>Rio de Janeiro</v>
      </c>
    </row>
    <row r="1576" spans="1:13" x14ac:dyDescent="0.45">
      <c r="A1576" t="s">
        <v>2003</v>
      </c>
      <c r="B1576" t="s">
        <v>1999</v>
      </c>
      <c r="C1576" t="s">
        <v>1772</v>
      </c>
      <c r="D1576" t="s">
        <v>16</v>
      </c>
      <c r="E1576" t="s">
        <v>58</v>
      </c>
      <c r="F1576">
        <v>1</v>
      </c>
      <c r="G1576">
        <v>38.9</v>
      </c>
      <c r="H1576">
        <v>8.7200000000000006</v>
      </c>
      <c r="I1576" t="s">
        <v>44</v>
      </c>
      <c r="J1576">
        <v>3</v>
      </c>
      <c r="K1576" t="s">
        <v>51</v>
      </c>
      <c r="L1576">
        <v>5</v>
      </c>
      <c r="M1576" t="str">
        <f>VLOOKUP(D1576,State_Lookup!$A$2:$B$28,2,FALSE)</f>
        <v>Sao Paulo</v>
      </c>
    </row>
    <row r="1577" spans="1:13" x14ac:dyDescent="0.45">
      <c r="A1577" t="s">
        <v>2004</v>
      </c>
      <c r="B1577" t="s">
        <v>1999</v>
      </c>
      <c r="C1577" t="s">
        <v>1772</v>
      </c>
      <c r="D1577" t="s">
        <v>17</v>
      </c>
      <c r="E1577" t="s">
        <v>53</v>
      </c>
      <c r="F1577">
        <v>1</v>
      </c>
      <c r="G1577">
        <v>139.9</v>
      </c>
      <c r="H1577">
        <v>12.93</v>
      </c>
      <c r="I1577" t="s">
        <v>44</v>
      </c>
      <c r="J1577">
        <v>4</v>
      </c>
      <c r="K1577" t="s">
        <v>51</v>
      </c>
      <c r="L1577">
        <v>5</v>
      </c>
      <c r="M1577" t="str">
        <f>VLOOKUP(D1577,State_Lookup!$A$2:$B$28,2,FALSE)</f>
        <v>Rio de Janeiro</v>
      </c>
    </row>
    <row r="1578" spans="1:13" x14ac:dyDescent="0.45">
      <c r="A1578" t="s">
        <v>2005</v>
      </c>
      <c r="B1578" t="s">
        <v>1999</v>
      </c>
      <c r="C1578" t="s">
        <v>1772</v>
      </c>
      <c r="D1578" t="s">
        <v>23</v>
      </c>
      <c r="E1578" t="s">
        <v>148</v>
      </c>
      <c r="F1578">
        <v>1</v>
      </c>
      <c r="G1578">
        <v>146.99</v>
      </c>
      <c r="H1578">
        <v>21.52</v>
      </c>
      <c r="I1578" t="s">
        <v>44</v>
      </c>
      <c r="J1578">
        <v>11</v>
      </c>
      <c r="K1578" t="s">
        <v>51</v>
      </c>
      <c r="L1578">
        <v>4</v>
      </c>
      <c r="M1578" t="str">
        <f>VLOOKUP(D1578,State_Lookup!$A$2:$B$28,2,FALSE)</f>
        <v>Espirito Santo</v>
      </c>
    </row>
    <row r="1579" spans="1:13" x14ac:dyDescent="0.45">
      <c r="A1579" t="s">
        <v>2006</v>
      </c>
      <c r="B1579" t="s">
        <v>2007</v>
      </c>
      <c r="C1579" t="s">
        <v>1772</v>
      </c>
      <c r="D1579" t="s">
        <v>16</v>
      </c>
      <c r="E1579" t="s">
        <v>69</v>
      </c>
      <c r="F1579">
        <v>1</v>
      </c>
      <c r="G1579">
        <v>59.9</v>
      </c>
      <c r="H1579">
        <v>13.44</v>
      </c>
      <c r="I1579" t="s">
        <v>44</v>
      </c>
      <c r="J1579">
        <v>11</v>
      </c>
      <c r="K1579" t="s">
        <v>51</v>
      </c>
      <c r="L1579">
        <v>4</v>
      </c>
      <c r="M1579" t="str">
        <f>VLOOKUP(D1579,State_Lookup!$A$2:$B$28,2,FALSE)</f>
        <v>Sao Paulo</v>
      </c>
    </row>
    <row r="1580" spans="1:13" x14ac:dyDescent="0.45">
      <c r="A1580" t="s">
        <v>2008</v>
      </c>
      <c r="B1580" t="s">
        <v>2007</v>
      </c>
      <c r="C1580" t="s">
        <v>1772</v>
      </c>
      <c r="D1580" t="s">
        <v>18</v>
      </c>
      <c r="E1580" t="s">
        <v>64</v>
      </c>
      <c r="F1580">
        <v>1</v>
      </c>
      <c r="G1580">
        <v>369.9</v>
      </c>
      <c r="H1580">
        <v>18.350000000000001</v>
      </c>
      <c r="I1580" t="s">
        <v>50</v>
      </c>
      <c r="J1580">
        <v>12</v>
      </c>
      <c r="K1580" t="s">
        <v>51</v>
      </c>
      <c r="L1580">
        <v>5</v>
      </c>
      <c r="M1580" t="str">
        <f>VLOOKUP(D1580,State_Lookup!$A$2:$B$28,2,FALSE)</f>
        <v>Minas Gerais</v>
      </c>
    </row>
    <row r="1581" spans="1:13" x14ac:dyDescent="0.45">
      <c r="A1581" t="s">
        <v>2009</v>
      </c>
      <c r="B1581" t="s">
        <v>2007</v>
      </c>
      <c r="C1581" t="s">
        <v>1772</v>
      </c>
      <c r="D1581" t="s">
        <v>16</v>
      </c>
      <c r="E1581" t="s">
        <v>79</v>
      </c>
      <c r="F1581">
        <v>1</v>
      </c>
      <c r="G1581">
        <v>23.99</v>
      </c>
      <c r="H1581">
        <v>7.78</v>
      </c>
      <c r="I1581" t="s">
        <v>44</v>
      </c>
      <c r="J1581">
        <v>8</v>
      </c>
      <c r="K1581" t="s">
        <v>51</v>
      </c>
      <c r="L1581">
        <v>1</v>
      </c>
      <c r="M1581" t="str">
        <f>VLOOKUP(D1581,State_Lookup!$A$2:$B$28,2,FALSE)</f>
        <v>Sao Paulo</v>
      </c>
    </row>
    <row r="1582" spans="1:13" x14ac:dyDescent="0.45">
      <c r="A1582" t="s">
        <v>2010</v>
      </c>
      <c r="B1582" t="s">
        <v>2007</v>
      </c>
      <c r="C1582" t="s">
        <v>1772</v>
      </c>
      <c r="D1582" t="s">
        <v>16</v>
      </c>
      <c r="E1582" t="s">
        <v>69</v>
      </c>
      <c r="F1582">
        <v>2</v>
      </c>
      <c r="G1582">
        <v>119.8</v>
      </c>
      <c r="H1582">
        <v>26.88</v>
      </c>
      <c r="I1582" t="s">
        <v>44</v>
      </c>
      <c r="J1582">
        <v>9</v>
      </c>
      <c r="K1582" t="s">
        <v>51</v>
      </c>
      <c r="L1582">
        <v>5</v>
      </c>
      <c r="M1582" t="str">
        <f>VLOOKUP(D1582,State_Lookup!$A$2:$B$28,2,FALSE)</f>
        <v>Sao Paulo</v>
      </c>
    </row>
    <row r="1583" spans="1:13" x14ac:dyDescent="0.45">
      <c r="A1583" t="s">
        <v>2011</v>
      </c>
      <c r="B1583" t="s">
        <v>2007</v>
      </c>
      <c r="C1583" t="s">
        <v>1772</v>
      </c>
      <c r="D1583" t="s">
        <v>21</v>
      </c>
      <c r="E1583" t="s">
        <v>58</v>
      </c>
      <c r="F1583">
        <v>1</v>
      </c>
      <c r="G1583">
        <v>49.99</v>
      </c>
      <c r="H1583">
        <v>50.22</v>
      </c>
      <c r="I1583" t="s">
        <v>44</v>
      </c>
      <c r="J1583">
        <v>18</v>
      </c>
      <c r="K1583" t="s">
        <v>51</v>
      </c>
      <c r="L1583">
        <v>4</v>
      </c>
      <c r="M1583" t="str">
        <f>VLOOKUP(D1583,State_Lookup!$A$2:$B$28,2,FALSE)</f>
        <v>Santa Catarina</v>
      </c>
    </row>
    <row r="1584" spans="1:13" x14ac:dyDescent="0.45">
      <c r="A1584" t="s">
        <v>2012</v>
      </c>
      <c r="B1584" t="s">
        <v>2013</v>
      </c>
      <c r="C1584" t="s">
        <v>1772</v>
      </c>
      <c r="D1584" t="s">
        <v>20</v>
      </c>
      <c r="E1584" t="s">
        <v>49</v>
      </c>
      <c r="F1584">
        <v>1</v>
      </c>
      <c r="G1584">
        <v>115</v>
      </c>
      <c r="H1584">
        <v>21.3</v>
      </c>
      <c r="I1584" t="s">
        <v>44</v>
      </c>
      <c r="J1584">
        <v>14</v>
      </c>
      <c r="K1584" t="s">
        <v>51</v>
      </c>
      <c r="M1584" t="str">
        <f>VLOOKUP(D1584,State_Lookup!$A$2:$B$28,2,FALSE)</f>
        <v>Parana</v>
      </c>
    </row>
    <row r="1585" spans="1:13" x14ac:dyDescent="0.45">
      <c r="A1585" t="s">
        <v>2014</v>
      </c>
      <c r="B1585" t="s">
        <v>2013</v>
      </c>
      <c r="C1585" t="s">
        <v>1772</v>
      </c>
      <c r="D1585" t="s">
        <v>25</v>
      </c>
      <c r="E1585" t="s">
        <v>43</v>
      </c>
      <c r="F1585">
        <v>1</v>
      </c>
      <c r="G1585">
        <v>89.9</v>
      </c>
      <c r="H1585">
        <v>17.88</v>
      </c>
      <c r="I1585" t="s">
        <v>44</v>
      </c>
      <c r="J1585">
        <v>11</v>
      </c>
      <c r="K1585" t="s">
        <v>51</v>
      </c>
      <c r="L1585">
        <v>5</v>
      </c>
      <c r="M1585" t="str">
        <f>VLOOKUP(D1585,State_Lookup!$A$2:$B$28,2,FALSE)</f>
        <v>Goias</v>
      </c>
    </row>
    <row r="1586" spans="1:13" x14ac:dyDescent="0.45">
      <c r="A1586" t="s">
        <v>2015</v>
      </c>
      <c r="B1586" t="s">
        <v>2013</v>
      </c>
      <c r="C1586" t="s">
        <v>1772</v>
      </c>
      <c r="D1586" t="s">
        <v>17</v>
      </c>
      <c r="E1586" t="s">
        <v>43</v>
      </c>
      <c r="F1586">
        <v>1</v>
      </c>
      <c r="G1586">
        <v>37.5</v>
      </c>
      <c r="H1586">
        <v>17.600000000000001</v>
      </c>
      <c r="I1586" t="s">
        <v>44</v>
      </c>
      <c r="J1586">
        <v>7</v>
      </c>
      <c r="K1586" t="s">
        <v>51</v>
      </c>
      <c r="L1586">
        <v>5</v>
      </c>
      <c r="M1586" t="str">
        <f>VLOOKUP(D1586,State_Lookup!$A$2:$B$28,2,FALSE)</f>
        <v>Rio de Janeiro</v>
      </c>
    </row>
    <row r="1587" spans="1:13" x14ac:dyDescent="0.45">
      <c r="A1587" t="s">
        <v>2016</v>
      </c>
      <c r="B1587" t="s">
        <v>2013</v>
      </c>
      <c r="C1587" t="s">
        <v>1772</v>
      </c>
      <c r="D1587" t="s">
        <v>16</v>
      </c>
      <c r="E1587" t="s">
        <v>192</v>
      </c>
      <c r="F1587">
        <v>1</v>
      </c>
      <c r="G1587">
        <v>125.9</v>
      </c>
      <c r="H1587">
        <v>12.84</v>
      </c>
      <c r="I1587" t="s">
        <v>50</v>
      </c>
      <c r="J1587">
        <v>4</v>
      </c>
      <c r="K1587" t="s">
        <v>51</v>
      </c>
      <c r="L1587">
        <v>4</v>
      </c>
      <c r="M1587" t="str">
        <f>VLOOKUP(D1587,State_Lookup!$A$2:$B$28,2,FALSE)</f>
        <v>Sao Paulo</v>
      </c>
    </row>
    <row r="1588" spans="1:13" x14ac:dyDescent="0.45">
      <c r="A1588" t="s">
        <v>2017</v>
      </c>
      <c r="B1588" t="s">
        <v>2013</v>
      </c>
      <c r="C1588" t="s">
        <v>1772</v>
      </c>
      <c r="D1588" t="s">
        <v>18</v>
      </c>
      <c r="E1588" t="s">
        <v>107</v>
      </c>
      <c r="F1588">
        <v>1</v>
      </c>
      <c r="G1588">
        <v>94</v>
      </c>
      <c r="H1588">
        <v>21.15</v>
      </c>
      <c r="I1588" t="s">
        <v>44</v>
      </c>
      <c r="J1588">
        <v>6</v>
      </c>
      <c r="K1588" t="s">
        <v>51</v>
      </c>
      <c r="L1588">
        <v>5</v>
      </c>
      <c r="M1588" t="str">
        <f>VLOOKUP(D1588,State_Lookup!$A$2:$B$28,2,FALSE)</f>
        <v>Minas Gerais</v>
      </c>
    </row>
    <row r="1589" spans="1:13" x14ac:dyDescent="0.45">
      <c r="A1589" t="s">
        <v>2018</v>
      </c>
      <c r="B1589" t="s">
        <v>2013</v>
      </c>
      <c r="C1589" t="s">
        <v>1772</v>
      </c>
      <c r="D1589" t="s">
        <v>22</v>
      </c>
      <c r="E1589" t="s">
        <v>43</v>
      </c>
      <c r="F1589">
        <v>1</v>
      </c>
      <c r="G1589">
        <v>49.9</v>
      </c>
      <c r="H1589">
        <v>15.79</v>
      </c>
      <c r="I1589" t="s">
        <v>44</v>
      </c>
      <c r="J1589">
        <v>8</v>
      </c>
      <c r="K1589" t="s">
        <v>51</v>
      </c>
      <c r="L1589">
        <v>5</v>
      </c>
      <c r="M1589" t="str">
        <f>VLOOKUP(D1589,State_Lookup!$A$2:$B$28,2,FALSE)</f>
        <v>Bahia</v>
      </c>
    </row>
    <row r="1590" spans="1:13" x14ac:dyDescent="0.45">
      <c r="A1590" t="s">
        <v>2019</v>
      </c>
      <c r="B1590" t="s">
        <v>2013</v>
      </c>
      <c r="C1590" t="s">
        <v>1772</v>
      </c>
      <c r="D1590" t="s">
        <v>18</v>
      </c>
      <c r="E1590" t="s">
        <v>107</v>
      </c>
      <c r="F1590">
        <v>1</v>
      </c>
      <c r="G1590">
        <v>25.99</v>
      </c>
      <c r="H1590">
        <v>14.1</v>
      </c>
      <c r="I1590" t="s">
        <v>44</v>
      </c>
      <c r="K1590" t="s">
        <v>45</v>
      </c>
      <c r="L1590">
        <v>1</v>
      </c>
      <c r="M1590" t="str">
        <f>VLOOKUP(D1590,State_Lookup!$A$2:$B$28,2,FALSE)</f>
        <v>Minas Gerais</v>
      </c>
    </row>
    <row r="1591" spans="1:13" x14ac:dyDescent="0.45">
      <c r="A1591" t="s">
        <v>2020</v>
      </c>
      <c r="B1591" t="s">
        <v>2021</v>
      </c>
      <c r="C1591" t="s">
        <v>1772</v>
      </c>
      <c r="D1591" t="s">
        <v>16</v>
      </c>
      <c r="E1591" t="s">
        <v>53</v>
      </c>
      <c r="F1591">
        <v>1</v>
      </c>
      <c r="G1591">
        <v>34.9</v>
      </c>
      <c r="H1591">
        <v>15.11</v>
      </c>
      <c r="I1591" t="s">
        <v>50</v>
      </c>
      <c r="J1591">
        <v>8</v>
      </c>
      <c r="K1591" t="s">
        <v>51</v>
      </c>
      <c r="L1591">
        <v>5</v>
      </c>
      <c r="M1591" t="str">
        <f>VLOOKUP(D1591,State_Lookup!$A$2:$B$28,2,FALSE)</f>
        <v>Sao Paulo</v>
      </c>
    </row>
    <row r="1592" spans="1:13" x14ac:dyDescent="0.45">
      <c r="A1592" t="s">
        <v>2022</v>
      </c>
      <c r="B1592" t="s">
        <v>2021</v>
      </c>
      <c r="C1592" t="s">
        <v>1772</v>
      </c>
      <c r="D1592" t="s">
        <v>18</v>
      </c>
      <c r="E1592" t="s">
        <v>142</v>
      </c>
      <c r="F1592">
        <v>1</v>
      </c>
      <c r="G1592">
        <v>178.6</v>
      </c>
      <c r="H1592">
        <v>18.5</v>
      </c>
      <c r="I1592" t="s">
        <v>44</v>
      </c>
      <c r="J1592">
        <v>21</v>
      </c>
      <c r="K1592" t="s">
        <v>143</v>
      </c>
      <c r="L1592">
        <v>4</v>
      </c>
      <c r="M1592" t="str">
        <f>VLOOKUP(D1592,State_Lookup!$A$2:$B$28,2,FALSE)</f>
        <v>Minas Gerais</v>
      </c>
    </row>
    <row r="1593" spans="1:13" x14ac:dyDescent="0.45">
      <c r="A1593" t="s">
        <v>2023</v>
      </c>
      <c r="B1593" t="s">
        <v>2021</v>
      </c>
      <c r="C1593" t="s">
        <v>1772</v>
      </c>
      <c r="D1593" t="s">
        <v>18</v>
      </c>
      <c r="E1593" t="s">
        <v>61</v>
      </c>
      <c r="F1593">
        <v>1</v>
      </c>
      <c r="G1593">
        <v>19.989999999999998</v>
      </c>
      <c r="H1593">
        <v>15.1</v>
      </c>
      <c r="I1593" t="s">
        <v>44</v>
      </c>
      <c r="J1593">
        <v>16</v>
      </c>
      <c r="K1593" t="s">
        <v>51</v>
      </c>
      <c r="L1593">
        <v>4</v>
      </c>
      <c r="M1593" t="str">
        <f>VLOOKUP(D1593,State_Lookup!$A$2:$B$28,2,FALSE)</f>
        <v>Minas Gerais</v>
      </c>
    </row>
    <row r="1594" spans="1:13" x14ac:dyDescent="0.45">
      <c r="A1594" t="s">
        <v>2024</v>
      </c>
      <c r="B1594" t="s">
        <v>2025</v>
      </c>
      <c r="C1594" t="s">
        <v>2026</v>
      </c>
      <c r="D1594" t="s">
        <v>18</v>
      </c>
      <c r="E1594" t="s">
        <v>66</v>
      </c>
      <c r="F1594">
        <v>1</v>
      </c>
      <c r="G1594">
        <v>16.899999999999999</v>
      </c>
      <c r="H1594">
        <v>15.1</v>
      </c>
      <c r="I1594" t="s">
        <v>44</v>
      </c>
      <c r="J1594">
        <v>9</v>
      </c>
      <c r="K1594" t="s">
        <v>51</v>
      </c>
      <c r="L1594">
        <v>5</v>
      </c>
      <c r="M1594" t="str">
        <f>VLOOKUP(D1594,State_Lookup!$A$2:$B$28,2,FALSE)</f>
        <v>Minas Gerais</v>
      </c>
    </row>
    <row r="1595" spans="1:13" x14ac:dyDescent="0.45">
      <c r="A1595" t="s">
        <v>2027</v>
      </c>
      <c r="B1595" t="s">
        <v>2025</v>
      </c>
      <c r="C1595" t="s">
        <v>2026</v>
      </c>
      <c r="D1595" t="s">
        <v>16</v>
      </c>
      <c r="E1595" t="s">
        <v>157</v>
      </c>
      <c r="F1595">
        <v>1</v>
      </c>
      <c r="G1595">
        <v>145</v>
      </c>
      <c r="H1595">
        <v>8.27</v>
      </c>
      <c r="I1595" t="s">
        <v>50</v>
      </c>
      <c r="J1595">
        <v>5</v>
      </c>
      <c r="K1595" t="s">
        <v>51</v>
      </c>
      <c r="L1595">
        <v>5</v>
      </c>
      <c r="M1595" t="str">
        <f>VLOOKUP(D1595,State_Lookup!$A$2:$B$28,2,FALSE)</f>
        <v>Sao Paulo</v>
      </c>
    </row>
    <row r="1596" spans="1:13" x14ac:dyDescent="0.45">
      <c r="A1596" t="s">
        <v>2028</v>
      </c>
      <c r="B1596" t="s">
        <v>2029</v>
      </c>
      <c r="C1596" t="s">
        <v>2026</v>
      </c>
      <c r="D1596" t="s">
        <v>16</v>
      </c>
      <c r="E1596" t="s">
        <v>598</v>
      </c>
      <c r="F1596">
        <v>1</v>
      </c>
      <c r="G1596">
        <v>169</v>
      </c>
      <c r="H1596">
        <v>15.93</v>
      </c>
      <c r="I1596" t="s">
        <v>44</v>
      </c>
      <c r="J1596">
        <v>6</v>
      </c>
      <c r="K1596" t="s">
        <v>51</v>
      </c>
      <c r="L1596">
        <v>4</v>
      </c>
      <c r="M1596" t="str">
        <f>VLOOKUP(D1596,State_Lookup!$A$2:$B$28,2,FALSE)</f>
        <v>Sao Paulo</v>
      </c>
    </row>
    <row r="1597" spans="1:13" x14ac:dyDescent="0.45">
      <c r="A1597" t="s">
        <v>2030</v>
      </c>
      <c r="B1597" t="s">
        <v>2029</v>
      </c>
      <c r="C1597" t="s">
        <v>2026</v>
      </c>
      <c r="D1597" t="s">
        <v>16</v>
      </c>
      <c r="E1597" t="s">
        <v>103</v>
      </c>
      <c r="F1597">
        <v>1</v>
      </c>
      <c r="G1597">
        <v>250</v>
      </c>
      <c r="H1597">
        <v>15.35</v>
      </c>
      <c r="I1597" t="s">
        <v>50</v>
      </c>
      <c r="J1597">
        <v>11</v>
      </c>
      <c r="K1597" t="s">
        <v>51</v>
      </c>
      <c r="L1597">
        <v>2</v>
      </c>
      <c r="M1597" t="str">
        <f>VLOOKUP(D1597,State_Lookup!$A$2:$B$28,2,FALSE)</f>
        <v>Sao Paulo</v>
      </c>
    </row>
    <row r="1598" spans="1:13" x14ac:dyDescent="0.45">
      <c r="A1598" t="s">
        <v>2031</v>
      </c>
      <c r="B1598" t="s">
        <v>2029</v>
      </c>
      <c r="C1598" t="s">
        <v>2026</v>
      </c>
      <c r="D1598" t="s">
        <v>24</v>
      </c>
      <c r="E1598" t="s">
        <v>69</v>
      </c>
      <c r="F1598">
        <v>2</v>
      </c>
      <c r="G1598">
        <v>119.8</v>
      </c>
      <c r="H1598">
        <v>17.68</v>
      </c>
      <c r="I1598" t="s">
        <v>50</v>
      </c>
      <c r="J1598">
        <v>14</v>
      </c>
      <c r="K1598" t="s">
        <v>51</v>
      </c>
      <c r="L1598">
        <v>4</v>
      </c>
      <c r="M1598" t="str">
        <f>VLOOKUP(D1598,State_Lookup!$A$2:$B$28,2,FALSE)</f>
        <v>Distrito Federal</v>
      </c>
    </row>
    <row r="1599" spans="1:13" x14ac:dyDescent="0.45">
      <c r="A1599" t="s">
        <v>2032</v>
      </c>
      <c r="B1599" t="s">
        <v>2029</v>
      </c>
      <c r="C1599" t="s">
        <v>2026</v>
      </c>
      <c r="D1599" t="s">
        <v>18</v>
      </c>
      <c r="E1599" t="s">
        <v>157</v>
      </c>
      <c r="F1599">
        <v>1</v>
      </c>
      <c r="G1599">
        <v>49</v>
      </c>
      <c r="H1599">
        <v>15.1</v>
      </c>
      <c r="I1599" t="s">
        <v>44</v>
      </c>
      <c r="J1599">
        <v>14</v>
      </c>
      <c r="K1599" t="s">
        <v>51</v>
      </c>
      <c r="L1599">
        <v>4</v>
      </c>
      <c r="M1599" t="str">
        <f>VLOOKUP(D1599,State_Lookup!$A$2:$B$28,2,FALSE)</f>
        <v>Minas Gerais</v>
      </c>
    </row>
    <row r="1600" spans="1:13" x14ac:dyDescent="0.45">
      <c r="A1600" t="s">
        <v>2033</v>
      </c>
      <c r="B1600" t="s">
        <v>2029</v>
      </c>
      <c r="C1600" t="s">
        <v>2026</v>
      </c>
      <c r="D1600" t="s">
        <v>113</v>
      </c>
      <c r="E1600" t="s">
        <v>267</v>
      </c>
      <c r="F1600">
        <v>1</v>
      </c>
      <c r="G1600">
        <v>100</v>
      </c>
      <c r="H1600">
        <v>34.5</v>
      </c>
      <c r="I1600" t="s">
        <v>44</v>
      </c>
      <c r="J1600">
        <v>21</v>
      </c>
      <c r="K1600" t="s">
        <v>51</v>
      </c>
      <c r="L1600">
        <v>5</v>
      </c>
      <c r="M1600" t="str">
        <f>VLOOKUP(D1600,State_Lookup!$A$2:$B$28,2,FALSE)</f>
        <v>Piaui</v>
      </c>
    </row>
    <row r="1601" spans="1:13" x14ac:dyDescent="0.45">
      <c r="A1601" t="s">
        <v>2034</v>
      </c>
      <c r="B1601" t="s">
        <v>2029</v>
      </c>
      <c r="C1601" t="s">
        <v>2026</v>
      </c>
      <c r="D1601" t="s">
        <v>632</v>
      </c>
      <c r="E1601" t="s">
        <v>69</v>
      </c>
      <c r="F1601">
        <v>1</v>
      </c>
      <c r="G1601">
        <v>59.9</v>
      </c>
      <c r="H1601">
        <v>37.97</v>
      </c>
      <c r="I1601" t="s">
        <v>44</v>
      </c>
      <c r="J1601">
        <v>21</v>
      </c>
      <c r="K1601" t="s">
        <v>51</v>
      </c>
      <c r="L1601">
        <v>5</v>
      </c>
      <c r="M1601" t="str">
        <f>VLOOKUP(D1601,State_Lookup!$A$2:$B$28,2,FALSE)</f>
        <v>Alagoas</v>
      </c>
    </row>
    <row r="1602" spans="1:13" x14ac:dyDescent="0.45">
      <c r="A1602" t="s">
        <v>2035</v>
      </c>
      <c r="B1602" t="s">
        <v>2029</v>
      </c>
      <c r="C1602" t="s">
        <v>2026</v>
      </c>
      <c r="D1602" t="s">
        <v>23</v>
      </c>
      <c r="E1602" t="s">
        <v>61</v>
      </c>
      <c r="F1602">
        <v>1</v>
      </c>
      <c r="G1602">
        <v>99</v>
      </c>
      <c r="H1602">
        <v>116.31</v>
      </c>
      <c r="I1602" t="s">
        <v>44</v>
      </c>
      <c r="J1602">
        <v>14</v>
      </c>
      <c r="K1602" t="s">
        <v>51</v>
      </c>
      <c r="L1602">
        <v>5</v>
      </c>
      <c r="M1602" t="str">
        <f>VLOOKUP(D1602,State_Lookup!$A$2:$B$28,2,FALSE)</f>
        <v>Espirito Santo</v>
      </c>
    </row>
    <row r="1603" spans="1:13" x14ac:dyDescent="0.45">
      <c r="A1603" t="s">
        <v>2036</v>
      </c>
      <c r="B1603" t="s">
        <v>2029</v>
      </c>
      <c r="C1603" t="s">
        <v>2026</v>
      </c>
      <c r="D1603" t="s">
        <v>208</v>
      </c>
      <c r="E1603" t="s">
        <v>157</v>
      </c>
      <c r="F1603">
        <v>1</v>
      </c>
      <c r="G1603">
        <v>45</v>
      </c>
      <c r="H1603">
        <v>16.79</v>
      </c>
      <c r="I1603" t="s">
        <v>44</v>
      </c>
      <c r="J1603">
        <v>11</v>
      </c>
      <c r="K1603" t="s">
        <v>51</v>
      </c>
      <c r="L1603">
        <v>5</v>
      </c>
      <c r="M1603" t="str">
        <f>VLOOKUP(D1603,State_Lookup!$A$2:$B$28,2,FALSE)</f>
        <v>Mato Grosso</v>
      </c>
    </row>
    <row r="1604" spans="1:13" x14ac:dyDescent="0.45">
      <c r="A1604" t="s">
        <v>2037</v>
      </c>
      <c r="B1604" t="s">
        <v>2038</v>
      </c>
      <c r="C1604" t="s">
        <v>2026</v>
      </c>
      <c r="D1604" t="s">
        <v>22</v>
      </c>
      <c r="E1604" t="s">
        <v>148</v>
      </c>
      <c r="F1604">
        <v>1</v>
      </c>
      <c r="G1604">
        <v>599.9</v>
      </c>
      <c r="H1604">
        <v>32.6</v>
      </c>
      <c r="I1604" t="s">
        <v>50</v>
      </c>
      <c r="J1604">
        <v>17</v>
      </c>
      <c r="K1604" t="s">
        <v>51</v>
      </c>
      <c r="L1604">
        <v>4</v>
      </c>
      <c r="M1604" t="str">
        <f>VLOOKUP(D1604,State_Lookup!$A$2:$B$28,2,FALSE)</f>
        <v>Bahia</v>
      </c>
    </row>
    <row r="1605" spans="1:13" x14ac:dyDescent="0.45">
      <c r="A1605" t="s">
        <v>2039</v>
      </c>
      <c r="B1605" t="s">
        <v>2038</v>
      </c>
      <c r="C1605" t="s">
        <v>2026</v>
      </c>
      <c r="D1605" t="s">
        <v>18</v>
      </c>
      <c r="E1605" t="s">
        <v>1650</v>
      </c>
      <c r="F1605">
        <v>1</v>
      </c>
      <c r="G1605">
        <v>1437</v>
      </c>
      <c r="H1605">
        <v>34.51</v>
      </c>
      <c r="I1605" t="s">
        <v>44</v>
      </c>
      <c r="J1605">
        <v>19</v>
      </c>
      <c r="K1605" t="s">
        <v>51</v>
      </c>
      <c r="L1605">
        <v>5</v>
      </c>
      <c r="M1605" t="str">
        <f>VLOOKUP(D1605,State_Lookup!$A$2:$B$28,2,FALSE)</f>
        <v>Minas Gerais</v>
      </c>
    </row>
    <row r="1606" spans="1:13" x14ac:dyDescent="0.45">
      <c r="A1606" t="s">
        <v>2040</v>
      </c>
      <c r="B1606" t="s">
        <v>2038</v>
      </c>
      <c r="C1606" t="s">
        <v>2026</v>
      </c>
      <c r="D1606" t="s">
        <v>23</v>
      </c>
      <c r="E1606" t="s">
        <v>157</v>
      </c>
      <c r="F1606">
        <v>2</v>
      </c>
      <c r="G1606">
        <v>58</v>
      </c>
      <c r="H1606">
        <v>14.1</v>
      </c>
      <c r="I1606" t="s">
        <v>44</v>
      </c>
      <c r="J1606">
        <v>13</v>
      </c>
      <c r="K1606" t="s">
        <v>51</v>
      </c>
      <c r="L1606">
        <v>1</v>
      </c>
      <c r="M1606" t="str">
        <f>VLOOKUP(D1606,State_Lookup!$A$2:$B$28,2,FALSE)</f>
        <v>Espirito Santo</v>
      </c>
    </row>
    <row r="1607" spans="1:13" x14ac:dyDescent="0.45">
      <c r="A1607" t="s">
        <v>2041</v>
      </c>
      <c r="B1607" t="s">
        <v>2042</v>
      </c>
      <c r="C1607" t="s">
        <v>2026</v>
      </c>
      <c r="D1607" t="s">
        <v>20</v>
      </c>
      <c r="E1607" t="s">
        <v>142</v>
      </c>
      <c r="F1607">
        <v>1</v>
      </c>
      <c r="G1607">
        <v>86.98</v>
      </c>
      <c r="H1607">
        <v>21.1</v>
      </c>
      <c r="I1607" t="s">
        <v>44</v>
      </c>
      <c r="J1607">
        <v>10</v>
      </c>
      <c r="K1607" t="s">
        <v>51</v>
      </c>
      <c r="L1607">
        <v>5</v>
      </c>
      <c r="M1607" t="str">
        <f>VLOOKUP(D1607,State_Lookup!$A$2:$B$28,2,FALSE)</f>
        <v>Parana</v>
      </c>
    </row>
    <row r="1608" spans="1:13" x14ac:dyDescent="0.45">
      <c r="A1608" t="s">
        <v>2043</v>
      </c>
      <c r="B1608" t="s">
        <v>2042</v>
      </c>
      <c r="C1608" t="s">
        <v>2026</v>
      </c>
      <c r="D1608" t="s">
        <v>18</v>
      </c>
      <c r="E1608" t="s">
        <v>157</v>
      </c>
      <c r="F1608">
        <v>1</v>
      </c>
      <c r="G1608">
        <v>129</v>
      </c>
      <c r="H1608">
        <v>15.65</v>
      </c>
      <c r="I1608" t="s">
        <v>50</v>
      </c>
      <c r="J1608">
        <v>15</v>
      </c>
      <c r="K1608" t="s">
        <v>51</v>
      </c>
      <c r="L1608">
        <v>5</v>
      </c>
      <c r="M1608" t="str">
        <f>VLOOKUP(D1608,State_Lookup!$A$2:$B$28,2,FALSE)</f>
        <v>Minas Gerais</v>
      </c>
    </row>
    <row r="1609" spans="1:13" x14ac:dyDescent="0.45">
      <c r="A1609" t="s">
        <v>2044</v>
      </c>
      <c r="B1609" t="s">
        <v>2042</v>
      </c>
      <c r="C1609" t="s">
        <v>2026</v>
      </c>
      <c r="D1609" t="s">
        <v>20</v>
      </c>
      <c r="E1609" t="s">
        <v>125</v>
      </c>
      <c r="F1609">
        <v>1</v>
      </c>
      <c r="G1609">
        <v>19.899999999999999</v>
      </c>
      <c r="H1609">
        <v>12.48</v>
      </c>
      <c r="I1609" t="s">
        <v>50</v>
      </c>
      <c r="J1609">
        <v>16</v>
      </c>
      <c r="K1609" t="s">
        <v>51</v>
      </c>
      <c r="L1609">
        <v>4</v>
      </c>
      <c r="M1609" t="str">
        <f>VLOOKUP(D1609,State_Lookup!$A$2:$B$28,2,FALSE)</f>
        <v>Parana</v>
      </c>
    </row>
    <row r="1610" spans="1:13" x14ac:dyDescent="0.45">
      <c r="A1610" t="s">
        <v>2045</v>
      </c>
      <c r="B1610" t="s">
        <v>2042</v>
      </c>
      <c r="C1610" t="s">
        <v>2026</v>
      </c>
      <c r="D1610" t="s">
        <v>219</v>
      </c>
      <c r="E1610" t="s">
        <v>107</v>
      </c>
      <c r="F1610">
        <v>1</v>
      </c>
      <c r="G1610">
        <v>799.99</v>
      </c>
      <c r="H1610">
        <v>217.53</v>
      </c>
      <c r="I1610" t="s">
        <v>44</v>
      </c>
      <c r="J1610">
        <v>13</v>
      </c>
      <c r="K1610" t="s">
        <v>51</v>
      </c>
      <c r="L1610">
        <v>5</v>
      </c>
      <c r="M1610" t="str">
        <f>VLOOKUP(D1610,State_Lookup!$A$2:$B$28,2,FALSE)</f>
        <v>Rondonia</v>
      </c>
    </row>
    <row r="1611" spans="1:13" x14ac:dyDescent="0.45">
      <c r="A1611" t="s">
        <v>2046</v>
      </c>
      <c r="B1611" t="s">
        <v>2042</v>
      </c>
      <c r="C1611" t="s">
        <v>2026</v>
      </c>
      <c r="D1611" t="s">
        <v>17</v>
      </c>
      <c r="E1611" t="s">
        <v>148</v>
      </c>
      <c r="F1611">
        <v>1</v>
      </c>
      <c r="G1611">
        <v>249.9</v>
      </c>
      <c r="H1611">
        <v>69.22</v>
      </c>
      <c r="I1611" t="s">
        <v>133</v>
      </c>
      <c r="J1611">
        <v>6</v>
      </c>
      <c r="K1611" t="s">
        <v>51</v>
      </c>
      <c r="L1611">
        <v>5</v>
      </c>
      <c r="M1611" t="str">
        <f>VLOOKUP(D1611,State_Lookup!$A$2:$B$28,2,FALSE)</f>
        <v>Rio de Janeiro</v>
      </c>
    </row>
    <row r="1612" spans="1:13" x14ac:dyDescent="0.45">
      <c r="A1612" t="s">
        <v>2047</v>
      </c>
      <c r="B1612" t="s">
        <v>2042</v>
      </c>
      <c r="C1612" t="s">
        <v>2026</v>
      </c>
      <c r="D1612" t="s">
        <v>19</v>
      </c>
      <c r="E1612" t="s">
        <v>69</v>
      </c>
      <c r="F1612">
        <v>2</v>
      </c>
      <c r="G1612">
        <v>119.8</v>
      </c>
      <c r="H1612">
        <v>35.340000000000003</v>
      </c>
      <c r="I1612" t="s">
        <v>44</v>
      </c>
      <c r="J1612">
        <v>17</v>
      </c>
      <c r="K1612" t="s">
        <v>51</v>
      </c>
      <c r="L1612">
        <v>3</v>
      </c>
      <c r="M1612" t="str">
        <f>VLOOKUP(D1612,State_Lookup!$A$2:$B$28,2,FALSE)</f>
        <v>Rio Grande do Sul</v>
      </c>
    </row>
    <row r="1613" spans="1:13" x14ac:dyDescent="0.45">
      <c r="A1613" t="s">
        <v>2048</v>
      </c>
      <c r="B1613" t="s">
        <v>2049</v>
      </c>
      <c r="C1613" t="s">
        <v>2026</v>
      </c>
      <c r="D1613" t="s">
        <v>63</v>
      </c>
      <c r="E1613" t="s">
        <v>53</v>
      </c>
      <c r="F1613">
        <v>1</v>
      </c>
      <c r="G1613">
        <v>99.99</v>
      </c>
      <c r="H1613">
        <v>23.02</v>
      </c>
      <c r="I1613" t="s">
        <v>44</v>
      </c>
      <c r="J1613">
        <v>7</v>
      </c>
      <c r="K1613" t="s">
        <v>51</v>
      </c>
      <c r="L1613">
        <v>5</v>
      </c>
      <c r="M1613" t="str">
        <f>VLOOKUP(D1613,State_Lookup!$A$2:$B$28,2,FALSE)</f>
        <v>Pernambuco</v>
      </c>
    </row>
    <row r="1614" spans="1:13" x14ac:dyDescent="0.45">
      <c r="A1614" t="s">
        <v>2050</v>
      </c>
      <c r="B1614" t="s">
        <v>2049</v>
      </c>
      <c r="C1614" t="s">
        <v>2026</v>
      </c>
      <c r="D1614" t="s">
        <v>21</v>
      </c>
      <c r="E1614" t="s">
        <v>110</v>
      </c>
      <c r="F1614">
        <v>1</v>
      </c>
      <c r="G1614">
        <v>99.99</v>
      </c>
      <c r="H1614">
        <v>25.54</v>
      </c>
      <c r="I1614" t="s">
        <v>44</v>
      </c>
      <c r="J1614">
        <v>16</v>
      </c>
      <c r="K1614" t="s">
        <v>51</v>
      </c>
      <c r="L1614">
        <v>5</v>
      </c>
      <c r="M1614" t="str">
        <f>VLOOKUP(D1614,State_Lookup!$A$2:$B$28,2,FALSE)</f>
        <v>Santa Catarina</v>
      </c>
    </row>
    <row r="1615" spans="1:13" x14ac:dyDescent="0.45">
      <c r="A1615" t="s">
        <v>2051</v>
      </c>
      <c r="B1615" t="s">
        <v>2049</v>
      </c>
      <c r="C1615" t="s">
        <v>2026</v>
      </c>
      <c r="D1615" t="s">
        <v>16</v>
      </c>
      <c r="E1615" t="s">
        <v>148</v>
      </c>
      <c r="F1615">
        <v>2</v>
      </c>
      <c r="G1615">
        <v>499.8</v>
      </c>
      <c r="H1615">
        <v>149.4</v>
      </c>
      <c r="I1615" t="s">
        <v>50</v>
      </c>
      <c r="J1615">
        <v>5</v>
      </c>
      <c r="K1615" t="s">
        <v>51</v>
      </c>
      <c r="L1615">
        <v>5</v>
      </c>
      <c r="M1615" t="str">
        <f>VLOOKUP(D1615,State_Lookup!$A$2:$B$28,2,FALSE)</f>
        <v>Sao Paulo</v>
      </c>
    </row>
    <row r="1616" spans="1:13" x14ac:dyDescent="0.45">
      <c r="A1616" t="s">
        <v>2052</v>
      </c>
      <c r="B1616" t="s">
        <v>2049</v>
      </c>
      <c r="C1616" t="s">
        <v>2026</v>
      </c>
      <c r="D1616" t="s">
        <v>17</v>
      </c>
      <c r="E1616" t="s">
        <v>110</v>
      </c>
      <c r="F1616">
        <v>1</v>
      </c>
      <c r="G1616">
        <v>45.9</v>
      </c>
      <c r="H1616">
        <v>15.11</v>
      </c>
      <c r="I1616" t="s">
        <v>44</v>
      </c>
      <c r="J1616">
        <v>6</v>
      </c>
      <c r="K1616" t="s">
        <v>51</v>
      </c>
      <c r="L1616">
        <v>5</v>
      </c>
      <c r="M1616" t="str">
        <f>VLOOKUP(D1616,State_Lookup!$A$2:$B$28,2,FALSE)</f>
        <v>Rio de Janeiro</v>
      </c>
    </row>
    <row r="1617" spans="1:13" x14ac:dyDescent="0.45">
      <c r="A1617" t="s">
        <v>2053</v>
      </c>
      <c r="B1617" t="s">
        <v>2049</v>
      </c>
      <c r="C1617" t="s">
        <v>2026</v>
      </c>
      <c r="D1617" t="s">
        <v>25</v>
      </c>
      <c r="E1617" t="s">
        <v>79</v>
      </c>
      <c r="F1617">
        <v>1</v>
      </c>
      <c r="G1617">
        <v>116</v>
      </c>
      <c r="H1617">
        <v>13.83</v>
      </c>
      <c r="I1617" t="s">
        <v>50</v>
      </c>
      <c r="J1617">
        <v>9</v>
      </c>
      <c r="K1617" t="s">
        <v>51</v>
      </c>
      <c r="L1617">
        <v>5</v>
      </c>
      <c r="M1617" t="str">
        <f>VLOOKUP(D1617,State_Lookup!$A$2:$B$28,2,FALSE)</f>
        <v>Goias</v>
      </c>
    </row>
    <row r="1618" spans="1:13" x14ac:dyDescent="0.45">
      <c r="A1618" t="s">
        <v>2054</v>
      </c>
      <c r="B1618" t="s">
        <v>2055</v>
      </c>
      <c r="C1618" t="s">
        <v>2026</v>
      </c>
      <c r="D1618" t="s">
        <v>16</v>
      </c>
      <c r="E1618" t="s">
        <v>199</v>
      </c>
      <c r="F1618">
        <v>1</v>
      </c>
      <c r="G1618">
        <v>29.99</v>
      </c>
      <c r="H1618">
        <v>8.27</v>
      </c>
      <c r="I1618" t="s">
        <v>44</v>
      </c>
      <c r="J1618">
        <v>2</v>
      </c>
      <c r="K1618" t="s">
        <v>51</v>
      </c>
      <c r="L1618">
        <v>5</v>
      </c>
      <c r="M1618" t="str">
        <f>VLOOKUP(D1618,State_Lookup!$A$2:$B$28,2,FALSE)</f>
        <v>Sao Paulo</v>
      </c>
    </row>
    <row r="1619" spans="1:13" x14ac:dyDescent="0.45">
      <c r="A1619" t="s">
        <v>2056</v>
      </c>
      <c r="B1619" t="s">
        <v>2055</v>
      </c>
      <c r="C1619" t="s">
        <v>2026</v>
      </c>
      <c r="D1619" t="s">
        <v>17</v>
      </c>
      <c r="E1619" t="s">
        <v>79</v>
      </c>
      <c r="F1619">
        <v>1</v>
      </c>
      <c r="G1619">
        <v>45.04</v>
      </c>
      <c r="H1619">
        <v>7.94</v>
      </c>
      <c r="I1619" t="s">
        <v>44</v>
      </c>
      <c r="J1619">
        <v>3</v>
      </c>
      <c r="K1619" t="s">
        <v>51</v>
      </c>
      <c r="L1619">
        <v>5</v>
      </c>
      <c r="M1619" t="str">
        <f>VLOOKUP(D1619,State_Lookup!$A$2:$B$28,2,FALSE)</f>
        <v>Rio de Janeiro</v>
      </c>
    </row>
    <row r="1620" spans="1:13" x14ac:dyDescent="0.45">
      <c r="A1620" t="s">
        <v>2057</v>
      </c>
      <c r="B1620" t="s">
        <v>2055</v>
      </c>
      <c r="C1620" t="s">
        <v>2026</v>
      </c>
      <c r="D1620" t="s">
        <v>16</v>
      </c>
      <c r="E1620" t="s">
        <v>49</v>
      </c>
      <c r="F1620">
        <v>1</v>
      </c>
      <c r="G1620">
        <v>229.9</v>
      </c>
      <c r="H1620">
        <v>14.16</v>
      </c>
      <c r="I1620" t="s">
        <v>44</v>
      </c>
      <c r="K1620" t="s">
        <v>45</v>
      </c>
      <c r="L1620">
        <v>1</v>
      </c>
      <c r="M1620" t="str">
        <f>VLOOKUP(D1620,State_Lookup!$A$2:$B$28,2,FALSE)</f>
        <v>Sao Paulo</v>
      </c>
    </row>
    <row r="1621" spans="1:13" x14ac:dyDescent="0.45">
      <c r="A1621" t="s">
        <v>2058</v>
      </c>
      <c r="B1621" t="s">
        <v>2055</v>
      </c>
      <c r="C1621" t="s">
        <v>2026</v>
      </c>
      <c r="D1621" t="s">
        <v>21</v>
      </c>
      <c r="E1621" t="s">
        <v>157</v>
      </c>
      <c r="F1621">
        <v>1</v>
      </c>
      <c r="G1621">
        <v>19.899999999999999</v>
      </c>
      <c r="H1621">
        <v>16.11</v>
      </c>
      <c r="I1621" t="s">
        <v>44</v>
      </c>
      <c r="J1621">
        <v>18</v>
      </c>
      <c r="K1621" t="s">
        <v>51</v>
      </c>
      <c r="M1621" t="str">
        <f>VLOOKUP(D1621,State_Lookup!$A$2:$B$28,2,FALSE)</f>
        <v>Santa Catarina</v>
      </c>
    </row>
    <row r="1622" spans="1:13" x14ac:dyDescent="0.45">
      <c r="A1622" t="s">
        <v>2059</v>
      </c>
      <c r="B1622" t="s">
        <v>2055</v>
      </c>
      <c r="C1622" t="s">
        <v>2026</v>
      </c>
      <c r="D1622" t="s">
        <v>17</v>
      </c>
      <c r="E1622" t="s">
        <v>199</v>
      </c>
      <c r="F1622">
        <v>1</v>
      </c>
      <c r="G1622">
        <v>89.9</v>
      </c>
      <c r="H1622">
        <v>17.2</v>
      </c>
      <c r="I1622" t="s">
        <v>44</v>
      </c>
      <c r="J1622">
        <v>17</v>
      </c>
      <c r="K1622" t="s">
        <v>51</v>
      </c>
      <c r="L1622">
        <v>3</v>
      </c>
      <c r="M1622" t="str">
        <f>VLOOKUP(D1622,State_Lookup!$A$2:$B$28,2,FALSE)</f>
        <v>Rio de Janeiro</v>
      </c>
    </row>
    <row r="1623" spans="1:13" x14ac:dyDescent="0.45">
      <c r="A1623" t="s">
        <v>2060</v>
      </c>
      <c r="B1623" t="s">
        <v>2055</v>
      </c>
      <c r="C1623" t="s">
        <v>2026</v>
      </c>
      <c r="D1623" t="s">
        <v>16</v>
      </c>
      <c r="E1623" t="s">
        <v>66</v>
      </c>
      <c r="F1623">
        <v>3</v>
      </c>
      <c r="G1623">
        <v>115</v>
      </c>
      <c r="H1623">
        <v>35.54</v>
      </c>
      <c r="I1623" t="s">
        <v>50</v>
      </c>
      <c r="J1623">
        <v>7</v>
      </c>
      <c r="K1623" t="s">
        <v>51</v>
      </c>
      <c r="L1623">
        <v>5</v>
      </c>
      <c r="M1623" t="str">
        <f>VLOOKUP(D1623,State_Lookup!$A$2:$B$28,2,FALSE)</f>
        <v>Sao Paulo</v>
      </c>
    </row>
    <row r="1624" spans="1:13" x14ac:dyDescent="0.45">
      <c r="A1624" t="s">
        <v>2061</v>
      </c>
      <c r="B1624" t="s">
        <v>2055</v>
      </c>
      <c r="C1624" t="s">
        <v>2026</v>
      </c>
      <c r="D1624" t="s">
        <v>17</v>
      </c>
      <c r="E1624" t="s">
        <v>110</v>
      </c>
      <c r="F1624">
        <v>2</v>
      </c>
      <c r="G1624">
        <v>33.799999999999997</v>
      </c>
      <c r="H1624">
        <v>28.2</v>
      </c>
      <c r="I1624" t="s">
        <v>44</v>
      </c>
      <c r="J1624">
        <v>17</v>
      </c>
      <c r="K1624" t="s">
        <v>51</v>
      </c>
      <c r="L1624">
        <v>5</v>
      </c>
      <c r="M1624" t="str">
        <f>VLOOKUP(D1624,State_Lookup!$A$2:$B$28,2,FALSE)</f>
        <v>Rio de Janeiro</v>
      </c>
    </row>
    <row r="1625" spans="1:13" x14ac:dyDescent="0.45">
      <c r="A1625" t="s">
        <v>2062</v>
      </c>
      <c r="B1625" t="s">
        <v>2055</v>
      </c>
      <c r="C1625" t="s">
        <v>2026</v>
      </c>
      <c r="D1625" t="s">
        <v>20</v>
      </c>
      <c r="E1625" t="s">
        <v>220</v>
      </c>
      <c r="F1625">
        <v>1</v>
      </c>
      <c r="G1625">
        <v>194.99</v>
      </c>
      <c r="H1625">
        <v>74.31</v>
      </c>
      <c r="I1625" t="s">
        <v>50</v>
      </c>
      <c r="J1625">
        <v>24</v>
      </c>
      <c r="K1625" t="s">
        <v>51</v>
      </c>
      <c r="L1625">
        <v>3</v>
      </c>
      <c r="M1625" t="str">
        <f>VLOOKUP(D1625,State_Lookup!$A$2:$B$28,2,FALSE)</f>
        <v>Parana</v>
      </c>
    </row>
    <row r="1626" spans="1:13" x14ac:dyDescent="0.45">
      <c r="A1626" t="s">
        <v>2063</v>
      </c>
      <c r="B1626" t="s">
        <v>2064</v>
      </c>
      <c r="C1626" t="s">
        <v>2026</v>
      </c>
      <c r="D1626" t="s">
        <v>21</v>
      </c>
      <c r="E1626" t="s">
        <v>142</v>
      </c>
      <c r="F1626">
        <v>1</v>
      </c>
      <c r="G1626">
        <v>56.9</v>
      </c>
      <c r="H1626">
        <v>16.16</v>
      </c>
      <c r="I1626" t="s">
        <v>44</v>
      </c>
      <c r="J1626">
        <v>15</v>
      </c>
      <c r="K1626" t="s">
        <v>51</v>
      </c>
      <c r="L1626">
        <v>5</v>
      </c>
      <c r="M1626" t="str">
        <f>VLOOKUP(D1626,State_Lookup!$A$2:$B$28,2,FALSE)</f>
        <v>Santa Catarina</v>
      </c>
    </row>
    <row r="1627" spans="1:13" x14ac:dyDescent="0.45">
      <c r="A1627" t="s">
        <v>2065</v>
      </c>
      <c r="B1627" t="s">
        <v>2064</v>
      </c>
      <c r="C1627" t="s">
        <v>2026</v>
      </c>
      <c r="D1627" t="s">
        <v>16</v>
      </c>
      <c r="E1627" t="s">
        <v>43</v>
      </c>
      <c r="F1627">
        <v>1</v>
      </c>
      <c r="G1627">
        <v>59.55</v>
      </c>
      <c r="H1627">
        <v>13.44</v>
      </c>
      <c r="I1627" t="s">
        <v>44</v>
      </c>
      <c r="J1627">
        <v>8</v>
      </c>
      <c r="K1627" t="s">
        <v>51</v>
      </c>
      <c r="L1627">
        <v>3</v>
      </c>
      <c r="M1627" t="str">
        <f>VLOOKUP(D1627,State_Lookup!$A$2:$B$28,2,FALSE)</f>
        <v>Sao Paulo</v>
      </c>
    </row>
    <row r="1628" spans="1:13" x14ac:dyDescent="0.45">
      <c r="A1628" t="s">
        <v>2066</v>
      </c>
      <c r="B1628" t="s">
        <v>2064</v>
      </c>
      <c r="C1628" t="s">
        <v>2026</v>
      </c>
      <c r="D1628" t="s">
        <v>18</v>
      </c>
      <c r="E1628" t="s">
        <v>66</v>
      </c>
      <c r="F1628">
        <v>1</v>
      </c>
      <c r="G1628">
        <v>27.99</v>
      </c>
      <c r="H1628">
        <v>14.1</v>
      </c>
      <c r="I1628" t="s">
        <v>133</v>
      </c>
      <c r="J1628">
        <v>6</v>
      </c>
      <c r="K1628" t="s">
        <v>51</v>
      </c>
      <c r="L1628">
        <v>5</v>
      </c>
      <c r="M1628" t="str">
        <f>VLOOKUP(D1628,State_Lookup!$A$2:$B$28,2,FALSE)</f>
        <v>Minas Gerais</v>
      </c>
    </row>
    <row r="1629" spans="1:13" x14ac:dyDescent="0.45">
      <c r="A1629" t="s">
        <v>2067</v>
      </c>
      <c r="B1629" t="s">
        <v>2064</v>
      </c>
      <c r="C1629" t="s">
        <v>2026</v>
      </c>
      <c r="D1629" t="s">
        <v>16</v>
      </c>
      <c r="E1629" t="s">
        <v>157</v>
      </c>
      <c r="F1629">
        <v>1</v>
      </c>
      <c r="G1629">
        <v>29</v>
      </c>
      <c r="H1629">
        <v>7.78</v>
      </c>
      <c r="I1629" t="s">
        <v>44</v>
      </c>
      <c r="J1629">
        <v>6</v>
      </c>
      <c r="K1629" t="s">
        <v>51</v>
      </c>
      <c r="L1629">
        <v>3</v>
      </c>
      <c r="M1629" t="str">
        <f>VLOOKUP(D1629,State_Lookup!$A$2:$B$28,2,FALSE)</f>
        <v>Sao Paulo</v>
      </c>
    </row>
    <row r="1630" spans="1:13" x14ac:dyDescent="0.45">
      <c r="A1630" t="s">
        <v>2068</v>
      </c>
      <c r="B1630" t="s">
        <v>2064</v>
      </c>
      <c r="C1630" t="s">
        <v>2026</v>
      </c>
      <c r="D1630" t="s">
        <v>18</v>
      </c>
      <c r="E1630" t="s">
        <v>66</v>
      </c>
      <c r="F1630">
        <v>1</v>
      </c>
      <c r="G1630">
        <v>27.99</v>
      </c>
      <c r="H1630">
        <v>15.1</v>
      </c>
      <c r="I1630" t="s">
        <v>44</v>
      </c>
      <c r="J1630">
        <v>6</v>
      </c>
      <c r="K1630" t="s">
        <v>51</v>
      </c>
      <c r="L1630">
        <v>5</v>
      </c>
      <c r="M1630" t="str">
        <f>VLOOKUP(D1630,State_Lookup!$A$2:$B$28,2,FALSE)</f>
        <v>Minas Gerais</v>
      </c>
    </row>
    <row r="1631" spans="1:13" x14ac:dyDescent="0.45">
      <c r="A1631" t="s">
        <v>2069</v>
      </c>
      <c r="B1631" t="s">
        <v>2064</v>
      </c>
      <c r="C1631" t="s">
        <v>2026</v>
      </c>
      <c r="D1631" t="s">
        <v>16</v>
      </c>
      <c r="E1631" t="s">
        <v>103</v>
      </c>
      <c r="F1631">
        <v>1</v>
      </c>
      <c r="G1631">
        <v>29.9</v>
      </c>
      <c r="H1631">
        <v>11.85</v>
      </c>
      <c r="I1631" t="s">
        <v>44</v>
      </c>
      <c r="J1631">
        <v>13</v>
      </c>
      <c r="K1631" t="s">
        <v>51</v>
      </c>
      <c r="L1631">
        <v>5</v>
      </c>
      <c r="M1631" t="str">
        <f>VLOOKUP(D1631,State_Lookup!$A$2:$B$28,2,FALSE)</f>
        <v>Sao Paulo</v>
      </c>
    </row>
    <row r="1632" spans="1:13" x14ac:dyDescent="0.45">
      <c r="A1632" t="s">
        <v>2070</v>
      </c>
      <c r="B1632" t="s">
        <v>2064</v>
      </c>
      <c r="C1632" t="s">
        <v>2026</v>
      </c>
      <c r="D1632" t="s">
        <v>63</v>
      </c>
      <c r="E1632" t="s">
        <v>64</v>
      </c>
      <c r="F1632">
        <v>1</v>
      </c>
      <c r="G1632">
        <v>13.99</v>
      </c>
      <c r="H1632">
        <v>25.63</v>
      </c>
      <c r="I1632" t="s">
        <v>50</v>
      </c>
      <c r="J1632">
        <v>16</v>
      </c>
      <c r="K1632" t="s">
        <v>51</v>
      </c>
      <c r="L1632">
        <v>3</v>
      </c>
      <c r="M1632" t="str">
        <f>VLOOKUP(D1632,State_Lookup!$A$2:$B$28,2,FALSE)</f>
        <v>Pernambuco</v>
      </c>
    </row>
    <row r="1633" spans="1:13" x14ac:dyDescent="0.45">
      <c r="A1633" t="s">
        <v>2071</v>
      </c>
      <c r="B1633" t="s">
        <v>2064</v>
      </c>
      <c r="C1633" t="s">
        <v>2026</v>
      </c>
      <c r="D1633" t="s">
        <v>16</v>
      </c>
      <c r="E1633" t="s">
        <v>103</v>
      </c>
      <c r="F1633">
        <v>1</v>
      </c>
      <c r="G1633">
        <v>38.97</v>
      </c>
      <c r="H1633">
        <v>11.85</v>
      </c>
      <c r="I1633" t="s">
        <v>50</v>
      </c>
      <c r="J1633">
        <v>7</v>
      </c>
      <c r="K1633" t="s">
        <v>51</v>
      </c>
      <c r="L1633">
        <v>5</v>
      </c>
      <c r="M1633" t="str">
        <f>VLOOKUP(D1633,State_Lookup!$A$2:$B$28,2,FALSE)</f>
        <v>Sao Paulo</v>
      </c>
    </row>
    <row r="1634" spans="1:13" x14ac:dyDescent="0.45">
      <c r="A1634" t="s">
        <v>2072</v>
      </c>
      <c r="B1634" t="s">
        <v>2064</v>
      </c>
      <c r="C1634" t="s">
        <v>2026</v>
      </c>
      <c r="D1634" t="s">
        <v>487</v>
      </c>
      <c r="E1634" t="s">
        <v>58</v>
      </c>
      <c r="F1634">
        <v>1</v>
      </c>
      <c r="G1634">
        <v>339.9</v>
      </c>
      <c r="H1634">
        <v>46.23</v>
      </c>
      <c r="I1634" t="s">
        <v>44</v>
      </c>
      <c r="J1634">
        <v>18</v>
      </c>
      <c r="K1634" t="s">
        <v>51</v>
      </c>
      <c r="L1634">
        <v>5</v>
      </c>
      <c r="M1634" t="str">
        <f>VLOOKUP(D1634,State_Lookup!$A$2:$B$28,2,FALSE)</f>
        <v>Rio Grande do Norte</v>
      </c>
    </row>
    <row r="1635" spans="1:13" x14ac:dyDescent="0.45">
      <c r="A1635" t="s">
        <v>2073</v>
      </c>
      <c r="B1635" t="s">
        <v>2064</v>
      </c>
      <c r="C1635" t="s">
        <v>2026</v>
      </c>
      <c r="D1635" t="s">
        <v>16</v>
      </c>
      <c r="E1635" t="s">
        <v>125</v>
      </c>
      <c r="F1635">
        <v>1</v>
      </c>
      <c r="G1635">
        <v>12.9</v>
      </c>
      <c r="H1635">
        <v>7.78</v>
      </c>
      <c r="I1635" t="s">
        <v>50</v>
      </c>
      <c r="J1635">
        <v>3</v>
      </c>
      <c r="K1635" t="s">
        <v>51</v>
      </c>
      <c r="L1635">
        <v>4</v>
      </c>
      <c r="M1635" t="str">
        <f>VLOOKUP(D1635,State_Lookup!$A$2:$B$28,2,FALSE)</f>
        <v>Sao Paulo</v>
      </c>
    </row>
    <row r="1636" spans="1:13" x14ac:dyDescent="0.45">
      <c r="A1636" t="s">
        <v>2074</v>
      </c>
      <c r="B1636" t="s">
        <v>2075</v>
      </c>
      <c r="C1636" t="s">
        <v>2026</v>
      </c>
      <c r="D1636" t="s">
        <v>17</v>
      </c>
      <c r="E1636" t="s">
        <v>69</v>
      </c>
      <c r="F1636">
        <v>1</v>
      </c>
      <c r="G1636">
        <v>59.9</v>
      </c>
      <c r="H1636">
        <v>17.670000000000002</v>
      </c>
      <c r="I1636" t="s">
        <v>108</v>
      </c>
      <c r="J1636">
        <v>13</v>
      </c>
      <c r="K1636" t="s">
        <v>51</v>
      </c>
      <c r="L1636">
        <v>5</v>
      </c>
      <c r="M1636" t="str">
        <f>VLOOKUP(D1636,State_Lookup!$A$2:$B$28,2,FALSE)</f>
        <v>Rio de Janeiro</v>
      </c>
    </row>
    <row r="1637" spans="1:13" x14ac:dyDescent="0.45">
      <c r="A1637" t="s">
        <v>2076</v>
      </c>
      <c r="B1637" t="s">
        <v>2075</v>
      </c>
      <c r="C1637" t="s">
        <v>2026</v>
      </c>
      <c r="D1637" t="s">
        <v>16</v>
      </c>
      <c r="E1637" t="s">
        <v>132</v>
      </c>
      <c r="F1637">
        <v>1</v>
      </c>
      <c r="G1637">
        <v>49.99</v>
      </c>
      <c r="H1637">
        <v>7.78</v>
      </c>
      <c r="I1637" t="s">
        <v>44</v>
      </c>
      <c r="J1637">
        <v>1</v>
      </c>
      <c r="K1637" t="s">
        <v>51</v>
      </c>
      <c r="L1637">
        <v>5</v>
      </c>
      <c r="M1637" t="str">
        <f>VLOOKUP(D1637,State_Lookup!$A$2:$B$28,2,FALSE)</f>
        <v>Sao Paulo</v>
      </c>
    </row>
    <row r="1638" spans="1:13" x14ac:dyDescent="0.45">
      <c r="A1638" t="s">
        <v>2077</v>
      </c>
      <c r="B1638" t="s">
        <v>2075</v>
      </c>
      <c r="C1638" t="s">
        <v>2026</v>
      </c>
      <c r="D1638" t="s">
        <v>18</v>
      </c>
      <c r="E1638" t="s">
        <v>66</v>
      </c>
      <c r="F1638">
        <v>1</v>
      </c>
      <c r="G1638">
        <v>27.99</v>
      </c>
      <c r="H1638">
        <v>14.1</v>
      </c>
      <c r="I1638" t="s">
        <v>44</v>
      </c>
      <c r="J1638">
        <v>5</v>
      </c>
      <c r="K1638" t="s">
        <v>51</v>
      </c>
      <c r="L1638">
        <v>5</v>
      </c>
      <c r="M1638" t="str">
        <f>VLOOKUP(D1638,State_Lookup!$A$2:$B$28,2,FALSE)</f>
        <v>Minas Gerais</v>
      </c>
    </row>
    <row r="1639" spans="1:13" x14ac:dyDescent="0.45">
      <c r="A1639" t="s">
        <v>2078</v>
      </c>
      <c r="B1639" t="s">
        <v>2075</v>
      </c>
      <c r="C1639" t="s">
        <v>2026</v>
      </c>
      <c r="D1639" t="s">
        <v>25</v>
      </c>
      <c r="E1639" t="s">
        <v>2079</v>
      </c>
      <c r="F1639">
        <v>1</v>
      </c>
      <c r="G1639">
        <v>250</v>
      </c>
      <c r="H1639">
        <v>62.49</v>
      </c>
      <c r="I1639" t="s">
        <v>50</v>
      </c>
      <c r="J1639">
        <v>20</v>
      </c>
      <c r="K1639" t="s">
        <v>51</v>
      </c>
      <c r="L1639">
        <v>5</v>
      </c>
      <c r="M1639" t="str">
        <f>VLOOKUP(D1639,State_Lookup!$A$2:$B$28,2,FALSE)</f>
        <v>Goias</v>
      </c>
    </row>
    <row r="1640" spans="1:13" x14ac:dyDescent="0.45">
      <c r="A1640" t="s">
        <v>2080</v>
      </c>
      <c r="B1640" t="s">
        <v>2075</v>
      </c>
      <c r="C1640" t="s">
        <v>2026</v>
      </c>
      <c r="D1640" t="s">
        <v>16</v>
      </c>
      <c r="E1640" t="s">
        <v>192</v>
      </c>
      <c r="F1640">
        <v>1</v>
      </c>
      <c r="G1640">
        <v>78.900000000000006</v>
      </c>
      <c r="H1640">
        <v>9.3000000000000007</v>
      </c>
      <c r="I1640" t="s">
        <v>44</v>
      </c>
      <c r="J1640">
        <v>8</v>
      </c>
      <c r="K1640" t="s">
        <v>51</v>
      </c>
      <c r="L1640">
        <v>1</v>
      </c>
      <c r="M1640" t="str">
        <f>VLOOKUP(D1640,State_Lookup!$A$2:$B$28,2,FALSE)</f>
        <v>Sao Paulo</v>
      </c>
    </row>
    <row r="1641" spans="1:13" x14ac:dyDescent="0.45">
      <c r="A1641" t="s">
        <v>2081</v>
      </c>
      <c r="B1641" t="s">
        <v>2082</v>
      </c>
      <c r="C1641" t="s">
        <v>2026</v>
      </c>
      <c r="D1641" t="s">
        <v>18</v>
      </c>
      <c r="E1641" t="s">
        <v>148</v>
      </c>
      <c r="F1641">
        <v>1</v>
      </c>
      <c r="G1641">
        <v>139.99</v>
      </c>
      <c r="H1641">
        <v>17.23</v>
      </c>
      <c r="I1641" t="s">
        <v>44</v>
      </c>
      <c r="J1641">
        <v>9</v>
      </c>
      <c r="K1641" t="s">
        <v>51</v>
      </c>
      <c r="L1641">
        <v>5</v>
      </c>
      <c r="M1641" t="str">
        <f>VLOOKUP(D1641,State_Lookup!$A$2:$B$28,2,FALSE)</f>
        <v>Minas Gerais</v>
      </c>
    </row>
    <row r="1642" spans="1:13" x14ac:dyDescent="0.45">
      <c r="A1642" t="s">
        <v>2083</v>
      </c>
      <c r="B1642" t="s">
        <v>2082</v>
      </c>
      <c r="C1642" t="s">
        <v>2026</v>
      </c>
      <c r="D1642" t="s">
        <v>20</v>
      </c>
      <c r="E1642" t="s">
        <v>302</v>
      </c>
      <c r="F1642">
        <v>2</v>
      </c>
      <c r="G1642">
        <v>119.8</v>
      </c>
      <c r="H1642">
        <v>98.02</v>
      </c>
      <c r="I1642" t="s">
        <v>44</v>
      </c>
      <c r="J1642">
        <v>12</v>
      </c>
      <c r="K1642" t="s">
        <v>51</v>
      </c>
      <c r="L1642">
        <v>5</v>
      </c>
      <c r="M1642" t="str">
        <f>VLOOKUP(D1642,State_Lookup!$A$2:$B$28,2,FALSE)</f>
        <v>Parana</v>
      </c>
    </row>
    <row r="1643" spans="1:13" x14ac:dyDescent="0.45">
      <c r="A1643" t="s">
        <v>2084</v>
      </c>
      <c r="B1643" t="s">
        <v>2082</v>
      </c>
      <c r="C1643" t="s">
        <v>2026</v>
      </c>
      <c r="D1643" t="s">
        <v>17</v>
      </c>
      <c r="E1643" t="s">
        <v>107</v>
      </c>
      <c r="F1643">
        <v>1</v>
      </c>
      <c r="G1643">
        <v>399.99</v>
      </c>
      <c r="H1643">
        <v>19.05</v>
      </c>
      <c r="I1643" t="s">
        <v>44</v>
      </c>
      <c r="J1643">
        <v>7</v>
      </c>
      <c r="K1643" t="s">
        <v>51</v>
      </c>
      <c r="L1643">
        <v>4</v>
      </c>
      <c r="M1643" t="str">
        <f>VLOOKUP(D1643,State_Lookup!$A$2:$B$28,2,FALSE)</f>
        <v>Rio de Janeiro</v>
      </c>
    </row>
    <row r="1644" spans="1:13" x14ac:dyDescent="0.45">
      <c r="A1644" t="s">
        <v>2085</v>
      </c>
      <c r="B1644" t="s">
        <v>2082</v>
      </c>
      <c r="C1644" t="s">
        <v>2026</v>
      </c>
      <c r="D1644" t="s">
        <v>128</v>
      </c>
      <c r="E1644" t="s">
        <v>79</v>
      </c>
      <c r="F1644">
        <v>1</v>
      </c>
      <c r="G1644">
        <v>47.99</v>
      </c>
      <c r="H1644">
        <v>17.63</v>
      </c>
      <c r="I1644" t="s">
        <v>44</v>
      </c>
      <c r="K1644" t="s">
        <v>45</v>
      </c>
      <c r="M1644" t="str">
        <f>VLOOKUP(D1644,State_Lookup!$A$2:$B$28,2,FALSE)</f>
        <v>Ceara</v>
      </c>
    </row>
    <row r="1645" spans="1:13" x14ac:dyDescent="0.45">
      <c r="A1645" t="s">
        <v>2086</v>
      </c>
      <c r="B1645" t="s">
        <v>2082</v>
      </c>
      <c r="C1645" t="s">
        <v>2026</v>
      </c>
      <c r="D1645" t="s">
        <v>20</v>
      </c>
      <c r="E1645" t="s">
        <v>66</v>
      </c>
      <c r="F1645">
        <v>1</v>
      </c>
      <c r="G1645">
        <v>28.99</v>
      </c>
      <c r="H1645">
        <v>15.1</v>
      </c>
      <c r="I1645" t="s">
        <v>44</v>
      </c>
      <c r="J1645">
        <v>13</v>
      </c>
      <c r="K1645" t="s">
        <v>51</v>
      </c>
      <c r="L1645">
        <v>1</v>
      </c>
      <c r="M1645" t="str">
        <f>VLOOKUP(D1645,State_Lookup!$A$2:$B$28,2,FALSE)</f>
        <v>Parana</v>
      </c>
    </row>
    <row r="1646" spans="1:13" x14ac:dyDescent="0.45">
      <c r="A1646" t="s">
        <v>2087</v>
      </c>
      <c r="B1646" t="s">
        <v>2082</v>
      </c>
      <c r="C1646" t="s">
        <v>2026</v>
      </c>
      <c r="D1646" t="s">
        <v>17</v>
      </c>
      <c r="E1646" t="s">
        <v>69</v>
      </c>
      <c r="F1646">
        <v>1</v>
      </c>
      <c r="G1646">
        <v>59.9</v>
      </c>
      <c r="H1646">
        <v>17.670000000000002</v>
      </c>
      <c r="I1646" t="s">
        <v>50</v>
      </c>
      <c r="J1646">
        <v>25</v>
      </c>
      <c r="K1646" t="s">
        <v>143</v>
      </c>
      <c r="L1646">
        <v>5</v>
      </c>
      <c r="M1646" t="str">
        <f>VLOOKUP(D1646,State_Lookup!$A$2:$B$28,2,FALSE)</f>
        <v>Rio de Janeiro</v>
      </c>
    </row>
    <row r="1647" spans="1:13" x14ac:dyDescent="0.45">
      <c r="A1647" t="s">
        <v>2088</v>
      </c>
      <c r="B1647" t="s">
        <v>2082</v>
      </c>
      <c r="C1647" t="s">
        <v>2026</v>
      </c>
      <c r="D1647" t="s">
        <v>16</v>
      </c>
      <c r="E1647" t="s">
        <v>103</v>
      </c>
      <c r="F1647">
        <v>1</v>
      </c>
      <c r="G1647">
        <v>175.99</v>
      </c>
      <c r="H1647">
        <v>26.51</v>
      </c>
      <c r="I1647" t="s">
        <v>50</v>
      </c>
      <c r="J1647">
        <v>12</v>
      </c>
      <c r="K1647" t="s">
        <v>51</v>
      </c>
      <c r="L1647">
        <v>5</v>
      </c>
      <c r="M1647" t="str">
        <f>VLOOKUP(D1647,State_Lookup!$A$2:$B$28,2,FALSE)</f>
        <v>Sao Paulo</v>
      </c>
    </row>
    <row r="1648" spans="1:13" x14ac:dyDescent="0.45">
      <c r="A1648" t="s">
        <v>2089</v>
      </c>
      <c r="B1648" t="s">
        <v>2082</v>
      </c>
      <c r="C1648" t="s">
        <v>2026</v>
      </c>
      <c r="D1648" t="s">
        <v>83</v>
      </c>
      <c r="E1648" t="s">
        <v>66</v>
      </c>
      <c r="F1648">
        <v>1</v>
      </c>
      <c r="G1648">
        <v>129</v>
      </c>
      <c r="H1648">
        <v>21.7</v>
      </c>
      <c r="I1648" t="s">
        <v>50</v>
      </c>
      <c r="J1648">
        <v>17</v>
      </c>
      <c r="K1648" t="s">
        <v>51</v>
      </c>
      <c r="L1648">
        <v>5</v>
      </c>
      <c r="M1648" t="str">
        <f>VLOOKUP(D1648,State_Lookup!$A$2:$B$28,2,FALSE)</f>
        <v>Sergipe</v>
      </c>
    </row>
    <row r="1649" spans="1:13" x14ac:dyDescent="0.45">
      <c r="A1649" t="s">
        <v>2090</v>
      </c>
      <c r="B1649" t="s">
        <v>2082</v>
      </c>
      <c r="C1649" t="s">
        <v>2026</v>
      </c>
      <c r="D1649" t="s">
        <v>16</v>
      </c>
      <c r="E1649" t="s">
        <v>132</v>
      </c>
      <c r="F1649">
        <v>1</v>
      </c>
      <c r="G1649">
        <v>49</v>
      </c>
      <c r="H1649">
        <v>7.78</v>
      </c>
      <c r="I1649" t="s">
        <v>44</v>
      </c>
      <c r="J1649">
        <v>4</v>
      </c>
      <c r="K1649" t="s">
        <v>51</v>
      </c>
      <c r="L1649">
        <v>4</v>
      </c>
      <c r="M1649" t="str">
        <f>VLOOKUP(D1649,State_Lookup!$A$2:$B$28,2,FALSE)</f>
        <v>Sao Paulo</v>
      </c>
    </row>
    <row r="1650" spans="1:13" x14ac:dyDescent="0.45">
      <c r="A1650" t="s">
        <v>2091</v>
      </c>
      <c r="B1650" t="s">
        <v>2082</v>
      </c>
      <c r="C1650" t="s">
        <v>2026</v>
      </c>
      <c r="D1650" t="s">
        <v>19</v>
      </c>
      <c r="E1650" t="s">
        <v>267</v>
      </c>
      <c r="F1650">
        <v>1</v>
      </c>
      <c r="G1650">
        <v>299.89999999999998</v>
      </c>
      <c r="H1650">
        <v>29.48</v>
      </c>
      <c r="I1650" t="s">
        <v>44</v>
      </c>
      <c r="J1650">
        <v>15</v>
      </c>
      <c r="K1650" t="s">
        <v>51</v>
      </c>
      <c r="L1650">
        <v>5</v>
      </c>
      <c r="M1650" t="str">
        <f>VLOOKUP(D1650,State_Lookup!$A$2:$B$28,2,FALSE)</f>
        <v>Rio Grande do Sul</v>
      </c>
    </row>
    <row r="1651" spans="1:13" x14ac:dyDescent="0.45">
      <c r="A1651" t="s">
        <v>2092</v>
      </c>
      <c r="B1651" t="s">
        <v>2082</v>
      </c>
      <c r="C1651" t="s">
        <v>2026</v>
      </c>
      <c r="D1651" t="s">
        <v>19</v>
      </c>
      <c r="E1651" t="s">
        <v>43</v>
      </c>
      <c r="F1651">
        <v>2</v>
      </c>
      <c r="G1651">
        <v>76.8</v>
      </c>
      <c r="H1651">
        <v>30.22</v>
      </c>
      <c r="I1651" t="s">
        <v>44</v>
      </c>
      <c r="J1651">
        <v>13</v>
      </c>
      <c r="K1651" t="s">
        <v>51</v>
      </c>
      <c r="L1651">
        <v>5</v>
      </c>
      <c r="M1651" t="str">
        <f>VLOOKUP(D1651,State_Lookup!$A$2:$B$28,2,FALSE)</f>
        <v>Rio Grande do Sul</v>
      </c>
    </row>
    <row r="1652" spans="1:13" x14ac:dyDescent="0.45">
      <c r="A1652" t="s">
        <v>2093</v>
      </c>
      <c r="B1652" t="s">
        <v>2082</v>
      </c>
      <c r="C1652" t="s">
        <v>2026</v>
      </c>
      <c r="D1652" t="s">
        <v>16</v>
      </c>
      <c r="E1652" t="s">
        <v>69</v>
      </c>
      <c r="F1652">
        <v>1</v>
      </c>
      <c r="G1652">
        <v>59.9</v>
      </c>
      <c r="H1652">
        <v>13.44</v>
      </c>
      <c r="I1652" t="s">
        <v>44</v>
      </c>
      <c r="J1652">
        <v>17</v>
      </c>
      <c r="K1652" t="s">
        <v>51</v>
      </c>
      <c r="L1652">
        <v>4</v>
      </c>
      <c r="M1652" t="str">
        <f>VLOOKUP(D1652,State_Lookup!$A$2:$B$28,2,FALSE)</f>
        <v>Sao Paulo</v>
      </c>
    </row>
    <row r="1653" spans="1:13" x14ac:dyDescent="0.45">
      <c r="A1653" t="s">
        <v>2094</v>
      </c>
      <c r="B1653" t="s">
        <v>2095</v>
      </c>
      <c r="C1653" t="s">
        <v>2026</v>
      </c>
      <c r="D1653" t="s">
        <v>22</v>
      </c>
      <c r="E1653" t="s">
        <v>49</v>
      </c>
      <c r="F1653">
        <v>1</v>
      </c>
      <c r="G1653">
        <v>269.89999999999998</v>
      </c>
      <c r="H1653">
        <v>18.329999999999998</v>
      </c>
      <c r="I1653" t="s">
        <v>50</v>
      </c>
      <c r="J1653">
        <v>17</v>
      </c>
      <c r="K1653" t="s">
        <v>51</v>
      </c>
      <c r="L1653">
        <v>5</v>
      </c>
      <c r="M1653" t="str">
        <f>VLOOKUP(D1653,State_Lookup!$A$2:$B$28,2,FALSE)</f>
        <v>Bahia</v>
      </c>
    </row>
    <row r="1654" spans="1:13" x14ac:dyDescent="0.45">
      <c r="A1654" t="s">
        <v>2096</v>
      </c>
      <c r="B1654" t="s">
        <v>2095</v>
      </c>
      <c r="C1654" t="s">
        <v>2026</v>
      </c>
      <c r="D1654" t="s">
        <v>16</v>
      </c>
      <c r="E1654" t="s">
        <v>157</v>
      </c>
      <c r="F1654">
        <v>1</v>
      </c>
      <c r="G1654">
        <v>133</v>
      </c>
      <c r="H1654">
        <v>16.559999999999999</v>
      </c>
      <c r="I1654" t="s">
        <v>44</v>
      </c>
      <c r="J1654">
        <v>8</v>
      </c>
      <c r="K1654" t="s">
        <v>51</v>
      </c>
      <c r="L1654">
        <v>5</v>
      </c>
      <c r="M1654" t="str">
        <f>VLOOKUP(D1654,State_Lookup!$A$2:$B$28,2,FALSE)</f>
        <v>Sao Paulo</v>
      </c>
    </row>
    <row r="1655" spans="1:13" x14ac:dyDescent="0.45">
      <c r="A1655" t="s">
        <v>2097</v>
      </c>
      <c r="B1655" t="s">
        <v>2095</v>
      </c>
      <c r="C1655" t="s">
        <v>2026</v>
      </c>
      <c r="D1655" t="s">
        <v>16</v>
      </c>
      <c r="E1655" t="s">
        <v>132</v>
      </c>
      <c r="F1655">
        <v>1</v>
      </c>
      <c r="G1655">
        <v>49</v>
      </c>
      <c r="H1655">
        <v>11.85</v>
      </c>
      <c r="I1655" t="s">
        <v>44</v>
      </c>
      <c r="J1655">
        <v>19</v>
      </c>
      <c r="K1655" t="s">
        <v>143</v>
      </c>
      <c r="L1655">
        <v>3</v>
      </c>
      <c r="M1655" t="str">
        <f>VLOOKUP(D1655,State_Lookup!$A$2:$B$28,2,FALSE)</f>
        <v>Sao Paulo</v>
      </c>
    </row>
    <row r="1656" spans="1:13" x14ac:dyDescent="0.45">
      <c r="A1656" t="s">
        <v>2098</v>
      </c>
      <c r="B1656" t="s">
        <v>2095</v>
      </c>
      <c r="C1656" t="s">
        <v>2026</v>
      </c>
      <c r="D1656" t="s">
        <v>21</v>
      </c>
      <c r="E1656" t="s">
        <v>64</v>
      </c>
      <c r="F1656">
        <v>1</v>
      </c>
      <c r="G1656">
        <v>120.42</v>
      </c>
      <c r="H1656">
        <v>16.600000000000001</v>
      </c>
      <c r="I1656" t="s">
        <v>44</v>
      </c>
      <c r="J1656">
        <v>14</v>
      </c>
      <c r="K1656" t="s">
        <v>51</v>
      </c>
      <c r="L1656">
        <v>5</v>
      </c>
      <c r="M1656" t="str">
        <f>VLOOKUP(D1656,State_Lookup!$A$2:$B$28,2,FALSE)</f>
        <v>Santa Catarina</v>
      </c>
    </row>
    <row r="1657" spans="1:13" x14ac:dyDescent="0.45">
      <c r="A1657" t="s">
        <v>2099</v>
      </c>
      <c r="B1657" t="s">
        <v>2095</v>
      </c>
      <c r="C1657" t="s">
        <v>2026</v>
      </c>
      <c r="D1657" t="s">
        <v>20</v>
      </c>
      <c r="E1657" t="s">
        <v>49</v>
      </c>
      <c r="F1657">
        <v>1</v>
      </c>
      <c r="G1657">
        <v>69.900000000000006</v>
      </c>
      <c r="H1657">
        <v>16.12</v>
      </c>
      <c r="I1657" t="s">
        <v>50</v>
      </c>
      <c r="J1657">
        <v>13</v>
      </c>
      <c r="K1657" t="s">
        <v>51</v>
      </c>
      <c r="L1657">
        <v>5</v>
      </c>
      <c r="M1657" t="str">
        <f>VLOOKUP(D1657,State_Lookup!$A$2:$B$28,2,FALSE)</f>
        <v>Parana</v>
      </c>
    </row>
    <row r="1658" spans="1:13" x14ac:dyDescent="0.45">
      <c r="A1658" t="s">
        <v>2100</v>
      </c>
      <c r="B1658" t="s">
        <v>2095</v>
      </c>
      <c r="C1658" t="s">
        <v>2026</v>
      </c>
      <c r="D1658" t="s">
        <v>24</v>
      </c>
      <c r="E1658" t="s">
        <v>61</v>
      </c>
      <c r="F1658">
        <v>5</v>
      </c>
      <c r="G1658">
        <v>900</v>
      </c>
      <c r="H1658">
        <v>75.05</v>
      </c>
      <c r="I1658" t="s">
        <v>50</v>
      </c>
      <c r="K1658" t="s">
        <v>45</v>
      </c>
      <c r="L1658">
        <v>1</v>
      </c>
      <c r="M1658" t="str">
        <f>VLOOKUP(D1658,State_Lookup!$A$2:$B$28,2,FALSE)</f>
        <v>Distrito Federal</v>
      </c>
    </row>
    <row r="1659" spans="1:13" x14ac:dyDescent="0.45">
      <c r="A1659" t="s">
        <v>2101</v>
      </c>
      <c r="B1659" t="s">
        <v>2095</v>
      </c>
      <c r="C1659" t="s">
        <v>2026</v>
      </c>
      <c r="D1659" t="s">
        <v>19</v>
      </c>
      <c r="E1659" t="s">
        <v>148</v>
      </c>
      <c r="F1659">
        <v>1</v>
      </c>
      <c r="G1659">
        <v>134.9</v>
      </c>
      <c r="H1659">
        <v>18.510000000000002</v>
      </c>
      <c r="I1659" t="s">
        <v>44</v>
      </c>
      <c r="K1659" t="s">
        <v>45</v>
      </c>
      <c r="L1659">
        <v>1</v>
      </c>
      <c r="M1659" t="str">
        <f>VLOOKUP(D1659,State_Lookup!$A$2:$B$28,2,FALSE)</f>
        <v>Rio Grande do Sul</v>
      </c>
    </row>
    <row r="1660" spans="1:13" x14ac:dyDescent="0.45">
      <c r="A1660" t="s">
        <v>2102</v>
      </c>
      <c r="B1660" t="s">
        <v>2095</v>
      </c>
      <c r="C1660" t="s">
        <v>2026</v>
      </c>
      <c r="D1660" t="s">
        <v>16</v>
      </c>
      <c r="E1660" t="s">
        <v>69</v>
      </c>
      <c r="F1660">
        <v>1</v>
      </c>
      <c r="G1660">
        <v>79.900000000000006</v>
      </c>
      <c r="H1660">
        <v>17.809999999999999</v>
      </c>
      <c r="I1660" t="s">
        <v>44</v>
      </c>
      <c r="J1660">
        <v>63</v>
      </c>
      <c r="K1660" t="s">
        <v>143</v>
      </c>
      <c r="L1660">
        <v>1</v>
      </c>
      <c r="M1660" t="str">
        <f>VLOOKUP(D1660,State_Lookup!$A$2:$B$28,2,FALSE)</f>
        <v>Sao Paulo</v>
      </c>
    </row>
    <row r="1661" spans="1:13" x14ac:dyDescent="0.45">
      <c r="A1661" t="s">
        <v>2103</v>
      </c>
      <c r="B1661" t="s">
        <v>2095</v>
      </c>
      <c r="C1661" t="s">
        <v>2026</v>
      </c>
      <c r="D1661" t="s">
        <v>18</v>
      </c>
      <c r="E1661" t="s">
        <v>79</v>
      </c>
      <c r="F1661">
        <v>1</v>
      </c>
      <c r="G1661">
        <v>23.99</v>
      </c>
      <c r="H1661">
        <v>14.1</v>
      </c>
      <c r="I1661" t="s">
        <v>44</v>
      </c>
      <c r="J1661">
        <v>11</v>
      </c>
      <c r="K1661" t="s">
        <v>51</v>
      </c>
      <c r="L1661">
        <v>5</v>
      </c>
      <c r="M1661" t="str">
        <f>VLOOKUP(D1661,State_Lookup!$A$2:$B$28,2,FALSE)</f>
        <v>Minas Gerais</v>
      </c>
    </row>
    <row r="1662" spans="1:13" x14ac:dyDescent="0.45">
      <c r="A1662" t="s">
        <v>2104</v>
      </c>
      <c r="B1662" t="s">
        <v>2095</v>
      </c>
      <c r="C1662" t="s">
        <v>2026</v>
      </c>
      <c r="D1662" t="s">
        <v>17</v>
      </c>
      <c r="E1662" t="s">
        <v>142</v>
      </c>
      <c r="F1662">
        <v>1</v>
      </c>
      <c r="G1662">
        <v>9.9</v>
      </c>
      <c r="H1662">
        <v>15.1</v>
      </c>
      <c r="I1662" t="s">
        <v>44</v>
      </c>
      <c r="J1662">
        <v>13</v>
      </c>
      <c r="K1662" t="s">
        <v>51</v>
      </c>
      <c r="L1662">
        <v>5</v>
      </c>
      <c r="M1662" t="str">
        <f>VLOOKUP(D1662,State_Lookup!$A$2:$B$28,2,FALSE)</f>
        <v>Rio de Janeiro</v>
      </c>
    </row>
    <row r="1663" spans="1:13" x14ac:dyDescent="0.45">
      <c r="A1663" t="s">
        <v>2105</v>
      </c>
      <c r="B1663" t="s">
        <v>2106</v>
      </c>
      <c r="C1663" t="s">
        <v>2026</v>
      </c>
      <c r="D1663" t="s">
        <v>20</v>
      </c>
      <c r="E1663" t="s">
        <v>49</v>
      </c>
      <c r="F1663">
        <v>1</v>
      </c>
      <c r="G1663">
        <v>319.49</v>
      </c>
      <c r="H1663">
        <v>22.73</v>
      </c>
      <c r="I1663" t="s">
        <v>50</v>
      </c>
      <c r="J1663">
        <v>12</v>
      </c>
      <c r="K1663" t="s">
        <v>51</v>
      </c>
      <c r="L1663">
        <v>4</v>
      </c>
      <c r="M1663" t="str">
        <f>VLOOKUP(D1663,State_Lookup!$A$2:$B$28,2,FALSE)</f>
        <v>Parana</v>
      </c>
    </row>
    <row r="1664" spans="1:13" x14ac:dyDescent="0.45">
      <c r="A1664" t="s">
        <v>2107</v>
      </c>
      <c r="B1664" t="s">
        <v>2106</v>
      </c>
      <c r="C1664" t="s">
        <v>2026</v>
      </c>
      <c r="D1664" t="s">
        <v>16</v>
      </c>
      <c r="E1664" t="s">
        <v>61</v>
      </c>
      <c r="F1664">
        <v>1</v>
      </c>
      <c r="G1664">
        <v>159.9</v>
      </c>
      <c r="H1664">
        <v>14.14</v>
      </c>
      <c r="I1664" t="s">
        <v>50</v>
      </c>
      <c r="J1664">
        <v>9</v>
      </c>
      <c r="K1664" t="s">
        <v>51</v>
      </c>
      <c r="L1664">
        <v>4</v>
      </c>
      <c r="M1664" t="str">
        <f>VLOOKUP(D1664,State_Lookup!$A$2:$B$28,2,FALSE)</f>
        <v>Sao Paulo</v>
      </c>
    </row>
    <row r="1665" spans="1:13" x14ac:dyDescent="0.45">
      <c r="A1665" t="s">
        <v>2108</v>
      </c>
      <c r="B1665" t="s">
        <v>2106</v>
      </c>
      <c r="C1665" t="s">
        <v>2026</v>
      </c>
      <c r="D1665" t="s">
        <v>17</v>
      </c>
      <c r="E1665" t="s">
        <v>110</v>
      </c>
      <c r="F1665">
        <v>1</v>
      </c>
      <c r="G1665">
        <v>38</v>
      </c>
      <c r="H1665">
        <v>15.1</v>
      </c>
      <c r="I1665" t="s">
        <v>44</v>
      </c>
      <c r="J1665">
        <v>16</v>
      </c>
      <c r="K1665" t="s">
        <v>51</v>
      </c>
      <c r="L1665">
        <v>1</v>
      </c>
      <c r="M1665" t="str">
        <f>VLOOKUP(D1665,State_Lookup!$A$2:$B$28,2,FALSE)</f>
        <v>Rio de Janeiro</v>
      </c>
    </row>
    <row r="1666" spans="1:13" x14ac:dyDescent="0.45">
      <c r="A1666" t="s">
        <v>2109</v>
      </c>
      <c r="B1666" t="s">
        <v>2106</v>
      </c>
      <c r="C1666" t="s">
        <v>2026</v>
      </c>
      <c r="D1666" t="s">
        <v>20</v>
      </c>
      <c r="E1666" t="s">
        <v>66</v>
      </c>
      <c r="F1666">
        <v>1</v>
      </c>
      <c r="G1666">
        <v>24.99</v>
      </c>
      <c r="H1666">
        <v>14.1</v>
      </c>
      <c r="I1666" t="s">
        <v>44</v>
      </c>
      <c r="J1666">
        <v>8</v>
      </c>
      <c r="K1666" t="s">
        <v>51</v>
      </c>
      <c r="L1666">
        <v>5</v>
      </c>
      <c r="M1666" t="str">
        <f>VLOOKUP(D1666,State_Lookup!$A$2:$B$28,2,FALSE)</f>
        <v>Parana</v>
      </c>
    </row>
    <row r="1667" spans="1:13" x14ac:dyDescent="0.45">
      <c r="A1667" t="s">
        <v>2110</v>
      </c>
      <c r="B1667" t="s">
        <v>2106</v>
      </c>
      <c r="C1667" t="s">
        <v>2026</v>
      </c>
      <c r="D1667" t="s">
        <v>17</v>
      </c>
      <c r="E1667" t="s">
        <v>49</v>
      </c>
      <c r="F1667">
        <v>1</v>
      </c>
      <c r="G1667">
        <v>43.2</v>
      </c>
      <c r="H1667">
        <v>14.1</v>
      </c>
      <c r="I1667" t="s">
        <v>44</v>
      </c>
      <c r="J1667">
        <v>12</v>
      </c>
      <c r="K1667" t="s">
        <v>51</v>
      </c>
      <c r="L1667">
        <v>5</v>
      </c>
      <c r="M1667" t="str">
        <f>VLOOKUP(D1667,State_Lookup!$A$2:$B$28,2,FALSE)</f>
        <v>Rio de Janeiro</v>
      </c>
    </row>
    <row r="1668" spans="1:13" x14ac:dyDescent="0.45">
      <c r="A1668" t="s">
        <v>2111</v>
      </c>
      <c r="B1668" t="s">
        <v>2106</v>
      </c>
      <c r="C1668" t="s">
        <v>2026</v>
      </c>
      <c r="D1668" t="s">
        <v>122</v>
      </c>
      <c r="E1668" t="s">
        <v>199</v>
      </c>
      <c r="F1668">
        <v>1</v>
      </c>
      <c r="G1668">
        <v>990</v>
      </c>
      <c r="H1668">
        <v>131.01</v>
      </c>
      <c r="I1668" t="s">
        <v>50</v>
      </c>
      <c r="J1668">
        <v>26</v>
      </c>
      <c r="K1668" t="s">
        <v>51</v>
      </c>
      <c r="L1668">
        <v>4</v>
      </c>
      <c r="M1668" t="str">
        <f>VLOOKUP(D1668,State_Lookup!$A$2:$B$28,2,FALSE)</f>
        <v>Para</v>
      </c>
    </row>
    <row r="1669" spans="1:13" x14ac:dyDescent="0.45">
      <c r="A1669" t="s">
        <v>2112</v>
      </c>
      <c r="B1669" t="s">
        <v>2106</v>
      </c>
      <c r="C1669" t="s">
        <v>2026</v>
      </c>
      <c r="D1669" t="s">
        <v>21</v>
      </c>
      <c r="E1669" t="s">
        <v>244</v>
      </c>
      <c r="F1669">
        <v>1</v>
      </c>
      <c r="G1669">
        <v>689</v>
      </c>
      <c r="H1669">
        <v>17.07</v>
      </c>
      <c r="I1669" t="s">
        <v>44</v>
      </c>
      <c r="J1669">
        <v>8</v>
      </c>
      <c r="K1669" t="s">
        <v>51</v>
      </c>
      <c r="L1669">
        <v>5</v>
      </c>
      <c r="M1669" t="str">
        <f>VLOOKUP(D1669,State_Lookup!$A$2:$B$28,2,FALSE)</f>
        <v>Santa Catarina</v>
      </c>
    </row>
    <row r="1670" spans="1:13" x14ac:dyDescent="0.45">
      <c r="A1670" t="s">
        <v>2113</v>
      </c>
      <c r="B1670" t="s">
        <v>2106</v>
      </c>
      <c r="C1670" t="s">
        <v>2026</v>
      </c>
      <c r="D1670" t="s">
        <v>18</v>
      </c>
      <c r="E1670" t="s">
        <v>244</v>
      </c>
      <c r="F1670">
        <v>1</v>
      </c>
      <c r="G1670">
        <v>99</v>
      </c>
      <c r="H1670">
        <v>16.45</v>
      </c>
      <c r="I1670" t="s">
        <v>133</v>
      </c>
      <c r="J1670">
        <v>16</v>
      </c>
      <c r="K1670" t="s">
        <v>51</v>
      </c>
      <c r="L1670">
        <v>4</v>
      </c>
      <c r="M1670" t="str">
        <f>VLOOKUP(D1670,State_Lookup!$A$2:$B$28,2,FALSE)</f>
        <v>Minas Gerais</v>
      </c>
    </row>
    <row r="1671" spans="1:13" x14ac:dyDescent="0.45">
      <c r="A1671" t="s">
        <v>2114</v>
      </c>
      <c r="B1671" t="s">
        <v>2106</v>
      </c>
      <c r="C1671" t="s">
        <v>2026</v>
      </c>
      <c r="D1671" t="s">
        <v>17</v>
      </c>
      <c r="E1671" t="s">
        <v>110</v>
      </c>
      <c r="F1671">
        <v>2</v>
      </c>
      <c r="G1671">
        <v>194.8</v>
      </c>
      <c r="H1671">
        <v>33.53</v>
      </c>
      <c r="I1671" t="s">
        <v>44</v>
      </c>
      <c r="J1671">
        <v>17</v>
      </c>
      <c r="K1671" t="s">
        <v>51</v>
      </c>
      <c r="L1671">
        <v>1</v>
      </c>
      <c r="M1671" t="str">
        <f>VLOOKUP(D1671,State_Lookup!$A$2:$B$28,2,FALSE)</f>
        <v>Rio de Janeiro</v>
      </c>
    </row>
    <row r="1672" spans="1:13" x14ac:dyDescent="0.45">
      <c r="A1672" t="s">
        <v>2115</v>
      </c>
      <c r="B1672" t="s">
        <v>2106</v>
      </c>
      <c r="C1672" t="s">
        <v>2026</v>
      </c>
      <c r="D1672" t="s">
        <v>16</v>
      </c>
      <c r="E1672" t="s">
        <v>142</v>
      </c>
      <c r="F1672">
        <v>1</v>
      </c>
      <c r="G1672">
        <v>29.9</v>
      </c>
      <c r="H1672">
        <v>9.34</v>
      </c>
      <c r="I1672" t="s">
        <v>44</v>
      </c>
      <c r="J1672">
        <v>12</v>
      </c>
      <c r="K1672" t="s">
        <v>51</v>
      </c>
      <c r="L1672">
        <v>5</v>
      </c>
      <c r="M1672" t="str">
        <f>VLOOKUP(D1672,State_Lookup!$A$2:$B$28,2,FALSE)</f>
        <v>Sao Paulo</v>
      </c>
    </row>
    <row r="1673" spans="1:13" x14ac:dyDescent="0.45">
      <c r="A1673" t="s">
        <v>2116</v>
      </c>
      <c r="B1673" t="s">
        <v>2117</v>
      </c>
      <c r="C1673" t="s">
        <v>2026</v>
      </c>
      <c r="D1673" t="s">
        <v>16</v>
      </c>
      <c r="E1673" t="s">
        <v>157</v>
      </c>
      <c r="F1673">
        <v>2</v>
      </c>
      <c r="G1673">
        <v>58</v>
      </c>
      <c r="H1673">
        <v>23.7</v>
      </c>
      <c r="I1673" t="s">
        <v>44</v>
      </c>
      <c r="J1673">
        <v>9</v>
      </c>
      <c r="K1673" t="s">
        <v>51</v>
      </c>
      <c r="L1673">
        <v>5</v>
      </c>
      <c r="M1673" t="str">
        <f>VLOOKUP(D1673,State_Lookup!$A$2:$B$28,2,FALSE)</f>
        <v>Sao Paulo</v>
      </c>
    </row>
    <row r="1674" spans="1:13" x14ac:dyDescent="0.45">
      <c r="A1674" t="s">
        <v>2118</v>
      </c>
      <c r="B1674" t="s">
        <v>2117</v>
      </c>
      <c r="C1674" t="s">
        <v>2026</v>
      </c>
      <c r="D1674" t="s">
        <v>16</v>
      </c>
      <c r="E1674" t="s">
        <v>53</v>
      </c>
      <c r="F1674">
        <v>1</v>
      </c>
      <c r="G1674">
        <v>89</v>
      </c>
      <c r="H1674">
        <v>13.64</v>
      </c>
      <c r="I1674" t="s">
        <v>44</v>
      </c>
      <c r="J1674">
        <v>11</v>
      </c>
      <c r="K1674" t="s">
        <v>51</v>
      </c>
      <c r="L1674">
        <v>3</v>
      </c>
      <c r="M1674" t="str">
        <f>VLOOKUP(D1674,State_Lookup!$A$2:$B$28,2,FALSE)</f>
        <v>Sao Paulo</v>
      </c>
    </row>
    <row r="1675" spans="1:13" x14ac:dyDescent="0.45">
      <c r="A1675" t="s">
        <v>2119</v>
      </c>
      <c r="B1675" t="s">
        <v>2117</v>
      </c>
      <c r="C1675" t="s">
        <v>2026</v>
      </c>
      <c r="D1675" t="s">
        <v>16</v>
      </c>
      <c r="E1675" t="s">
        <v>49</v>
      </c>
      <c r="F1675">
        <v>2</v>
      </c>
      <c r="G1675">
        <v>19.8</v>
      </c>
      <c r="H1675">
        <v>16.54</v>
      </c>
      <c r="I1675" t="s">
        <v>44</v>
      </c>
      <c r="J1675">
        <v>9</v>
      </c>
      <c r="K1675" t="s">
        <v>51</v>
      </c>
      <c r="L1675">
        <v>5</v>
      </c>
      <c r="M1675" t="str">
        <f>VLOOKUP(D1675,State_Lookup!$A$2:$B$28,2,FALSE)</f>
        <v>Sao Paulo</v>
      </c>
    </row>
    <row r="1676" spans="1:13" x14ac:dyDescent="0.45">
      <c r="A1676" t="s">
        <v>2120</v>
      </c>
      <c r="B1676" t="s">
        <v>2117</v>
      </c>
      <c r="C1676" t="s">
        <v>2026</v>
      </c>
      <c r="D1676" t="s">
        <v>18</v>
      </c>
      <c r="E1676" t="s">
        <v>107</v>
      </c>
      <c r="F1676">
        <v>1</v>
      </c>
      <c r="G1676">
        <v>29.9</v>
      </c>
      <c r="H1676">
        <v>16.79</v>
      </c>
      <c r="I1676" t="s">
        <v>44</v>
      </c>
      <c r="J1676">
        <v>11</v>
      </c>
      <c r="K1676" t="s">
        <v>51</v>
      </c>
      <c r="L1676">
        <v>5</v>
      </c>
      <c r="M1676" t="str">
        <f>VLOOKUP(D1676,State_Lookup!$A$2:$B$28,2,FALSE)</f>
        <v>Minas Gerais</v>
      </c>
    </row>
    <row r="1677" spans="1:13" x14ac:dyDescent="0.45">
      <c r="A1677" t="s">
        <v>2121</v>
      </c>
      <c r="B1677" t="s">
        <v>2117</v>
      </c>
      <c r="C1677" t="s">
        <v>2026</v>
      </c>
      <c r="D1677" t="s">
        <v>22</v>
      </c>
      <c r="E1677" t="s">
        <v>142</v>
      </c>
      <c r="F1677">
        <v>1</v>
      </c>
      <c r="G1677">
        <v>59.9</v>
      </c>
      <c r="H1677">
        <v>17.989999999999998</v>
      </c>
      <c r="I1677" t="s">
        <v>44</v>
      </c>
      <c r="J1677">
        <v>13</v>
      </c>
      <c r="K1677" t="s">
        <v>51</v>
      </c>
      <c r="L1677">
        <v>4</v>
      </c>
      <c r="M1677" t="str">
        <f>VLOOKUP(D1677,State_Lookup!$A$2:$B$28,2,FALSE)</f>
        <v>Bahia</v>
      </c>
    </row>
    <row r="1678" spans="1:13" x14ac:dyDescent="0.45">
      <c r="A1678" t="s">
        <v>2122</v>
      </c>
      <c r="B1678" t="s">
        <v>2117</v>
      </c>
      <c r="C1678" t="s">
        <v>2026</v>
      </c>
      <c r="D1678" t="s">
        <v>128</v>
      </c>
      <c r="E1678" t="s">
        <v>148</v>
      </c>
      <c r="F1678">
        <v>1</v>
      </c>
      <c r="G1678">
        <v>219.99</v>
      </c>
      <c r="H1678">
        <v>25.99</v>
      </c>
      <c r="I1678" t="s">
        <v>44</v>
      </c>
      <c r="J1678">
        <v>17</v>
      </c>
      <c r="K1678" t="s">
        <v>51</v>
      </c>
      <c r="L1678">
        <v>5</v>
      </c>
      <c r="M1678" t="str">
        <f>VLOOKUP(D1678,State_Lookup!$A$2:$B$28,2,FALSE)</f>
        <v>Ceara</v>
      </c>
    </row>
    <row r="1679" spans="1:13" x14ac:dyDescent="0.45">
      <c r="A1679" t="s">
        <v>2123</v>
      </c>
      <c r="B1679" t="s">
        <v>2117</v>
      </c>
      <c r="C1679" t="s">
        <v>2026</v>
      </c>
      <c r="D1679" t="s">
        <v>16</v>
      </c>
      <c r="E1679" t="s">
        <v>43</v>
      </c>
      <c r="F1679">
        <v>1</v>
      </c>
      <c r="G1679">
        <v>49.9</v>
      </c>
      <c r="H1679">
        <v>9.09</v>
      </c>
      <c r="I1679" t="s">
        <v>44</v>
      </c>
      <c r="J1679">
        <v>3</v>
      </c>
      <c r="K1679" t="s">
        <v>51</v>
      </c>
      <c r="L1679">
        <v>5</v>
      </c>
      <c r="M1679" t="str">
        <f>VLOOKUP(D1679,State_Lookup!$A$2:$B$28,2,FALSE)</f>
        <v>Sao Paulo</v>
      </c>
    </row>
    <row r="1680" spans="1:13" x14ac:dyDescent="0.45">
      <c r="A1680" t="s">
        <v>2124</v>
      </c>
      <c r="B1680" t="s">
        <v>2117</v>
      </c>
      <c r="C1680" t="s">
        <v>2026</v>
      </c>
      <c r="D1680" t="s">
        <v>16</v>
      </c>
      <c r="E1680" t="s">
        <v>103</v>
      </c>
      <c r="F1680">
        <v>1</v>
      </c>
      <c r="G1680">
        <v>50</v>
      </c>
      <c r="H1680">
        <v>11.73</v>
      </c>
      <c r="I1680" t="s">
        <v>44</v>
      </c>
      <c r="J1680">
        <v>5</v>
      </c>
      <c r="K1680" t="s">
        <v>51</v>
      </c>
      <c r="L1680">
        <v>5</v>
      </c>
      <c r="M1680" t="str">
        <f>VLOOKUP(D1680,State_Lookup!$A$2:$B$28,2,FALSE)</f>
        <v>Sao Paulo</v>
      </c>
    </row>
    <row r="1681" spans="1:13" x14ac:dyDescent="0.45">
      <c r="A1681" t="s">
        <v>2125</v>
      </c>
      <c r="B1681" t="s">
        <v>2126</v>
      </c>
      <c r="C1681" t="s">
        <v>2026</v>
      </c>
      <c r="D1681" t="s">
        <v>20</v>
      </c>
      <c r="E1681" t="s">
        <v>53</v>
      </c>
      <c r="F1681">
        <v>1</v>
      </c>
      <c r="G1681">
        <v>39.9</v>
      </c>
      <c r="H1681">
        <v>17.600000000000001</v>
      </c>
      <c r="I1681" t="s">
        <v>44</v>
      </c>
      <c r="J1681">
        <v>14</v>
      </c>
      <c r="K1681" t="s">
        <v>51</v>
      </c>
      <c r="L1681">
        <v>4</v>
      </c>
      <c r="M1681" t="str">
        <f>VLOOKUP(D1681,State_Lookup!$A$2:$B$28,2,FALSE)</f>
        <v>Parana</v>
      </c>
    </row>
    <row r="1682" spans="1:13" x14ac:dyDescent="0.45">
      <c r="A1682" t="s">
        <v>2127</v>
      </c>
      <c r="B1682" t="s">
        <v>2126</v>
      </c>
      <c r="C1682" t="s">
        <v>2026</v>
      </c>
      <c r="D1682" t="s">
        <v>208</v>
      </c>
      <c r="E1682" t="s">
        <v>220</v>
      </c>
      <c r="F1682">
        <v>2</v>
      </c>
      <c r="G1682">
        <v>599.79999999999995</v>
      </c>
      <c r="H1682">
        <v>149.63999999999999</v>
      </c>
      <c r="I1682" t="s">
        <v>44</v>
      </c>
      <c r="J1682">
        <v>18</v>
      </c>
      <c r="K1682" t="s">
        <v>51</v>
      </c>
      <c r="L1682">
        <v>1</v>
      </c>
      <c r="M1682" t="str">
        <f>VLOOKUP(D1682,State_Lookup!$A$2:$B$28,2,FALSE)</f>
        <v>Mato Grosso</v>
      </c>
    </row>
    <row r="1683" spans="1:13" x14ac:dyDescent="0.45">
      <c r="A1683" t="s">
        <v>2128</v>
      </c>
      <c r="B1683" t="s">
        <v>2126</v>
      </c>
      <c r="C1683" t="s">
        <v>2026</v>
      </c>
      <c r="D1683" t="s">
        <v>19</v>
      </c>
      <c r="E1683" t="s">
        <v>100</v>
      </c>
      <c r="F1683">
        <v>1</v>
      </c>
      <c r="G1683">
        <v>48</v>
      </c>
      <c r="H1683">
        <v>17.600000000000001</v>
      </c>
      <c r="I1683" t="s">
        <v>44</v>
      </c>
      <c r="J1683">
        <v>11</v>
      </c>
      <c r="K1683" t="s">
        <v>51</v>
      </c>
      <c r="L1683">
        <v>5</v>
      </c>
      <c r="M1683" t="str">
        <f>VLOOKUP(D1683,State_Lookup!$A$2:$B$28,2,FALSE)</f>
        <v>Rio Grande do Sul</v>
      </c>
    </row>
    <row r="1684" spans="1:13" x14ac:dyDescent="0.45">
      <c r="A1684" t="s">
        <v>2129</v>
      </c>
      <c r="B1684" t="s">
        <v>2126</v>
      </c>
      <c r="C1684" t="s">
        <v>2026</v>
      </c>
      <c r="D1684" t="s">
        <v>16</v>
      </c>
      <c r="E1684" t="s">
        <v>79</v>
      </c>
      <c r="F1684">
        <v>1</v>
      </c>
      <c r="G1684">
        <v>125</v>
      </c>
      <c r="H1684">
        <v>14.62</v>
      </c>
      <c r="I1684" t="s">
        <v>50</v>
      </c>
      <c r="J1684">
        <v>7</v>
      </c>
      <c r="K1684" t="s">
        <v>51</v>
      </c>
      <c r="L1684">
        <v>3</v>
      </c>
      <c r="M1684" t="str">
        <f>VLOOKUP(D1684,State_Lookup!$A$2:$B$28,2,FALSE)</f>
        <v>Sao Paulo</v>
      </c>
    </row>
    <row r="1685" spans="1:13" x14ac:dyDescent="0.45">
      <c r="A1685" t="s">
        <v>2130</v>
      </c>
      <c r="B1685" t="s">
        <v>2126</v>
      </c>
      <c r="C1685" t="s">
        <v>2026</v>
      </c>
      <c r="D1685" t="s">
        <v>16</v>
      </c>
      <c r="E1685" t="s">
        <v>199</v>
      </c>
      <c r="F1685">
        <v>1</v>
      </c>
      <c r="G1685">
        <v>30</v>
      </c>
      <c r="H1685">
        <v>11.85</v>
      </c>
      <c r="I1685" t="s">
        <v>50</v>
      </c>
      <c r="J1685">
        <v>10</v>
      </c>
      <c r="K1685" t="s">
        <v>51</v>
      </c>
      <c r="L1685">
        <v>4</v>
      </c>
      <c r="M1685" t="str">
        <f>VLOOKUP(D1685,State_Lookup!$A$2:$B$28,2,FALSE)</f>
        <v>Sao Paulo</v>
      </c>
    </row>
    <row r="1686" spans="1:13" x14ac:dyDescent="0.45">
      <c r="A1686" t="s">
        <v>2131</v>
      </c>
      <c r="B1686" t="s">
        <v>2126</v>
      </c>
      <c r="C1686" t="s">
        <v>2026</v>
      </c>
      <c r="D1686" t="s">
        <v>16</v>
      </c>
      <c r="E1686" t="s">
        <v>49</v>
      </c>
      <c r="F1686">
        <v>1</v>
      </c>
      <c r="G1686">
        <v>339</v>
      </c>
      <c r="H1686">
        <v>18.13</v>
      </c>
      <c r="I1686" t="s">
        <v>44</v>
      </c>
      <c r="J1686">
        <v>10</v>
      </c>
      <c r="K1686" t="s">
        <v>51</v>
      </c>
      <c r="L1686">
        <v>5</v>
      </c>
      <c r="M1686" t="str">
        <f>VLOOKUP(D1686,State_Lookup!$A$2:$B$28,2,FALSE)</f>
        <v>Sao Paulo</v>
      </c>
    </row>
    <row r="1687" spans="1:13" x14ac:dyDescent="0.45">
      <c r="A1687" t="s">
        <v>2132</v>
      </c>
      <c r="B1687" t="s">
        <v>2126</v>
      </c>
      <c r="C1687" t="s">
        <v>2026</v>
      </c>
      <c r="D1687" t="s">
        <v>17</v>
      </c>
      <c r="E1687" t="s">
        <v>64</v>
      </c>
      <c r="F1687">
        <v>1</v>
      </c>
      <c r="G1687">
        <v>79.900000000000006</v>
      </c>
      <c r="H1687">
        <v>14.31</v>
      </c>
      <c r="I1687" t="s">
        <v>44</v>
      </c>
      <c r="J1687">
        <v>13</v>
      </c>
      <c r="K1687" t="s">
        <v>51</v>
      </c>
      <c r="L1687">
        <v>5</v>
      </c>
      <c r="M1687" t="str">
        <f>VLOOKUP(D1687,State_Lookup!$A$2:$B$28,2,FALSE)</f>
        <v>Rio de Janeiro</v>
      </c>
    </row>
    <row r="1688" spans="1:13" x14ac:dyDescent="0.45">
      <c r="A1688" t="s">
        <v>2133</v>
      </c>
      <c r="B1688" t="s">
        <v>2126</v>
      </c>
      <c r="C1688" t="s">
        <v>2026</v>
      </c>
      <c r="D1688" t="s">
        <v>22</v>
      </c>
      <c r="E1688" t="s">
        <v>110</v>
      </c>
      <c r="F1688">
        <v>1</v>
      </c>
      <c r="G1688">
        <v>59.9</v>
      </c>
      <c r="H1688">
        <v>16.86</v>
      </c>
      <c r="I1688" t="s">
        <v>44</v>
      </c>
      <c r="J1688">
        <v>28</v>
      </c>
      <c r="K1688" t="s">
        <v>51</v>
      </c>
      <c r="L1688">
        <v>1</v>
      </c>
      <c r="M1688" t="str">
        <f>VLOOKUP(D1688,State_Lookup!$A$2:$B$28,2,FALSE)</f>
        <v>Bahia</v>
      </c>
    </row>
    <row r="1689" spans="1:13" x14ac:dyDescent="0.45">
      <c r="A1689" t="s">
        <v>2134</v>
      </c>
      <c r="B1689" t="s">
        <v>2126</v>
      </c>
      <c r="C1689" t="s">
        <v>2026</v>
      </c>
      <c r="D1689" t="s">
        <v>16</v>
      </c>
      <c r="E1689" t="s">
        <v>132</v>
      </c>
      <c r="F1689">
        <v>1</v>
      </c>
      <c r="G1689">
        <v>89</v>
      </c>
      <c r="H1689">
        <v>15.37</v>
      </c>
      <c r="I1689" t="s">
        <v>44</v>
      </c>
      <c r="J1689">
        <v>20</v>
      </c>
      <c r="K1689" t="s">
        <v>51</v>
      </c>
      <c r="L1689">
        <v>5</v>
      </c>
      <c r="M1689" t="str">
        <f>VLOOKUP(D1689,State_Lookup!$A$2:$B$28,2,FALSE)</f>
        <v>Sao Paulo</v>
      </c>
    </row>
    <row r="1690" spans="1:13" x14ac:dyDescent="0.45">
      <c r="A1690" t="s">
        <v>2135</v>
      </c>
      <c r="B1690" t="s">
        <v>2136</v>
      </c>
      <c r="C1690" t="s">
        <v>2026</v>
      </c>
      <c r="D1690" t="s">
        <v>17</v>
      </c>
      <c r="E1690" t="s">
        <v>244</v>
      </c>
      <c r="F1690">
        <v>1</v>
      </c>
      <c r="G1690">
        <v>79</v>
      </c>
      <c r="H1690">
        <v>17.8</v>
      </c>
      <c r="I1690" t="s">
        <v>44</v>
      </c>
      <c r="J1690">
        <v>36</v>
      </c>
      <c r="K1690" t="s">
        <v>143</v>
      </c>
      <c r="L1690">
        <v>4</v>
      </c>
      <c r="M1690" t="str">
        <f>VLOOKUP(D1690,State_Lookup!$A$2:$B$28,2,FALSE)</f>
        <v>Rio de Janeiro</v>
      </c>
    </row>
    <row r="1691" spans="1:13" x14ac:dyDescent="0.45">
      <c r="A1691" t="s">
        <v>2137</v>
      </c>
      <c r="B1691" t="s">
        <v>2136</v>
      </c>
      <c r="C1691" t="s">
        <v>2026</v>
      </c>
      <c r="D1691" t="s">
        <v>16</v>
      </c>
      <c r="E1691" t="s">
        <v>79</v>
      </c>
      <c r="F1691">
        <v>1</v>
      </c>
      <c r="G1691">
        <v>31.9</v>
      </c>
      <c r="H1691">
        <v>11.85</v>
      </c>
      <c r="I1691" t="s">
        <v>44</v>
      </c>
      <c r="J1691">
        <v>7</v>
      </c>
      <c r="K1691" t="s">
        <v>51</v>
      </c>
      <c r="L1691">
        <v>5</v>
      </c>
      <c r="M1691" t="str">
        <f>VLOOKUP(D1691,State_Lookup!$A$2:$B$28,2,FALSE)</f>
        <v>Sao Paulo</v>
      </c>
    </row>
    <row r="1692" spans="1:13" x14ac:dyDescent="0.45">
      <c r="A1692" t="s">
        <v>2138</v>
      </c>
      <c r="B1692" t="s">
        <v>2136</v>
      </c>
      <c r="C1692" t="s">
        <v>2026</v>
      </c>
      <c r="D1692" t="s">
        <v>63</v>
      </c>
      <c r="E1692" t="s">
        <v>43</v>
      </c>
      <c r="F1692">
        <v>2</v>
      </c>
      <c r="G1692">
        <v>98</v>
      </c>
      <c r="H1692">
        <v>42.38</v>
      </c>
      <c r="I1692" t="s">
        <v>44</v>
      </c>
      <c r="J1692">
        <v>20</v>
      </c>
      <c r="K1692" t="s">
        <v>51</v>
      </c>
      <c r="L1692">
        <v>5</v>
      </c>
      <c r="M1692" t="str">
        <f>VLOOKUP(D1692,State_Lookup!$A$2:$B$28,2,FALSE)</f>
        <v>Pernambuco</v>
      </c>
    </row>
    <row r="1693" spans="1:13" x14ac:dyDescent="0.45">
      <c r="A1693" t="s">
        <v>2139</v>
      </c>
      <c r="B1693" t="s">
        <v>2136</v>
      </c>
      <c r="C1693" t="s">
        <v>2026</v>
      </c>
      <c r="D1693" t="s">
        <v>16</v>
      </c>
      <c r="E1693" t="s">
        <v>110</v>
      </c>
      <c r="F1693">
        <v>1</v>
      </c>
      <c r="G1693">
        <v>87.9</v>
      </c>
      <c r="H1693">
        <v>12.96</v>
      </c>
      <c r="I1693" t="s">
        <v>44</v>
      </c>
      <c r="J1693">
        <v>9</v>
      </c>
      <c r="K1693" t="s">
        <v>51</v>
      </c>
      <c r="L1693">
        <v>5</v>
      </c>
      <c r="M1693" t="str">
        <f>VLOOKUP(D1693,State_Lookup!$A$2:$B$28,2,FALSE)</f>
        <v>Sao Paulo</v>
      </c>
    </row>
    <row r="1694" spans="1:13" x14ac:dyDescent="0.45">
      <c r="A1694" t="s">
        <v>2140</v>
      </c>
      <c r="B1694" t="s">
        <v>2136</v>
      </c>
      <c r="C1694" t="s">
        <v>2026</v>
      </c>
      <c r="D1694" t="s">
        <v>17</v>
      </c>
      <c r="E1694" t="s">
        <v>110</v>
      </c>
      <c r="F1694">
        <v>1</v>
      </c>
      <c r="G1694">
        <v>53</v>
      </c>
      <c r="H1694">
        <v>16.13</v>
      </c>
      <c r="I1694" t="s">
        <v>44</v>
      </c>
      <c r="J1694">
        <v>18</v>
      </c>
      <c r="K1694" t="s">
        <v>51</v>
      </c>
      <c r="L1694">
        <v>5</v>
      </c>
      <c r="M1694" t="str">
        <f>VLOOKUP(D1694,State_Lookup!$A$2:$B$28,2,FALSE)</f>
        <v>Rio de Janeiro</v>
      </c>
    </row>
    <row r="1695" spans="1:13" x14ac:dyDescent="0.45">
      <c r="A1695" t="s">
        <v>2141</v>
      </c>
      <c r="B1695" t="s">
        <v>2136</v>
      </c>
      <c r="C1695" t="s">
        <v>2026</v>
      </c>
      <c r="D1695" t="s">
        <v>17</v>
      </c>
      <c r="E1695" t="s">
        <v>244</v>
      </c>
      <c r="F1695">
        <v>1</v>
      </c>
      <c r="G1695">
        <v>79</v>
      </c>
      <c r="H1695">
        <v>17.8</v>
      </c>
      <c r="I1695" t="s">
        <v>44</v>
      </c>
      <c r="J1695">
        <v>16</v>
      </c>
      <c r="K1695" t="s">
        <v>51</v>
      </c>
      <c r="L1695">
        <v>4</v>
      </c>
      <c r="M1695" t="str">
        <f>VLOOKUP(D1695,State_Lookup!$A$2:$B$28,2,FALSE)</f>
        <v>Rio de Janeiro</v>
      </c>
    </row>
    <row r="1696" spans="1:13" x14ac:dyDescent="0.45">
      <c r="A1696" t="s">
        <v>2142</v>
      </c>
      <c r="B1696" t="s">
        <v>2136</v>
      </c>
      <c r="C1696" t="s">
        <v>2026</v>
      </c>
      <c r="D1696" t="s">
        <v>235</v>
      </c>
      <c r="E1696" t="s">
        <v>103</v>
      </c>
      <c r="F1696">
        <v>1</v>
      </c>
      <c r="G1696">
        <v>189.94</v>
      </c>
      <c r="H1696">
        <v>108.36</v>
      </c>
      <c r="I1696" t="s">
        <v>44</v>
      </c>
      <c r="J1696">
        <v>30</v>
      </c>
      <c r="K1696" t="s">
        <v>51</v>
      </c>
      <c r="L1696">
        <v>5</v>
      </c>
      <c r="M1696" t="str">
        <f>VLOOKUP(D1696,State_Lookup!$A$2:$B$28,2,FALSE)</f>
        <v>Acre</v>
      </c>
    </row>
    <row r="1697" spans="1:13" x14ac:dyDescent="0.45">
      <c r="A1697" t="s">
        <v>2143</v>
      </c>
      <c r="B1697" t="s">
        <v>2136</v>
      </c>
      <c r="C1697" t="s">
        <v>2026</v>
      </c>
      <c r="D1697" t="s">
        <v>83</v>
      </c>
      <c r="E1697" t="s">
        <v>107</v>
      </c>
      <c r="F1697">
        <v>1</v>
      </c>
      <c r="G1697">
        <v>42.36</v>
      </c>
      <c r="H1697">
        <v>54.02</v>
      </c>
      <c r="I1697" t="s">
        <v>44</v>
      </c>
      <c r="J1697">
        <v>36</v>
      </c>
      <c r="K1697" t="s">
        <v>51</v>
      </c>
      <c r="L1697">
        <v>4</v>
      </c>
      <c r="M1697" t="str">
        <f>VLOOKUP(D1697,State_Lookup!$A$2:$B$28,2,FALSE)</f>
        <v>Sergipe</v>
      </c>
    </row>
    <row r="1698" spans="1:13" x14ac:dyDescent="0.45">
      <c r="A1698" t="s">
        <v>2144</v>
      </c>
      <c r="B1698" t="s">
        <v>2136</v>
      </c>
      <c r="C1698" t="s">
        <v>2026</v>
      </c>
      <c r="D1698" t="s">
        <v>17</v>
      </c>
      <c r="E1698" t="s">
        <v>43</v>
      </c>
      <c r="F1698">
        <v>1</v>
      </c>
      <c r="G1698">
        <v>47.9</v>
      </c>
      <c r="H1698">
        <v>16.79</v>
      </c>
      <c r="I1698" t="s">
        <v>44</v>
      </c>
      <c r="J1698">
        <v>13</v>
      </c>
      <c r="K1698" t="s">
        <v>51</v>
      </c>
      <c r="L1698">
        <v>5</v>
      </c>
      <c r="M1698" t="str">
        <f>VLOOKUP(D1698,State_Lookup!$A$2:$B$28,2,FALSE)</f>
        <v>Rio de Janeiro</v>
      </c>
    </row>
    <row r="1699" spans="1:13" x14ac:dyDescent="0.45">
      <c r="A1699" t="s">
        <v>2145</v>
      </c>
      <c r="B1699" t="s">
        <v>2136</v>
      </c>
      <c r="C1699" t="s">
        <v>2026</v>
      </c>
      <c r="D1699" t="s">
        <v>16</v>
      </c>
      <c r="E1699" t="s">
        <v>110</v>
      </c>
      <c r="F1699">
        <v>1</v>
      </c>
      <c r="G1699">
        <v>45.9</v>
      </c>
      <c r="H1699">
        <v>9.34</v>
      </c>
      <c r="I1699" t="s">
        <v>108</v>
      </c>
      <c r="J1699">
        <v>9</v>
      </c>
      <c r="K1699" t="s">
        <v>51</v>
      </c>
      <c r="L1699">
        <v>5</v>
      </c>
      <c r="M1699" t="str">
        <f>VLOOKUP(D1699,State_Lookup!$A$2:$B$28,2,FALSE)</f>
        <v>Sao Paulo</v>
      </c>
    </row>
    <row r="1700" spans="1:13" x14ac:dyDescent="0.45">
      <c r="A1700" t="s">
        <v>2146</v>
      </c>
      <c r="B1700" t="s">
        <v>2136</v>
      </c>
      <c r="C1700" t="s">
        <v>2026</v>
      </c>
      <c r="D1700" t="s">
        <v>16</v>
      </c>
      <c r="E1700" t="s">
        <v>53</v>
      </c>
      <c r="F1700">
        <v>1</v>
      </c>
      <c r="G1700">
        <v>29.9</v>
      </c>
      <c r="H1700">
        <v>11.85</v>
      </c>
      <c r="I1700" t="s">
        <v>133</v>
      </c>
      <c r="J1700">
        <v>10</v>
      </c>
      <c r="K1700" t="s">
        <v>51</v>
      </c>
      <c r="L1700">
        <v>5</v>
      </c>
      <c r="M1700" t="str">
        <f>VLOOKUP(D1700,State_Lookup!$A$2:$B$28,2,FALSE)</f>
        <v>Sao Paulo</v>
      </c>
    </row>
    <row r="1701" spans="1:13" x14ac:dyDescent="0.45">
      <c r="A1701" t="s">
        <v>2147</v>
      </c>
      <c r="B1701" t="s">
        <v>2136</v>
      </c>
      <c r="C1701" t="s">
        <v>2026</v>
      </c>
      <c r="D1701" t="s">
        <v>21</v>
      </c>
      <c r="E1701" t="s">
        <v>157</v>
      </c>
      <c r="F1701">
        <v>1</v>
      </c>
      <c r="G1701">
        <v>146</v>
      </c>
      <c r="H1701">
        <v>15.77</v>
      </c>
      <c r="I1701" t="s">
        <v>50</v>
      </c>
      <c r="J1701">
        <v>16</v>
      </c>
      <c r="K1701" t="s">
        <v>51</v>
      </c>
      <c r="L1701">
        <v>4</v>
      </c>
      <c r="M1701" t="str">
        <f>VLOOKUP(D1701,State_Lookup!$A$2:$B$28,2,FALSE)</f>
        <v>Santa Catarina</v>
      </c>
    </row>
    <row r="1702" spans="1:13" x14ac:dyDescent="0.45">
      <c r="A1702" t="s">
        <v>2148</v>
      </c>
      <c r="B1702" t="s">
        <v>2136</v>
      </c>
      <c r="C1702" t="s">
        <v>2026</v>
      </c>
      <c r="D1702" t="s">
        <v>18</v>
      </c>
      <c r="E1702" t="s">
        <v>64</v>
      </c>
      <c r="F1702">
        <v>1</v>
      </c>
      <c r="G1702">
        <v>39</v>
      </c>
      <c r="H1702">
        <v>14.1</v>
      </c>
      <c r="I1702" t="s">
        <v>44</v>
      </c>
      <c r="J1702">
        <v>9</v>
      </c>
      <c r="K1702" t="s">
        <v>51</v>
      </c>
      <c r="L1702">
        <v>5</v>
      </c>
      <c r="M1702" t="str">
        <f>VLOOKUP(D1702,State_Lookup!$A$2:$B$28,2,FALSE)</f>
        <v>Minas Gerais</v>
      </c>
    </row>
    <row r="1703" spans="1:13" x14ac:dyDescent="0.45">
      <c r="A1703" t="s">
        <v>2149</v>
      </c>
      <c r="B1703" t="s">
        <v>2150</v>
      </c>
      <c r="C1703" t="s">
        <v>2026</v>
      </c>
      <c r="D1703" t="s">
        <v>16</v>
      </c>
      <c r="E1703" t="s">
        <v>132</v>
      </c>
      <c r="F1703">
        <v>1</v>
      </c>
      <c r="G1703">
        <v>413.6</v>
      </c>
      <c r="H1703">
        <v>14.4</v>
      </c>
      <c r="I1703" t="s">
        <v>44</v>
      </c>
      <c r="J1703">
        <v>11</v>
      </c>
      <c r="K1703" t="s">
        <v>51</v>
      </c>
      <c r="L1703">
        <v>5</v>
      </c>
      <c r="M1703" t="str">
        <f>VLOOKUP(D1703,State_Lookup!$A$2:$B$28,2,FALSE)</f>
        <v>Sao Paulo</v>
      </c>
    </row>
    <row r="1704" spans="1:13" x14ac:dyDescent="0.45">
      <c r="A1704" t="s">
        <v>2151</v>
      </c>
      <c r="B1704" t="s">
        <v>2150</v>
      </c>
      <c r="C1704" t="s">
        <v>2026</v>
      </c>
      <c r="D1704" t="s">
        <v>16</v>
      </c>
      <c r="E1704" t="s">
        <v>49</v>
      </c>
      <c r="F1704">
        <v>1</v>
      </c>
      <c r="G1704">
        <v>84.94</v>
      </c>
      <c r="H1704">
        <v>9.41</v>
      </c>
      <c r="I1704" t="s">
        <v>44</v>
      </c>
      <c r="J1704">
        <v>7</v>
      </c>
      <c r="K1704" t="s">
        <v>51</v>
      </c>
      <c r="L1704">
        <v>5</v>
      </c>
      <c r="M1704" t="str">
        <f>VLOOKUP(D1704,State_Lookup!$A$2:$B$28,2,FALSE)</f>
        <v>Sao Paulo</v>
      </c>
    </row>
    <row r="1705" spans="1:13" x14ac:dyDescent="0.45">
      <c r="A1705" t="s">
        <v>2152</v>
      </c>
      <c r="B1705" t="s">
        <v>2150</v>
      </c>
      <c r="C1705" t="s">
        <v>2026</v>
      </c>
      <c r="D1705" t="s">
        <v>22</v>
      </c>
      <c r="E1705" t="s">
        <v>1250</v>
      </c>
      <c r="F1705">
        <v>1</v>
      </c>
      <c r="G1705">
        <v>183</v>
      </c>
      <c r="H1705">
        <v>17.72</v>
      </c>
      <c r="I1705" t="s">
        <v>44</v>
      </c>
      <c r="J1705">
        <v>26</v>
      </c>
      <c r="K1705" t="s">
        <v>143</v>
      </c>
      <c r="L1705">
        <v>4</v>
      </c>
      <c r="M1705" t="str">
        <f>VLOOKUP(D1705,State_Lookup!$A$2:$B$28,2,FALSE)</f>
        <v>Bahia</v>
      </c>
    </row>
    <row r="1706" spans="1:13" x14ac:dyDescent="0.45">
      <c r="A1706" t="s">
        <v>2153</v>
      </c>
      <c r="B1706" t="s">
        <v>2150</v>
      </c>
      <c r="C1706" t="s">
        <v>2026</v>
      </c>
      <c r="D1706" t="s">
        <v>16</v>
      </c>
      <c r="E1706" t="s">
        <v>157</v>
      </c>
      <c r="F1706">
        <v>1</v>
      </c>
      <c r="G1706">
        <v>195.9</v>
      </c>
      <c r="H1706">
        <v>8.6300000000000008</v>
      </c>
      <c r="I1706" t="s">
        <v>50</v>
      </c>
      <c r="J1706">
        <v>13</v>
      </c>
      <c r="K1706" t="s">
        <v>51</v>
      </c>
      <c r="L1706">
        <v>5</v>
      </c>
      <c r="M1706" t="str">
        <f>VLOOKUP(D1706,State_Lookup!$A$2:$B$28,2,FALSE)</f>
        <v>Sao Paulo</v>
      </c>
    </row>
    <row r="1707" spans="1:13" x14ac:dyDescent="0.45">
      <c r="A1707" t="s">
        <v>2154</v>
      </c>
      <c r="B1707" t="s">
        <v>2150</v>
      </c>
      <c r="C1707" t="s">
        <v>2026</v>
      </c>
      <c r="D1707" t="s">
        <v>19</v>
      </c>
      <c r="E1707" t="s">
        <v>43</v>
      </c>
      <c r="F1707">
        <v>1</v>
      </c>
      <c r="G1707">
        <v>345.62</v>
      </c>
      <c r="H1707">
        <v>17.170000000000002</v>
      </c>
      <c r="I1707" t="s">
        <v>44</v>
      </c>
      <c r="J1707">
        <v>13</v>
      </c>
      <c r="K1707" t="s">
        <v>51</v>
      </c>
      <c r="L1707">
        <v>5</v>
      </c>
      <c r="M1707" t="str">
        <f>VLOOKUP(D1707,State_Lookup!$A$2:$B$28,2,FALSE)</f>
        <v>Rio Grande do Sul</v>
      </c>
    </row>
    <row r="1708" spans="1:13" x14ac:dyDescent="0.45">
      <c r="A1708" t="s">
        <v>2155</v>
      </c>
      <c r="B1708" t="s">
        <v>2150</v>
      </c>
      <c r="C1708" t="s">
        <v>2026</v>
      </c>
      <c r="D1708" t="s">
        <v>16</v>
      </c>
      <c r="E1708" t="s">
        <v>49</v>
      </c>
      <c r="F1708">
        <v>1</v>
      </c>
      <c r="G1708">
        <v>79</v>
      </c>
      <c r="H1708">
        <v>12.05</v>
      </c>
      <c r="I1708" t="s">
        <v>44</v>
      </c>
      <c r="K1708" t="s">
        <v>45</v>
      </c>
      <c r="L1708">
        <v>1</v>
      </c>
      <c r="M1708" t="str">
        <f>VLOOKUP(D1708,State_Lookup!$A$2:$B$28,2,FALSE)</f>
        <v>Sao Paulo</v>
      </c>
    </row>
    <row r="1709" spans="1:13" x14ac:dyDescent="0.45">
      <c r="A1709" t="s">
        <v>2156</v>
      </c>
      <c r="B1709" t="s">
        <v>2150</v>
      </c>
      <c r="C1709" t="s">
        <v>2026</v>
      </c>
      <c r="D1709" t="s">
        <v>16</v>
      </c>
      <c r="E1709" t="s">
        <v>61</v>
      </c>
      <c r="F1709">
        <v>1</v>
      </c>
      <c r="G1709">
        <v>229.7</v>
      </c>
      <c r="H1709">
        <v>13.95</v>
      </c>
      <c r="I1709" t="s">
        <v>44</v>
      </c>
      <c r="J1709">
        <v>6</v>
      </c>
      <c r="K1709" t="s">
        <v>51</v>
      </c>
      <c r="L1709">
        <v>5</v>
      </c>
      <c r="M1709" t="str">
        <f>VLOOKUP(D1709,State_Lookup!$A$2:$B$28,2,FALSE)</f>
        <v>Sao Paulo</v>
      </c>
    </row>
    <row r="1710" spans="1:13" x14ac:dyDescent="0.45">
      <c r="A1710" t="s">
        <v>2157</v>
      </c>
      <c r="B1710" t="s">
        <v>2150</v>
      </c>
      <c r="C1710" t="s">
        <v>2026</v>
      </c>
      <c r="D1710" t="s">
        <v>16</v>
      </c>
      <c r="E1710" t="s">
        <v>53</v>
      </c>
      <c r="F1710">
        <v>1</v>
      </c>
      <c r="G1710">
        <v>34.99</v>
      </c>
      <c r="H1710">
        <v>8.7200000000000006</v>
      </c>
      <c r="I1710" t="s">
        <v>50</v>
      </c>
      <c r="J1710">
        <v>5</v>
      </c>
      <c r="K1710" t="s">
        <v>51</v>
      </c>
      <c r="L1710">
        <v>2</v>
      </c>
      <c r="M1710" t="str">
        <f>VLOOKUP(D1710,State_Lookup!$A$2:$B$28,2,FALSE)</f>
        <v>Sao Paulo</v>
      </c>
    </row>
    <row r="1711" spans="1:13" x14ac:dyDescent="0.45">
      <c r="A1711" t="s">
        <v>2158</v>
      </c>
      <c r="B1711" t="s">
        <v>2150</v>
      </c>
      <c r="C1711" t="s">
        <v>2026</v>
      </c>
      <c r="D1711" t="s">
        <v>17</v>
      </c>
      <c r="E1711" t="s">
        <v>49</v>
      </c>
      <c r="F1711">
        <v>1</v>
      </c>
      <c r="G1711">
        <v>99.99</v>
      </c>
      <c r="H1711">
        <v>15.46</v>
      </c>
      <c r="I1711" t="s">
        <v>44</v>
      </c>
      <c r="J1711">
        <v>18</v>
      </c>
      <c r="K1711" t="s">
        <v>51</v>
      </c>
      <c r="L1711">
        <v>5</v>
      </c>
      <c r="M1711" t="str">
        <f>VLOOKUP(D1711,State_Lookup!$A$2:$B$28,2,FALSE)</f>
        <v>Rio de Janeiro</v>
      </c>
    </row>
    <row r="1712" spans="1:13" x14ac:dyDescent="0.45">
      <c r="A1712" t="s">
        <v>2159</v>
      </c>
      <c r="B1712" t="s">
        <v>2150</v>
      </c>
      <c r="C1712" t="s">
        <v>2026</v>
      </c>
      <c r="D1712" t="s">
        <v>22</v>
      </c>
      <c r="E1712" t="s">
        <v>69</v>
      </c>
      <c r="F1712">
        <v>1</v>
      </c>
      <c r="G1712">
        <v>89.99</v>
      </c>
      <c r="H1712">
        <v>43</v>
      </c>
      <c r="I1712" t="s">
        <v>44</v>
      </c>
      <c r="J1712">
        <v>12</v>
      </c>
      <c r="K1712" t="s">
        <v>51</v>
      </c>
      <c r="L1712">
        <v>2</v>
      </c>
      <c r="M1712" t="str">
        <f>VLOOKUP(D1712,State_Lookup!$A$2:$B$28,2,FALSE)</f>
        <v>Bahia</v>
      </c>
    </row>
    <row r="1713" spans="1:13" x14ac:dyDescent="0.45">
      <c r="A1713" t="s">
        <v>2160</v>
      </c>
      <c r="B1713" t="s">
        <v>2150</v>
      </c>
      <c r="C1713" t="s">
        <v>2026</v>
      </c>
      <c r="D1713" t="s">
        <v>16</v>
      </c>
      <c r="E1713" t="s">
        <v>110</v>
      </c>
      <c r="F1713">
        <v>1</v>
      </c>
      <c r="G1713">
        <v>49.99</v>
      </c>
      <c r="H1713">
        <v>11.85</v>
      </c>
      <c r="I1713" t="s">
        <v>44</v>
      </c>
      <c r="J1713">
        <v>7</v>
      </c>
      <c r="K1713" t="s">
        <v>51</v>
      </c>
      <c r="L1713">
        <v>3</v>
      </c>
      <c r="M1713" t="str">
        <f>VLOOKUP(D1713,State_Lookup!$A$2:$B$28,2,FALSE)</f>
        <v>Sao Paulo</v>
      </c>
    </row>
    <row r="1714" spans="1:13" x14ac:dyDescent="0.45">
      <c r="A1714" t="s">
        <v>2161</v>
      </c>
      <c r="B1714" t="s">
        <v>2150</v>
      </c>
      <c r="C1714" t="s">
        <v>2026</v>
      </c>
      <c r="D1714" t="s">
        <v>17</v>
      </c>
      <c r="E1714" t="s">
        <v>148</v>
      </c>
      <c r="F1714">
        <v>1</v>
      </c>
      <c r="G1714">
        <v>72.989999999999995</v>
      </c>
      <c r="H1714">
        <v>16.760000000000002</v>
      </c>
      <c r="I1714" t="s">
        <v>133</v>
      </c>
      <c r="J1714">
        <v>16</v>
      </c>
      <c r="K1714" t="s">
        <v>51</v>
      </c>
      <c r="L1714">
        <v>5</v>
      </c>
      <c r="M1714" t="str">
        <f>VLOOKUP(D1714,State_Lookup!$A$2:$B$28,2,FALSE)</f>
        <v>Rio de Janeiro</v>
      </c>
    </row>
    <row r="1715" spans="1:13" x14ac:dyDescent="0.45">
      <c r="A1715" t="s">
        <v>2162</v>
      </c>
      <c r="B1715" t="s">
        <v>2163</v>
      </c>
      <c r="C1715" t="s">
        <v>2026</v>
      </c>
      <c r="D1715" t="s">
        <v>19</v>
      </c>
      <c r="E1715" t="s">
        <v>157</v>
      </c>
      <c r="F1715">
        <v>1</v>
      </c>
      <c r="G1715">
        <v>29</v>
      </c>
      <c r="H1715">
        <v>14.1</v>
      </c>
      <c r="I1715" t="s">
        <v>50</v>
      </c>
      <c r="J1715">
        <v>25</v>
      </c>
      <c r="K1715" t="s">
        <v>143</v>
      </c>
      <c r="L1715">
        <v>5</v>
      </c>
      <c r="M1715" t="str">
        <f>VLOOKUP(D1715,State_Lookup!$A$2:$B$28,2,FALSE)</f>
        <v>Rio Grande do Sul</v>
      </c>
    </row>
    <row r="1716" spans="1:13" x14ac:dyDescent="0.45">
      <c r="A1716" t="s">
        <v>2164</v>
      </c>
      <c r="B1716" t="s">
        <v>2163</v>
      </c>
      <c r="C1716" t="s">
        <v>2026</v>
      </c>
      <c r="D1716" t="s">
        <v>16</v>
      </c>
      <c r="E1716" t="s">
        <v>107</v>
      </c>
      <c r="F1716">
        <v>2</v>
      </c>
      <c r="G1716">
        <v>172.5</v>
      </c>
      <c r="H1716">
        <v>27.37</v>
      </c>
      <c r="I1716" t="s">
        <v>44</v>
      </c>
      <c r="J1716">
        <v>12</v>
      </c>
      <c r="K1716" t="s">
        <v>51</v>
      </c>
      <c r="L1716">
        <v>4</v>
      </c>
      <c r="M1716" t="str">
        <f>VLOOKUP(D1716,State_Lookup!$A$2:$B$28,2,FALSE)</f>
        <v>Sao Paulo</v>
      </c>
    </row>
    <row r="1717" spans="1:13" x14ac:dyDescent="0.45">
      <c r="A1717" t="s">
        <v>2165</v>
      </c>
      <c r="B1717" t="s">
        <v>2163</v>
      </c>
      <c r="C1717" t="s">
        <v>2026</v>
      </c>
      <c r="D1717" t="s">
        <v>19</v>
      </c>
      <c r="E1717" t="s">
        <v>69</v>
      </c>
      <c r="F1717">
        <v>1</v>
      </c>
      <c r="G1717">
        <v>2029</v>
      </c>
      <c r="H1717">
        <v>121.22</v>
      </c>
      <c r="I1717" t="s">
        <v>44</v>
      </c>
      <c r="J1717">
        <v>8</v>
      </c>
      <c r="K1717" t="s">
        <v>51</v>
      </c>
      <c r="L1717">
        <v>5</v>
      </c>
      <c r="M1717" t="str">
        <f>VLOOKUP(D1717,State_Lookup!$A$2:$B$28,2,FALSE)</f>
        <v>Rio Grande do Sul</v>
      </c>
    </row>
    <row r="1718" spans="1:13" x14ac:dyDescent="0.45">
      <c r="A1718" t="s">
        <v>2166</v>
      </c>
      <c r="B1718" t="s">
        <v>2163</v>
      </c>
      <c r="C1718" t="s">
        <v>2026</v>
      </c>
      <c r="D1718" t="s">
        <v>63</v>
      </c>
      <c r="E1718" t="s">
        <v>157</v>
      </c>
      <c r="F1718">
        <v>1</v>
      </c>
      <c r="G1718">
        <v>249.8</v>
      </c>
      <c r="H1718">
        <v>19.03</v>
      </c>
      <c r="I1718" t="s">
        <v>44</v>
      </c>
      <c r="J1718">
        <v>13</v>
      </c>
      <c r="K1718" t="s">
        <v>51</v>
      </c>
      <c r="L1718">
        <v>4</v>
      </c>
      <c r="M1718" t="str">
        <f>VLOOKUP(D1718,State_Lookup!$A$2:$B$28,2,FALSE)</f>
        <v>Pernambuco</v>
      </c>
    </row>
    <row r="1719" spans="1:13" x14ac:dyDescent="0.45">
      <c r="A1719" t="s">
        <v>2167</v>
      </c>
      <c r="B1719" t="s">
        <v>2163</v>
      </c>
      <c r="C1719" t="s">
        <v>2026</v>
      </c>
      <c r="D1719" t="s">
        <v>16</v>
      </c>
      <c r="E1719" t="s">
        <v>148</v>
      </c>
      <c r="F1719">
        <v>1</v>
      </c>
      <c r="G1719">
        <v>72.989999999999995</v>
      </c>
      <c r="H1719">
        <v>11.73</v>
      </c>
      <c r="I1719" t="s">
        <v>50</v>
      </c>
      <c r="J1719">
        <v>5</v>
      </c>
      <c r="K1719" t="s">
        <v>51</v>
      </c>
      <c r="L1719">
        <v>5</v>
      </c>
      <c r="M1719" t="str">
        <f>VLOOKUP(D1719,State_Lookup!$A$2:$B$28,2,FALSE)</f>
        <v>Sao Paulo</v>
      </c>
    </row>
    <row r="1720" spans="1:13" x14ac:dyDescent="0.45">
      <c r="A1720" t="s">
        <v>2168</v>
      </c>
      <c r="B1720" t="s">
        <v>2163</v>
      </c>
      <c r="C1720" t="s">
        <v>2026</v>
      </c>
      <c r="D1720" t="s">
        <v>22</v>
      </c>
      <c r="E1720" t="s">
        <v>69</v>
      </c>
      <c r="F1720">
        <v>3</v>
      </c>
      <c r="G1720">
        <v>269.97000000000003</v>
      </c>
      <c r="H1720">
        <v>151.5</v>
      </c>
      <c r="I1720" t="s">
        <v>50</v>
      </c>
      <c r="J1720">
        <v>13</v>
      </c>
      <c r="K1720" t="s">
        <v>51</v>
      </c>
      <c r="L1720">
        <v>5</v>
      </c>
      <c r="M1720" t="str">
        <f>VLOOKUP(D1720,State_Lookup!$A$2:$B$28,2,FALSE)</f>
        <v>Bahia</v>
      </c>
    </row>
    <row r="1721" spans="1:13" x14ac:dyDescent="0.45">
      <c r="A1721" t="s">
        <v>2169</v>
      </c>
      <c r="B1721" t="s">
        <v>2163</v>
      </c>
      <c r="C1721" t="s">
        <v>2026</v>
      </c>
      <c r="D1721" t="s">
        <v>16</v>
      </c>
      <c r="E1721" t="s">
        <v>340</v>
      </c>
      <c r="F1721">
        <v>1</v>
      </c>
      <c r="G1721">
        <v>35.9</v>
      </c>
      <c r="H1721">
        <v>13.37</v>
      </c>
      <c r="I1721" t="s">
        <v>44</v>
      </c>
      <c r="J1721">
        <v>13</v>
      </c>
      <c r="K1721" t="s">
        <v>51</v>
      </c>
      <c r="L1721">
        <v>4</v>
      </c>
      <c r="M1721" t="str">
        <f>VLOOKUP(D1721,State_Lookup!$A$2:$B$28,2,FALSE)</f>
        <v>Sao Paulo</v>
      </c>
    </row>
    <row r="1722" spans="1:13" x14ac:dyDescent="0.45">
      <c r="A1722" t="s">
        <v>2170</v>
      </c>
      <c r="B1722" t="s">
        <v>2163</v>
      </c>
      <c r="C1722" t="s">
        <v>2026</v>
      </c>
      <c r="D1722" t="s">
        <v>20</v>
      </c>
      <c r="E1722" t="s">
        <v>79</v>
      </c>
      <c r="F1722">
        <v>1</v>
      </c>
      <c r="G1722">
        <v>80</v>
      </c>
      <c r="H1722">
        <v>20.96</v>
      </c>
      <c r="I1722" t="s">
        <v>44</v>
      </c>
      <c r="J1722">
        <v>12</v>
      </c>
      <c r="K1722" t="s">
        <v>51</v>
      </c>
      <c r="L1722">
        <v>5</v>
      </c>
      <c r="M1722" t="str">
        <f>VLOOKUP(D1722,State_Lookup!$A$2:$B$28,2,FALSE)</f>
        <v>Parana</v>
      </c>
    </row>
    <row r="1723" spans="1:13" x14ac:dyDescent="0.45">
      <c r="A1723" t="s">
        <v>2171</v>
      </c>
      <c r="B1723" t="s">
        <v>2163</v>
      </c>
      <c r="C1723" t="s">
        <v>2026</v>
      </c>
      <c r="D1723" t="s">
        <v>20</v>
      </c>
      <c r="E1723" t="s">
        <v>61</v>
      </c>
      <c r="F1723">
        <v>1</v>
      </c>
      <c r="G1723">
        <v>45</v>
      </c>
      <c r="H1723">
        <v>14.1</v>
      </c>
      <c r="I1723" t="s">
        <v>44</v>
      </c>
      <c r="J1723">
        <v>8</v>
      </c>
      <c r="K1723" t="s">
        <v>51</v>
      </c>
      <c r="L1723">
        <v>4</v>
      </c>
      <c r="M1723" t="str">
        <f>VLOOKUP(D1723,State_Lookup!$A$2:$B$28,2,FALSE)</f>
        <v>Parana</v>
      </c>
    </row>
    <row r="1724" spans="1:13" x14ac:dyDescent="0.45">
      <c r="A1724" t="s">
        <v>2172</v>
      </c>
      <c r="B1724" t="s">
        <v>2163</v>
      </c>
      <c r="C1724" t="s">
        <v>2026</v>
      </c>
      <c r="D1724" t="s">
        <v>16</v>
      </c>
      <c r="E1724" t="s">
        <v>157</v>
      </c>
      <c r="F1724">
        <v>1</v>
      </c>
      <c r="G1724">
        <v>119.39</v>
      </c>
      <c r="H1724">
        <v>8.09</v>
      </c>
      <c r="I1724" t="s">
        <v>44</v>
      </c>
      <c r="J1724">
        <v>6</v>
      </c>
      <c r="K1724" t="s">
        <v>51</v>
      </c>
      <c r="L1724">
        <v>5</v>
      </c>
      <c r="M1724" t="str">
        <f>VLOOKUP(D1724,State_Lookup!$A$2:$B$28,2,FALSE)</f>
        <v>Sao Paulo</v>
      </c>
    </row>
    <row r="1725" spans="1:13" x14ac:dyDescent="0.45">
      <c r="A1725" t="s">
        <v>2173</v>
      </c>
      <c r="B1725" t="s">
        <v>2163</v>
      </c>
      <c r="C1725" t="s">
        <v>2026</v>
      </c>
      <c r="D1725" t="s">
        <v>17</v>
      </c>
      <c r="E1725" t="s">
        <v>53</v>
      </c>
      <c r="F1725">
        <v>1</v>
      </c>
      <c r="G1725">
        <v>50.7</v>
      </c>
      <c r="H1725">
        <v>17.600000000000001</v>
      </c>
      <c r="I1725" t="s">
        <v>44</v>
      </c>
      <c r="J1725">
        <v>11</v>
      </c>
      <c r="K1725" t="s">
        <v>51</v>
      </c>
      <c r="L1725">
        <v>5</v>
      </c>
      <c r="M1725" t="str">
        <f>VLOOKUP(D1725,State_Lookup!$A$2:$B$28,2,FALSE)</f>
        <v>Rio de Janeiro</v>
      </c>
    </row>
    <row r="1726" spans="1:13" x14ac:dyDescent="0.45">
      <c r="A1726" t="s">
        <v>2174</v>
      </c>
      <c r="B1726" t="s">
        <v>2163</v>
      </c>
      <c r="C1726" t="s">
        <v>2026</v>
      </c>
      <c r="D1726" t="s">
        <v>17</v>
      </c>
      <c r="E1726" t="s">
        <v>43</v>
      </c>
      <c r="F1726">
        <v>1</v>
      </c>
      <c r="G1726">
        <v>12.99</v>
      </c>
      <c r="H1726">
        <v>14.1</v>
      </c>
      <c r="I1726" t="s">
        <v>50</v>
      </c>
      <c r="J1726">
        <v>11</v>
      </c>
      <c r="K1726" t="s">
        <v>51</v>
      </c>
      <c r="L1726">
        <v>4</v>
      </c>
      <c r="M1726" t="str">
        <f>VLOOKUP(D1726,State_Lookup!$A$2:$B$28,2,FALSE)</f>
        <v>Rio de Janeiro</v>
      </c>
    </row>
    <row r="1727" spans="1:13" x14ac:dyDescent="0.45">
      <c r="A1727" t="s">
        <v>2175</v>
      </c>
      <c r="B1727" t="s">
        <v>2176</v>
      </c>
      <c r="C1727" t="s">
        <v>2026</v>
      </c>
      <c r="D1727" t="s">
        <v>19</v>
      </c>
      <c r="E1727" t="s">
        <v>79</v>
      </c>
      <c r="F1727">
        <v>1</v>
      </c>
      <c r="G1727">
        <v>38.4</v>
      </c>
      <c r="H1727">
        <v>16.11</v>
      </c>
      <c r="I1727" t="s">
        <v>50</v>
      </c>
      <c r="J1727">
        <v>17</v>
      </c>
      <c r="K1727" t="s">
        <v>51</v>
      </c>
      <c r="L1727">
        <v>5</v>
      </c>
      <c r="M1727" t="str">
        <f>VLOOKUP(D1727,State_Lookup!$A$2:$B$28,2,FALSE)</f>
        <v>Rio Grande do Sul</v>
      </c>
    </row>
    <row r="1728" spans="1:13" x14ac:dyDescent="0.45">
      <c r="A1728" t="s">
        <v>2177</v>
      </c>
      <c r="B1728" t="s">
        <v>2176</v>
      </c>
      <c r="C1728" t="s">
        <v>2026</v>
      </c>
      <c r="D1728" t="s">
        <v>16</v>
      </c>
      <c r="E1728" t="s">
        <v>125</v>
      </c>
      <c r="F1728">
        <v>1</v>
      </c>
      <c r="G1728">
        <v>23.7</v>
      </c>
      <c r="H1728">
        <v>11.85</v>
      </c>
      <c r="I1728" t="s">
        <v>44</v>
      </c>
      <c r="J1728">
        <v>11</v>
      </c>
      <c r="K1728" t="s">
        <v>51</v>
      </c>
      <c r="L1728">
        <v>5</v>
      </c>
      <c r="M1728" t="str">
        <f>VLOOKUP(D1728,State_Lookup!$A$2:$B$28,2,FALSE)</f>
        <v>Sao Paulo</v>
      </c>
    </row>
    <row r="1729" spans="1:13" x14ac:dyDescent="0.45">
      <c r="A1729" t="s">
        <v>2178</v>
      </c>
      <c r="B1729" t="s">
        <v>2176</v>
      </c>
      <c r="C1729" t="s">
        <v>2026</v>
      </c>
      <c r="D1729" t="s">
        <v>16</v>
      </c>
      <c r="E1729" t="s">
        <v>157</v>
      </c>
      <c r="F1729">
        <v>1</v>
      </c>
      <c r="G1729">
        <v>219.9</v>
      </c>
      <c r="H1729">
        <v>14.56</v>
      </c>
      <c r="I1729" t="s">
        <v>44</v>
      </c>
      <c r="J1729">
        <v>5</v>
      </c>
      <c r="K1729" t="s">
        <v>51</v>
      </c>
      <c r="L1729">
        <v>5</v>
      </c>
      <c r="M1729" t="str">
        <f>VLOOKUP(D1729,State_Lookup!$A$2:$B$28,2,FALSE)</f>
        <v>Sao Paulo</v>
      </c>
    </row>
    <row r="1730" spans="1:13" x14ac:dyDescent="0.45">
      <c r="A1730" t="s">
        <v>2179</v>
      </c>
      <c r="B1730" t="s">
        <v>2176</v>
      </c>
      <c r="C1730" t="s">
        <v>2026</v>
      </c>
      <c r="D1730" t="s">
        <v>21</v>
      </c>
      <c r="E1730" t="s">
        <v>43</v>
      </c>
      <c r="F1730">
        <v>1</v>
      </c>
      <c r="G1730">
        <v>75</v>
      </c>
      <c r="H1730">
        <v>21.02</v>
      </c>
      <c r="I1730" t="s">
        <v>50</v>
      </c>
      <c r="J1730">
        <v>18</v>
      </c>
      <c r="K1730" t="s">
        <v>51</v>
      </c>
      <c r="L1730">
        <v>5</v>
      </c>
      <c r="M1730" t="str">
        <f>VLOOKUP(D1730,State_Lookup!$A$2:$B$28,2,FALSE)</f>
        <v>Santa Catarina</v>
      </c>
    </row>
    <row r="1731" spans="1:13" x14ac:dyDescent="0.45">
      <c r="A1731" t="s">
        <v>2180</v>
      </c>
      <c r="B1731" t="s">
        <v>2176</v>
      </c>
      <c r="C1731" t="s">
        <v>2026</v>
      </c>
      <c r="D1731" t="s">
        <v>16</v>
      </c>
      <c r="E1731" t="s">
        <v>110</v>
      </c>
      <c r="F1731">
        <v>1</v>
      </c>
      <c r="G1731">
        <v>114.9</v>
      </c>
      <c r="H1731">
        <v>13.82</v>
      </c>
      <c r="I1731" t="s">
        <v>44</v>
      </c>
      <c r="J1731">
        <v>10</v>
      </c>
      <c r="K1731" t="s">
        <v>51</v>
      </c>
      <c r="L1731">
        <v>4</v>
      </c>
      <c r="M1731" t="str">
        <f>VLOOKUP(D1731,State_Lookup!$A$2:$B$28,2,FALSE)</f>
        <v>Sao Paulo</v>
      </c>
    </row>
    <row r="1732" spans="1:13" x14ac:dyDescent="0.45">
      <c r="A1732" t="s">
        <v>2181</v>
      </c>
      <c r="B1732" t="s">
        <v>2176</v>
      </c>
      <c r="C1732" t="s">
        <v>2026</v>
      </c>
      <c r="D1732" t="s">
        <v>16</v>
      </c>
      <c r="E1732" t="s">
        <v>61</v>
      </c>
      <c r="F1732">
        <v>1</v>
      </c>
      <c r="G1732">
        <v>299.99</v>
      </c>
      <c r="H1732">
        <v>19.989999999999998</v>
      </c>
      <c r="I1732" t="s">
        <v>44</v>
      </c>
      <c r="J1732">
        <v>5</v>
      </c>
      <c r="K1732" t="s">
        <v>51</v>
      </c>
      <c r="L1732">
        <v>4</v>
      </c>
      <c r="M1732" t="str">
        <f>VLOOKUP(D1732,State_Lookup!$A$2:$B$28,2,FALSE)</f>
        <v>Sao Paulo</v>
      </c>
    </row>
    <row r="1733" spans="1:13" x14ac:dyDescent="0.45">
      <c r="A1733" t="s">
        <v>2182</v>
      </c>
      <c r="B1733" t="s">
        <v>2176</v>
      </c>
      <c r="C1733" t="s">
        <v>2026</v>
      </c>
      <c r="D1733" t="s">
        <v>24</v>
      </c>
      <c r="E1733" t="s">
        <v>103</v>
      </c>
      <c r="F1733">
        <v>1</v>
      </c>
      <c r="G1733">
        <v>59.9</v>
      </c>
      <c r="H1733">
        <v>18.96</v>
      </c>
      <c r="I1733" t="s">
        <v>44</v>
      </c>
      <c r="J1733">
        <v>10</v>
      </c>
      <c r="K1733" t="s">
        <v>51</v>
      </c>
      <c r="L1733">
        <v>4</v>
      </c>
      <c r="M1733" t="str">
        <f>VLOOKUP(D1733,State_Lookup!$A$2:$B$28,2,FALSE)</f>
        <v>Distrito Federal</v>
      </c>
    </row>
    <row r="1734" spans="1:13" x14ac:dyDescent="0.45">
      <c r="A1734" t="s">
        <v>2183</v>
      </c>
      <c r="B1734" t="s">
        <v>2184</v>
      </c>
      <c r="C1734" t="s">
        <v>2026</v>
      </c>
      <c r="D1734" t="s">
        <v>249</v>
      </c>
      <c r="E1734" t="s">
        <v>64</v>
      </c>
      <c r="F1734">
        <v>1</v>
      </c>
      <c r="G1734">
        <v>149.9</v>
      </c>
      <c r="H1734">
        <v>19.59</v>
      </c>
      <c r="I1734" t="s">
        <v>50</v>
      </c>
      <c r="J1734">
        <v>19</v>
      </c>
      <c r="K1734" t="s">
        <v>51</v>
      </c>
      <c r="L1734">
        <v>4</v>
      </c>
      <c r="M1734" t="str">
        <f>VLOOKUP(D1734,State_Lookup!$A$2:$B$28,2,FALSE)</f>
        <v>Tocantins</v>
      </c>
    </row>
    <row r="1735" spans="1:13" x14ac:dyDescent="0.45">
      <c r="A1735" t="s">
        <v>2185</v>
      </c>
      <c r="B1735" t="s">
        <v>2184</v>
      </c>
      <c r="C1735" t="s">
        <v>2026</v>
      </c>
      <c r="D1735" t="s">
        <v>16</v>
      </c>
      <c r="E1735" t="s">
        <v>61</v>
      </c>
      <c r="F1735">
        <v>1</v>
      </c>
      <c r="G1735">
        <v>45.73</v>
      </c>
      <c r="H1735">
        <v>11.85</v>
      </c>
      <c r="I1735" t="s">
        <v>133</v>
      </c>
      <c r="J1735">
        <v>6</v>
      </c>
      <c r="K1735" t="s">
        <v>51</v>
      </c>
      <c r="L1735">
        <v>5</v>
      </c>
      <c r="M1735" t="str">
        <f>VLOOKUP(D1735,State_Lookup!$A$2:$B$28,2,FALSE)</f>
        <v>Sao Paulo</v>
      </c>
    </row>
    <row r="1736" spans="1:13" x14ac:dyDescent="0.45">
      <c r="A1736" t="s">
        <v>2186</v>
      </c>
      <c r="B1736" t="s">
        <v>2184</v>
      </c>
      <c r="C1736" t="s">
        <v>2026</v>
      </c>
      <c r="D1736" t="s">
        <v>22</v>
      </c>
      <c r="E1736" t="s">
        <v>132</v>
      </c>
      <c r="F1736">
        <v>1</v>
      </c>
      <c r="G1736">
        <v>49</v>
      </c>
      <c r="H1736">
        <v>16.79</v>
      </c>
      <c r="I1736" t="s">
        <v>133</v>
      </c>
      <c r="J1736">
        <v>12</v>
      </c>
      <c r="K1736" t="s">
        <v>51</v>
      </c>
      <c r="L1736">
        <v>5</v>
      </c>
      <c r="M1736" t="str">
        <f>VLOOKUP(D1736,State_Lookup!$A$2:$B$28,2,FALSE)</f>
        <v>Bahia</v>
      </c>
    </row>
    <row r="1737" spans="1:13" x14ac:dyDescent="0.45">
      <c r="A1737" t="s">
        <v>2187</v>
      </c>
      <c r="B1737" t="s">
        <v>2184</v>
      </c>
      <c r="C1737" t="s">
        <v>2026</v>
      </c>
      <c r="D1737" t="s">
        <v>219</v>
      </c>
      <c r="E1737" t="s">
        <v>152</v>
      </c>
      <c r="F1737">
        <v>1</v>
      </c>
      <c r="G1737">
        <v>299.89999999999998</v>
      </c>
      <c r="H1737">
        <v>155.47</v>
      </c>
      <c r="I1737" t="s">
        <v>44</v>
      </c>
      <c r="J1737">
        <v>25</v>
      </c>
      <c r="K1737" t="s">
        <v>51</v>
      </c>
      <c r="L1737">
        <v>4</v>
      </c>
      <c r="M1737" t="str">
        <f>VLOOKUP(D1737,State_Lookup!$A$2:$B$28,2,FALSE)</f>
        <v>Rondonia</v>
      </c>
    </row>
    <row r="1738" spans="1:13" x14ac:dyDescent="0.45">
      <c r="A1738" t="s">
        <v>2188</v>
      </c>
      <c r="B1738" t="s">
        <v>2184</v>
      </c>
      <c r="C1738" t="s">
        <v>2026</v>
      </c>
      <c r="D1738" t="s">
        <v>25</v>
      </c>
      <c r="E1738" t="s">
        <v>110</v>
      </c>
      <c r="F1738">
        <v>1</v>
      </c>
      <c r="G1738">
        <v>109.9</v>
      </c>
      <c r="H1738">
        <v>25.61</v>
      </c>
      <c r="I1738" t="s">
        <v>44</v>
      </c>
      <c r="J1738">
        <v>16</v>
      </c>
      <c r="K1738" t="s">
        <v>51</v>
      </c>
      <c r="L1738">
        <v>5</v>
      </c>
      <c r="M1738" t="str">
        <f>VLOOKUP(D1738,State_Lookup!$A$2:$B$28,2,FALSE)</f>
        <v>Goias</v>
      </c>
    </row>
    <row r="1739" spans="1:13" x14ac:dyDescent="0.45">
      <c r="A1739" t="s">
        <v>2189</v>
      </c>
      <c r="B1739" t="s">
        <v>2184</v>
      </c>
      <c r="C1739" t="s">
        <v>2026</v>
      </c>
      <c r="D1739" t="s">
        <v>20</v>
      </c>
      <c r="E1739" t="s">
        <v>61</v>
      </c>
      <c r="F1739">
        <v>4</v>
      </c>
      <c r="G1739">
        <v>664.4</v>
      </c>
      <c r="H1739">
        <v>86.09</v>
      </c>
      <c r="I1739" t="s">
        <v>44</v>
      </c>
      <c r="J1739">
        <v>6</v>
      </c>
      <c r="K1739" t="s">
        <v>51</v>
      </c>
      <c r="L1739">
        <v>1</v>
      </c>
      <c r="M1739" t="str">
        <f>VLOOKUP(D1739,State_Lookup!$A$2:$B$28,2,FALSE)</f>
        <v>Parana</v>
      </c>
    </row>
    <row r="1740" spans="1:13" x14ac:dyDescent="0.45">
      <c r="A1740" t="s">
        <v>2190</v>
      </c>
      <c r="B1740" t="s">
        <v>2184</v>
      </c>
      <c r="C1740" t="s">
        <v>2026</v>
      </c>
      <c r="D1740" t="s">
        <v>16</v>
      </c>
      <c r="E1740" t="s">
        <v>79</v>
      </c>
      <c r="F1740">
        <v>1</v>
      </c>
      <c r="G1740">
        <v>349.9</v>
      </c>
      <c r="H1740">
        <v>18.7</v>
      </c>
      <c r="I1740" t="s">
        <v>44</v>
      </c>
      <c r="J1740">
        <v>8</v>
      </c>
      <c r="K1740" t="s">
        <v>51</v>
      </c>
      <c r="L1740">
        <v>5</v>
      </c>
      <c r="M1740" t="str">
        <f>VLOOKUP(D1740,State_Lookup!$A$2:$B$28,2,FALSE)</f>
        <v>Sao Paulo</v>
      </c>
    </row>
    <row r="1741" spans="1:13" x14ac:dyDescent="0.45">
      <c r="A1741" t="s">
        <v>2191</v>
      </c>
      <c r="B1741" t="s">
        <v>2184</v>
      </c>
      <c r="C1741" t="s">
        <v>2026</v>
      </c>
      <c r="D1741" t="s">
        <v>18</v>
      </c>
      <c r="E1741" t="s">
        <v>103</v>
      </c>
      <c r="F1741">
        <v>1</v>
      </c>
      <c r="G1741">
        <v>48.9</v>
      </c>
      <c r="H1741">
        <v>16.11</v>
      </c>
      <c r="I1741" t="s">
        <v>44</v>
      </c>
      <c r="J1741">
        <v>10</v>
      </c>
      <c r="K1741" t="s">
        <v>51</v>
      </c>
      <c r="L1741">
        <v>5</v>
      </c>
      <c r="M1741" t="str">
        <f>VLOOKUP(D1741,State_Lookup!$A$2:$B$28,2,FALSE)</f>
        <v>Minas Gerais</v>
      </c>
    </row>
    <row r="1742" spans="1:13" x14ac:dyDescent="0.45">
      <c r="A1742" t="s">
        <v>2192</v>
      </c>
      <c r="B1742" t="s">
        <v>2184</v>
      </c>
      <c r="C1742" t="s">
        <v>2026</v>
      </c>
      <c r="D1742" t="s">
        <v>20</v>
      </c>
      <c r="E1742" t="s">
        <v>107</v>
      </c>
      <c r="F1742">
        <v>1</v>
      </c>
      <c r="G1742">
        <v>49.9</v>
      </c>
      <c r="H1742">
        <v>15.1</v>
      </c>
      <c r="I1742" t="s">
        <v>50</v>
      </c>
      <c r="J1742">
        <v>27</v>
      </c>
      <c r="K1742" t="s">
        <v>143</v>
      </c>
      <c r="L1742">
        <v>1</v>
      </c>
      <c r="M1742" t="str">
        <f>VLOOKUP(D1742,State_Lookup!$A$2:$B$28,2,FALSE)</f>
        <v>Parana</v>
      </c>
    </row>
    <row r="1743" spans="1:13" x14ac:dyDescent="0.45">
      <c r="A1743" t="s">
        <v>2193</v>
      </c>
      <c r="B1743" t="s">
        <v>2184</v>
      </c>
      <c r="C1743" t="s">
        <v>2026</v>
      </c>
      <c r="D1743" t="s">
        <v>16</v>
      </c>
      <c r="E1743" t="s">
        <v>103</v>
      </c>
      <c r="F1743">
        <v>1</v>
      </c>
      <c r="G1743">
        <v>119.99</v>
      </c>
      <c r="H1743">
        <v>27.28</v>
      </c>
      <c r="I1743" t="s">
        <v>133</v>
      </c>
      <c r="J1743">
        <v>4</v>
      </c>
      <c r="K1743" t="s">
        <v>51</v>
      </c>
      <c r="L1743">
        <v>5</v>
      </c>
      <c r="M1743" t="str">
        <f>VLOOKUP(D1743,State_Lookup!$A$2:$B$28,2,FALSE)</f>
        <v>Sao Paulo</v>
      </c>
    </row>
    <row r="1744" spans="1:13" x14ac:dyDescent="0.45">
      <c r="A1744" t="s">
        <v>2194</v>
      </c>
      <c r="B1744" t="s">
        <v>2184</v>
      </c>
      <c r="C1744" t="s">
        <v>2026</v>
      </c>
      <c r="D1744" t="s">
        <v>19</v>
      </c>
      <c r="E1744" t="s">
        <v>53</v>
      </c>
      <c r="F1744">
        <v>1</v>
      </c>
      <c r="G1744">
        <v>99.99</v>
      </c>
      <c r="H1744">
        <v>18.940000000000001</v>
      </c>
      <c r="I1744" t="s">
        <v>50</v>
      </c>
      <c r="J1744">
        <v>24</v>
      </c>
      <c r="K1744" t="s">
        <v>143</v>
      </c>
      <c r="L1744">
        <v>4</v>
      </c>
      <c r="M1744" t="str">
        <f>VLOOKUP(D1744,State_Lookup!$A$2:$B$28,2,FALSE)</f>
        <v>Rio Grande do Sul</v>
      </c>
    </row>
    <row r="1745" spans="1:13" x14ac:dyDescent="0.45">
      <c r="A1745" t="s">
        <v>2195</v>
      </c>
      <c r="B1745" t="s">
        <v>2196</v>
      </c>
      <c r="C1745" t="s">
        <v>2026</v>
      </c>
      <c r="D1745" t="s">
        <v>16</v>
      </c>
      <c r="E1745" t="s">
        <v>110</v>
      </c>
      <c r="F1745">
        <v>1</v>
      </c>
      <c r="G1745">
        <v>69.900000000000006</v>
      </c>
      <c r="H1745">
        <v>12.83</v>
      </c>
      <c r="I1745" t="s">
        <v>44</v>
      </c>
      <c r="J1745">
        <v>8</v>
      </c>
      <c r="K1745" t="s">
        <v>51</v>
      </c>
      <c r="L1745">
        <v>5</v>
      </c>
      <c r="M1745" t="str">
        <f>VLOOKUP(D1745,State_Lookup!$A$2:$B$28,2,FALSE)</f>
        <v>Sao Paulo</v>
      </c>
    </row>
    <row r="1746" spans="1:13" x14ac:dyDescent="0.45">
      <c r="A1746" t="s">
        <v>2197</v>
      </c>
      <c r="B1746" t="s">
        <v>2196</v>
      </c>
      <c r="C1746" t="s">
        <v>2026</v>
      </c>
      <c r="D1746" t="s">
        <v>17</v>
      </c>
      <c r="E1746" t="s">
        <v>107</v>
      </c>
      <c r="F1746">
        <v>1</v>
      </c>
      <c r="G1746">
        <v>83.41</v>
      </c>
      <c r="H1746">
        <v>17.829999999999998</v>
      </c>
      <c r="I1746" t="s">
        <v>50</v>
      </c>
      <c r="J1746">
        <v>19</v>
      </c>
      <c r="K1746" t="s">
        <v>51</v>
      </c>
      <c r="L1746">
        <v>3</v>
      </c>
      <c r="M1746" t="str">
        <f>VLOOKUP(D1746,State_Lookup!$A$2:$B$28,2,FALSE)</f>
        <v>Rio de Janeiro</v>
      </c>
    </row>
    <row r="1747" spans="1:13" x14ac:dyDescent="0.45">
      <c r="A1747" t="s">
        <v>2198</v>
      </c>
      <c r="B1747" t="s">
        <v>2196</v>
      </c>
      <c r="C1747" t="s">
        <v>2026</v>
      </c>
      <c r="D1747" t="s">
        <v>17</v>
      </c>
      <c r="E1747" t="s">
        <v>107</v>
      </c>
      <c r="F1747">
        <v>1</v>
      </c>
      <c r="G1747">
        <v>89.9</v>
      </c>
      <c r="H1747">
        <v>17.88</v>
      </c>
      <c r="I1747" t="s">
        <v>44</v>
      </c>
      <c r="J1747">
        <v>16</v>
      </c>
      <c r="K1747" t="s">
        <v>51</v>
      </c>
      <c r="L1747">
        <v>5</v>
      </c>
      <c r="M1747" t="str">
        <f>VLOOKUP(D1747,State_Lookup!$A$2:$B$28,2,FALSE)</f>
        <v>Rio de Janeiro</v>
      </c>
    </row>
    <row r="1748" spans="1:13" x14ac:dyDescent="0.45">
      <c r="A1748" t="s">
        <v>2199</v>
      </c>
      <c r="B1748" t="s">
        <v>2196</v>
      </c>
      <c r="C1748" t="s">
        <v>2026</v>
      </c>
      <c r="D1748" t="s">
        <v>17</v>
      </c>
      <c r="E1748" t="s">
        <v>79</v>
      </c>
      <c r="F1748">
        <v>1</v>
      </c>
      <c r="G1748">
        <v>298</v>
      </c>
      <c r="H1748">
        <v>18.399999999999999</v>
      </c>
      <c r="I1748" t="s">
        <v>44</v>
      </c>
      <c r="J1748">
        <v>4</v>
      </c>
      <c r="K1748" t="s">
        <v>51</v>
      </c>
      <c r="L1748">
        <v>5</v>
      </c>
      <c r="M1748" t="str">
        <f>VLOOKUP(D1748,State_Lookup!$A$2:$B$28,2,FALSE)</f>
        <v>Rio de Janeiro</v>
      </c>
    </row>
    <row r="1749" spans="1:13" x14ac:dyDescent="0.45">
      <c r="A1749" t="s">
        <v>2200</v>
      </c>
      <c r="B1749" t="s">
        <v>2196</v>
      </c>
      <c r="C1749" t="s">
        <v>2026</v>
      </c>
      <c r="D1749" t="s">
        <v>17</v>
      </c>
      <c r="E1749" t="s">
        <v>66</v>
      </c>
      <c r="F1749">
        <v>1</v>
      </c>
      <c r="G1749">
        <v>17.989999999999998</v>
      </c>
      <c r="H1749">
        <v>14.1</v>
      </c>
      <c r="I1749" t="s">
        <v>44</v>
      </c>
      <c r="J1749">
        <v>23</v>
      </c>
      <c r="K1749" t="s">
        <v>143</v>
      </c>
      <c r="L1749">
        <v>4</v>
      </c>
      <c r="M1749" t="str">
        <f>VLOOKUP(D1749,State_Lookup!$A$2:$B$28,2,FALSE)</f>
        <v>Rio de Janeiro</v>
      </c>
    </row>
    <row r="1750" spans="1:13" x14ac:dyDescent="0.45">
      <c r="A1750" t="s">
        <v>2201</v>
      </c>
      <c r="B1750" t="s">
        <v>2196</v>
      </c>
      <c r="C1750" t="s">
        <v>2026</v>
      </c>
      <c r="D1750" t="s">
        <v>16</v>
      </c>
      <c r="E1750" t="s">
        <v>64</v>
      </c>
      <c r="F1750">
        <v>1</v>
      </c>
      <c r="G1750">
        <v>56.99</v>
      </c>
      <c r="H1750">
        <v>8.7200000000000006</v>
      </c>
      <c r="I1750" t="s">
        <v>50</v>
      </c>
      <c r="J1750">
        <v>5</v>
      </c>
      <c r="K1750" t="s">
        <v>51</v>
      </c>
      <c r="L1750">
        <v>5</v>
      </c>
      <c r="M1750" t="str">
        <f>VLOOKUP(D1750,State_Lookup!$A$2:$B$28,2,FALSE)</f>
        <v>Sao Paulo</v>
      </c>
    </row>
    <row r="1751" spans="1:13" x14ac:dyDescent="0.45">
      <c r="A1751" t="s">
        <v>2202</v>
      </c>
      <c r="B1751" t="s">
        <v>2196</v>
      </c>
      <c r="C1751" t="s">
        <v>2026</v>
      </c>
      <c r="D1751" t="s">
        <v>17</v>
      </c>
      <c r="E1751" t="s">
        <v>79</v>
      </c>
      <c r="F1751">
        <v>1</v>
      </c>
      <c r="G1751">
        <v>550</v>
      </c>
      <c r="H1751">
        <v>145.99</v>
      </c>
      <c r="I1751" t="s">
        <v>44</v>
      </c>
      <c r="J1751">
        <v>19</v>
      </c>
      <c r="K1751" t="s">
        <v>51</v>
      </c>
      <c r="L1751">
        <v>4</v>
      </c>
      <c r="M1751" t="str">
        <f>VLOOKUP(D1751,State_Lookup!$A$2:$B$28,2,FALSE)</f>
        <v>Rio de Janeiro</v>
      </c>
    </row>
    <row r="1752" spans="1:13" x14ac:dyDescent="0.45">
      <c r="A1752" t="s">
        <v>2203</v>
      </c>
      <c r="B1752" t="s">
        <v>2204</v>
      </c>
      <c r="C1752" t="s">
        <v>2026</v>
      </c>
      <c r="D1752" t="s">
        <v>16</v>
      </c>
      <c r="E1752" t="s">
        <v>49</v>
      </c>
      <c r="F1752">
        <v>1</v>
      </c>
      <c r="G1752">
        <v>149.99</v>
      </c>
      <c r="H1752">
        <v>16.809999999999999</v>
      </c>
      <c r="I1752" t="s">
        <v>44</v>
      </c>
      <c r="J1752">
        <v>5</v>
      </c>
      <c r="K1752" t="s">
        <v>51</v>
      </c>
      <c r="L1752">
        <v>5</v>
      </c>
      <c r="M1752" t="str">
        <f>VLOOKUP(D1752,State_Lookup!$A$2:$B$28,2,FALSE)</f>
        <v>Sao Paulo</v>
      </c>
    </row>
    <row r="1753" spans="1:13" x14ac:dyDescent="0.45">
      <c r="A1753" t="s">
        <v>2205</v>
      </c>
      <c r="B1753" t="s">
        <v>2204</v>
      </c>
      <c r="C1753" t="s">
        <v>2026</v>
      </c>
      <c r="D1753" t="s">
        <v>17</v>
      </c>
      <c r="E1753" t="s">
        <v>58</v>
      </c>
      <c r="F1753">
        <v>1</v>
      </c>
      <c r="G1753">
        <v>24.5</v>
      </c>
      <c r="H1753">
        <v>15.1</v>
      </c>
      <c r="I1753" t="s">
        <v>44</v>
      </c>
      <c r="J1753">
        <v>15</v>
      </c>
      <c r="K1753" t="s">
        <v>51</v>
      </c>
      <c r="L1753">
        <v>4</v>
      </c>
      <c r="M1753" t="str">
        <f>VLOOKUP(D1753,State_Lookup!$A$2:$B$28,2,FALSE)</f>
        <v>Rio de Janeiro</v>
      </c>
    </row>
    <row r="1754" spans="1:13" x14ac:dyDescent="0.45">
      <c r="A1754" t="s">
        <v>2206</v>
      </c>
      <c r="B1754" t="s">
        <v>2204</v>
      </c>
      <c r="C1754" t="s">
        <v>2026</v>
      </c>
      <c r="D1754" t="s">
        <v>63</v>
      </c>
      <c r="E1754" t="s">
        <v>43</v>
      </c>
      <c r="F1754">
        <v>2</v>
      </c>
      <c r="G1754">
        <v>151.80000000000001</v>
      </c>
      <c r="H1754">
        <v>51.62</v>
      </c>
      <c r="I1754" t="s">
        <v>44</v>
      </c>
      <c r="J1754">
        <v>8</v>
      </c>
      <c r="K1754" t="s">
        <v>51</v>
      </c>
      <c r="L1754">
        <v>1</v>
      </c>
      <c r="M1754" t="str">
        <f>VLOOKUP(D1754,State_Lookup!$A$2:$B$28,2,FALSE)</f>
        <v>Pernambuco</v>
      </c>
    </row>
    <row r="1755" spans="1:13" x14ac:dyDescent="0.45">
      <c r="A1755" t="s">
        <v>2207</v>
      </c>
      <c r="B1755" t="s">
        <v>2204</v>
      </c>
      <c r="C1755" t="s">
        <v>2026</v>
      </c>
      <c r="D1755" t="s">
        <v>16</v>
      </c>
      <c r="E1755" t="s">
        <v>110</v>
      </c>
      <c r="F1755">
        <v>1</v>
      </c>
      <c r="G1755">
        <v>24.9</v>
      </c>
      <c r="H1755">
        <v>9.09</v>
      </c>
      <c r="I1755" t="s">
        <v>50</v>
      </c>
      <c r="J1755">
        <v>3</v>
      </c>
      <c r="K1755" t="s">
        <v>51</v>
      </c>
      <c r="L1755">
        <v>5</v>
      </c>
      <c r="M1755" t="str">
        <f>VLOOKUP(D1755,State_Lookup!$A$2:$B$28,2,FALSE)</f>
        <v>Sao Paulo</v>
      </c>
    </row>
    <row r="1756" spans="1:13" x14ac:dyDescent="0.45">
      <c r="A1756" t="s">
        <v>2208</v>
      </c>
      <c r="B1756" t="s">
        <v>2204</v>
      </c>
      <c r="C1756" t="s">
        <v>2026</v>
      </c>
      <c r="D1756" t="s">
        <v>16</v>
      </c>
      <c r="E1756" t="s">
        <v>110</v>
      </c>
      <c r="F1756">
        <v>1</v>
      </c>
      <c r="G1756">
        <v>89.9</v>
      </c>
      <c r="H1756">
        <v>12.33</v>
      </c>
      <c r="I1756" t="s">
        <v>108</v>
      </c>
      <c r="J1756">
        <v>2</v>
      </c>
      <c r="K1756" t="s">
        <v>51</v>
      </c>
      <c r="L1756">
        <v>5</v>
      </c>
      <c r="M1756" t="str">
        <f>VLOOKUP(D1756,State_Lookup!$A$2:$B$28,2,FALSE)</f>
        <v>Sao Paulo</v>
      </c>
    </row>
    <row r="1757" spans="1:13" x14ac:dyDescent="0.45">
      <c r="A1757" t="s">
        <v>2209</v>
      </c>
      <c r="B1757" t="s">
        <v>2204</v>
      </c>
      <c r="C1757" t="s">
        <v>2026</v>
      </c>
      <c r="D1757" t="s">
        <v>17</v>
      </c>
      <c r="E1757" t="s">
        <v>53</v>
      </c>
      <c r="F1757">
        <v>1</v>
      </c>
      <c r="G1757">
        <v>35.9</v>
      </c>
      <c r="H1757">
        <v>14.1</v>
      </c>
      <c r="I1757" t="s">
        <v>44</v>
      </c>
      <c r="J1757">
        <v>4</v>
      </c>
      <c r="K1757" t="s">
        <v>51</v>
      </c>
      <c r="L1757">
        <v>5</v>
      </c>
      <c r="M1757" t="str">
        <f>VLOOKUP(D1757,State_Lookup!$A$2:$B$28,2,FALSE)</f>
        <v>Rio de Janeiro</v>
      </c>
    </row>
    <row r="1758" spans="1:13" x14ac:dyDescent="0.45">
      <c r="A1758" t="s">
        <v>2210</v>
      </c>
      <c r="B1758" t="s">
        <v>2204</v>
      </c>
      <c r="C1758" t="s">
        <v>2026</v>
      </c>
      <c r="D1758" t="s">
        <v>16</v>
      </c>
      <c r="E1758" t="s">
        <v>53</v>
      </c>
      <c r="F1758">
        <v>1</v>
      </c>
      <c r="G1758">
        <v>99.9</v>
      </c>
      <c r="H1758">
        <v>13.72</v>
      </c>
      <c r="I1758" t="s">
        <v>44</v>
      </c>
      <c r="K1758" t="s">
        <v>45</v>
      </c>
      <c r="L1758">
        <v>2</v>
      </c>
      <c r="M1758" t="str">
        <f>VLOOKUP(D1758,State_Lookup!$A$2:$B$28,2,FALSE)</f>
        <v>Sao Paulo</v>
      </c>
    </row>
    <row r="1759" spans="1:13" x14ac:dyDescent="0.45">
      <c r="A1759" t="s">
        <v>2211</v>
      </c>
      <c r="B1759" t="s">
        <v>2204</v>
      </c>
      <c r="C1759" t="s">
        <v>2026</v>
      </c>
      <c r="D1759" t="s">
        <v>16</v>
      </c>
      <c r="E1759" t="s">
        <v>142</v>
      </c>
      <c r="F1759">
        <v>3</v>
      </c>
      <c r="G1759">
        <v>89.4</v>
      </c>
      <c r="H1759">
        <v>35.549999999999997</v>
      </c>
      <c r="I1759" t="s">
        <v>44</v>
      </c>
      <c r="J1759">
        <v>21</v>
      </c>
      <c r="K1759" t="s">
        <v>143</v>
      </c>
      <c r="L1759">
        <v>1</v>
      </c>
      <c r="M1759" t="str">
        <f>VLOOKUP(D1759,State_Lookup!$A$2:$B$28,2,FALSE)</f>
        <v>Sao Paulo</v>
      </c>
    </row>
    <row r="1760" spans="1:13" x14ac:dyDescent="0.45">
      <c r="A1760" t="s">
        <v>2212</v>
      </c>
      <c r="B1760" t="s">
        <v>2204</v>
      </c>
      <c r="C1760" t="s">
        <v>2026</v>
      </c>
      <c r="D1760" t="s">
        <v>20</v>
      </c>
      <c r="E1760" t="s">
        <v>43</v>
      </c>
      <c r="F1760">
        <v>1</v>
      </c>
      <c r="G1760">
        <v>269.89999999999998</v>
      </c>
      <c r="H1760">
        <v>60.9</v>
      </c>
      <c r="I1760" t="s">
        <v>50</v>
      </c>
      <c r="J1760">
        <v>15</v>
      </c>
      <c r="K1760" t="s">
        <v>51</v>
      </c>
      <c r="L1760">
        <v>5</v>
      </c>
      <c r="M1760" t="str">
        <f>VLOOKUP(D1760,State_Lookup!$A$2:$B$28,2,FALSE)</f>
        <v>Parana</v>
      </c>
    </row>
    <row r="1761" spans="1:13" x14ac:dyDescent="0.45">
      <c r="A1761" t="s">
        <v>2213</v>
      </c>
      <c r="B1761" t="s">
        <v>2204</v>
      </c>
      <c r="C1761" t="s">
        <v>2026</v>
      </c>
      <c r="D1761" t="s">
        <v>19</v>
      </c>
      <c r="E1761" t="s">
        <v>157</v>
      </c>
      <c r="F1761">
        <v>1</v>
      </c>
      <c r="G1761">
        <v>55</v>
      </c>
      <c r="H1761">
        <v>16.829999999999998</v>
      </c>
      <c r="I1761" t="s">
        <v>50</v>
      </c>
      <c r="J1761">
        <v>14</v>
      </c>
      <c r="K1761" t="s">
        <v>51</v>
      </c>
      <c r="L1761">
        <v>5</v>
      </c>
      <c r="M1761" t="str">
        <f>VLOOKUP(D1761,State_Lookup!$A$2:$B$28,2,FALSE)</f>
        <v>Rio Grande do Sul</v>
      </c>
    </row>
    <row r="1762" spans="1:13" x14ac:dyDescent="0.45">
      <c r="A1762" t="s">
        <v>2214</v>
      </c>
      <c r="B1762" t="s">
        <v>2204</v>
      </c>
      <c r="C1762" t="s">
        <v>2026</v>
      </c>
      <c r="D1762" t="s">
        <v>18</v>
      </c>
      <c r="E1762" t="s">
        <v>157</v>
      </c>
      <c r="F1762">
        <v>1</v>
      </c>
      <c r="G1762">
        <v>199.9</v>
      </c>
      <c r="H1762">
        <v>15.15</v>
      </c>
      <c r="I1762" t="s">
        <v>44</v>
      </c>
      <c r="J1762">
        <v>9</v>
      </c>
      <c r="K1762" t="s">
        <v>51</v>
      </c>
      <c r="L1762">
        <v>5</v>
      </c>
      <c r="M1762" t="str">
        <f>VLOOKUP(D1762,State_Lookup!$A$2:$B$28,2,FALSE)</f>
        <v>Minas Gerais</v>
      </c>
    </row>
    <row r="1763" spans="1:13" x14ac:dyDescent="0.45">
      <c r="A1763" t="s">
        <v>2215</v>
      </c>
      <c r="B1763" t="s">
        <v>2204</v>
      </c>
      <c r="C1763" t="s">
        <v>2026</v>
      </c>
      <c r="D1763" t="s">
        <v>128</v>
      </c>
      <c r="E1763" t="s">
        <v>132</v>
      </c>
      <c r="F1763">
        <v>1</v>
      </c>
      <c r="G1763">
        <v>119.99</v>
      </c>
      <c r="H1763">
        <v>19.38</v>
      </c>
      <c r="I1763" t="s">
        <v>44</v>
      </c>
      <c r="K1763" t="s">
        <v>45</v>
      </c>
      <c r="L1763">
        <v>1</v>
      </c>
      <c r="M1763" t="str">
        <f>VLOOKUP(D1763,State_Lookup!$A$2:$B$28,2,FALSE)</f>
        <v>Ceara</v>
      </c>
    </row>
    <row r="1764" spans="1:13" x14ac:dyDescent="0.45">
      <c r="A1764" t="s">
        <v>2216</v>
      </c>
      <c r="B1764" t="s">
        <v>2204</v>
      </c>
      <c r="C1764" t="s">
        <v>2026</v>
      </c>
      <c r="D1764" t="s">
        <v>25</v>
      </c>
      <c r="E1764" t="s">
        <v>142</v>
      </c>
      <c r="F1764">
        <v>1</v>
      </c>
      <c r="G1764">
        <v>114.9</v>
      </c>
      <c r="H1764">
        <v>18.05</v>
      </c>
      <c r="I1764" t="s">
        <v>44</v>
      </c>
      <c r="J1764">
        <v>22</v>
      </c>
      <c r="K1764" t="s">
        <v>51</v>
      </c>
      <c r="L1764">
        <v>5</v>
      </c>
      <c r="M1764" t="str">
        <f>VLOOKUP(D1764,State_Lookup!$A$2:$B$28,2,FALSE)</f>
        <v>Goias</v>
      </c>
    </row>
    <row r="1765" spans="1:13" x14ac:dyDescent="0.45">
      <c r="A1765" t="s">
        <v>2217</v>
      </c>
      <c r="B1765" t="s">
        <v>2204</v>
      </c>
      <c r="C1765" t="s">
        <v>2026</v>
      </c>
      <c r="D1765" t="s">
        <v>16</v>
      </c>
      <c r="E1765" t="s">
        <v>61</v>
      </c>
      <c r="F1765">
        <v>1</v>
      </c>
      <c r="G1765">
        <v>169.99</v>
      </c>
      <c r="H1765">
        <v>13.32</v>
      </c>
      <c r="I1765" t="s">
        <v>44</v>
      </c>
      <c r="J1765">
        <v>7</v>
      </c>
      <c r="K1765" t="s">
        <v>51</v>
      </c>
      <c r="L1765">
        <v>5</v>
      </c>
      <c r="M1765" t="str">
        <f>VLOOKUP(D1765,State_Lookup!$A$2:$B$28,2,FALSE)</f>
        <v>Sao Paulo</v>
      </c>
    </row>
    <row r="1766" spans="1:13" x14ac:dyDescent="0.45">
      <c r="A1766" t="s">
        <v>2218</v>
      </c>
      <c r="B1766" t="s">
        <v>2219</v>
      </c>
      <c r="C1766" t="s">
        <v>2026</v>
      </c>
      <c r="D1766" t="s">
        <v>16</v>
      </c>
      <c r="E1766" t="s">
        <v>43</v>
      </c>
      <c r="F1766">
        <v>1</v>
      </c>
      <c r="G1766">
        <v>39.9</v>
      </c>
      <c r="H1766">
        <v>15.11</v>
      </c>
      <c r="I1766" t="s">
        <v>133</v>
      </c>
      <c r="J1766">
        <v>2</v>
      </c>
      <c r="K1766" t="s">
        <v>51</v>
      </c>
      <c r="L1766">
        <v>5</v>
      </c>
      <c r="M1766" t="str">
        <f>VLOOKUP(D1766,State_Lookup!$A$2:$B$28,2,FALSE)</f>
        <v>Sao Paulo</v>
      </c>
    </row>
    <row r="1767" spans="1:13" x14ac:dyDescent="0.45">
      <c r="A1767" t="s">
        <v>2220</v>
      </c>
      <c r="B1767" t="s">
        <v>2219</v>
      </c>
      <c r="C1767" t="s">
        <v>2026</v>
      </c>
      <c r="D1767" t="s">
        <v>18</v>
      </c>
      <c r="E1767" t="s">
        <v>49</v>
      </c>
      <c r="F1767">
        <v>1</v>
      </c>
      <c r="G1767">
        <v>36</v>
      </c>
      <c r="H1767">
        <v>12.69</v>
      </c>
      <c r="I1767" t="s">
        <v>50</v>
      </c>
      <c r="J1767">
        <v>28</v>
      </c>
      <c r="K1767" t="s">
        <v>143</v>
      </c>
      <c r="L1767">
        <v>3</v>
      </c>
      <c r="M1767" t="str">
        <f>VLOOKUP(D1767,State_Lookup!$A$2:$B$28,2,FALSE)</f>
        <v>Minas Gerais</v>
      </c>
    </row>
    <row r="1768" spans="1:13" x14ac:dyDescent="0.45">
      <c r="A1768" t="s">
        <v>2221</v>
      </c>
      <c r="B1768" t="s">
        <v>2219</v>
      </c>
      <c r="C1768" t="s">
        <v>2026</v>
      </c>
      <c r="D1768" t="s">
        <v>16</v>
      </c>
      <c r="E1768" t="s">
        <v>142</v>
      </c>
      <c r="F1768">
        <v>1</v>
      </c>
      <c r="G1768">
        <v>58.9</v>
      </c>
      <c r="H1768">
        <v>14.13</v>
      </c>
      <c r="I1768" t="s">
        <v>44</v>
      </c>
      <c r="J1768">
        <v>6</v>
      </c>
      <c r="K1768" t="s">
        <v>51</v>
      </c>
      <c r="L1768">
        <v>5</v>
      </c>
      <c r="M1768" t="str">
        <f>VLOOKUP(D1768,State_Lookup!$A$2:$B$28,2,FALSE)</f>
        <v>Sao Paulo</v>
      </c>
    </row>
    <row r="1769" spans="1:13" x14ac:dyDescent="0.45">
      <c r="A1769" t="s">
        <v>2222</v>
      </c>
      <c r="B1769" t="s">
        <v>2219</v>
      </c>
      <c r="C1769" t="s">
        <v>2026</v>
      </c>
      <c r="D1769" t="s">
        <v>16</v>
      </c>
      <c r="E1769" t="s">
        <v>103</v>
      </c>
      <c r="F1769">
        <v>2</v>
      </c>
      <c r="G1769">
        <v>59.8</v>
      </c>
      <c r="H1769">
        <v>23.7</v>
      </c>
      <c r="I1769" t="s">
        <v>44</v>
      </c>
      <c r="J1769">
        <v>12</v>
      </c>
      <c r="K1769" t="s">
        <v>51</v>
      </c>
      <c r="L1769">
        <v>4</v>
      </c>
      <c r="M1769" t="str">
        <f>VLOOKUP(D1769,State_Lookup!$A$2:$B$28,2,FALSE)</f>
        <v>Sao Paulo</v>
      </c>
    </row>
    <row r="1770" spans="1:13" x14ac:dyDescent="0.45">
      <c r="A1770" t="s">
        <v>2223</v>
      </c>
      <c r="B1770" t="s">
        <v>2219</v>
      </c>
      <c r="C1770" t="s">
        <v>2026</v>
      </c>
      <c r="D1770" t="s">
        <v>19</v>
      </c>
      <c r="E1770" t="s">
        <v>340</v>
      </c>
      <c r="F1770">
        <v>1</v>
      </c>
      <c r="G1770">
        <v>43.9</v>
      </c>
      <c r="H1770">
        <v>25.19</v>
      </c>
      <c r="I1770" t="s">
        <v>50</v>
      </c>
      <c r="J1770">
        <v>20</v>
      </c>
      <c r="K1770" t="s">
        <v>51</v>
      </c>
      <c r="L1770">
        <v>4</v>
      </c>
      <c r="M1770" t="str">
        <f>VLOOKUP(D1770,State_Lookup!$A$2:$B$28,2,FALSE)</f>
        <v>Rio Grande do Sul</v>
      </c>
    </row>
    <row r="1771" spans="1:13" x14ac:dyDescent="0.45">
      <c r="A1771" t="s">
        <v>2224</v>
      </c>
      <c r="B1771" t="s">
        <v>2219</v>
      </c>
      <c r="C1771" t="s">
        <v>2026</v>
      </c>
      <c r="D1771" t="s">
        <v>17</v>
      </c>
      <c r="E1771" t="s">
        <v>69</v>
      </c>
      <c r="F1771">
        <v>1</v>
      </c>
      <c r="G1771">
        <v>59.9</v>
      </c>
      <c r="H1771">
        <v>17.670000000000002</v>
      </c>
      <c r="I1771" t="s">
        <v>44</v>
      </c>
      <c r="J1771">
        <v>17</v>
      </c>
      <c r="K1771" t="s">
        <v>51</v>
      </c>
      <c r="L1771">
        <v>5</v>
      </c>
      <c r="M1771" t="str">
        <f>VLOOKUP(D1771,State_Lookup!$A$2:$B$28,2,FALSE)</f>
        <v>Rio de Janeiro</v>
      </c>
    </row>
    <row r="1772" spans="1:13" x14ac:dyDescent="0.45">
      <c r="A1772" t="s">
        <v>2225</v>
      </c>
      <c r="B1772" t="s">
        <v>2219</v>
      </c>
      <c r="C1772" t="s">
        <v>2026</v>
      </c>
      <c r="D1772" t="s">
        <v>18</v>
      </c>
      <c r="E1772" t="s">
        <v>110</v>
      </c>
      <c r="F1772">
        <v>1</v>
      </c>
      <c r="G1772">
        <v>114.9</v>
      </c>
      <c r="H1772">
        <v>18.05</v>
      </c>
      <c r="I1772" t="s">
        <v>44</v>
      </c>
      <c r="J1772">
        <v>7</v>
      </c>
      <c r="K1772" t="s">
        <v>51</v>
      </c>
      <c r="L1772">
        <v>4</v>
      </c>
      <c r="M1772" t="str">
        <f>VLOOKUP(D1772,State_Lookup!$A$2:$B$28,2,FALSE)</f>
        <v>Minas Gerais</v>
      </c>
    </row>
    <row r="1773" spans="1:13" x14ac:dyDescent="0.45">
      <c r="A1773" t="s">
        <v>2226</v>
      </c>
      <c r="B1773" t="s">
        <v>2219</v>
      </c>
      <c r="C1773" t="s">
        <v>2026</v>
      </c>
      <c r="D1773" t="s">
        <v>16</v>
      </c>
      <c r="E1773" t="s">
        <v>142</v>
      </c>
      <c r="F1773">
        <v>1</v>
      </c>
      <c r="G1773">
        <v>12.99</v>
      </c>
      <c r="H1773">
        <v>11.73</v>
      </c>
      <c r="I1773" t="s">
        <v>50</v>
      </c>
      <c r="J1773">
        <v>10</v>
      </c>
      <c r="K1773" t="s">
        <v>51</v>
      </c>
      <c r="L1773">
        <v>5</v>
      </c>
      <c r="M1773" t="str">
        <f>VLOOKUP(D1773,State_Lookup!$A$2:$B$28,2,FALSE)</f>
        <v>Sao Paulo</v>
      </c>
    </row>
    <row r="1774" spans="1:13" x14ac:dyDescent="0.45">
      <c r="A1774" t="s">
        <v>2227</v>
      </c>
      <c r="B1774" t="s">
        <v>2219</v>
      </c>
      <c r="C1774" t="s">
        <v>2026</v>
      </c>
      <c r="D1774" t="s">
        <v>16</v>
      </c>
      <c r="E1774" t="s">
        <v>66</v>
      </c>
      <c r="F1774">
        <v>1</v>
      </c>
      <c r="G1774">
        <v>19.899999999999999</v>
      </c>
      <c r="H1774">
        <v>7.78</v>
      </c>
      <c r="I1774" t="s">
        <v>44</v>
      </c>
      <c r="J1774">
        <v>6</v>
      </c>
      <c r="K1774" t="s">
        <v>51</v>
      </c>
      <c r="L1774">
        <v>5</v>
      </c>
      <c r="M1774" t="str">
        <f>VLOOKUP(D1774,State_Lookup!$A$2:$B$28,2,FALSE)</f>
        <v>Sao Paulo</v>
      </c>
    </row>
    <row r="1775" spans="1:13" x14ac:dyDescent="0.45">
      <c r="A1775" t="s">
        <v>2228</v>
      </c>
      <c r="B1775" t="s">
        <v>2219</v>
      </c>
      <c r="C1775" t="s">
        <v>2026</v>
      </c>
      <c r="D1775" t="s">
        <v>21</v>
      </c>
      <c r="E1775" t="s">
        <v>199</v>
      </c>
      <c r="F1775">
        <v>1</v>
      </c>
      <c r="G1775">
        <v>122.99</v>
      </c>
      <c r="H1775">
        <v>15.61</v>
      </c>
      <c r="I1775" t="s">
        <v>44</v>
      </c>
      <c r="J1775">
        <v>27</v>
      </c>
      <c r="K1775" t="s">
        <v>143</v>
      </c>
      <c r="L1775">
        <v>1</v>
      </c>
      <c r="M1775" t="str">
        <f>VLOOKUP(D1775,State_Lookup!$A$2:$B$28,2,FALSE)</f>
        <v>Santa Catarina</v>
      </c>
    </row>
    <row r="1776" spans="1:13" x14ac:dyDescent="0.45">
      <c r="A1776" t="s">
        <v>2229</v>
      </c>
      <c r="B1776" t="s">
        <v>2219</v>
      </c>
      <c r="C1776" t="s">
        <v>2026</v>
      </c>
      <c r="D1776" t="s">
        <v>18</v>
      </c>
      <c r="E1776" t="s">
        <v>192</v>
      </c>
      <c r="F1776">
        <v>2</v>
      </c>
      <c r="G1776">
        <v>110</v>
      </c>
      <c r="H1776">
        <v>33.659999999999997</v>
      </c>
      <c r="I1776" t="s">
        <v>44</v>
      </c>
      <c r="J1776">
        <v>14</v>
      </c>
      <c r="K1776" t="s">
        <v>51</v>
      </c>
      <c r="L1776">
        <v>4</v>
      </c>
      <c r="M1776" t="str">
        <f>VLOOKUP(D1776,State_Lookup!$A$2:$B$28,2,FALSE)</f>
        <v>Minas Gerais</v>
      </c>
    </row>
    <row r="1777" spans="1:13" x14ac:dyDescent="0.45">
      <c r="A1777" t="s">
        <v>2230</v>
      </c>
      <c r="B1777" t="s">
        <v>2219</v>
      </c>
      <c r="C1777" t="s">
        <v>2026</v>
      </c>
      <c r="D1777" t="s">
        <v>18</v>
      </c>
      <c r="E1777" t="s">
        <v>132</v>
      </c>
      <c r="F1777">
        <v>1</v>
      </c>
      <c r="G1777">
        <v>28.9</v>
      </c>
      <c r="H1777">
        <v>15.1</v>
      </c>
      <c r="I1777" t="s">
        <v>44</v>
      </c>
      <c r="J1777">
        <v>8</v>
      </c>
      <c r="K1777" t="s">
        <v>51</v>
      </c>
      <c r="L1777">
        <v>5</v>
      </c>
      <c r="M1777" t="str">
        <f>VLOOKUP(D1777,State_Lookup!$A$2:$B$28,2,FALSE)</f>
        <v>Minas Gerais</v>
      </c>
    </row>
    <row r="1778" spans="1:13" x14ac:dyDescent="0.45">
      <c r="A1778" t="s">
        <v>2231</v>
      </c>
      <c r="B1778" t="s">
        <v>2219</v>
      </c>
      <c r="C1778" t="s">
        <v>2026</v>
      </c>
      <c r="D1778" t="s">
        <v>16</v>
      </c>
      <c r="E1778" t="s">
        <v>49</v>
      </c>
      <c r="F1778">
        <v>1</v>
      </c>
      <c r="G1778">
        <v>51.99</v>
      </c>
      <c r="H1778">
        <v>13.51</v>
      </c>
      <c r="I1778" t="s">
        <v>44</v>
      </c>
      <c r="J1778">
        <v>5</v>
      </c>
      <c r="K1778" t="s">
        <v>51</v>
      </c>
      <c r="L1778">
        <v>3</v>
      </c>
      <c r="M1778" t="str">
        <f>VLOOKUP(D1778,State_Lookup!$A$2:$B$28,2,FALSE)</f>
        <v>Sao Paulo</v>
      </c>
    </row>
    <row r="1779" spans="1:13" x14ac:dyDescent="0.45">
      <c r="A1779" t="s">
        <v>2232</v>
      </c>
      <c r="B1779" t="s">
        <v>2219</v>
      </c>
      <c r="C1779" t="s">
        <v>2026</v>
      </c>
      <c r="D1779" t="s">
        <v>16</v>
      </c>
      <c r="E1779" t="s">
        <v>49</v>
      </c>
      <c r="F1779">
        <v>1</v>
      </c>
      <c r="G1779">
        <v>219.9</v>
      </c>
      <c r="H1779">
        <v>23.86</v>
      </c>
      <c r="I1779" t="s">
        <v>44</v>
      </c>
      <c r="J1779">
        <v>15</v>
      </c>
      <c r="K1779" t="s">
        <v>51</v>
      </c>
      <c r="L1779">
        <v>5</v>
      </c>
      <c r="M1779" t="str">
        <f>VLOOKUP(D1779,State_Lookup!$A$2:$B$28,2,FALSE)</f>
        <v>Sao Paulo</v>
      </c>
    </row>
    <row r="1780" spans="1:13" x14ac:dyDescent="0.45">
      <c r="A1780" t="s">
        <v>2233</v>
      </c>
      <c r="B1780" t="s">
        <v>2219</v>
      </c>
      <c r="C1780" t="s">
        <v>2026</v>
      </c>
      <c r="D1780" t="s">
        <v>16</v>
      </c>
      <c r="E1780" t="s">
        <v>66</v>
      </c>
      <c r="F1780">
        <v>1</v>
      </c>
      <c r="G1780">
        <v>43.99</v>
      </c>
      <c r="H1780">
        <v>7.78</v>
      </c>
      <c r="I1780" t="s">
        <v>44</v>
      </c>
      <c r="J1780">
        <v>2</v>
      </c>
      <c r="K1780" t="s">
        <v>51</v>
      </c>
      <c r="L1780">
        <v>5</v>
      </c>
      <c r="M1780" t="str">
        <f>VLOOKUP(D1780,State_Lookup!$A$2:$B$28,2,FALSE)</f>
        <v>Sao Paulo</v>
      </c>
    </row>
    <row r="1781" spans="1:13" x14ac:dyDescent="0.45">
      <c r="A1781" t="s">
        <v>2234</v>
      </c>
      <c r="B1781" t="s">
        <v>2219</v>
      </c>
      <c r="C1781" t="s">
        <v>2026</v>
      </c>
      <c r="D1781" t="s">
        <v>17</v>
      </c>
      <c r="E1781" t="s">
        <v>110</v>
      </c>
      <c r="F1781">
        <v>1</v>
      </c>
      <c r="G1781">
        <v>105.9</v>
      </c>
      <c r="H1781">
        <v>17.989999999999998</v>
      </c>
      <c r="I1781" t="s">
        <v>50</v>
      </c>
      <c r="J1781">
        <v>27</v>
      </c>
      <c r="K1781" t="s">
        <v>143</v>
      </c>
      <c r="L1781">
        <v>1</v>
      </c>
      <c r="M1781" t="str">
        <f>VLOOKUP(D1781,State_Lookup!$A$2:$B$28,2,FALSE)</f>
        <v>Rio de Janeiro</v>
      </c>
    </row>
    <row r="1782" spans="1:13" x14ac:dyDescent="0.45">
      <c r="A1782" t="s">
        <v>2235</v>
      </c>
      <c r="B1782" t="s">
        <v>2236</v>
      </c>
      <c r="C1782" t="s">
        <v>2026</v>
      </c>
      <c r="D1782" t="s">
        <v>24</v>
      </c>
      <c r="E1782" t="s">
        <v>61</v>
      </c>
      <c r="F1782">
        <v>1</v>
      </c>
      <c r="G1782">
        <v>759.9</v>
      </c>
      <c r="H1782">
        <v>30.6</v>
      </c>
      <c r="I1782" t="s">
        <v>44</v>
      </c>
      <c r="J1782">
        <v>7</v>
      </c>
      <c r="K1782" t="s">
        <v>51</v>
      </c>
      <c r="L1782">
        <v>5</v>
      </c>
      <c r="M1782" t="str">
        <f>VLOOKUP(D1782,State_Lookup!$A$2:$B$28,2,FALSE)</f>
        <v>Distrito Federal</v>
      </c>
    </row>
    <row r="1783" spans="1:13" x14ac:dyDescent="0.45">
      <c r="A1783" t="s">
        <v>2237</v>
      </c>
      <c r="B1783" t="s">
        <v>2236</v>
      </c>
      <c r="C1783" t="s">
        <v>2026</v>
      </c>
      <c r="D1783" t="s">
        <v>22</v>
      </c>
      <c r="E1783" t="s">
        <v>173</v>
      </c>
      <c r="F1783">
        <v>1</v>
      </c>
      <c r="G1783">
        <v>29.9</v>
      </c>
      <c r="H1783">
        <v>25.63</v>
      </c>
      <c r="I1783" t="s">
        <v>44</v>
      </c>
      <c r="J1783">
        <v>19</v>
      </c>
      <c r="K1783" t="s">
        <v>51</v>
      </c>
      <c r="L1783">
        <v>5</v>
      </c>
      <c r="M1783" t="str">
        <f>VLOOKUP(D1783,State_Lookup!$A$2:$B$28,2,FALSE)</f>
        <v>Bahia</v>
      </c>
    </row>
    <row r="1784" spans="1:13" x14ac:dyDescent="0.45">
      <c r="A1784" t="s">
        <v>2238</v>
      </c>
      <c r="B1784" t="s">
        <v>2236</v>
      </c>
      <c r="C1784" t="s">
        <v>2026</v>
      </c>
      <c r="D1784" t="s">
        <v>20</v>
      </c>
      <c r="E1784" t="s">
        <v>142</v>
      </c>
      <c r="F1784">
        <v>1</v>
      </c>
      <c r="G1784">
        <v>72</v>
      </c>
      <c r="H1784">
        <v>14.25</v>
      </c>
      <c r="I1784" t="s">
        <v>44</v>
      </c>
      <c r="J1784">
        <v>34</v>
      </c>
      <c r="K1784" t="s">
        <v>143</v>
      </c>
      <c r="L1784">
        <v>2</v>
      </c>
      <c r="M1784" t="str">
        <f>VLOOKUP(D1784,State_Lookup!$A$2:$B$28,2,FALSE)</f>
        <v>Parana</v>
      </c>
    </row>
    <row r="1785" spans="1:13" x14ac:dyDescent="0.45">
      <c r="A1785" t="s">
        <v>2239</v>
      </c>
      <c r="B1785" t="s">
        <v>2236</v>
      </c>
      <c r="C1785" t="s">
        <v>2026</v>
      </c>
      <c r="D1785" t="s">
        <v>18</v>
      </c>
      <c r="E1785" t="s">
        <v>157</v>
      </c>
      <c r="F1785">
        <v>1</v>
      </c>
      <c r="G1785">
        <v>29</v>
      </c>
      <c r="H1785">
        <v>15.1</v>
      </c>
      <c r="I1785" t="s">
        <v>44</v>
      </c>
      <c r="J1785">
        <v>9</v>
      </c>
      <c r="K1785" t="s">
        <v>51</v>
      </c>
      <c r="L1785">
        <v>5</v>
      </c>
      <c r="M1785" t="str">
        <f>VLOOKUP(D1785,State_Lookup!$A$2:$B$28,2,FALSE)</f>
        <v>Minas Gerais</v>
      </c>
    </row>
    <row r="1786" spans="1:13" x14ac:dyDescent="0.45">
      <c r="A1786" t="s">
        <v>2240</v>
      </c>
      <c r="B1786" t="s">
        <v>2236</v>
      </c>
      <c r="C1786" t="s">
        <v>2026</v>
      </c>
      <c r="D1786" t="s">
        <v>141</v>
      </c>
      <c r="E1786" t="s">
        <v>61</v>
      </c>
      <c r="F1786">
        <v>1</v>
      </c>
      <c r="G1786">
        <v>31.9</v>
      </c>
      <c r="H1786">
        <v>34.15</v>
      </c>
      <c r="I1786" t="s">
        <v>44</v>
      </c>
      <c r="J1786">
        <v>14</v>
      </c>
      <c r="K1786" t="s">
        <v>51</v>
      </c>
      <c r="L1786">
        <v>5</v>
      </c>
      <c r="M1786" t="str">
        <f>VLOOKUP(D1786,State_Lookup!$A$2:$B$28,2,FALSE)</f>
        <v>Maranhao</v>
      </c>
    </row>
    <row r="1787" spans="1:13" x14ac:dyDescent="0.45">
      <c r="A1787" t="s">
        <v>2241</v>
      </c>
      <c r="B1787" t="s">
        <v>2236</v>
      </c>
      <c r="C1787" t="s">
        <v>2026</v>
      </c>
      <c r="D1787" t="s">
        <v>17</v>
      </c>
      <c r="E1787" t="s">
        <v>69</v>
      </c>
      <c r="F1787">
        <v>1</v>
      </c>
      <c r="G1787">
        <v>59.9</v>
      </c>
      <c r="H1787">
        <v>17.670000000000002</v>
      </c>
      <c r="I1787" t="s">
        <v>50</v>
      </c>
      <c r="J1787">
        <v>25</v>
      </c>
      <c r="K1787" t="s">
        <v>143</v>
      </c>
      <c r="L1787">
        <v>1</v>
      </c>
      <c r="M1787" t="str">
        <f>VLOOKUP(D1787,State_Lookup!$A$2:$B$28,2,FALSE)</f>
        <v>Rio de Janeiro</v>
      </c>
    </row>
    <row r="1788" spans="1:13" x14ac:dyDescent="0.45">
      <c r="A1788" t="s">
        <v>2242</v>
      </c>
      <c r="B1788" t="s">
        <v>2236</v>
      </c>
      <c r="C1788" t="s">
        <v>2026</v>
      </c>
      <c r="D1788" t="s">
        <v>128</v>
      </c>
      <c r="E1788" t="s">
        <v>107</v>
      </c>
      <c r="F1788">
        <v>2</v>
      </c>
      <c r="G1788">
        <v>103.8</v>
      </c>
      <c r="H1788">
        <v>51.28</v>
      </c>
      <c r="I1788" t="s">
        <v>44</v>
      </c>
      <c r="J1788">
        <v>16</v>
      </c>
      <c r="K1788" t="s">
        <v>51</v>
      </c>
      <c r="L1788">
        <v>5</v>
      </c>
      <c r="M1788" t="str">
        <f>VLOOKUP(D1788,State_Lookup!$A$2:$B$28,2,FALSE)</f>
        <v>Ceara</v>
      </c>
    </row>
    <row r="1789" spans="1:13" x14ac:dyDescent="0.45">
      <c r="A1789" t="s">
        <v>2243</v>
      </c>
      <c r="B1789" t="s">
        <v>2236</v>
      </c>
      <c r="C1789" t="s">
        <v>2026</v>
      </c>
      <c r="D1789" t="s">
        <v>17</v>
      </c>
      <c r="E1789" t="s">
        <v>43</v>
      </c>
      <c r="F1789">
        <v>1</v>
      </c>
      <c r="G1789">
        <v>83.9</v>
      </c>
      <c r="H1789">
        <v>17.84</v>
      </c>
      <c r="I1789" t="s">
        <v>44</v>
      </c>
      <c r="J1789">
        <v>36</v>
      </c>
      <c r="K1789" t="s">
        <v>143</v>
      </c>
      <c r="L1789">
        <v>1</v>
      </c>
      <c r="M1789" t="str">
        <f>VLOOKUP(D1789,State_Lookup!$A$2:$B$28,2,FALSE)</f>
        <v>Rio de Janeiro</v>
      </c>
    </row>
    <row r="1790" spans="1:13" x14ac:dyDescent="0.45">
      <c r="A1790" t="s">
        <v>2244</v>
      </c>
      <c r="B1790" t="s">
        <v>2236</v>
      </c>
      <c r="C1790" t="s">
        <v>2026</v>
      </c>
      <c r="D1790" t="s">
        <v>18</v>
      </c>
      <c r="E1790" t="s">
        <v>49</v>
      </c>
      <c r="F1790">
        <v>1</v>
      </c>
      <c r="G1790">
        <v>139</v>
      </c>
      <c r="H1790">
        <v>18.54</v>
      </c>
      <c r="I1790" t="s">
        <v>44</v>
      </c>
      <c r="J1790">
        <v>14</v>
      </c>
      <c r="K1790" t="s">
        <v>51</v>
      </c>
      <c r="L1790">
        <v>3</v>
      </c>
      <c r="M1790" t="str">
        <f>VLOOKUP(D1790,State_Lookup!$A$2:$B$28,2,FALSE)</f>
        <v>Minas Gerais</v>
      </c>
    </row>
    <row r="1791" spans="1:13" x14ac:dyDescent="0.45">
      <c r="A1791" t="s">
        <v>2245</v>
      </c>
      <c r="B1791" t="s">
        <v>2236</v>
      </c>
      <c r="C1791" t="s">
        <v>2026</v>
      </c>
      <c r="D1791" t="s">
        <v>16</v>
      </c>
      <c r="E1791" t="s">
        <v>64</v>
      </c>
      <c r="F1791">
        <v>1</v>
      </c>
      <c r="G1791">
        <v>53.99</v>
      </c>
      <c r="H1791">
        <v>7.78</v>
      </c>
      <c r="I1791" t="s">
        <v>50</v>
      </c>
      <c r="J1791">
        <v>5</v>
      </c>
      <c r="K1791" t="s">
        <v>51</v>
      </c>
      <c r="L1791">
        <v>5</v>
      </c>
      <c r="M1791" t="str">
        <f>VLOOKUP(D1791,State_Lookup!$A$2:$B$28,2,FALSE)</f>
        <v>Sao Paulo</v>
      </c>
    </row>
    <row r="1792" spans="1:13" x14ac:dyDescent="0.45">
      <c r="A1792" t="s">
        <v>2246</v>
      </c>
      <c r="B1792" t="s">
        <v>2236</v>
      </c>
      <c r="C1792" t="s">
        <v>2026</v>
      </c>
      <c r="D1792" t="s">
        <v>18</v>
      </c>
      <c r="E1792" t="s">
        <v>142</v>
      </c>
      <c r="F1792">
        <v>1</v>
      </c>
      <c r="G1792">
        <v>799</v>
      </c>
      <c r="H1792">
        <v>19.32</v>
      </c>
      <c r="I1792" t="s">
        <v>44</v>
      </c>
      <c r="J1792">
        <v>7</v>
      </c>
      <c r="K1792" t="s">
        <v>51</v>
      </c>
      <c r="L1792">
        <v>5</v>
      </c>
      <c r="M1792" t="str">
        <f>VLOOKUP(D1792,State_Lookup!$A$2:$B$28,2,FALSE)</f>
        <v>Minas Gerais</v>
      </c>
    </row>
    <row r="1793" spans="1:13" x14ac:dyDescent="0.45">
      <c r="A1793" t="s">
        <v>2247</v>
      </c>
      <c r="B1793" t="s">
        <v>2236</v>
      </c>
      <c r="C1793" t="s">
        <v>2026</v>
      </c>
      <c r="D1793" t="s">
        <v>672</v>
      </c>
      <c r="E1793" t="s">
        <v>1031</v>
      </c>
      <c r="F1793">
        <v>1</v>
      </c>
      <c r="G1793">
        <v>249</v>
      </c>
      <c r="H1793">
        <v>24.06</v>
      </c>
      <c r="I1793" t="s">
        <v>50</v>
      </c>
      <c r="J1793">
        <v>19</v>
      </c>
      <c r="K1793" t="s">
        <v>51</v>
      </c>
      <c r="L1793">
        <v>5</v>
      </c>
      <c r="M1793" t="str">
        <f>VLOOKUP(D1793,State_Lookup!$A$2:$B$28,2,FALSE)</f>
        <v>Paraiba</v>
      </c>
    </row>
    <row r="1794" spans="1:13" x14ac:dyDescent="0.45">
      <c r="A1794" t="s">
        <v>2248</v>
      </c>
      <c r="B1794" t="s">
        <v>2236</v>
      </c>
      <c r="C1794" t="s">
        <v>2026</v>
      </c>
      <c r="D1794" t="s">
        <v>16</v>
      </c>
      <c r="E1794" t="s">
        <v>110</v>
      </c>
      <c r="F1794">
        <v>1</v>
      </c>
      <c r="G1794">
        <v>99.9</v>
      </c>
      <c r="H1794">
        <v>13.72</v>
      </c>
      <c r="I1794" t="s">
        <v>44</v>
      </c>
      <c r="J1794">
        <v>9</v>
      </c>
      <c r="K1794" t="s">
        <v>51</v>
      </c>
      <c r="L1794">
        <v>3</v>
      </c>
      <c r="M1794" t="str">
        <f>VLOOKUP(D1794,State_Lookup!$A$2:$B$28,2,FALSE)</f>
        <v>Sao Paulo</v>
      </c>
    </row>
    <row r="1795" spans="1:13" x14ac:dyDescent="0.45">
      <c r="A1795" t="s">
        <v>2249</v>
      </c>
      <c r="B1795" t="s">
        <v>2236</v>
      </c>
      <c r="C1795" t="s">
        <v>2026</v>
      </c>
      <c r="D1795" t="s">
        <v>16</v>
      </c>
      <c r="E1795" t="s">
        <v>157</v>
      </c>
      <c r="F1795">
        <v>1</v>
      </c>
      <c r="G1795">
        <v>55</v>
      </c>
      <c r="H1795">
        <v>7.78</v>
      </c>
      <c r="I1795" t="s">
        <v>44</v>
      </c>
      <c r="J1795">
        <v>6</v>
      </c>
      <c r="K1795" t="s">
        <v>51</v>
      </c>
      <c r="L1795">
        <v>1</v>
      </c>
      <c r="M1795" t="str">
        <f>VLOOKUP(D1795,State_Lookup!$A$2:$B$28,2,FALSE)</f>
        <v>Sao Paulo</v>
      </c>
    </row>
    <row r="1796" spans="1:13" x14ac:dyDescent="0.45">
      <c r="A1796" t="s">
        <v>2250</v>
      </c>
      <c r="B1796" t="s">
        <v>2251</v>
      </c>
      <c r="C1796" t="s">
        <v>2026</v>
      </c>
      <c r="D1796" t="s">
        <v>128</v>
      </c>
      <c r="E1796" t="s">
        <v>53</v>
      </c>
      <c r="F1796">
        <v>1</v>
      </c>
      <c r="G1796">
        <v>99.99</v>
      </c>
      <c r="H1796">
        <v>21.5</v>
      </c>
      <c r="I1796" t="s">
        <v>44</v>
      </c>
      <c r="J1796">
        <v>29</v>
      </c>
      <c r="K1796" t="s">
        <v>143</v>
      </c>
      <c r="L1796">
        <v>1</v>
      </c>
      <c r="M1796" t="str">
        <f>VLOOKUP(D1796,State_Lookup!$A$2:$B$28,2,FALSE)</f>
        <v>Ceara</v>
      </c>
    </row>
    <row r="1797" spans="1:13" x14ac:dyDescent="0.45">
      <c r="A1797" t="s">
        <v>2252</v>
      </c>
      <c r="B1797" t="s">
        <v>2251</v>
      </c>
      <c r="C1797" t="s">
        <v>2026</v>
      </c>
      <c r="D1797" t="s">
        <v>17</v>
      </c>
      <c r="E1797" t="s">
        <v>64</v>
      </c>
      <c r="F1797">
        <v>1</v>
      </c>
      <c r="G1797">
        <v>84.99</v>
      </c>
      <c r="H1797">
        <v>15.35</v>
      </c>
      <c r="I1797" t="s">
        <v>44</v>
      </c>
      <c r="J1797">
        <v>6</v>
      </c>
      <c r="K1797" t="s">
        <v>51</v>
      </c>
      <c r="L1797">
        <v>5</v>
      </c>
      <c r="M1797" t="str">
        <f>VLOOKUP(D1797,State_Lookup!$A$2:$B$28,2,FALSE)</f>
        <v>Rio de Janeiro</v>
      </c>
    </row>
    <row r="1798" spans="1:13" x14ac:dyDescent="0.45">
      <c r="A1798" t="s">
        <v>2253</v>
      </c>
      <c r="B1798" t="s">
        <v>2251</v>
      </c>
      <c r="C1798" t="s">
        <v>2026</v>
      </c>
      <c r="D1798" t="s">
        <v>18</v>
      </c>
      <c r="E1798" t="s">
        <v>110</v>
      </c>
      <c r="F1798">
        <v>1</v>
      </c>
      <c r="G1798">
        <v>39.99</v>
      </c>
      <c r="H1798">
        <v>15.1</v>
      </c>
      <c r="I1798" t="s">
        <v>50</v>
      </c>
      <c r="J1798">
        <v>20</v>
      </c>
      <c r="K1798" t="s">
        <v>51</v>
      </c>
      <c r="L1798">
        <v>5</v>
      </c>
      <c r="M1798" t="str">
        <f>VLOOKUP(D1798,State_Lookup!$A$2:$B$28,2,FALSE)</f>
        <v>Minas Gerais</v>
      </c>
    </row>
    <row r="1799" spans="1:13" x14ac:dyDescent="0.45">
      <c r="A1799" t="s">
        <v>2254</v>
      </c>
      <c r="B1799" t="s">
        <v>2251</v>
      </c>
      <c r="C1799" t="s">
        <v>2026</v>
      </c>
      <c r="D1799" t="s">
        <v>19</v>
      </c>
      <c r="E1799" t="s">
        <v>110</v>
      </c>
      <c r="F1799">
        <v>1</v>
      </c>
      <c r="G1799">
        <v>132.76</v>
      </c>
      <c r="H1799">
        <v>21.42</v>
      </c>
      <c r="I1799" t="s">
        <v>44</v>
      </c>
      <c r="J1799">
        <v>28</v>
      </c>
      <c r="K1799" t="s">
        <v>51</v>
      </c>
      <c r="L1799">
        <v>2</v>
      </c>
      <c r="M1799" t="str">
        <f>VLOOKUP(D1799,State_Lookup!$A$2:$B$28,2,FALSE)</f>
        <v>Rio Grande do Sul</v>
      </c>
    </row>
    <row r="1800" spans="1:13" x14ac:dyDescent="0.45">
      <c r="A1800" t="s">
        <v>2255</v>
      </c>
      <c r="B1800" t="s">
        <v>2251</v>
      </c>
      <c r="C1800" t="s">
        <v>2026</v>
      </c>
      <c r="D1800" t="s">
        <v>18</v>
      </c>
      <c r="E1800" t="s">
        <v>148</v>
      </c>
      <c r="F1800">
        <v>1</v>
      </c>
      <c r="G1800">
        <v>164.9</v>
      </c>
      <c r="H1800">
        <v>16.91</v>
      </c>
      <c r="I1800" t="s">
        <v>50</v>
      </c>
      <c r="J1800">
        <v>26</v>
      </c>
      <c r="K1800" t="s">
        <v>51</v>
      </c>
      <c r="L1800">
        <v>5</v>
      </c>
      <c r="M1800" t="str">
        <f>VLOOKUP(D1800,State_Lookup!$A$2:$B$28,2,FALSE)</f>
        <v>Minas Gerais</v>
      </c>
    </row>
    <row r="1801" spans="1:13" x14ac:dyDescent="0.45">
      <c r="A1801" t="s">
        <v>2256</v>
      </c>
      <c r="B1801" t="s">
        <v>2251</v>
      </c>
      <c r="C1801" t="s">
        <v>2026</v>
      </c>
      <c r="D1801" t="s">
        <v>23</v>
      </c>
      <c r="E1801" t="s">
        <v>110</v>
      </c>
      <c r="F1801">
        <v>1</v>
      </c>
      <c r="G1801">
        <v>109.9</v>
      </c>
      <c r="H1801">
        <v>18.02</v>
      </c>
      <c r="I1801" t="s">
        <v>44</v>
      </c>
      <c r="J1801">
        <v>41</v>
      </c>
      <c r="K1801" t="s">
        <v>143</v>
      </c>
      <c r="L1801">
        <v>2</v>
      </c>
      <c r="M1801" t="str">
        <f>VLOOKUP(D1801,State_Lookup!$A$2:$B$28,2,FALSE)</f>
        <v>Espirito Santo</v>
      </c>
    </row>
    <row r="1802" spans="1:13" x14ac:dyDescent="0.45">
      <c r="A1802" t="s">
        <v>2257</v>
      </c>
      <c r="B1802" t="s">
        <v>2251</v>
      </c>
      <c r="C1802" t="s">
        <v>2026</v>
      </c>
      <c r="D1802" t="s">
        <v>128</v>
      </c>
      <c r="E1802" t="s">
        <v>110</v>
      </c>
      <c r="F1802">
        <v>1</v>
      </c>
      <c r="G1802">
        <v>44.99</v>
      </c>
      <c r="H1802">
        <v>28.75</v>
      </c>
      <c r="I1802" t="s">
        <v>44</v>
      </c>
      <c r="J1802">
        <v>22</v>
      </c>
      <c r="K1802" t="s">
        <v>51</v>
      </c>
      <c r="L1802">
        <v>5</v>
      </c>
      <c r="M1802" t="str">
        <f>VLOOKUP(D1802,State_Lookup!$A$2:$B$28,2,FALSE)</f>
        <v>Ceara</v>
      </c>
    </row>
    <row r="1803" spans="1:13" x14ac:dyDescent="0.45">
      <c r="A1803" t="s">
        <v>2258</v>
      </c>
      <c r="B1803" t="s">
        <v>2251</v>
      </c>
      <c r="C1803" t="s">
        <v>2026</v>
      </c>
      <c r="D1803" t="s">
        <v>20</v>
      </c>
      <c r="E1803" t="s">
        <v>53</v>
      </c>
      <c r="F1803">
        <v>1</v>
      </c>
      <c r="G1803">
        <v>129.80000000000001</v>
      </c>
      <c r="H1803">
        <v>39.840000000000003</v>
      </c>
      <c r="I1803" t="s">
        <v>44</v>
      </c>
      <c r="J1803">
        <v>7</v>
      </c>
      <c r="K1803" t="s">
        <v>51</v>
      </c>
      <c r="L1803">
        <v>5</v>
      </c>
      <c r="M1803" t="str">
        <f>VLOOKUP(D1803,State_Lookup!$A$2:$B$28,2,FALSE)</f>
        <v>Parana</v>
      </c>
    </row>
    <row r="1804" spans="1:13" x14ac:dyDescent="0.45">
      <c r="A1804" t="s">
        <v>2259</v>
      </c>
      <c r="B1804" t="s">
        <v>2251</v>
      </c>
      <c r="C1804" t="s">
        <v>2026</v>
      </c>
      <c r="D1804" t="s">
        <v>21</v>
      </c>
      <c r="E1804" t="s">
        <v>43</v>
      </c>
      <c r="F1804">
        <v>2</v>
      </c>
      <c r="G1804">
        <v>25.98</v>
      </c>
      <c r="H1804">
        <v>35.200000000000003</v>
      </c>
      <c r="I1804" t="s">
        <v>44</v>
      </c>
      <c r="J1804">
        <v>7</v>
      </c>
      <c r="K1804" t="s">
        <v>51</v>
      </c>
      <c r="L1804">
        <v>1</v>
      </c>
      <c r="M1804" t="str">
        <f>VLOOKUP(D1804,State_Lookup!$A$2:$B$28,2,FALSE)</f>
        <v>Santa Catarina</v>
      </c>
    </row>
    <row r="1805" spans="1:13" x14ac:dyDescent="0.45">
      <c r="A1805" t="s">
        <v>2260</v>
      </c>
      <c r="B1805" t="s">
        <v>2251</v>
      </c>
      <c r="C1805" t="s">
        <v>2026</v>
      </c>
      <c r="D1805" t="s">
        <v>17</v>
      </c>
      <c r="E1805" t="s">
        <v>43</v>
      </c>
      <c r="F1805">
        <v>1</v>
      </c>
      <c r="G1805">
        <v>118.5</v>
      </c>
      <c r="H1805">
        <v>27.15</v>
      </c>
      <c r="I1805" t="s">
        <v>44</v>
      </c>
      <c r="J1805">
        <v>19</v>
      </c>
      <c r="K1805" t="s">
        <v>51</v>
      </c>
      <c r="L1805">
        <v>5</v>
      </c>
      <c r="M1805" t="str">
        <f>VLOOKUP(D1805,State_Lookup!$A$2:$B$28,2,FALSE)</f>
        <v>Rio de Janeiro</v>
      </c>
    </row>
    <row r="1806" spans="1:13" x14ac:dyDescent="0.45">
      <c r="A1806" t="s">
        <v>2261</v>
      </c>
      <c r="B1806" t="s">
        <v>2251</v>
      </c>
      <c r="C1806" t="s">
        <v>2026</v>
      </c>
      <c r="D1806" t="s">
        <v>21</v>
      </c>
      <c r="E1806" t="s">
        <v>192</v>
      </c>
      <c r="F1806">
        <v>1</v>
      </c>
      <c r="G1806">
        <v>34.9</v>
      </c>
      <c r="H1806">
        <v>17.600000000000001</v>
      </c>
      <c r="I1806" t="s">
        <v>44</v>
      </c>
      <c r="J1806">
        <v>14</v>
      </c>
      <c r="K1806" t="s">
        <v>51</v>
      </c>
      <c r="L1806">
        <v>5</v>
      </c>
      <c r="M1806" t="str">
        <f>VLOOKUP(D1806,State_Lookup!$A$2:$B$28,2,FALSE)</f>
        <v>Santa Catarina</v>
      </c>
    </row>
    <row r="1807" spans="1:13" x14ac:dyDescent="0.45">
      <c r="A1807" t="s">
        <v>2262</v>
      </c>
      <c r="B1807" t="s">
        <v>2251</v>
      </c>
      <c r="C1807" t="s">
        <v>2026</v>
      </c>
      <c r="D1807" t="s">
        <v>21</v>
      </c>
      <c r="E1807" t="s">
        <v>69</v>
      </c>
      <c r="F1807">
        <v>1</v>
      </c>
      <c r="G1807">
        <v>49</v>
      </c>
      <c r="H1807">
        <v>17.64</v>
      </c>
      <c r="I1807" t="s">
        <v>50</v>
      </c>
      <c r="J1807">
        <v>20</v>
      </c>
      <c r="K1807" t="s">
        <v>51</v>
      </c>
      <c r="L1807">
        <v>5</v>
      </c>
      <c r="M1807" t="str">
        <f>VLOOKUP(D1807,State_Lookup!$A$2:$B$28,2,FALSE)</f>
        <v>Santa Catarina</v>
      </c>
    </row>
    <row r="1808" spans="1:13" x14ac:dyDescent="0.45">
      <c r="A1808" t="s">
        <v>2263</v>
      </c>
      <c r="B1808" t="s">
        <v>2251</v>
      </c>
      <c r="C1808" t="s">
        <v>2026</v>
      </c>
      <c r="D1808" t="s">
        <v>17</v>
      </c>
      <c r="E1808" t="s">
        <v>61</v>
      </c>
      <c r="F1808">
        <v>1</v>
      </c>
      <c r="G1808">
        <v>175.9</v>
      </c>
      <c r="H1808">
        <v>17.670000000000002</v>
      </c>
      <c r="I1808" t="s">
        <v>44</v>
      </c>
      <c r="J1808">
        <v>25</v>
      </c>
      <c r="K1808" t="s">
        <v>143</v>
      </c>
      <c r="L1808">
        <v>3</v>
      </c>
      <c r="M1808" t="str">
        <f>VLOOKUP(D1808,State_Lookup!$A$2:$B$28,2,FALSE)</f>
        <v>Rio de Janeiro</v>
      </c>
    </row>
    <row r="1809" spans="1:13" x14ac:dyDescent="0.45">
      <c r="A1809" t="s">
        <v>2264</v>
      </c>
      <c r="B1809" t="s">
        <v>2251</v>
      </c>
      <c r="C1809" t="s">
        <v>2026</v>
      </c>
      <c r="D1809" t="s">
        <v>16</v>
      </c>
      <c r="E1809" t="s">
        <v>58</v>
      </c>
      <c r="F1809">
        <v>1</v>
      </c>
      <c r="G1809">
        <v>40</v>
      </c>
      <c r="H1809">
        <v>15.1</v>
      </c>
      <c r="I1809" t="s">
        <v>50</v>
      </c>
      <c r="J1809">
        <v>11</v>
      </c>
      <c r="K1809" t="s">
        <v>51</v>
      </c>
      <c r="L1809">
        <v>5</v>
      </c>
      <c r="M1809" t="str">
        <f>VLOOKUP(D1809,State_Lookup!$A$2:$B$28,2,FALSE)</f>
        <v>Sao Paulo</v>
      </c>
    </row>
    <row r="1810" spans="1:13" x14ac:dyDescent="0.45">
      <c r="A1810" t="s">
        <v>2265</v>
      </c>
      <c r="B1810" t="s">
        <v>2251</v>
      </c>
      <c r="C1810" t="s">
        <v>2026</v>
      </c>
      <c r="D1810" t="s">
        <v>16</v>
      </c>
      <c r="E1810" t="s">
        <v>199</v>
      </c>
      <c r="F1810">
        <v>2</v>
      </c>
      <c r="G1810">
        <v>199.98</v>
      </c>
      <c r="H1810">
        <v>30.92</v>
      </c>
      <c r="I1810" t="s">
        <v>44</v>
      </c>
      <c r="J1810">
        <v>12</v>
      </c>
      <c r="K1810" t="s">
        <v>51</v>
      </c>
      <c r="L1810">
        <v>1</v>
      </c>
      <c r="M1810" t="str">
        <f>VLOOKUP(D1810,State_Lookup!$A$2:$B$28,2,FALSE)</f>
        <v>Sao Paulo</v>
      </c>
    </row>
    <row r="1811" spans="1:13" x14ac:dyDescent="0.45">
      <c r="A1811" t="s">
        <v>2266</v>
      </c>
      <c r="B1811" t="s">
        <v>2251</v>
      </c>
      <c r="C1811" t="s">
        <v>2026</v>
      </c>
      <c r="D1811" t="s">
        <v>17</v>
      </c>
      <c r="E1811" t="s">
        <v>157</v>
      </c>
      <c r="F1811">
        <v>1</v>
      </c>
      <c r="G1811">
        <v>170</v>
      </c>
      <c r="H1811">
        <v>21.68</v>
      </c>
      <c r="I1811" t="s">
        <v>44</v>
      </c>
      <c r="J1811">
        <v>27</v>
      </c>
      <c r="K1811" t="s">
        <v>143</v>
      </c>
      <c r="L1811">
        <v>2</v>
      </c>
      <c r="M1811" t="str">
        <f>VLOOKUP(D1811,State_Lookup!$A$2:$B$28,2,FALSE)</f>
        <v>Rio de Janeiro</v>
      </c>
    </row>
    <row r="1812" spans="1:13" x14ac:dyDescent="0.45">
      <c r="A1812" t="s">
        <v>2267</v>
      </c>
      <c r="B1812" t="s">
        <v>2251</v>
      </c>
      <c r="C1812" t="s">
        <v>2026</v>
      </c>
      <c r="D1812" t="s">
        <v>22</v>
      </c>
      <c r="E1812" t="s">
        <v>66</v>
      </c>
      <c r="F1812">
        <v>1</v>
      </c>
      <c r="G1812">
        <v>24.99</v>
      </c>
      <c r="H1812">
        <v>15.79</v>
      </c>
      <c r="I1812" t="s">
        <v>44</v>
      </c>
      <c r="J1812">
        <v>16</v>
      </c>
      <c r="K1812" t="s">
        <v>51</v>
      </c>
      <c r="L1812">
        <v>5</v>
      </c>
      <c r="M1812" t="str">
        <f>VLOOKUP(D1812,State_Lookup!$A$2:$B$28,2,FALSE)</f>
        <v>Bahia</v>
      </c>
    </row>
    <row r="1813" spans="1:13" x14ac:dyDescent="0.45">
      <c r="A1813" t="s">
        <v>2268</v>
      </c>
      <c r="B1813" t="s">
        <v>2251</v>
      </c>
      <c r="C1813" t="s">
        <v>2026</v>
      </c>
      <c r="D1813" t="s">
        <v>17</v>
      </c>
      <c r="E1813" t="s">
        <v>64</v>
      </c>
      <c r="F1813">
        <v>1</v>
      </c>
      <c r="G1813">
        <v>339.9</v>
      </c>
      <c r="H1813">
        <v>11.79</v>
      </c>
      <c r="I1813" t="s">
        <v>44</v>
      </c>
      <c r="J1813">
        <v>6</v>
      </c>
      <c r="K1813" t="s">
        <v>51</v>
      </c>
      <c r="L1813">
        <v>5</v>
      </c>
      <c r="M1813" t="str">
        <f>VLOOKUP(D1813,State_Lookup!$A$2:$B$28,2,FALSE)</f>
        <v>Rio de Janeiro</v>
      </c>
    </row>
    <row r="1814" spans="1:13" x14ac:dyDescent="0.45">
      <c r="A1814" t="s">
        <v>2269</v>
      </c>
      <c r="B1814" t="s">
        <v>2270</v>
      </c>
      <c r="C1814" t="s">
        <v>2026</v>
      </c>
      <c r="D1814" t="s">
        <v>17</v>
      </c>
      <c r="E1814" t="s">
        <v>110</v>
      </c>
      <c r="F1814">
        <v>1</v>
      </c>
      <c r="G1814">
        <v>89.9</v>
      </c>
      <c r="H1814">
        <v>21.12</v>
      </c>
      <c r="I1814" t="s">
        <v>44</v>
      </c>
      <c r="J1814">
        <v>12</v>
      </c>
      <c r="K1814" t="s">
        <v>51</v>
      </c>
      <c r="L1814">
        <v>5</v>
      </c>
      <c r="M1814" t="str">
        <f>VLOOKUP(D1814,State_Lookup!$A$2:$B$28,2,FALSE)</f>
        <v>Rio de Janeiro</v>
      </c>
    </row>
    <row r="1815" spans="1:13" x14ac:dyDescent="0.45">
      <c r="A1815" t="s">
        <v>2271</v>
      </c>
      <c r="B1815" t="s">
        <v>2270</v>
      </c>
      <c r="C1815" t="s">
        <v>2026</v>
      </c>
      <c r="D1815" t="s">
        <v>16</v>
      </c>
      <c r="E1815" t="s">
        <v>64</v>
      </c>
      <c r="F1815">
        <v>1</v>
      </c>
      <c r="G1815">
        <v>56.99</v>
      </c>
      <c r="H1815">
        <v>8.7200000000000006</v>
      </c>
      <c r="I1815" t="s">
        <v>44</v>
      </c>
      <c r="J1815">
        <v>4</v>
      </c>
      <c r="K1815" t="s">
        <v>51</v>
      </c>
      <c r="L1815">
        <v>5</v>
      </c>
      <c r="M1815" t="str">
        <f>VLOOKUP(D1815,State_Lookup!$A$2:$B$28,2,FALSE)</f>
        <v>Sao Paulo</v>
      </c>
    </row>
    <row r="1816" spans="1:13" x14ac:dyDescent="0.45">
      <c r="A1816" t="s">
        <v>2272</v>
      </c>
      <c r="B1816" t="s">
        <v>2270</v>
      </c>
      <c r="C1816" t="s">
        <v>2026</v>
      </c>
      <c r="D1816" t="s">
        <v>19</v>
      </c>
      <c r="E1816" t="s">
        <v>64</v>
      </c>
      <c r="F1816">
        <v>1</v>
      </c>
      <c r="G1816">
        <v>13.99</v>
      </c>
      <c r="H1816">
        <v>14.1</v>
      </c>
      <c r="I1816" t="s">
        <v>44</v>
      </c>
      <c r="J1816">
        <v>13</v>
      </c>
      <c r="K1816" t="s">
        <v>51</v>
      </c>
      <c r="L1816">
        <v>5</v>
      </c>
      <c r="M1816" t="str">
        <f>VLOOKUP(D1816,State_Lookup!$A$2:$B$28,2,FALSE)</f>
        <v>Rio Grande do Sul</v>
      </c>
    </row>
    <row r="1817" spans="1:13" x14ac:dyDescent="0.45">
      <c r="A1817" t="s">
        <v>2273</v>
      </c>
      <c r="B1817" t="s">
        <v>2270</v>
      </c>
      <c r="C1817" t="s">
        <v>2026</v>
      </c>
      <c r="D1817" t="s">
        <v>24</v>
      </c>
      <c r="E1817" t="s">
        <v>58</v>
      </c>
      <c r="F1817">
        <v>1</v>
      </c>
      <c r="G1817">
        <v>79.989999999999995</v>
      </c>
      <c r="H1817">
        <v>45.02</v>
      </c>
      <c r="I1817" t="s">
        <v>44</v>
      </c>
      <c r="J1817">
        <v>10</v>
      </c>
      <c r="K1817" t="s">
        <v>51</v>
      </c>
      <c r="L1817">
        <v>5</v>
      </c>
      <c r="M1817" t="str">
        <f>VLOOKUP(D1817,State_Lookup!$A$2:$B$28,2,FALSE)</f>
        <v>Distrito Federal</v>
      </c>
    </row>
    <row r="1818" spans="1:13" x14ac:dyDescent="0.45">
      <c r="A1818" t="s">
        <v>2274</v>
      </c>
      <c r="B1818" t="s">
        <v>2270</v>
      </c>
      <c r="C1818" t="s">
        <v>2026</v>
      </c>
      <c r="D1818" t="s">
        <v>19</v>
      </c>
      <c r="E1818" t="s">
        <v>66</v>
      </c>
      <c r="F1818">
        <v>1</v>
      </c>
      <c r="G1818">
        <v>24.99</v>
      </c>
      <c r="H1818">
        <v>15.1</v>
      </c>
      <c r="I1818" t="s">
        <v>108</v>
      </c>
      <c r="J1818">
        <v>7</v>
      </c>
      <c r="K1818" t="s">
        <v>51</v>
      </c>
      <c r="L1818">
        <v>5</v>
      </c>
      <c r="M1818" t="str">
        <f>VLOOKUP(D1818,State_Lookup!$A$2:$B$28,2,FALSE)</f>
        <v>Rio Grande do Sul</v>
      </c>
    </row>
    <row r="1819" spans="1:13" x14ac:dyDescent="0.45">
      <c r="A1819" t="s">
        <v>2275</v>
      </c>
      <c r="B1819" t="s">
        <v>2270</v>
      </c>
      <c r="C1819" t="s">
        <v>2026</v>
      </c>
      <c r="D1819" t="s">
        <v>16</v>
      </c>
      <c r="E1819" t="s">
        <v>66</v>
      </c>
      <c r="F1819">
        <v>1</v>
      </c>
      <c r="G1819">
        <v>85</v>
      </c>
      <c r="H1819">
        <v>12.09</v>
      </c>
      <c r="I1819" t="s">
        <v>44</v>
      </c>
      <c r="J1819">
        <v>6</v>
      </c>
      <c r="K1819" t="s">
        <v>51</v>
      </c>
      <c r="L1819">
        <v>5</v>
      </c>
      <c r="M1819" t="str">
        <f>VLOOKUP(D1819,State_Lookup!$A$2:$B$28,2,FALSE)</f>
        <v>Sao Paulo</v>
      </c>
    </row>
    <row r="1820" spans="1:13" x14ac:dyDescent="0.45">
      <c r="A1820" t="s">
        <v>2276</v>
      </c>
      <c r="B1820" t="s">
        <v>2270</v>
      </c>
      <c r="C1820" t="s">
        <v>2026</v>
      </c>
      <c r="D1820" t="s">
        <v>208</v>
      </c>
      <c r="E1820" t="s">
        <v>107</v>
      </c>
      <c r="F1820">
        <v>1</v>
      </c>
      <c r="G1820">
        <v>117.3</v>
      </c>
      <c r="H1820">
        <v>28.2</v>
      </c>
      <c r="I1820" t="s">
        <v>44</v>
      </c>
      <c r="J1820">
        <v>13</v>
      </c>
      <c r="K1820" t="s">
        <v>51</v>
      </c>
      <c r="L1820">
        <v>5</v>
      </c>
      <c r="M1820" t="str">
        <f>VLOOKUP(D1820,State_Lookup!$A$2:$B$28,2,FALSE)</f>
        <v>Mato Grosso</v>
      </c>
    </row>
    <row r="1821" spans="1:13" x14ac:dyDescent="0.45">
      <c r="A1821" t="s">
        <v>2277</v>
      </c>
      <c r="B1821" t="s">
        <v>2270</v>
      </c>
      <c r="C1821" t="s">
        <v>2026</v>
      </c>
      <c r="D1821" t="s">
        <v>208</v>
      </c>
      <c r="E1821" t="s">
        <v>61</v>
      </c>
      <c r="F1821">
        <v>1</v>
      </c>
      <c r="G1821">
        <v>149.99</v>
      </c>
      <c r="H1821">
        <v>57.28</v>
      </c>
      <c r="I1821" t="s">
        <v>50</v>
      </c>
      <c r="J1821">
        <v>25</v>
      </c>
      <c r="K1821" t="s">
        <v>51</v>
      </c>
      <c r="L1821">
        <v>5</v>
      </c>
      <c r="M1821" t="str">
        <f>VLOOKUP(D1821,State_Lookup!$A$2:$B$28,2,FALSE)</f>
        <v>Mato Grosso</v>
      </c>
    </row>
    <row r="1822" spans="1:13" x14ac:dyDescent="0.45">
      <c r="A1822" t="s">
        <v>2278</v>
      </c>
      <c r="B1822" t="s">
        <v>2270</v>
      </c>
      <c r="C1822" t="s">
        <v>2026</v>
      </c>
      <c r="D1822" t="s">
        <v>18</v>
      </c>
      <c r="E1822" t="s">
        <v>186</v>
      </c>
      <c r="F1822">
        <v>1</v>
      </c>
      <c r="G1822">
        <v>125.9</v>
      </c>
      <c r="H1822">
        <v>20.79</v>
      </c>
      <c r="I1822" t="s">
        <v>50</v>
      </c>
      <c r="J1822">
        <v>18</v>
      </c>
      <c r="K1822" t="s">
        <v>51</v>
      </c>
      <c r="L1822">
        <v>5</v>
      </c>
      <c r="M1822" t="str">
        <f>VLOOKUP(D1822,State_Lookup!$A$2:$B$28,2,FALSE)</f>
        <v>Minas Gerais</v>
      </c>
    </row>
    <row r="1823" spans="1:13" x14ac:dyDescent="0.45">
      <c r="A1823" t="s">
        <v>2279</v>
      </c>
      <c r="B1823" t="s">
        <v>2270</v>
      </c>
      <c r="C1823" t="s">
        <v>2026</v>
      </c>
      <c r="D1823" t="s">
        <v>16</v>
      </c>
      <c r="E1823" t="s">
        <v>43</v>
      </c>
      <c r="F1823">
        <v>1</v>
      </c>
      <c r="G1823">
        <v>70.91</v>
      </c>
      <c r="H1823">
        <v>13.52</v>
      </c>
      <c r="I1823" t="s">
        <v>44</v>
      </c>
      <c r="J1823">
        <v>22</v>
      </c>
      <c r="K1823" t="s">
        <v>143</v>
      </c>
      <c r="L1823">
        <v>1</v>
      </c>
      <c r="M1823" t="str">
        <f>VLOOKUP(D1823,State_Lookup!$A$2:$B$28,2,FALSE)</f>
        <v>Sao Paulo</v>
      </c>
    </row>
    <row r="1824" spans="1:13" x14ac:dyDescent="0.45">
      <c r="A1824" t="s">
        <v>2280</v>
      </c>
      <c r="B1824" t="s">
        <v>2270</v>
      </c>
      <c r="C1824" t="s">
        <v>2026</v>
      </c>
      <c r="D1824" t="s">
        <v>23</v>
      </c>
      <c r="E1824" t="s">
        <v>53</v>
      </c>
      <c r="F1824">
        <v>1</v>
      </c>
      <c r="G1824">
        <v>99.99</v>
      </c>
      <c r="H1824">
        <v>17.95</v>
      </c>
      <c r="I1824" t="s">
        <v>44</v>
      </c>
      <c r="J1824">
        <v>7</v>
      </c>
      <c r="K1824" t="s">
        <v>51</v>
      </c>
      <c r="L1824">
        <v>5</v>
      </c>
      <c r="M1824" t="str">
        <f>VLOOKUP(D1824,State_Lookup!$A$2:$B$28,2,FALSE)</f>
        <v>Espirito Santo</v>
      </c>
    </row>
    <row r="1825" spans="1:13" x14ac:dyDescent="0.45">
      <c r="A1825" t="s">
        <v>2281</v>
      </c>
      <c r="B1825" t="s">
        <v>2270</v>
      </c>
      <c r="C1825" t="s">
        <v>2026</v>
      </c>
      <c r="D1825" t="s">
        <v>20</v>
      </c>
      <c r="E1825" t="s">
        <v>69</v>
      </c>
      <c r="F1825">
        <v>2</v>
      </c>
      <c r="G1825">
        <v>98</v>
      </c>
      <c r="H1825">
        <v>35.28</v>
      </c>
      <c r="I1825" t="s">
        <v>44</v>
      </c>
      <c r="J1825">
        <v>12</v>
      </c>
      <c r="K1825" t="s">
        <v>51</v>
      </c>
      <c r="L1825">
        <v>5</v>
      </c>
      <c r="M1825" t="str">
        <f>VLOOKUP(D1825,State_Lookup!$A$2:$B$28,2,FALSE)</f>
        <v>Parana</v>
      </c>
    </row>
    <row r="1826" spans="1:13" x14ac:dyDescent="0.45">
      <c r="A1826" t="s">
        <v>2282</v>
      </c>
      <c r="B1826" t="s">
        <v>2270</v>
      </c>
      <c r="C1826" t="s">
        <v>2026</v>
      </c>
      <c r="D1826" t="s">
        <v>18</v>
      </c>
      <c r="E1826" t="s">
        <v>58</v>
      </c>
      <c r="F1826">
        <v>1</v>
      </c>
      <c r="G1826">
        <v>69</v>
      </c>
      <c r="H1826">
        <v>15.23</v>
      </c>
      <c r="I1826" t="s">
        <v>44</v>
      </c>
      <c r="J1826">
        <v>20</v>
      </c>
      <c r="K1826" t="s">
        <v>51</v>
      </c>
      <c r="L1826">
        <v>4</v>
      </c>
      <c r="M1826" t="str">
        <f>VLOOKUP(D1826,State_Lookup!$A$2:$B$28,2,FALSE)</f>
        <v>Minas Gerais</v>
      </c>
    </row>
    <row r="1827" spans="1:13" x14ac:dyDescent="0.45">
      <c r="A1827" t="s">
        <v>2283</v>
      </c>
      <c r="B1827" t="s">
        <v>2270</v>
      </c>
      <c r="C1827" t="s">
        <v>2026</v>
      </c>
      <c r="D1827" t="s">
        <v>16</v>
      </c>
      <c r="E1827" t="s">
        <v>110</v>
      </c>
      <c r="F1827">
        <v>1</v>
      </c>
      <c r="G1827">
        <v>89.9</v>
      </c>
      <c r="H1827">
        <v>16.260000000000002</v>
      </c>
      <c r="I1827" t="s">
        <v>50</v>
      </c>
      <c r="J1827">
        <v>25</v>
      </c>
      <c r="K1827" t="s">
        <v>143</v>
      </c>
      <c r="L1827">
        <v>1</v>
      </c>
      <c r="M1827" t="str">
        <f>VLOOKUP(D1827,State_Lookup!$A$2:$B$28,2,FALSE)</f>
        <v>Sao Paulo</v>
      </c>
    </row>
    <row r="1828" spans="1:13" x14ac:dyDescent="0.45">
      <c r="A1828" t="s">
        <v>2284</v>
      </c>
      <c r="B1828" t="s">
        <v>2270</v>
      </c>
      <c r="C1828" t="s">
        <v>2026</v>
      </c>
      <c r="D1828" t="s">
        <v>21</v>
      </c>
      <c r="E1828" t="s">
        <v>125</v>
      </c>
      <c r="F1828">
        <v>1</v>
      </c>
      <c r="G1828">
        <v>18.899999999999999</v>
      </c>
      <c r="H1828">
        <v>15.1</v>
      </c>
      <c r="I1828" t="s">
        <v>44</v>
      </c>
      <c r="J1828">
        <v>10</v>
      </c>
      <c r="K1828" t="s">
        <v>51</v>
      </c>
      <c r="L1828">
        <v>4</v>
      </c>
      <c r="M1828" t="str">
        <f>VLOOKUP(D1828,State_Lookup!$A$2:$B$28,2,FALSE)</f>
        <v>Santa Catarina</v>
      </c>
    </row>
    <row r="1829" spans="1:13" x14ac:dyDescent="0.45">
      <c r="A1829" t="s">
        <v>2285</v>
      </c>
      <c r="B1829" t="s">
        <v>2270</v>
      </c>
      <c r="C1829" t="s">
        <v>2026</v>
      </c>
      <c r="D1829" t="s">
        <v>16</v>
      </c>
      <c r="E1829" t="s">
        <v>110</v>
      </c>
      <c r="F1829">
        <v>1</v>
      </c>
      <c r="G1829">
        <v>294</v>
      </c>
      <c r="H1829">
        <v>13.56</v>
      </c>
      <c r="I1829" t="s">
        <v>44</v>
      </c>
      <c r="J1829">
        <v>35</v>
      </c>
      <c r="K1829" t="s">
        <v>143</v>
      </c>
      <c r="M1829" t="str">
        <f>VLOOKUP(D1829,State_Lookup!$A$2:$B$28,2,FALSE)</f>
        <v>Sao Paulo</v>
      </c>
    </row>
    <row r="1830" spans="1:13" x14ac:dyDescent="0.45">
      <c r="A1830" t="s">
        <v>2286</v>
      </c>
      <c r="B1830" t="s">
        <v>2270</v>
      </c>
      <c r="C1830" t="s">
        <v>2026</v>
      </c>
      <c r="D1830" t="s">
        <v>19</v>
      </c>
      <c r="E1830" t="s">
        <v>173</v>
      </c>
      <c r="F1830">
        <v>1</v>
      </c>
      <c r="G1830">
        <v>66.900000000000006</v>
      </c>
      <c r="H1830">
        <v>17.72</v>
      </c>
      <c r="I1830" t="s">
        <v>44</v>
      </c>
      <c r="J1830">
        <v>40</v>
      </c>
      <c r="K1830" t="s">
        <v>143</v>
      </c>
      <c r="L1830">
        <v>1</v>
      </c>
      <c r="M1830" t="str">
        <f>VLOOKUP(D1830,State_Lookup!$A$2:$B$28,2,FALSE)</f>
        <v>Rio Grande do Sul</v>
      </c>
    </row>
    <row r="1831" spans="1:13" x14ac:dyDescent="0.45">
      <c r="A1831" t="s">
        <v>2287</v>
      </c>
      <c r="B1831" t="s">
        <v>2270</v>
      </c>
      <c r="C1831" t="s">
        <v>2026</v>
      </c>
      <c r="D1831" t="s">
        <v>17</v>
      </c>
      <c r="E1831" t="s">
        <v>69</v>
      </c>
      <c r="F1831">
        <v>1</v>
      </c>
      <c r="G1831">
        <v>49</v>
      </c>
      <c r="H1831">
        <v>17.670000000000002</v>
      </c>
      <c r="I1831" t="s">
        <v>44</v>
      </c>
      <c r="J1831">
        <v>12</v>
      </c>
      <c r="K1831" t="s">
        <v>51</v>
      </c>
      <c r="L1831">
        <v>4</v>
      </c>
      <c r="M1831" t="str">
        <f>VLOOKUP(D1831,State_Lookup!$A$2:$B$28,2,FALSE)</f>
        <v>Rio de Janeiro</v>
      </c>
    </row>
    <row r="1832" spans="1:13" x14ac:dyDescent="0.45">
      <c r="A1832" t="s">
        <v>2288</v>
      </c>
      <c r="B1832" t="s">
        <v>2270</v>
      </c>
      <c r="C1832" t="s">
        <v>2026</v>
      </c>
      <c r="D1832" t="s">
        <v>17</v>
      </c>
      <c r="E1832" t="s">
        <v>49</v>
      </c>
      <c r="F1832">
        <v>2</v>
      </c>
      <c r="G1832">
        <v>584</v>
      </c>
      <c r="H1832">
        <v>43.06</v>
      </c>
      <c r="I1832" t="s">
        <v>44</v>
      </c>
      <c r="J1832">
        <v>7</v>
      </c>
      <c r="K1832" t="s">
        <v>51</v>
      </c>
      <c r="L1832">
        <v>1</v>
      </c>
      <c r="M1832" t="str">
        <f>VLOOKUP(D1832,State_Lookup!$A$2:$B$28,2,FALSE)</f>
        <v>Rio de Janeiro</v>
      </c>
    </row>
    <row r="1833" spans="1:13" x14ac:dyDescent="0.45">
      <c r="A1833" t="s">
        <v>2289</v>
      </c>
      <c r="B1833" t="s">
        <v>2270</v>
      </c>
      <c r="C1833" t="s">
        <v>2026</v>
      </c>
      <c r="D1833" t="s">
        <v>24</v>
      </c>
      <c r="E1833" t="s">
        <v>142</v>
      </c>
      <c r="F1833">
        <v>1</v>
      </c>
      <c r="G1833">
        <v>71</v>
      </c>
      <c r="H1833">
        <v>16.75</v>
      </c>
      <c r="I1833" t="s">
        <v>44</v>
      </c>
      <c r="J1833">
        <v>8</v>
      </c>
      <c r="K1833" t="s">
        <v>51</v>
      </c>
      <c r="L1833">
        <v>5</v>
      </c>
      <c r="M1833" t="str">
        <f>VLOOKUP(D1833,State_Lookup!$A$2:$B$28,2,FALSE)</f>
        <v>Distrito Federal</v>
      </c>
    </row>
    <row r="1834" spans="1:13" x14ac:dyDescent="0.45">
      <c r="A1834" t="s">
        <v>2290</v>
      </c>
      <c r="B1834" t="s">
        <v>2270</v>
      </c>
      <c r="C1834" t="s">
        <v>2026</v>
      </c>
      <c r="D1834" t="s">
        <v>16</v>
      </c>
      <c r="E1834" t="s">
        <v>1903</v>
      </c>
      <c r="F1834">
        <v>1</v>
      </c>
      <c r="G1834">
        <v>74.489999999999995</v>
      </c>
      <c r="H1834">
        <v>9.94</v>
      </c>
      <c r="I1834" t="s">
        <v>44</v>
      </c>
      <c r="J1834">
        <v>5</v>
      </c>
      <c r="K1834" t="s">
        <v>51</v>
      </c>
      <c r="L1834">
        <v>5</v>
      </c>
      <c r="M1834" t="str">
        <f>VLOOKUP(D1834,State_Lookup!$A$2:$B$28,2,FALSE)</f>
        <v>Sao Paulo</v>
      </c>
    </row>
    <row r="1835" spans="1:13" x14ac:dyDescent="0.45">
      <c r="A1835" t="s">
        <v>2291</v>
      </c>
      <c r="B1835" t="s">
        <v>2270</v>
      </c>
      <c r="C1835" t="s">
        <v>2026</v>
      </c>
      <c r="D1835" t="s">
        <v>23</v>
      </c>
      <c r="E1835" t="s">
        <v>53</v>
      </c>
      <c r="F1835">
        <v>1</v>
      </c>
      <c r="G1835">
        <v>39.9</v>
      </c>
      <c r="H1835">
        <v>15.11</v>
      </c>
      <c r="I1835" t="s">
        <v>44</v>
      </c>
      <c r="J1835">
        <v>19</v>
      </c>
      <c r="K1835" t="s">
        <v>51</v>
      </c>
      <c r="L1835">
        <v>4</v>
      </c>
      <c r="M1835" t="str">
        <f>VLOOKUP(D1835,State_Lookup!$A$2:$B$28,2,FALSE)</f>
        <v>Espirito Santo</v>
      </c>
    </row>
    <row r="1836" spans="1:13" x14ac:dyDescent="0.45">
      <c r="A1836" t="s">
        <v>2292</v>
      </c>
      <c r="B1836" t="s">
        <v>2270</v>
      </c>
      <c r="C1836" t="s">
        <v>2026</v>
      </c>
      <c r="D1836" t="s">
        <v>16</v>
      </c>
      <c r="E1836" t="s">
        <v>64</v>
      </c>
      <c r="F1836">
        <v>1</v>
      </c>
      <c r="G1836">
        <v>419</v>
      </c>
      <c r="H1836">
        <v>12.15</v>
      </c>
      <c r="I1836" t="s">
        <v>44</v>
      </c>
      <c r="J1836">
        <v>6</v>
      </c>
      <c r="K1836" t="s">
        <v>51</v>
      </c>
      <c r="L1836">
        <v>5</v>
      </c>
      <c r="M1836" t="str">
        <f>VLOOKUP(D1836,State_Lookup!$A$2:$B$28,2,FALSE)</f>
        <v>Sao Paulo</v>
      </c>
    </row>
    <row r="1837" spans="1:13" x14ac:dyDescent="0.45">
      <c r="A1837" t="s">
        <v>2293</v>
      </c>
      <c r="B1837" t="s">
        <v>2270</v>
      </c>
      <c r="C1837" t="s">
        <v>2026</v>
      </c>
      <c r="D1837" t="s">
        <v>17</v>
      </c>
      <c r="E1837" t="s">
        <v>69</v>
      </c>
      <c r="F1837">
        <v>1</v>
      </c>
      <c r="G1837">
        <v>49</v>
      </c>
      <c r="H1837">
        <v>17.64</v>
      </c>
      <c r="I1837" t="s">
        <v>133</v>
      </c>
      <c r="J1837">
        <v>10</v>
      </c>
      <c r="K1837" t="s">
        <v>51</v>
      </c>
      <c r="L1837">
        <v>5</v>
      </c>
      <c r="M1837" t="str">
        <f>VLOOKUP(D1837,State_Lookup!$A$2:$B$28,2,FALSE)</f>
        <v>Rio de Janeiro</v>
      </c>
    </row>
    <row r="1838" spans="1:13" x14ac:dyDescent="0.45">
      <c r="A1838" t="s">
        <v>2294</v>
      </c>
      <c r="B1838" t="s">
        <v>2270</v>
      </c>
      <c r="C1838" t="s">
        <v>2026</v>
      </c>
      <c r="D1838" t="s">
        <v>22</v>
      </c>
      <c r="E1838" t="s">
        <v>260</v>
      </c>
      <c r="F1838">
        <v>3</v>
      </c>
      <c r="G1838">
        <v>58.86</v>
      </c>
      <c r="H1838">
        <v>50.37</v>
      </c>
      <c r="I1838" t="s">
        <v>44</v>
      </c>
      <c r="K1838" t="s">
        <v>45</v>
      </c>
      <c r="M1838" t="str">
        <f>VLOOKUP(D1838,State_Lookup!$A$2:$B$28,2,FALSE)</f>
        <v>Bahia</v>
      </c>
    </row>
    <row r="1839" spans="1:13" x14ac:dyDescent="0.45">
      <c r="A1839" t="s">
        <v>2295</v>
      </c>
      <c r="B1839" t="s">
        <v>2270</v>
      </c>
      <c r="C1839" t="s">
        <v>2026</v>
      </c>
      <c r="D1839" t="s">
        <v>20</v>
      </c>
      <c r="E1839" t="s">
        <v>244</v>
      </c>
      <c r="F1839">
        <v>1</v>
      </c>
      <c r="G1839">
        <v>179</v>
      </c>
      <c r="H1839">
        <v>57.92</v>
      </c>
      <c r="I1839" t="s">
        <v>44</v>
      </c>
      <c r="J1839">
        <v>23</v>
      </c>
      <c r="K1839" t="s">
        <v>51</v>
      </c>
      <c r="L1839">
        <v>4</v>
      </c>
      <c r="M1839" t="str">
        <f>VLOOKUP(D1839,State_Lookup!$A$2:$B$28,2,FALSE)</f>
        <v>Parana</v>
      </c>
    </row>
    <row r="1840" spans="1:13" x14ac:dyDescent="0.45">
      <c r="A1840" t="s">
        <v>2296</v>
      </c>
      <c r="B1840" t="s">
        <v>2270</v>
      </c>
      <c r="C1840" t="s">
        <v>2026</v>
      </c>
      <c r="D1840" t="s">
        <v>16</v>
      </c>
      <c r="E1840" t="s">
        <v>43</v>
      </c>
      <c r="F1840">
        <v>2</v>
      </c>
      <c r="G1840">
        <v>59.8</v>
      </c>
      <c r="H1840">
        <v>23.7</v>
      </c>
      <c r="I1840" t="s">
        <v>44</v>
      </c>
      <c r="J1840">
        <v>6</v>
      </c>
      <c r="K1840" t="s">
        <v>51</v>
      </c>
      <c r="L1840">
        <v>5</v>
      </c>
      <c r="M1840" t="str">
        <f>VLOOKUP(D1840,State_Lookup!$A$2:$B$28,2,FALSE)</f>
        <v>Sao Paulo</v>
      </c>
    </row>
    <row r="1841" spans="1:13" x14ac:dyDescent="0.45">
      <c r="A1841" t="s">
        <v>2297</v>
      </c>
      <c r="B1841" t="s">
        <v>2270</v>
      </c>
      <c r="C1841" t="s">
        <v>2026</v>
      </c>
      <c r="D1841" t="s">
        <v>16</v>
      </c>
      <c r="E1841" t="s">
        <v>53</v>
      </c>
      <c r="F1841">
        <v>1</v>
      </c>
      <c r="G1841">
        <v>102.5</v>
      </c>
      <c r="H1841">
        <v>13.74</v>
      </c>
      <c r="I1841" t="s">
        <v>44</v>
      </c>
      <c r="J1841">
        <v>12</v>
      </c>
      <c r="K1841" t="s">
        <v>51</v>
      </c>
      <c r="L1841">
        <v>3</v>
      </c>
      <c r="M1841" t="str">
        <f>VLOOKUP(D1841,State_Lookup!$A$2:$B$28,2,FALSE)</f>
        <v>Sao Paulo</v>
      </c>
    </row>
    <row r="1842" spans="1:13" x14ac:dyDescent="0.45">
      <c r="A1842" t="s">
        <v>2298</v>
      </c>
      <c r="B1842" t="s">
        <v>2270</v>
      </c>
      <c r="C1842" t="s">
        <v>2026</v>
      </c>
      <c r="D1842" t="s">
        <v>20</v>
      </c>
      <c r="E1842" t="s">
        <v>1056</v>
      </c>
      <c r="F1842">
        <v>1</v>
      </c>
      <c r="G1842">
        <v>119.9</v>
      </c>
      <c r="H1842">
        <v>36.159999999999997</v>
      </c>
      <c r="I1842" t="s">
        <v>44</v>
      </c>
      <c r="J1842">
        <v>27</v>
      </c>
      <c r="K1842" t="s">
        <v>143</v>
      </c>
      <c r="L1842">
        <v>1</v>
      </c>
      <c r="M1842" t="str">
        <f>VLOOKUP(D1842,State_Lookup!$A$2:$B$28,2,FALSE)</f>
        <v>Parana</v>
      </c>
    </row>
    <row r="1843" spans="1:13" x14ac:dyDescent="0.45">
      <c r="A1843" t="s">
        <v>2299</v>
      </c>
      <c r="B1843" t="s">
        <v>2270</v>
      </c>
      <c r="C1843" t="s">
        <v>2026</v>
      </c>
      <c r="D1843" t="s">
        <v>16</v>
      </c>
      <c r="E1843" t="s">
        <v>110</v>
      </c>
      <c r="F1843">
        <v>1</v>
      </c>
      <c r="G1843">
        <v>109.9</v>
      </c>
      <c r="H1843">
        <v>13.79</v>
      </c>
      <c r="I1843" t="s">
        <v>44</v>
      </c>
      <c r="J1843">
        <v>17</v>
      </c>
      <c r="K1843" t="s">
        <v>51</v>
      </c>
      <c r="L1843">
        <v>3</v>
      </c>
      <c r="M1843" t="str">
        <f>VLOOKUP(D1843,State_Lookup!$A$2:$B$28,2,FALSE)</f>
        <v>Sao Paulo</v>
      </c>
    </row>
    <row r="1844" spans="1:13" x14ac:dyDescent="0.45">
      <c r="A1844" t="s">
        <v>2300</v>
      </c>
      <c r="B1844" t="s">
        <v>2270</v>
      </c>
      <c r="C1844" t="s">
        <v>2026</v>
      </c>
      <c r="D1844" t="s">
        <v>16</v>
      </c>
      <c r="E1844" t="s">
        <v>125</v>
      </c>
      <c r="F1844">
        <v>1</v>
      </c>
      <c r="G1844">
        <v>189.9</v>
      </c>
      <c r="H1844">
        <v>17.03</v>
      </c>
      <c r="I1844" t="s">
        <v>44</v>
      </c>
      <c r="J1844">
        <v>7</v>
      </c>
      <c r="K1844" t="s">
        <v>51</v>
      </c>
      <c r="L1844">
        <v>1</v>
      </c>
      <c r="M1844" t="str">
        <f>VLOOKUP(D1844,State_Lookup!$A$2:$B$28,2,FALSE)</f>
        <v>Sao Paulo</v>
      </c>
    </row>
    <row r="1845" spans="1:13" x14ac:dyDescent="0.45">
      <c r="A1845" t="s">
        <v>2301</v>
      </c>
      <c r="B1845" t="s">
        <v>2270</v>
      </c>
      <c r="C1845" t="s">
        <v>2026</v>
      </c>
      <c r="D1845" t="s">
        <v>18</v>
      </c>
      <c r="E1845" t="s">
        <v>100</v>
      </c>
      <c r="F1845">
        <v>1</v>
      </c>
      <c r="G1845">
        <v>129.9</v>
      </c>
      <c r="H1845">
        <v>18.16</v>
      </c>
      <c r="I1845" t="s">
        <v>44</v>
      </c>
      <c r="J1845">
        <v>27</v>
      </c>
      <c r="K1845" t="s">
        <v>143</v>
      </c>
      <c r="L1845">
        <v>3</v>
      </c>
      <c r="M1845" t="str">
        <f>VLOOKUP(D1845,State_Lookup!$A$2:$B$28,2,FALSE)</f>
        <v>Minas Gerais</v>
      </c>
    </row>
    <row r="1846" spans="1:13" x14ac:dyDescent="0.45">
      <c r="A1846" t="s">
        <v>2302</v>
      </c>
      <c r="B1846" t="s">
        <v>2270</v>
      </c>
      <c r="C1846" t="s">
        <v>2026</v>
      </c>
      <c r="D1846" t="s">
        <v>16</v>
      </c>
      <c r="E1846" t="s">
        <v>64</v>
      </c>
      <c r="F1846">
        <v>1</v>
      </c>
      <c r="G1846">
        <v>56.99</v>
      </c>
      <c r="H1846">
        <v>8.7200000000000006</v>
      </c>
      <c r="I1846" t="s">
        <v>44</v>
      </c>
      <c r="J1846">
        <v>10</v>
      </c>
      <c r="K1846" t="s">
        <v>51</v>
      </c>
      <c r="L1846">
        <v>5</v>
      </c>
      <c r="M1846" t="str">
        <f>VLOOKUP(D1846,State_Lookup!$A$2:$B$28,2,FALSE)</f>
        <v>Sao Paulo</v>
      </c>
    </row>
    <row r="1847" spans="1:13" x14ac:dyDescent="0.45">
      <c r="A1847" t="s">
        <v>2303</v>
      </c>
      <c r="B1847" t="s">
        <v>2270</v>
      </c>
      <c r="C1847" t="s">
        <v>2026</v>
      </c>
      <c r="D1847" t="s">
        <v>19</v>
      </c>
      <c r="E1847" t="s">
        <v>66</v>
      </c>
      <c r="F1847">
        <v>1</v>
      </c>
      <c r="G1847">
        <v>29.5</v>
      </c>
      <c r="H1847">
        <v>14.1</v>
      </c>
      <c r="I1847" t="s">
        <v>44</v>
      </c>
      <c r="J1847">
        <v>10</v>
      </c>
      <c r="K1847" t="s">
        <v>51</v>
      </c>
      <c r="L1847">
        <v>5</v>
      </c>
      <c r="M1847" t="str">
        <f>VLOOKUP(D1847,State_Lookup!$A$2:$B$28,2,FALSE)</f>
        <v>Rio Grande do Sul</v>
      </c>
    </row>
    <row r="1848" spans="1:13" x14ac:dyDescent="0.45">
      <c r="A1848" t="s">
        <v>2304</v>
      </c>
      <c r="B1848" t="s">
        <v>2270</v>
      </c>
      <c r="C1848" t="s">
        <v>2026</v>
      </c>
      <c r="D1848" t="s">
        <v>16</v>
      </c>
      <c r="E1848" t="s">
        <v>64</v>
      </c>
      <c r="F1848">
        <v>1</v>
      </c>
      <c r="G1848">
        <v>339.9</v>
      </c>
      <c r="H1848">
        <v>18.14</v>
      </c>
      <c r="I1848" t="s">
        <v>44</v>
      </c>
      <c r="J1848">
        <v>11</v>
      </c>
      <c r="K1848" t="s">
        <v>51</v>
      </c>
      <c r="L1848">
        <v>5</v>
      </c>
      <c r="M1848" t="str">
        <f>VLOOKUP(D1848,State_Lookup!$A$2:$B$28,2,FALSE)</f>
        <v>Sao Paulo</v>
      </c>
    </row>
    <row r="1849" spans="1:13" x14ac:dyDescent="0.45">
      <c r="A1849" t="s">
        <v>2305</v>
      </c>
      <c r="B1849" t="s">
        <v>2270</v>
      </c>
      <c r="C1849" t="s">
        <v>2026</v>
      </c>
      <c r="D1849" t="s">
        <v>17</v>
      </c>
      <c r="E1849" t="s">
        <v>69</v>
      </c>
      <c r="F1849">
        <v>1</v>
      </c>
      <c r="G1849">
        <v>49</v>
      </c>
      <c r="H1849">
        <v>17.64</v>
      </c>
      <c r="I1849" t="s">
        <v>44</v>
      </c>
      <c r="J1849">
        <v>11</v>
      </c>
      <c r="K1849" t="s">
        <v>51</v>
      </c>
      <c r="L1849">
        <v>5</v>
      </c>
      <c r="M1849" t="str">
        <f>VLOOKUP(D1849,State_Lookup!$A$2:$B$28,2,FALSE)</f>
        <v>Rio de Janeiro</v>
      </c>
    </row>
    <row r="1850" spans="1:13" x14ac:dyDescent="0.45">
      <c r="A1850" t="s">
        <v>2306</v>
      </c>
      <c r="B1850" t="s">
        <v>2270</v>
      </c>
      <c r="C1850" t="s">
        <v>2026</v>
      </c>
      <c r="D1850" t="s">
        <v>19</v>
      </c>
      <c r="E1850" t="s">
        <v>49</v>
      </c>
      <c r="F1850">
        <v>3</v>
      </c>
      <c r="G1850">
        <v>315</v>
      </c>
      <c r="H1850">
        <v>53.94</v>
      </c>
      <c r="I1850" t="s">
        <v>50</v>
      </c>
      <c r="J1850">
        <v>7</v>
      </c>
      <c r="K1850" t="s">
        <v>51</v>
      </c>
      <c r="L1850">
        <v>5</v>
      </c>
      <c r="M1850" t="str">
        <f>VLOOKUP(D1850,State_Lookup!$A$2:$B$28,2,FALSE)</f>
        <v>Rio Grande do Sul</v>
      </c>
    </row>
    <row r="1851" spans="1:13" x14ac:dyDescent="0.45">
      <c r="A1851" t="s">
        <v>2307</v>
      </c>
      <c r="B1851" t="s">
        <v>2270</v>
      </c>
      <c r="C1851" t="s">
        <v>2026</v>
      </c>
      <c r="D1851" t="s">
        <v>18</v>
      </c>
      <c r="E1851" t="s">
        <v>61</v>
      </c>
      <c r="F1851">
        <v>1</v>
      </c>
      <c r="G1851">
        <v>27.9</v>
      </c>
      <c r="H1851">
        <v>12.48</v>
      </c>
      <c r="I1851" t="s">
        <v>44</v>
      </c>
      <c r="J1851">
        <v>20</v>
      </c>
      <c r="K1851" t="s">
        <v>51</v>
      </c>
      <c r="L1851">
        <v>5</v>
      </c>
      <c r="M1851" t="str">
        <f>VLOOKUP(D1851,State_Lookup!$A$2:$B$28,2,FALSE)</f>
        <v>Minas Gerais</v>
      </c>
    </row>
    <row r="1852" spans="1:13" x14ac:dyDescent="0.45">
      <c r="A1852" t="s">
        <v>2308</v>
      </c>
      <c r="B1852" t="s">
        <v>2270</v>
      </c>
      <c r="C1852" t="s">
        <v>2026</v>
      </c>
      <c r="D1852" t="s">
        <v>17</v>
      </c>
      <c r="E1852" t="s">
        <v>79</v>
      </c>
      <c r="F1852">
        <v>1</v>
      </c>
      <c r="G1852">
        <v>119.9</v>
      </c>
      <c r="H1852">
        <v>15.59</v>
      </c>
      <c r="I1852" t="s">
        <v>44</v>
      </c>
      <c r="J1852">
        <v>21</v>
      </c>
      <c r="K1852" t="s">
        <v>143</v>
      </c>
      <c r="L1852">
        <v>5</v>
      </c>
      <c r="M1852" t="str">
        <f>VLOOKUP(D1852,State_Lookup!$A$2:$B$28,2,FALSE)</f>
        <v>Rio de Janeiro</v>
      </c>
    </row>
    <row r="1853" spans="1:13" x14ac:dyDescent="0.45">
      <c r="A1853" t="s">
        <v>2309</v>
      </c>
      <c r="B1853" t="s">
        <v>2270</v>
      </c>
      <c r="C1853" t="s">
        <v>2026</v>
      </c>
      <c r="D1853" t="s">
        <v>16</v>
      </c>
      <c r="E1853" t="s">
        <v>61</v>
      </c>
      <c r="F1853">
        <v>1</v>
      </c>
      <c r="G1853">
        <v>49.9</v>
      </c>
      <c r="H1853">
        <v>9.27</v>
      </c>
      <c r="I1853" t="s">
        <v>44</v>
      </c>
      <c r="J1853">
        <v>6</v>
      </c>
      <c r="K1853" t="s">
        <v>51</v>
      </c>
      <c r="L1853">
        <v>5</v>
      </c>
      <c r="M1853" t="str">
        <f>VLOOKUP(D1853,State_Lookup!$A$2:$B$28,2,FALSE)</f>
        <v>Sao Paulo</v>
      </c>
    </row>
    <row r="1854" spans="1:13" x14ac:dyDescent="0.45">
      <c r="A1854" t="s">
        <v>2310</v>
      </c>
      <c r="B1854" t="s">
        <v>2270</v>
      </c>
      <c r="C1854" t="s">
        <v>2026</v>
      </c>
      <c r="D1854" t="s">
        <v>20</v>
      </c>
      <c r="E1854" t="s">
        <v>192</v>
      </c>
      <c r="F1854">
        <v>1</v>
      </c>
      <c r="G1854">
        <v>109.9</v>
      </c>
      <c r="H1854">
        <v>16.53</v>
      </c>
      <c r="I1854" t="s">
        <v>44</v>
      </c>
      <c r="J1854">
        <v>19</v>
      </c>
      <c r="K1854" t="s">
        <v>51</v>
      </c>
      <c r="L1854">
        <v>3</v>
      </c>
      <c r="M1854" t="str">
        <f>VLOOKUP(D1854,State_Lookup!$A$2:$B$28,2,FALSE)</f>
        <v>Parana</v>
      </c>
    </row>
    <row r="1855" spans="1:13" x14ac:dyDescent="0.45">
      <c r="A1855" t="s">
        <v>2311</v>
      </c>
      <c r="B1855" t="s">
        <v>2270</v>
      </c>
      <c r="C1855" t="s">
        <v>2026</v>
      </c>
      <c r="D1855" t="s">
        <v>16</v>
      </c>
      <c r="E1855" t="s">
        <v>142</v>
      </c>
      <c r="F1855">
        <v>1</v>
      </c>
      <c r="G1855">
        <v>99</v>
      </c>
      <c r="H1855">
        <v>16.940000000000001</v>
      </c>
      <c r="I1855" t="s">
        <v>50</v>
      </c>
      <c r="J1855">
        <v>11</v>
      </c>
      <c r="K1855" t="s">
        <v>51</v>
      </c>
      <c r="L1855">
        <v>5</v>
      </c>
      <c r="M1855" t="str">
        <f>VLOOKUP(D1855,State_Lookup!$A$2:$B$28,2,FALSE)</f>
        <v>Sao Paulo</v>
      </c>
    </row>
    <row r="1856" spans="1:13" x14ac:dyDescent="0.45">
      <c r="A1856" t="s">
        <v>2312</v>
      </c>
      <c r="B1856" t="s">
        <v>2270</v>
      </c>
      <c r="C1856" t="s">
        <v>2026</v>
      </c>
      <c r="D1856" t="s">
        <v>16</v>
      </c>
      <c r="E1856" t="s">
        <v>107</v>
      </c>
      <c r="F1856">
        <v>1</v>
      </c>
      <c r="G1856">
        <v>27.99</v>
      </c>
      <c r="H1856">
        <v>13.08</v>
      </c>
      <c r="I1856" t="s">
        <v>50</v>
      </c>
      <c r="J1856">
        <v>5</v>
      </c>
      <c r="K1856" t="s">
        <v>51</v>
      </c>
      <c r="L1856">
        <v>5</v>
      </c>
      <c r="M1856" t="str">
        <f>VLOOKUP(D1856,State_Lookup!$A$2:$B$28,2,FALSE)</f>
        <v>Sao Paulo</v>
      </c>
    </row>
    <row r="1857" spans="1:13" x14ac:dyDescent="0.45">
      <c r="A1857" t="s">
        <v>2313</v>
      </c>
      <c r="B1857" t="s">
        <v>2270</v>
      </c>
      <c r="C1857" t="s">
        <v>2026</v>
      </c>
      <c r="D1857" t="s">
        <v>487</v>
      </c>
      <c r="E1857" t="s">
        <v>69</v>
      </c>
      <c r="F1857">
        <v>2</v>
      </c>
      <c r="G1857">
        <v>98</v>
      </c>
      <c r="H1857">
        <v>75.94</v>
      </c>
      <c r="I1857" t="s">
        <v>50</v>
      </c>
      <c r="J1857">
        <v>46</v>
      </c>
      <c r="K1857" t="s">
        <v>143</v>
      </c>
      <c r="L1857">
        <v>2</v>
      </c>
      <c r="M1857" t="str">
        <f>VLOOKUP(D1857,State_Lookup!$A$2:$B$28,2,FALSE)</f>
        <v>Rio Grande do Norte</v>
      </c>
    </row>
    <row r="1858" spans="1:13" x14ac:dyDescent="0.45">
      <c r="A1858" t="s">
        <v>2314</v>
      </c>
      <c r="B1858" t="s">
        <v>2270</v>
      </c>
      <c r="C1858" t="s">
        <v>2026</v>
      </c>
      <c r="D1858" t="s">
        <v>16</v>
      </c>
      <c r="E1858" t="s">
        <v>110</v>
      </c>
      <c r="F1858">
        <v>1</v>
      </c>
      <c r="G1858">
        <v>89.9</v>
      </c>
      <c r="H1858">
        <v>12.33</v>
      </c>
      <c r="I1858" t="s">
        <v>44</v>
      </c>
      <c r="J1858">
        <v>5</v>
      </c>
      <c r="K1858" t="s">
        <v>51</v>
      </c>
      <c r="L1858">
        <v>5</v>
      </c>
      <c r="M1858" t="str">
        <f>VLOOKUP(D1858,State_Lookup!$A$2:$B$28,2,FALSE)</f>
        <v>Sao Paulo</v>
      </c>
    </row>
    <row r="1859" spans="1:13" x14ac:dyDescent="0.45">
      <c r="A1859" t="s">
        <v>2315</v>
      </c>
      <c r="B1859" t="s">
        <v>2270</v>
      </c>
      <c r="C1859" t="s">
        <v>2026</v>
      </c>
      <c r="D1859" t="s">
        <v>18</v>
      </c>
      <c r="E1859" t="s">
        <v>103</v>
      </c>
      <c r="F1859">
        <v>1</v>
      </c>
      <c r="G1859">
        <v>29.9</v>
      </c>
      <c r="H1859">
        <v>15.79</v>
      </c>
      <c r="I1859" t="s">
        <v>44</v>
      </c>
      <c r="J1859">
        <v>17</v>
      </c>
      <c r="K1859" t="s">
        <v>51</v>
      </c>
      <c r="L1859">
        <v>5</v>
      </c>
      <c r="M1859" t="str">
        <f>VLOOKUP(D1859,State_Lookup!$A$2:$B$28,2,FALSE)</f>
        <v>Minas Gerais</v>
      </c>
    </row>
    <row r="1860" spans="1:13" x14ac:dyDescent="0.45">
      <c r="A1860" t="s">
        <v>2316</v>
      </c>
      <c r="B1860" t="s">
        <v>2270</v>
      </c>
      <c r="C1860" t="s">
        <v>2026</v>
      </c>
      <c r="D1860" t="s">
        <v>17</v>
      </c>
      <c r="E1860" t="s">
        <v>69</v>
      </c>
      <c r="F1860">
        <v>1</v>
      </c>
      <c r="G1860">
        <v>49</v>
      </c>
      <c r="H1860">
        <v>17.670000000000002</v>
      </c>
      <c r="I1860" t="s">
        <v>44</v>
      </c>
      <c r="J1860">
        <v>22</v>
      </c>
      <c r="K1860" t="s">
        <v>51</v>
      </c>
      <c r="L1860">
        <v>5</v>
      </c>
      <c r="M1860" t="str">
        <f>VLOOKUP(D1860,State_Lookup!$A$2:$B$28,2,FALSE)</f>
        <v>Rio de Janeiro</v>
      </c>
    </row>
    <row r="1861" spans="1:13" x14ac:dyDescent="0.45">
      <c r="A1861" t="s">
        <v>2317</v>
      </c>
      <c r="B1861" t="s">
        <v>2270</v>
      </c>
      <c r="C1861" t="s">
        <v>2026</v>
      </c>
      <c r="D1861" t="s">
        <v>16</v>
      </c>
      <c r="E1861" t="s">
        <v>157</v>
      </c>
      <c r="F1861">
        <v>1</v>
      </c>
      <c r="G1861">
        <v>99.35</v>
      </c>
      <c r="H1861">
        <v>14.45</v>
      </c>
      <c r="I1861" t="s">
        <v>44</v>
      </c>
      <c r="J1861">
        <v>13</v>
      </c>
      <c r="K1861" t="s">
        <v>51</v>
      </c>
      <c r="L1861">
        <v>1</v>
      </c>
      <c r="M1861" t="str">
        <f>VLOOKUP(D1861,State_Lookup!$A$2:$B$28,2,FALSE)</f>
        <v>Sao Paulo</v>
      </c>
    </row>
    <row r="1862" spans="1:13" x14ac:dyDescent="0.45">
      <c r="A1862" t="s">
        <v>2318</v>
      </c>
      <c r="B1862" t="s">
        <v>2270</v>
      </c>
      <c r="C1862" t="s">
        <v>2026</v>
      </c>
      <c r="D1862" t="s">
        <v>21</v>
      </c>
      <c r="E1862" t="s">
        <v>132</v>
      </c>
      <c r="F1862">
        <v>1</v>
      </c>
      <c r="G1862">
        <v>119.99</v>
      </c>
      <c r="H1862">
        <v>16.600000000000001</v>
      </c>
      <c r="I1862" t="s">
        <v>50</v>
      </c>
      <c r="J1862">
        <v>14</v>
      </c>
      <c r="K1862" t="s">
        <v>51</v>
      </c>
      <c r="L1862">
        <v>5</v>
      </c>
      <c r="M1862" t="str">
        <f>VLOOKUP(D1862,State_Lookup!$A$2:$B$28,2,FALSE)</f>
        <v>Santa Catarina</v>
      </c>
    </row>
    <row r="1863" spans="1:13" x14ac:dyDescent="0.45">
      <c r="A1863" t="s">
        <v>2319</v>
      </c>
      <c r="B1863" t="s">
        <v>2270</v>
      </c>
      <c r="C1863" t="s">
        <v>2026</v>
      </c>
      <c r="D1863" t="s">
        <v>18</v>
      </c>
      <c r="E1863" t="s">
        <v>58</v>
      </c>
      <c r="F1863">
        <v>1</v>
      </c>
      <c r="G1863">
        <v>24.5</v>
      </c>
      <c r="H1863">
        <v>15.1</v>
      </c>
      <c r="I1863" t="s">
        <v>108</v>
      </c>
      <c r="J1863">
        <v>10</v>
      </c>
      <c r="K1863" t="s">
        <v>51</v>
      </c>
      <c r="L1863">
        <v>5</v>
      </c>
      <c r="M1863" t="str">
        <f>VLOOKUP(D1863,State_Lookup!$A$2:$B$28,2,FALSE)</f>
        <v>Minas Gerais</v>
      </c>
    </row>
    <row r="1864" spans="1:13" x14ac:dyDescent="0.45">
      <c r="A1864" t="s">
        <v>2320</v>
      </c>
      <c r="B1864" t="s">
        <v>2270</v>
      </c>
      <c r="C1864" t="s">
        <v>2026</v>
      </c>
      <c r="D1864" t="s">
        <v>17</v>
      </c>
      <c r="E1864" t="s">
        <v>157</v>
      </c>
      <c r="F1864">
        <v>1</v>
      </c>
      <c r="G1864">
        <v>899</v>
      </c>
      <c r="H1864">
        <v>22.05</v>
      </c>
      <c r="I1864" t="s">
        <v>44</v>
      </c>
      <c r="J1864">
        <v>18</v>
      </c>
      <c r="K1864" t="s">
        <v>51</v>
      </c>
      <c r="L1864">
        <v>3</v>
      </c>
      <c r="M1864" t="str">
        <f>VLOOKUP(D1864,State_Lookup!$A$2:$B$28,2,FALSE)</f>
        <v>Rio de Janeiro</v>
      </c>
    </row>
    <row r="1865" spans="1:13" x14ac:dyDescent="0.45">
      <c r="A1865" t="s">
        <v>2321</v>
      </c>
      <c r="B1865" t="s">
        <v>2270</v>
      </c>
      <c r="C1865" t="s">
        <v>2026</v>
      </c>
      <c r="D1865" t="s">
        <v>16</v>
      </c>
      <c r="E1865" t="s">
        <v>110</v>
      </c>
      <c r="F1865">
        <v>1</v>
      </c>
      <c r="G1865">
        <v>159.9</v>
      </c>
      <c r="H1865">
        <v>25.96</v>
      </c>
      <c r="I1865" t="s">
        <v>44</v>
      </c>
      <c r="J1865">
        <v>84</v>
      </c>
      <c r="K1865" t="s">
        <v>143</v>
      </c>
      <c r="L1865">
        <v>1</v>
      </c>
      <c r="M1865" t="str">
        <f>VLOOKUP(D1865,State_Lookup!$A$2:$B$28,2,FALSE)</f>
        <v>Sao Paulo</v>
      </c>
    </row>
    <row r="1866" spans="1:13" x14ac:dyDescent="0.45">
      <c r="A1866" t="s">
        <v>2322</v>
      </c>
      <c r="B1866" t="s">
        <v>2270</v>
      </c>
      <c r="C1866" t="s">
        <v>2026</v>
      </c>
      <c r="D1866" t="s">
        <v>16</v>
      </c>
      <c r="E1866" t="s">
        <v>79</v>
      </c>
      <c r="F1866">
        <v>1</v>
      </c>
      <c r="G1866">
        <v>168.8</v>
      </c>
      <c r="H1866">
        <v>14.93</v>
      </c>
      <c r="I1866" t="s">
        <v>44</v>
      </c>
      <c r="J1866">
        <v>18</v>
      </c>
      <c r="K1866" t="s">
        <v>51</v>
      </c>
      <c r="L1866">
        <v>5</v>
      </c>
      <c r="M1866" t="str">
        <f>VLOOKUP(D1866,State_Lookup!$A$2:$B$28,2,FALSE)</f>
        <v>Sao Paulo</v>
      </c>
    </row>
    <row r="1867" spans="1:13" x14ac:dyDescent="0.45">
      <c r="A1867" t="s">
        <v>2323</v>
      </c>
      <c r="B1867" t="s">
        <v>2270</v>
      </c>
      <c r="C1867" t="s">
        <v>2026</v>
      </c>
      <c r="D1867" t="s">
        <v>16</v>
      </c>
      <c r="E1867" t="s">
        <v>49</v>
      </c>
      <c r="F1867">
        <v>1</v>
      </c>
      <c r="G1867">
        <v>49.99</v>
      </c>
      <c r="H1867">
        <v>14.1</v>
      </c>
      <c r="I1867" t="s">
        <v>44</v>
      </c>
      <c r="J1867">
        <v>11</v>
      </c>
      <c r="K1867" t="s">
        <v>51</v>
      </c>
      <c r="L1867">
        <v>3</v>
      </c>
      <c r="M1867" t="str">
        <f>VLOOKUP(D1867,State_Lookup!$A$2:$B$28,2,FALSE)</f>
        <v>Sao Paulo</v>
      </c>
    </row>
    <row r="1868" spans="1:13" x14ac:dyDescent="0.45">
      <c r="A1868" t="s">
        <v>2324</v>
      </c>
      <c r="B1868" t="s">
        <v>2270</v>
      </c>
      <c r="C1868" t="s">
        <v>2026</v>
      </c>
      <c r="D1868" t="s">
        <v>16</v>
      </c>
      <c r="E1868" t="s">
        <v>64</v>
      </c>
      <c r="F1868">
        <v>1</v>
      </c>
      <c r="G1868">
        <v>13.99</v>
      </c>
      <c r="H1868">
        <v>7.78</v>
      </c>
      <c r="I1868" t="s">
        <v>44</v>
      </c>
      <c r="J1868">
        <v>10</v>
      </c>
      <c r="K1868" t="s">
        <v>51</v>
      </c>
      <c r="L1868">
        <v>2</v>
      </c>
      <c r="M1868" t="str">
        <f>VLOOKUP(D1868,State_Lookup!$A$2:$B$28,2,FALSE)</f>
        <v>Sao Paulo</v>
      </c>
    </row>
    <row r="1869" spans="1:13" x14ac:dyDescent="0.45">
      <c r="A1869" t="s">
        <v>2325</v>
      </c>
      <c r="B1869" t="s">
        <v>2270</v>
      </c>
      <c r="C1869" t="s">
        <v>2026</v>
      </c>
      <c r="D1869" t="s">
        <v>16</v>
      </c>
      <c r="E1869" t="s">
        <v>43</v>
      </c>
      <c r="F1869">
        <v>1</v>
      </c>
      <c r="G1869">
        <v>79</v>
      </c>
      <c r="H1869">
        <v>16.18</v>
      </c>
      <c r="I1869" t="s">
        <v>44</v>
      </c>
      <c r="J1869">
        <v>6</v>
      </c>
      <c r="K1869" t="s">
        <v>51</v>
      </c>
      <c r="L1869">
        <v>4</v>
      </c>
      <c r="M1869" t="str">
        <f>VLOOKUP(D1869,State_Lookup!$A$2:$B$28,2,FALSE)</f>
        <v>Sao Paulo</v>
      </c>
    </row>
    <row r="1870" spans="1:13" x14ac:dyDescent="0.45">
      <c r="A1870" t="s">
        <v>2326</v>
      </c>
      <c r="B1870" t="s">
        <v>2270</v>
      </c>
      <c r="C1870" t="s">
        <v>2026</v>
      </c>
      <c r="D1870" t="s">
        <v>19</v>
      </c>
      <c r="E1870" t="s">
        <v>110</v>
      </c>
      <c r="F1870">
        <v>1</v>
      </c>
      <c r="G1870">
        <v>39.9</v>
      </c>
      <c r="H1870">
        <v>16.600000000000001</v>
      </c>
      <c r="I1870" t="s">
        <v>44</v>
      </c>
      <c r="J1870">
        <v>17</v>
      </c>
      <c r="K1870" t="s">
        <v>51</v>
      </c>
      <c r="L1870">
        <v>5</v>
      </c>
      <c r="M1870" t="str">
        <f>VLOOKUP(D1870,State_Lookup!$A$2:$B$28,2,FALSE)</f>
        <v>Rio Grande do Sul</v>
      </c>
    </row>
    <row r="1871" spans="1:13" x14ac:dyDescent="0.45">
      <c r="A1871" t="s">
        <v>2327</v>
      </c>
      <c r="B1871" t="s">
        <v>2270</v>
      </c>
      <c r="C1871" t="s">
        <v>2026</v>
      </c>
      <c r="D1871" t="s">
        <v>16</v>
      </c>
      <c r="E1871" t="s">
        <v>49</v>
      </c>
      <c r="F1871">
        <v>4</v>
      </c>
      <c r="G1871">
        <v>91.6</v>
      </c>
      <c r="H1871">
        <v>37.36</v>
      </c>
      <c r="I1871" t="s">
        <v>44</v>
      </c>
      <c r="J1871">
        <v>9</v>
      </c>
      <c r="K1871" t="s">
        <v>51</v>
      </c>
      <c r="L1871">
        <v>4</v>
      </c>
      <c r="M1871" t="str">
        <f>VLOOKUP(D1871,State_Lookup!$A$2:$B$28,2,FALSE)</f>
        <v>Sao Paulo</v>
      </c>
    </row>
    <row r="1872" spans="1:13" x14ac:dyDescent="0.45">
      <c r="A1872" t="s">
        <v>2328</v>
      </c>
      <c r="B1872" t="s">
        <v>2270</v>
      </c>
      <c r="C1872" t="s">
        <v>2026</v>
      </c>
      <c r="D1872" t="s">
        <v>16</v>
      </c>
      <c r="E1872" t="s">
        <v>69</v>
      </c>
      <c r="F1872">
        <v>1</v>
      </c>
      <c r="G1872">
        <v>49</v>
      </c>
      <c r="H1872">
        <v>13.41</v>
      </c>
      <c r="I1872" t="s">
        <v>44</v>
      </c>
      <c r="J1872">
        <v>9</v>
      </c>
      <c r="K1872" t="s">
        <v>51</v>
      </c>
      <c r="L1872">
        <v>5</v>
      </c>
      <c r="M1872" t="str">
        <f>VLOOKUP(D1872,State_Lookup!$A$2:$B$28,2,FALSE)</f>
        <v>Sao Paulo</v>
      </c>
    </row>
    <row r="1873" spans="1:13" x14ac:dyDescent="0.45">
      <c r="A1873" t="s">
        <v>2329</v>
      </c>
      <c r="B1873" t="s">
        <v>2270</v>
      </c>
      <c r="C1873" t="s">
        <v>2026</v>
      </c>
      <c r="D1873" t="s">
        <v>17</v>
      </c>
      <c r="E1873" t="s">
        <v>107</v>
      </c>
      <c r="F1873">
        <v>1</v>
      </c>
      <c r="G1873">
        <v>49.99</v>
      </c>
      <c r="H1873">
        <v>23.22</v>
      </c>
      <c r="I1873" t="s">
        <v>44</v>
      </c>
      <c r="J1873">
        <v>11</v>
      </c>
      <c r="K1873" t="s">
        <v>51</v>
      </c>
      <c r="L1873">
        <v>4</v>
      </c>
      <c r="M1873" t="str">
        <f>VLOOKUP(D1873,State_Lookup!$A$2:$B$28,2,FALSE)</f>
        <v>Rio de Janeiro</v>
      </c>
    </row>
    <row r="1874" spans="1:13" x14ac:dyDescent="0.45">
      <c r="A1874" t="s">
        <v>2330</v>
      </c>
      <c r="B1874" t="s">
        <v>2270</v>
      </c>
      <c r="C1874" t="s">
        <v>2026</v>
      </c>
      <c r="D1874" t="s">
        <v>23</v>
      </c>
      <c r="E1874" t="s">
        <v>157</v>
      </c>
      <c r="F1874">
        <v>1</v>
      </c>
      <c r="G1874">
        <v>118.91</v>
      </c>
      <c r="H1874">
        <v>15.58</v>
      </c>
      <c r="I1874" t="s">
        <v>44</v>
      </c>
      <c r="J1874">
        <v>31</v>
      </c>
      <c r="K1874" t="s">
        <v>143</v>
      </c>
      <c r="L1874">
        <v>1</v>
      </c>
      <c r="M1874" t="str">
        <f>VLOOKUP(D1874,State_Lookup!$A$2:$B$28,2,FALSE)</f>
        <v>Espirito Santo</v>
      </c>
    </row>
    <row r="1875" spans="1:13" x14ac:dyDescent="0.45">
      <c r="A1875" t="s">
        <v>2331</v>
      </c>
      <c r="B1875" t="s">
        <v>2270</v>
      </c>
      <c r="C1875" t="s">
        <v>2026</v>
      </c>
      <c r="D1875" t="s">
        <v>20</v>
      </c>
      <c r="E1875" t="s">
        <v>157</v>
      </c>
      <c r="F1875">
        <v>1</v>
      </c>
      <c r="G1875">
        <v>108</v>
      </c>
      <c r="H1875">
        <v>16.52</v>
      </c>
      <c r="I1875" t="s">
        <v>50</v>
      </c>
      <c r="J1875">
        <v>19</v>
      </c>
      <c r="K1875" t="s">
        <v>51</v>
      </c>
      <c r="L1875">
        <v>5</v>
      </c>
      <c r="M1875" t="str">
        <f>VLOOKUP(D1875,State_Lookup!$A$2:$B$28,2,FALSE)</f>
        <v>Parana</v>
      </c>
    </row>
    <row r="1876" spans="1:13" x14ac:dyDescent="0.45">
      <c r="A1876" t="s">
        <v>2332</v>
      </c>
      <c r="B1876" t="s">
        <v>2333</v>
      </c>
      <c r="C1876" t="s">
        <v>2026</v>
      </c>
      <c r="D1876" t="s">
        <v>20</v>
      </c>
      <c r="E1876" t="s">
        <v>43</v>
      </c>
      <c r="F1876">
        <v>2</v>
      </c>
      <c r="G1876">
        <v>108</v>
      </c>
      <c r="H1876">
        <v>30.26</v>
      </c>
      <c r="I1876" t="s">
        <v>44</v>
      </c>
      <c r="J1876">
        <v>13</v>
      </c>
      <c r="K1876" t="s">
        <v>51</v>
      </c>
      <c r="L1876">
        <v>1</v>
      </c>
      <c r="M1876" t="str">
        <f>VLOOKUP(D1876,State_Lookup!$A$2:$B$28,2,FALSE)</f>
        <v>Parana</v>
      </c>
    </row>
    <row r="1877" spans="1:13" x14ac:dyDescent="0.45">
      <c r="A1877" t="s">
        <v>2334</v>
      </c>
      <c r="B1877" t="s">
        <v>2333</v>
      </c>
      <c r="C1877" t="s">
        <v>2026</v>
      </c>
      <c r="D1877" t="s">
        <v>18</v>
      </c>
      <c r="E1877" t="s">
        <v>110</v>
      </c>
      <c r="F1877">
        <v>1</v>
      </c>
      <c r="G1877">
        <v>79.900000000000006</v>
      </c>
      <c r="H1877">
        <v>19.8</v>
      </c>
      <c r="I1877" t="s">
        <v>44</v>
      </c>
      <c r="J1877">
        <v>59</v>
      </c>
      <c r="K1877" t="s">
        <v>143</v>
      </c>
      <c r="L1877">
        <v>1</v>
      </c>
      <c r="M1877" t="str">
        <f>VLOOKUP(D1877,State_Lookup!$A$2:$B$28,2,FALSE)</f>
        <v>Minas Gerais</v>
      </c>
    </row>
    <row r="1878" spans="1:13" x14ac:dyDescent="0.45">
      <c r="A1878" t="s">
        <v>2335</v>
      </c>
      <c r="B1878" t="s">
        <v>2333</v>
      </c>
      <c r="C1878" t="s">
        <v>2026</v>
      </c>
      <c r="D1878" t="s">
        <v>17</v>
      </c>
      <c r="E1878" t="s">
        <v>79</v>
      </c>
      <c r="F1878">
        <v>1</v>
      </c>
      <c r="G1878">
        <v>84.99</v>
      </c>
      <c r="H1878">
        <v>21.08</v>
      </c>
      <c r="I1878" t="s">
        <v>44</v>
      </c>
      <c r="J1878">
        <v>25</v>
      </c>
      <c r="K1878" t="s">
        <v>51</v>
      </c>
      <c r="L1878">
        <v>3</v>
      </c>
      <c r="M1878" t="str">
        <f>VLOOKUP(D1878,State_Lookup!$A$2:$B$28,2,FALSE)</f>
        <v>Rio de Janeiro</v>
      </c>
    </row>
    <row r="1879" spans="1:13" x14ac:dyDescent="0.45">
      <c r="A1879" t="s">
        <v>2336</v>
      </c>
      <c r="B1879" t="s">
        <v>2333</v>
      </c>
      <c r="C1879" t="s">
        <v>2026</v>
      </c>
      <c r="D1879" t="s">
        <v>16</v>
      </c>
      <c r="E1879" t="s">
        <v>53</v>
      </c>
      <c r="F1879">
        <v>1</v>
      </c>
      <c r="G1879">
        <v>129.80000000000001</v>
      </c>
      <c r="H1879">
        <v>49.44</v>
      </c>
      <c r="I1879" t="s">
        <v>44</v>
      </c>
      <c r="J1879">
        <v>7</v>
      </c>
      <c r="K1879" t="s">
        <v>51</v>
      </c>
      <c r="L1879">
        <v>5</v>
      </c>
      <c r="M1879" t="str">
        <f>VLOOKUP(D1879,State_Lookup!$A$2:$B$28,2,FALSE)</f>
        <v>Sao Paulo</v>
      </c>
    </row>
    <row r="1880" spans="1:13" x14ac:dyDescent="0.45">
      <c r="A1880" t="s">
        <v>2337</v>
      </c>
      <c r="B1880" t="s">
        <v>2333</v>
      </c>
      <c r="C1880" t="s">
        <v>2026</v>
      </c>
      <c r="D1880" t="s">
        <v>18</v>
      </c>
      <c r="E1880" t="s">
        <v>64</v>
      </c>
      <c r="F1880">
        <v>1</v>
      </c>
      <c r="G1880">
        <v>120</v>
      </c>
      <c r="H1880">
        <v>15.59</v>
      </c>
      <c r="I1880" t="s">
        <v>50</v>
      </c>
      <c r="J1880">
        <v>9</v>
      </c>
      <c r="K1880" t="s">
        <v>51</v>
      </c>
      <c r="L1880">
        <v>5</v>
      </c>
      <c r="M1880" t="str">
        <f>VLOOKUP(D1880,State_Lookup!$A$2:$B$28,2,FALSE)</f>
        <v>Minas Gerais</v>
      </c>
    </row>
    <row r="1881" spans="1:13" x14ac:dyDescent="0.45">
      <c r="A1881" t="s">
        <v>2338</v>
      </c>
      <c r="B1881" t="s">
        <v>2333</v>
      </c>
      <c r="C1881" t="s">
        <v>2026</v>
      </c>
      <c r="D1881" t="s">
        <v>16</v>
      </c>
      <c r="E1881" t="s">
        <v>43</v>
      </c>
      <c r="F1881">
        <v>1</v>
      </c>
      <c r="G1881">
        <v>49.9</v>
      </c>
      <c r="H1881">
        <v>9.09</v>
      </c>
      <c r="I1881" t="s">
        <v>44</v>
      </c>
      <c r="J1881">
        <v>3</v>
      </c>
      <c r="K1881" t="s">
        <v>51</v>
      </c>
      <c r="L1881">
        <v>5</v>
      </c>
      <c r="M1881" t="str">
        <f>VLOOKUP(D1881,State_Lookup!$A$2:$B$28,2,FALSE)</f>
        <v>Sao Paulo</v>
      </c>
    </row>
    <row r="1882" spans="1:13" x14ac:dyDescent="0.45">
      <c r="A1882" t="s">
        <v>2339</v>
      </c>
      <c r="B1882" t="s">
        <v>2333</v>
      </c>
      <c r="C1882" t="s">
        <v>2026</v>
      </c>
      <c r="D1882" t="s">
        <v>16</v>
      </c>
      <c r="E1882" t="s">
        <v>186</v>
      </c>
      <c r="F1882">
        <v>2</v>
      </c>
      <c r="G1882">
        <v>93.98</v>
      </c>
      <c r="H1882">
        <v>35.94</v>
      </c>
      <c r="I1882" t="s">
        <v>44</v>
      </c>
      <c r="J1882">
        <v>16</v>
      </c>
      <c r="K1882" t="s">
        <v>51</v>
      </c>
      <c r="L1882">
        <v>4</v>
      </c>
      <c r="M1882" t="str">
        <f>VLOOKUP(D1882,State_Lookup!$A$2:$B$28,2,FALSE)</f>
        <v>Sao Paulo</v>
      </c>
    </row>
    <row r="1883" spans="1:13" x14ac:dyDescent="0.45">
      <c r="A1883" t="s">
        <v>2340</v>
      </c>
      <c r="B1883" t="s">
        <v>2333</v>
      </c>
      <c r="C1883" t="s">
        <v>2026</v>
      </c>
      <c r="D1883" t="s">
        <v>20</v>
      </c>
      <c r="E1883" t="s">
        <v>43</v>
      </c>
      <c r="F1883">
        <v>1</v>
      </c>
      <c r="G1883">
        <v>169.9</v>
      </c>
      <c r="H1883">
        <v>26.03</v>
      </c>
      <c r="I1883" t="s">
        <v>44</v>
      </c>
      <c r="J1883">
        <v>19</v>
      </c>
      <c r="K1883" t="s">
        <v>51</v>
      </c>
      <c r="L1883">
        <v>2</v>
      </c>
      <c r="M1883" t="str">
        <f>VLOOKUP(D1883,State_Lookup!$A$2:$B$28,2,FALSE)</f>
        <v>Parana</v>
      </c>
    </row>
    <row r="1884" spans="1:13" x14ac:dyDescent="0.45">
      <c r="A1884" t="s">
        <v>2341</v>
      </c>
      <c r="B1884" t="s">
        <v>2333</v>
      </c>
      <c r="C1884" t="s">
        <v>2026</v>
      </c>
      <c r="D1884" t="s">
        <v>17</v>
      </c>
      <c r="E1884" t="s">
        <v>79</v>
      </c>
      <c r="F1884">
        <v>1</v>
      </c>
      <c r="G1884">
        <v>69.900000000000006</v>
      </c>
      <c r="H1884">
        <v>12.48</v>
      </c>
      <c r="I1884" t="s">
        <v>44</v>
      </c>
      <c r="J1884">
        <v>4</v>
      </c>
      <c r="K1884" t="s">
        <v>51</v>
      </c>
      <c r="L1884">
        <v>4</v>
      </c>
      <c r="M1884" t="str">
        <f>VLOOKUP(D1884,State_Lookup!$A$2:$B$28,2,FALSE)</f>
        <v>Rio de Janeiro</v>
      </c>
    </row>
    <row r="1885" spans="1:13" x14ac:dyDescent="0.45">
      <c r="A1885" t="s">
        <v>2342</v>
      </c>
      <c r="B1885" t="s">
        <v>2333</v>
      </c>
      <c r="C1885" t="s">
        <v>2026</v>
      </c>
      <c r="D1885" t="s">
        <v>19</v>
      </c>
      <c r="E1885" t="s">
        <v>302</v>
      </c>
      <c r="F1885">
        <v>1</v>
      </c>
      <c r="G1885">
        <v>119.9</v>
      </c>
      <c r="H1885">
        <v>17.09</v>
      </c>
      <c r="I1885" t="s">
        <v>44</v>
      </c>
      <c r="J1885">
        <v>13</v>
      </c>
      <c r="K1885" t="s">
        <v>51</v>
      </c>
      <c r="L1885">
        <v>5</v>
      </c>
      <c r="M1885" t="str">
        <f>VLOOKUP(D1885,State_Lookup!$A$2:$B$28,2,FALSE)</f>
        <v>Rio Grande do Sul</v>
      </c>
    </row>
    <row r="1886" spans="1:13" x14ac:dyDescent="0.45">
      <c r="A1886" t="s">
        <v>2343</v>
      </c>
      <c r="B1886" t="s">
        <v>2333</v>
      </c>
      <c r="C1886" t="s">
        <v>2026</v>
      </c>
      <c r="D1886" t="s">
        <v>16</v>
      </c>
      <c r="E1886" t="s">
        <v>69</v>
      </c>
      <c r="F1886">
        <v>1</v>
      </c>
      <c r="G1886">
        <v>98</v>
      </c>
      <c r="H1886">
        <v>13.24</v>
      </c>
      <c r="I1886" t="s">
        <v>44</v>
      </c>
      <c r="J1886">
        <v>4</v>
      </c>
      <c r="K1886" t="s">
        <v>51</v>
      </c>
      <c r="L1886">
        <v>3</v>
      </c>
      <c r="M1886" t="str">
        <f>VLOOKUP(D1886,State_Lookup!$A$2:$B$28,2,FALSE)</f>
        <v>Sao Paulo</v>
      </c>
    </row>
    <row r="1887" spans="1:13" x14ac:dyDescent="0.45">
      <c r="A1887" t="s">
        <v>2344</v>
      </c>
      <c r="B1887" t="s">
        <v>2333</v>
      </c>
      <c r="C1887" t="s">
        <v>2026</v>
      </c>
      <c r="D1887" t="s">
        <v>141</v>
      </c>
      <c r="E1887" t="s">
        <v>103</v>
      </c>
      <c r="F1887">
        <v>1</v>
      </c>
      <c r="G1887">
        <v>379.9</v>
      </c>
      <c r="H1887">
        <v>45.07</v>
      </c>
      <c r="I1887" t="s">
        <v>44</v>
      </c>
      <c r="J1887">
        <v>43</v>
      </c>
      <c r="K1887" t="s">
        <v>143</v>
      </c>
      <c r="L1887">
        <v>1</v>
      </c>
      <c r="M1887" t="str">
        <f>VLOOKUP(D1887,State_Lookup!$A$2:$B$28,2,FALSE)</f>
        <v>Maranhao</v>
      </c>
    </row>
    <row r="1888" spans="1:13" x14ac:dyDescent="0.45">
      <c r="A1888" t="s">
        <v>2345</v>
      </c>
      <c r="B1888" t="s">
        <v>2333</v>
      </c>
      <c r="C1888" t="s">
        <v>2026</v>
      </c>
      <c r="D1888" t="s">
        <v>21</v>
      </c>
      <c r="E1888" t="s">
        <v>49</v>
      </c>
      <c r="F1888">
        <v>1</v>
      </c>
      <c r="G1888">
        <v>189.9</v>
      </c>
      <c r="H1888">
        <v>21.82</v>
      </c>
      <c r="I1888" t="s">
        <v>44</v>
      </c>
      <c r="J1888">
        <v>24</v>
      </c>
      <c r="K1888" t="s">
        <v>51</v>
      </c>
      <c r="L1888">
        <v>4</v>
      </c>
      <c r="M1888" t="str">
        <f>VLOOKUP(D1888,State_Lookup!$A$2:$B$28,2,FALSE)</f>
        <v>Santa Catarina</v>
      </c>
    </row>
    <row r="1889" spans="1:13" x14ac:dyDescent="0.45">
      <c r="A1889" t="s">
        <v>2346</v>
      </c>
      <c r="B1889" t="s">
        <v>2333</v>
      </c>
      <c r="C1889" t="s">
        <v>2026</v>
      </c>
      <c r="D1889" t="s">
        <v>20</v>
      </c>
      <c r="E1889" t="s">
        <v>110</v>
      </c>
      <c r="F1889">
        <v>1</v>
      </c>
      <c r="G1889">
        <v>73.5</v>
      </c>
      <c r="H1889">
        <v>15.26</v>
      </c>
      <c r="I1889" t="s">
        <v>44</v>
      </c>
      <c r="J1889">
        <v>32</v>
      </c>
      <c r="K1889" t="s">
        <v>143</v>
      </c>
      <c r="L1889">
        <v>1</v>
      </c>
      <c r="M1889" t="str">
        <f>VLOOKUP(D1889,State_Lookup!$A$2:$B$28,2,FALSE)</f>
        <v>Parana</v>
      </c>
    </row>
    <row r="1890" spans="1:13" x14ac:dyDescent="0.45">
      <c r="A1890" t="s">
        <v>2347</v>
      </c>
      <c r="B1890" t="s">
        <v>2333</v>
      </c>
      <c r="C1890" t="s">
        <v>2026</v>
      </c>
      <c r="D1890" t="s">
        <v>22</v>
      </c>
      <c r="E1890" t="s">
        <v>69</v>
      </c>
      <c r="F1890">
        <v>1</v>
      </c>
      <c r="G1890">
        <v>49</v>
      </c>
      <c r="H1890">
        <v>19.66</v>
      </c>
      <c r="I1890" t="s">
        <v>44</v>
      </c>
      <c r="J1890">
        <v>24</v>
      </c>
      <c r="K1890" t="s">
        <v>51</v>
      </c>
      <c r="L1890">
        <v>4</v>
      </c>
      <c r="M1890" t="str">
        <f>VLOOKUP(D1890,State_Lookup!$A$2:$B$28,2,FALSE)</f>
        <v>Bahia</v>
      </c>
    </row>
    <row r="1891" spans="1:13" x14ac:dyDescent="0.45">
      <c r="A1891" t="s">
        <v>2348</v>
      </c>
      <c r="B1891" t="s">
        <v>2333</v>
      </c>
      <c r="C1891" t="s">
        <v>2026</v>
      </c>
      <c r="D1891" t="s">
        <v>16</v>
      </c>
      <c r="E1891" t="s">
        <v>110</v>
      </c>
      <c r="F1891">
        <v>1</v>
      </c>
      <c r="G1891">
        <v>240</v>
      </c>
      <c r="H1891">
        <v>28</v>
      </c>
      <c r="I1891" t="s">
        <v>44</v>
      </c>
      <c r="J1891">
        <v>48</v>
      </c>
      <c r="K1891" t="s">
        <v>143</v>
      </c>
      <c r="L1891">
        <v>1</v>
      </c>
      <c r="M1891" t="str">
        <f>VLOOKUP(D1891,State_Lookup!$A$2:$B$28,2,FALSE)</f>
        <v>Sao Paulo</v>
      </c>
    </row>
    <row r="1892" spans="1:13" x14ac:dyDescent="0.45">
      <c r="A1892" t="s">
        <v>2349</v>
      </c>
      <c r="B1892" t="s">
        <v>2333</v>
      </c>
      <c r="C1892" t="s">
        <v>2026</v>
      </c>
      <c r="D1892" t="s">
        <v>19</v>
      </c>
      <c r="E1892" t="s">
        <v>43</v>
      </c>
      <c r="F1892">
        <v>2</v>
      </c>
      <c r="G1892">
        <v>79.8</v>
      </c>
      <c r="H1892">
        <v>78.56</v>
      </c>
      <c r="I1892" t="s">
        <v>44</v>
      </c>
      <c r="J1892">
        <v>18</v>
      </c>
      <c r="K1892" t="s">
        <v>51</v>
      </c>
      <c r="L1892">
        <v>1</v>
      </c>
      <c r="M1892" t="str">
        <f>VLOOKUP(D1892,State_Lookup!$A$2:$B$28,2,FALSE)</f>
        <v>Rio Grande do Sul</v>
      </c>
    </row>
    <row r="1893" spans="1:13" x14ac:dyDescent="0.45">
      <c r="A1893" t="s">
        <v>2350</v>
      </c>
      <c r="B1893" t="s">
        <v>2333</v>
      </c>
      <c r="C1893" t="s">
        <v>2026</v>
      </c>
      <c r="D1893" t="s">
        <v>141</v>
      </c>
      <c r="E1893" t="s">
        <v>69</v>
      </c>
      <c r="F1893">
        <v>1</v>
      </c>
      <c r="G1893">
        <v>49</v>
      </c>
      <c r="H1893">
        <v>37.97</v>
      </c>
      <c r="I1893" t="s">
        <v>44</v>
      </c>
      <c r="J1893">
        <v>46</v>
      </c>
      <c r="K1893" t="s">
        <v>143</v>
      </c>
      <c r="L1893">
        <v>1</v>
      </c>
      <c r="M1893" t="str">
        <f>VLOOKUP(D1893,State_Lookup!$A$2:$B$28,2,FALSE)</f>
        <v>Maranhao</v>
      </c>
    </row>
    <row r="1894" spans="1:13" x14ac:dyDescent="0.45">
      <c r="A1894" t="s">
        <v>2351</v>
      </c>
      <c r="B1894" t="s">
        <v>2333</v>
      </c>
      <c r="C1894" t="s">
        <v>2026</v>
      </c>
      <c r="D1894" t="s">
        <v>18</v>
      </c>
      <c r="E1894" t="s">
        <v>110</v>
      </c>
      <c r="F1894">
        <v>1</v>
      </c>
      <c r="G1894">
        <v>119.99</v>
      </c>
      <c r="H1894">
        <v>21.33</v>
      </c>
      <c r="I1894" t="s">
        <v>44</v>
      </c>
      <c r="J1894">
        <v>40</v>
      </c>
      <c r="K1894" t="s">
        <v>143</v>
      </c>
      <c r="M1894" t="str">
        <f>VLOOKUP(D1894,State_Lookup!$A$2:$B$28,2,FALSE)</f>
        <v>Minas Gerais</v>
      </c>
    </row>
    <row r="1895" spans="1:13" x14ac:dyDescent="0.45">
      <c r="A1895" t="s">
        <v>2352</v>
      </c>
      <c r="B1895" t="s">
        <v>2333</v>
      </c>
      <c r="C1895" t="s">
        <v>2026</v>
      </c>
      <c r="D1895" t="s">
        <v>25</v>
      </c>
      <c r="E1895" t="s">
        <v>103</v>
      </c>
      <c r="F1895">
        <v>1</v>
      </c>
      <c r="G1895">
        <v>129.99</v>
      </c>
      <c r="H1895">
        <v>17.48</v>
      </c>
      <c r="I1895" t="s">
        <v>44</v>
      </c>
      <c r="J1895">
        <v>10</v>
      </c>
      <c r="K1895" t="s">
        <v>51</v>
      </c>
      <c r="L1895">
        <v>5</v>
      </c>
      <c r="M1895" t="str">
        <f>VLOOKUP(D1895,State_Lookup!$A$2:$B$28,2,FALSE)</f>
        <v>Goias</v>
      </c>
    </row>
    <row r="1896" spans="1:13" x14ac:dyDescent="0.45">
      <c r="A1896" t="s">
        <v>2353</v>
      </c>
      <c r="B1896" t="s">
        <v>2333</v>
      </c>
      <c r="C1896" t="s">
        <v>2026</v>
      </c>
      <c r="D1896" t="s">
        <v>16</v>
      </c>
      <c r="E1896" t="s">
        <v>103</v>
      </c>
      <c r="F1896">
        <v>1</v>
      </c>
      <c r="G1896">
        <v>79.900000000000006</v>
      </c>
      <c r="H1896">
        <v>16.809999999999999</v>
      </c>
      <c r="I1896" t="s">
        <v>44</v>
      </c>
      <c r="J1896">
        <v>7</v>
      </c>
      <c r="K1896" t="s">
        <v>51</v>
      </c>
      <c r="L1896">
        <v>5</v>
      </c>
      <c r="M1896" t="str">
        <f>VLOOKUP(D1896,State_Lookup!$A$2:$B$28,2,FALSE)</f>
        <v>Sao Paulo</v>
      </c>
    </row>
    <row r="1897" spans="1:13" x14ac:dyDescent="0.45">
      <c r="A1897" t="s">
        <v>2354</v>
      </c>
      <c r="B1897" t="s">
        <v>2333</v>
      </c>
      <c r="C1897" t="s">
        <v>2026</v>
      </c>
      <c r="D1897" t="s">
        <v>16</v>
      </c>
      <c r="E1897" t="s">
        <v>125</v>
      </c>
      <c r="F1897">
        <v>1</v>
      </c>
      <c r="G1897">
        <v>23.7</v>
      </c>
      <c r="H1897">
        <v>8.7200000000000006</v>
      </c>
      <c r="I1897" t="s">
        <v>44</v>
      </c>
      <c r="J1897">
        <v>6</v>
      </c>
      <c r="K1897" t="s">
        <v>51</v>
      </c>
      <c r="L1897">
        <v>5</v>
      </c>
      <c r="M1897" t="str">
        <f>VLOOKUP(D1897,State_Lookup!$A$2:$B$28,2,FALSE)</f>
        <v>Sao Paulo</v>
      </c>
    </row>
    <row r="1898" spans="1:13" x14ac:dyDescent="0.45">
      <c r="A1898" t="s">
        <v>2355</v>
      </c>
      <c r="B1898" t="s">
        <v>2333</v>
      </c>
      <c r="C1898" t="s">
        <v>2026</v>
      </c>
      <c r="D1898" t="s">
        <v>19</v>
      </c>
      <c r="E1898" t="s">
        <v>61</v>
      </c>
      <c r="F1898">
        <v>1</v>
      </c>
      <c r="G1898">
        <v>49.9</v>
      </c>
      <c r="H1898">
        <v>17.600000000000001</v>
      </c>
      <c r="I1898" t="s">
        <v>44</v>
      </c>
      <c r="J1898">
        <v>46</v>
      </c>
      <c r="K1898" t="s">
        <v>143</v>
      </c>
      <c r="L1898">
        <v>1</v>
      </c>
      <c r="M1898" t="str">
        <f>VLOOKUP(D1898,State_Lookup!$A$2:$B$28,2,FALSE)</f>
        <v>Rio Grande do Sul</v>
      </c>
    </row>
    <row r="1899" spans="1:13" x14ac:dyDescent="0.45">
      <c r="A1899" t="s">
        <v>2356</v>
      </c>
      <c r="B1899" t="s">
        <v>2333</v>
      </c>
      <c r="C1899" t="s">
        <v>2026</v>
      </c>
      <c r="D1899" t="s">
        <v>17</v>
      </c>
      <c r="E1899" t="s">
        <v>49</v>
      </c>
      <c r="F1899">
        <v>1</v>
      </c>
      <c r="G1899">
        <v>54.9</v>
      </c>
      <c r="H1899">
        <v>16.82</v>
      </c>
      <c r="I1899" t="s">
        <v>44</v>
      </c>
      <c r="J1899">
        <v>12</v>
      </c>
      <c r="K1899" t="s">
        <v>51</v>
      </c>
      <c r="L1899">
        <v>5</v>
      </c>
      <c r="M1899" t="str">
        <f>VLOOKUP(D1899,State_Lookup!$A$2:$B$28,2,FALSE)</f>
        <v>Rio de Janeiro</v>
      </c>
    </row>
    <row r="1900" spans="1:13" x14ac:dyDescent="0.45">
      <c r="A1900" t="s">
        <v>2357</v>
      </c>
      <c r="B1900" t="s">
        <v>2333</v>
      </c>
      <c r="C1900" t="s">
        <v>2026</v>
      </c>
      <c r="D1900" t="s">
        <v>128</v>
      </c>
      <c r="E1900" t="s">
        <v>152</v>
      </c>
      <c r="F1900">
        <v>1</v>
      </c>
      <c r="G1900">
        <v>118.9</v>
      </c>
      <c r="H1900">
        <v>36.15</v>
      </c>
      <c r="I1900" t="s">
        <v>44</v>
      </c>
      <c r="J1900">
        <v>19</v>
      </c>
      <c r="K1900" t="s">
        <v>51</v>
      </c>
      <c r="L1900">
        <v>4</v>
      </c>
      <c r="M1900" t="str">
        <f>VLOOKUP(D1900,State_Lookup!$A$2:$B$28,2,FALSE)</f>
        <v>Ceara</v>
      </c>
    </row>
    <row r="1901" spans="1:13" x14ac:dyDescent="0.45">
      <c r="A1901" t="s">
        <v>2358</v>
      </c>
      <c r="B1901" t="s">
        <v>2333</v>
      </c>
      <c r="C1901" t="s">
        <v>2026</v>
      </c>
      <c r="D1901" t="s">
        <v>25</v>
      </c>
      <c r="E1901" t="s">
        <v>43</v>
      </c>
      <c r="F1901">
        <v>1</v>
      </c>
      <c r="G1901">
        <v>32.99</v>
      </c>
      <c r="H1901">
        <v>16.11</v>
      </c>
      <c r="I1901" t="s">
        <v>44</v>
      </c>
      <c r="J1901">
        <v>23</v>
      </c>
      <c r="K1901" t="s">
        <v>51</v>
      </c>
      <c r="L1901">
        <v>5</v>
      </c>
      <c r="M1901" t="str">
        <f>VLOOKUP(D1901,State_Lookup!$A$2:$B$28,2,FALSE)</f>
        <v>Goias</v>
      </c>
    </row>
    <row r="1902" spans="1:13" x14ac:dyDescent="0.45">
      <c r="A1902" t="s">
        <v>2359</v>
      </c>
      <c r="B1902" t="s">
        <v>2333</v>
      </c>
      <c r="C1902" t="s">
        <v>2026</v>
      </c>
      <c r="D1902" t="s">
        <v>16</v>
      </c>
      <c r="E1902" t="s">
        <v>107</v>
      </c>
      <c r="F1902">
        <v>1</v>
      </c>
      <c r="G1902">
        <v>16</v>
      </c>
      <c r="H1902">
        <v>12.69</v>
      </c>
      <c r="I1902" t="s">
        <v>50</v>
      </c>
      <c r="J1902">
        <v>18</v>
      </c>
      <c r="K1902" t="s">
        <v>51</v>
      </c>
      <c r="L1902">
        <v>5</v>
      </c>
      <c r="M1902" t="str">
        <f>VLOOKUP(D1902,State_Lookup!$A$2:$B$28,2,FALSE)</f>
        <v>Sao Paulo</v>
      </c>
    </row>
    <row r="1903" spans="1:13" x14ac:dyDescent="0.45">
      <c r="A1903" t="s">
        <v>2360</v>
      </c>
      <c r="B1903" t="s">
        <v>2333</v>
      </c>
      <c r="C1903" t="s">
        <v>2026</v>
      </c>
      <c r="D1903" t="s">
        <v>16</v>
      </c>
      <c r="E1903" t="s">
        <v>61</v>
      </c>
      <c r="F1903">
        <v>1</v>
      </c>
      <c r="G1903">
        <v>27.9</v>
      </c>
      <c r="H1903">
        <v>14.1</v>
      </c>
      <c r="I1903" t="s">
        <v>133</v>
      </c>
      <c r="J1903">
        <v>23</v>
      </c>
      <c r="K1903" t="s">
        <v>51</v>
      </c>
      <c r="L1903">
        <v>3</v>
      </c>
      <c r="M1903" t="str">
        <f>VLOOKUP(D1903,State_Lookup!$A$2:$B$28,2,FALSE)</f>
        <v>Sao Paulo</v>
      </c>
    </row>
    <row r="1904" spans="1:13" x14ac:dyDescent="0.45">
      <c r="A1904" t="s">
        <v>2361</v>
      </c>
      <c r="B1904" t="s">
        <v>2333</v>
      </c>
      <c r="C1904" t="s">
        <v>2026</v>
      </c>
      <c r="D1904" t="s">
        <v>19</v>
      </c>
      <c r="E1904" t="s">
        <v>110</v>
      </c>
      <c r="F1904">
        <v>1</v>
      </c>
      <c r="G1904">
        <v>69.900000000000006</v>
      </c>
      <c r="H1904">
        <v>17.739999999999998</v>
      </c>
      <c r="I1904" t="s">
        <v>44</v>
      </c>
      <c r="J1904">
        <v>13</v>
      </c>
      <c r="K1904" t="s">
        <v>51</v>
      </c>
      <c r="L1904">
        <v>4</v>
      </c>
      <c r="M1904" t="str">
        <f>VLOOKUP(D1904,State_Lookup!$A$2:$B$28,2,FALSE)</f>
        <v>Rio Grande do Sul</v>
      </c>
    </row>
    <row r="1905" spans="1:13" x14ac:dyDescent="0.45">
      <c r="A1905" t="s">
        <v>2362</v>
      </c>
      <c r="B1905" t="s">
        <v>2333</v>
      </c>
      <c r="C1905" t="s">
        <v>2026</v>
      </c>
      <c r="D1905" t="s">
        <v>18</v>
      </c>
      <c r="E1905" t="s">
        <v>269</v>
      </c>
      <c r="F1905">
        <v>1</v>
      </c>
      <c r="G1905">
        <v>140.91</v>
      </c>
      <c r="H1905">
        <v>10.199999999999999</v>
      </c>
      <c r="I1905" t="s">
        <v>44</v>
      </c>
      <c r="J1905">
        <v>4</v>
      </c>
      <c r="K1905" t="s">
        <v>51</v>
      </c>
      <c r="L1905">
        <v>5</v>
      </c>
      <c r="M1905" t="str">
        <f>VLOOKUP(D1905,State_Lookup!$A$2:$B$28,2,FALSE)</f>
        <v>Minas Gerais</v>
      </c>
    </row>
    <row r="1906" spans="1:13" x14ac:dyDescent="0.45">
      <c r="A1906" t="s">
        <v>2363</v>
      </c>
      <c r="B1906" t="s">
        <v>2333</v>
      </c>
      <c r="C1906" t="s">
        <v>2026</v>
      </c>
      <c r="D1906" t="s">
        <v>20</v>
      </c>
      <c r="E1906" t="s">
        <v>110</v>
      </c>
      <c r="F1906">
        <v>1</v>
      </c>
      <c r="G1906">
        <v>82.99</v>
      </c>
      <c r="H1906">
        <v>17.829999999999998</v>
      </c>
      <c r="I1906" t="s">
        <v>44</v>
      </c>
      <c r="J1906">
        <v>21</v>
      </c>
      <c r="K1906" t="s">
        <v>51</v>
      </c>
      <c r="L1906">
        <v>5</v>
      </c>
      <c r="M1906" t="str">
        <f>VLOOKUP(D1906,State_Lookup!$A$2:$B$28,2,FALSE)</f>
        <v>Parana</v>
      </c>
    </row>
    <row r="1907" spans="1:13" x14ac:dyDescent="0.45">
      <c r="A1907" t="s">
        <v>2364</v>
      </c>
      <c r="B1907" t="s">
        <v>2333</v>
      </c>
      <c r="C1907" t="s">
        <v>2026</v>
      </c>
      <c r="D1907" t="s">
        <v>194</v>
      </c>
      <c r="E1907" t="s">
        <v>103</v>
      </c>
      <c r="F1907">
        <v>1</v>
      </c>
      <c r="G1907">
        <v>36.9</v>
      </c>
      <c r="H1907">
        <v>14.1</v>
      </c>
      <c r="I1907" t="s">
        <v>44</v>
      </c>
      <c r="J1907">
        <v>11</v>
      </c>
      <c r="K1907" t="s">
        <v>51</v>
      </c>
      <c r="L1907">
        <v>5</v>
      </c>
      <c r="M1907" t="str">
        <f>VLOOKUP(D1907,State_Lookup!$A$2:$B$28,2,FALSE)</f>
        <v>Mato Grosso do Sul</v>
      </c>
    </row>
    <row r="1908" spans="1:13" x14ac:dyDescent="0.45">
      <c r="A1908" t="s">
        <v>2365</v>
      </c>
      <c r="B1908" t="s">
        <v>2333</v>
      </c>
      <c r="C1908" t="s">
        <v>2026</v>
      </c>
      <c r="D1908" t="s">
        <v>18</v>
      </c>
      <c r="E1908" t="s">
        <v>64</v>
      </c>
      <c r="F1908">
        <v>1</v>
      </c>
      <c r="G1908">
        <v>247.4</v>
      </c>
      <c r="H1908">
        <v>16.489999999999998</v>
      </c>
      <c r="I1908" t="s">
        <v>44</v>
      </c>
      <c r="J1908">
        <v>11</v>
      </c>
      <c r="K1908" t="s">
        <v>51</v>
      </c>
      <c r="L1908">
        <v>2</v>
      </c>
      <c r="M1908" t="str">
        <f>VLOOKUP(D1908,State_Lookup!$A$2:$B$28,2,FALSE)</f>
        <v>Minas Gerais</v>
      </c>
    </row>
    <row r="1909" spans="1:13" x14ac:dyDescent="0.45">
      <c r="A1909" t="s">
        <v>2366</v>
      </c>
      <c r="B1909" t="s">
        <v>2333</v>
      </c>
      <c r="C1909" t="s">
        <v>2026</v>
      </c>
      <c r="D1909" t="s">
        <v>18</v>
      </c>
      <c r="E1909" t="s">
        <v>49</v>
      </c>
      <c r="F1909">
        <v>1</v>
      </c>
      <c r="G1909">
        <v>104.9</v>
      </c>
      <c r="H1909">
        <v>16.489999999999998</v>
      </c>
      <c r="I1909" t="s">
        <v>44</v>
      </c>
      <c r="J1909">
        <v>8</v>
      </c>
      <c r="K1909" t="s">
        <v>51</v>
      </c>
      <c r="L1909">
        <v>4</v>
      </c>
      <c r="M1909" t="str">
        <f>VLOOKUP(D1909,State_Lookup!$A$2:$B$28,2,FALSE)</f>
        <v>Minas Gerais</v>
      </c>
    </row>
    <row r="1910" spans="1:13" x14ac:dyDescent="0.45">
      <c r="A1910" t="s">
        <v>2367</v>
      </c>
      <c r="B1910" t="s">
        <v>2333</v>
      </c>
      <c r="C1910" t="s">
        <v>2026</v>
      </c>
      <c r="D1910" t="s">
        <v>19</v>
      </c>
      <c r="E1910" t="s">
        <v>110</v>
      </c>
      <c r="F1910">
        <v>1</v>
      </c>
      <c r="G1910">
        <v>39.5</v>
      </c>
      <c r="H1910">
        <v>16.11</v>
      </c>
      <c r="I1910" t="s">
        <v>44</v>
      </c>
      <c r="J1910">
        <v>20</v>
      </c>
      <c r="K1910" t="s">
        <v>51</v>
      </c>
      <c r="L1910">
        <v>5</v>
      </c>
      <c r="M1910" t="str">
        <f>VLOOKUP(D1910,State_Lookup!$A$2:$B$28,2,FALSE)</f>
        <v>Rio Grande do Sul</v>
      </c>
    </row>
    <row r="1911" spans="1:13" x14ac:dyDescent="0.45">
      <c r="A1911" t="s">
        <v>2368</v>
      </c>
      <c r="B1911" t="s">
        <v>2333</v>
      </c>
      <c r="C1911" t="s">
        <v>2026</v>
      </c>
      <c r="D1911" t="s">
        <v>22</v>
      </c>
      <c r="E1911" t="s">
        <v>53</v>
      </c>
      <c r="F1911">
        <v>1</v>
      </c>
      <c r="G1911">
        <v>259.89999999999998</v>
      </c>
      <c r="H1911">
        <v>22.62</v>
      </c>
      <c r="I1911" t="s">
        <v>44</v>
      </c>
      <c r="J1911">
        <v>26</v>
      </c>
      <c r="K1911" t="s">
        <v>143</v>
      </c>
      <c r="L1911">
        <v>4</v>
      </c>
      <c r="M1911" t="str">
        <f>VLOOKUP(D1911,State_Lookup!$A$2:$B$28,2,FALSE)</f>
        <v>Bahia</v>
      </c>
    </row>
    <row r="1912" spans="1:13" x14ac:dyDescent="0.45">
      <c r="A1912" t="s">
        <v>2369</v>
      </c>
      <c r="B1912" t="s">
        <v>2370</v>
      </c>
      <c r="C1912" t="s">
        <v>2026</v>
      </c>
      <c r="D1912" t="s">
        <v>141</v>
      </c>
      <c r="E1912" t="s">
        <v>142</v>
      </c>
      <c r="F1912">
        <v>1</v>
      </c>
      <c r="G1912">
        <v>169.9</v>
      </c>
      <c r="H1912">
        <v>50.85</v>
      </c>
      <c r="I1912" t="s">
        <v>44</v>
      </c>
      <c r="J1912">
        <v>39</v>
      </c>
      <c r="K1912" t="s">
        <v>143</v>
      </c>
      <c r="L1912">
        <v>3</v>
      </c>
      <c r="M1912" t="str">
        <f>VLOOKUP(D1912,State_Lookup!$A$2:$B$28,2,FALSE)</f>
        <v>Maranhao</v>
      </c>
    </row>
    <row r="1913" spans="1:13" x14ac:dyDescent="0.45">
      <c r="A1913" t="s">
        <v>2371</v>
      </c>
      <c r="B1913" t="s">
        <v>2370</v>
      </c>
      <c r="C1913" t="s">
        <v>2026</v>
      </c>
      <c r="D1913" t="s">
        <v>16</v>
      </c>
      <c r="E1913" t="s">
        <v>66</v>
      </c>
      <c r="F1913">
        <v>2</v>
      </c>
      <c r="G1913">
        <v>45.89</v>
      </c>
      <c r="H1913">
        <v>26.94</v>
      </c>
      <c r="I1913" t="s">
        <v>44</v>
      </c>
      <c r="J1913">
        <v>11</v>
      </c>
      <c r="K1913" t="s">
        <v>51</v>
      </c>
      <c r="L1913">
        <v>3</v>
      </c>
      <c r="M1913" t="str">
        <f>VLOOKUP(D1913,State_Lookup!$A$2:$B$28,2,FALSE)</f>
        <v>Sao Paulo</v>
      </c>
    </row>
    <row r="1914" spans="1:13" x14ac:dyDescent="0.45">
      <c r="A1914" t="s">
        <v>2372</v>
      </c>
      <c r="B1914" t="s">
        <v>2370</v>
      </c>
      <c r="C1914" t="s">
        <v>2026</v>
      </c>
      <c r="D1914" t="s">
        <v>17</v>
      </c>
      <c r="E1914" t="s">
        <v>69</v>
      </c>
      <c r="F1914">
        <v>1</v>
      </c>
      <c r="G1914">
        <v>179.99</v>
      </c>
      <c r="H1914">
        <v>45.72</v>
      </c>
      <c r="I1914" t="s">
        <v>44</v>
      </c>
      <c r="J1914">
        <v>17</v>
      </c>
      <c r="K1914" t="s">
        <v>51</v>
      </c>
      <c r="L1914">
        <v>5</v>
      </c>
      <c r="M1914" t="str">
        <f>VLOOKUP(D1914,State_Lookup!$A$2:$B$28,2,FALSE)</f>
        <v>Rio de Janeiro</v>
      </c>
    </row>
    <row r="1915" spans="1:13" x14ac:dyDescent="0.45">
      <c r="A1915" t="s">
        <v>2373</v>
      </c>
      <c r="B1915" t="s">
        <v>2370</v>
      </c>
      <c r="C1915" t="s">
        <v>2026</v>
      </c>
      <c r="D1915" t="s">
        <v>16</v>
      </c>
      <c r="E1915" t="s">
        <v>58</v>
      </c>
      <c r="F1915">
        <v>1</v>
      </c>
      <c r="G1915">
        <v>24.5</v>
      </c>
      <c r="H1915">
        <v>11.85</v>
      </c>
      <c r="I1915" t="s">
        <v>44</v>
      </c>
      <c r="J1915">
        <v>15</v>
      </c>
      <c r="K1915" t="s">
        <v>51</v>
      </c>
      <c r="L1915">
        <v>1</v>
      </c>
      <c r="M1915" t="str">
        <f>VLOOKUP(D1915,State_Lookup!$A$2:$B$28,2,FALSE)</f>
        <v>Sao Paulo</v>
      </c>
    </row>
    <row r="1916" spans="1:13" x14ac:dyDescent="0.45">
      <c r="A1916" t="s">
        <v>2374</v>
      </c>
      <c r="B1916" t="s">
        <v>2370</v>
      </c>
      <c r="C1916" t="s">
        <v>2026</v>
      </c>
      <c r="D1916" t="s">
        <v>16</v>
      </c>
      <c r="E1916" t="s">
        <v>79</v>
      </c>
      <c r="F1916">
        <v>1</v>
      </c>
      <c r="G1916">
        <v>69</v>
      </c>
      <c r="H1916">
        <v>18.72</v>
      </c>
      <c r="I1916" t="s">
        <v>44</v>
      </c>
      <c r="J1916">
        <v>9</v>
      </c>
      <c r="K1916" t="s">
        <v>51</v>
      </c>
      <c r="L1916">
        <v>5</v>
      </c>
      <c r="M1916" t="str">
        <f>VLOOKUP(D1916,State_Lookup!$A$2:$B$28,2,FALSE)</f>
        <v>Sao Paulo</v>
      </c>
    </row>
    <row r="1917" spans="1:13" x14ac:dyDescent="0.45">
      <c r="A1917" t="s">
        <v>2375</v>
      </c>
      <c r="B1917" t="s">
        <v>2370</v>
      </c>
      <c r="C1917" t="s">
        <v>2026</v>
      </c>
      <c r="D1917" t="s">
        <v>25</v>
      </c>
      <c r="E1917" t="s">
        <v>79</v>
      </c>
      <c r="F1917">
        <v>1</v>
      </c>
      <c r="G1917">
        <v>84.99</v>
      </c>
      <c r="H1917">
        <v>16.350000000000001</v>
      </c>
      <c r="I1917" t="s">
        <v>44</v>
      </c>
      <c r="J1917">
        <v>37</v>
      </c>
      <c r="K1917" t="s">
        <v>143</v>
      </c>
      <c r="L1917">
        <v>1</v>
      </c>
      <c r="M1917" t="str">
        <f>VLOOKUP(D1917,State_Lookup!$A$2:$B$28,2,FALSE)</f>
        <v>Goias</v>
      </c>
    </row>
    <row r="1918" spans="1:13" x14ac:dyDescent="0.45">
      <c r="A1918" t="s">
        <v>2376</v>
      </c>
      <c r="B1918" t="s">
        <v>2370</v>
      </c>
      <c r="C1918" t="s">
        <v>2026</v>
      </c>
      <c r="D1918" t="s">
        <v>20</v>
      </c>
      <c r="E1918" t="s">
        <v>103</v>
      </c>
      <c r="F1918">
        <v>1</v>
      </c>
      <c r="G1918">
        <v>60</v>
      </c>
      <c r="H1918">
        <v>15.18</v>
      </c>
      <c r="I1918" t="s">
        <v>44</v>
      </c>
      <c r="J1918">
        <v>15</v>
      </c>
      <c r="K1918" t="s">
        <v>51</v>
      </c>
      <c r="L1918">
        <v>5</v>
      </c>
      <c r="M1918" t="str">
        <f>VLOOKUP(D1918,State_Lookup!$A$2:$B$28,2,FALSE)</f>
        <v>Parana</v>
      </c>
    </row>
    <row r="1919" spans="1:13" x14ac:dyDescent="0.45">
      <c r="A1919" t="s">
        <v>2377</v>
      </c>
      <c r="B1919" t="s">
        <v>2370</v>
      </c>
      <c r="C1919" t="s">
        <v>2026</v>
      </c>
      <c r="D1919" t="s">
        <v>21</v>
      </c>
      <c r="E1919" t="s">
        <v>69</v>
      </c>
      <c r="F1919">
        <v>1</v>
      </c>
      <c r="G1919">
        <v>49</v>
      </c>
      <c r="H1919">
        <v>17.64</v>
      </c>
      <c r="I1919" t="s">
        <v>50</v>
      </c>
      <c r="J1919">
        <v>23</v>
      </c>
      <c r="K1919" t="s">
        <v>51</v>
      </c>
      <c r="L1919">
        <v>5</v>
      </c>
      <c r="M1919" t="str">
        <f>VLOOKUP(D1919,State_Lookup!$A$2:$B$28,2,FALSE)</f>
        <v>Santa Catarina</v>
      </c>
    </row>
    <row r="1920" spans="1:13" x14ac:dyDescent="0.45">
      <c r="A1920" t="s">
        <v>2378</v>
      </c>
      <c r="B1920" t="s">
        <v>2370</v>
      </c>
      <c r="C1920" t="s">
        <v>2026</v>
      </c>
      <c r="D1920" t="s">
        <v>16</v>
      </c>
      <c r="E1920" t="s">
        <v>142</v>
      </c>
      <c r="F1920">
        <v>1</v>
      </c>
      <c r="G1920">
        <v>71</v>
      </c>
      <c r="H1920">
        <v>11.73</v>
      </c>
      <c r="I1920" t="s">
        <v>44</v>
      </c>
      <c r="J1920">
        <v>4</v>
      </c>
      <c r="K1920" t="s">
        <v>51</v>
      </c>
      <c r="L1920">
        <v>1</v>
      </c>
      <c r="M1920" t="str">
        <f>VLOOKUP(D1920,State_Lookup!$A$2:$B$28,2,FALSE)</f>
        <v>Sao Paulo</v>
      </c>
    </row>
    <row r="1921" spans="1:13" x14ac:dyDescent="0.45">
      <c r="A1921" t="s">
        <v>2379</v>
      </c>
      <c r="B1921" t="s">
        <v>2370</v>
      </c>
      <c r="C1921" t="s">
        <v>2026</v>
      </c>
      <c r="D1921" t="s">
        <v>20</v>
      </c>
      <c r="E1921" t="s">
        <v>110</v>
      </c>
      <c r="F1921">
        <v>1</v>
      </c>
      <c r="G1921">
        <v>70</v>
      </c>
      <c r="H1921">
        <v>17.739999999999998</v>
      </c>
      <c r="I1921" t="s">
        <v>44</v>
      </c>
      <c r="J1921">
        <v>8</v>
      </c>
      <c r="K1921" t="s">
        <v>51</v>
      </c>
      <c r="L1921">
        <v>5</v>
      </c>
      <c r="M1921" t="str">
        <f>VLOOKUP(D1921,State_Lookup!$A$2:$B$28,2,FALSE)</f>
        <v>Parana</v>
      </c>
    </row>
    <row r="1922" spans="1:13" x14ac:dyDescent="0.45">
      <c r="A1922" t="s">
        <v>2380</v>
      </c>
      <c r="B1922" t="s">
        <v>2370</v>
      </c>
      <c r="C1922" t="s">
        <v>2026</v>
      </c>
      <c r="D1922" t="s">
        <v>16</v>
      </c>
      <c r="E1922" t="s">
        <v>107</v>
      </c>
      <c r="F1922">
        <v>1</v>
      </c>
      <c r="G1922">
        <v>34</v>
      </c>
      <c r="H1922">
        <v>8.27</v>
      </c>
      <c r="I1922" t="s">
        <v>44</v>
      </c>
      <c r="J1922">
        <v>4</v>
      </c>
      <c r="K1922" t="s">
        <v>51</v>
      </c>
      <c r="L1922">
        <v>5</v>
      </c>
      <c r="M1922" t="str">
        <f>VLOOKUP(D1922,State_Lookup!$A$2:$B$28,2,FALSE)</f>
        <v>Sao Paulo</v>
      </c>
    </row>
    <row r="1923" spans="1:13" x14ac:dyDescent="0.45">
      <c r="A1923" t="s">
        <v>2381</v>
      </c>
      <c r="B1923" t="s">
        <v>2370</v>
      </c>
      <c r="C1923" t="s">
        <v>2026</v>
      </c>
      <c r="D1923" t="s">
        <v>16</v>
      </c>
      <c r="E1923" t="s">
        <v>43</v>
      </c>
      <c r="F1923">
        <v>1</v>
      </c>
      <c r="G1923">
        <v>119</v>
      </c>
      <c r="H1923">
        <v>17.079999999999998</v>
      </c>
      <c r="I1923" t="s">
        <v>50</v>
      </c>
      <c r="J1923">
        <v>25</v>
      </c>
      <c r="K1923" t="s">
        <v>143</v>
      </c>
      <c r="L1923">
        <v>1</v>
      </c>
      <c r="M1923" t="str">
        <f>VLOOKUP(D1923,State_Lookup!$A$2:$B$28,2,FALSE)</f>
        <v>Sao Paulo</v>
      </c>
    </row>
    <row r="1924" spans="1:13" x14ac:dyDescent="0.45">
      <c r="A1924" t="s">
        <v>2382</v>
      </c>
      <c r="B1924" t="s">
        <v>2370</v>
      </c>
      <c r="C1924" t="s">
        <v>2026</v>
      </c>
      <c r="D1924" t="s">
        <v>17</v>
      </c>
      <c r="E1924" t="s">
        <v>43</v>
      </c>
      <c r="F1924">
        <v>3</v>
      </c>
      <c r="G1924">
        <v>74.699999999999989</v>
      </c>
      <c r="H1924">
        <v>48.33</v>
      </c>
      <c r="I1924" t="s">
        <v>50</v>
      </c>
      <c r="J1924">
        <v>24</v>
      </c>
      <c r="K1924" t="s">
        <v>143</v>
      </c>
      <c r="L1924">
        <v>3</v>
      </c>
      <c r="M1924" t="str">
        <f>VLOOKUP(D1924,State_Lookup!$A$2:$B$28,2,FALSE)</f>
        <v>Rio de Janeiro</v>
      </c>
    </row>
    <row r="1925" spans="1:13" x14ac:dyDescent="0.45">
      <c r="A1925" t="s">
        <v>2383</v>
      </c>
      <c r="B1925" t="s">
        <v>2370</v>
      </c>
      <c r="C1925" t="s">
        <v>2026</v>
      </c>
      <c r="D1925" t="s">
        <v>17</v>
      </c>
      <c r="E1925" t="s">
        <v>192</v>
      </c>
      <c r="F1925">
        <v>1</v>
      </c>
      <c r="G1925">
        <v>209.99</v>
      </c>
      <c r="H1925">
        <v>18.72</v>
      </c>
      <c r="I1925" t="s">
        <v>44</v>
      </c>
      <c r="J1925">
        <v>30</v>
      </c>
      <c r="K1925" t="s">
        <v>143</v>
      </c>
      <c r="L1925">
        <v>1</v>
      </c>
      <c r="M1925" t="str">
        <f>VLOOKUP(D1925,State_Lookup!$A$2:$B$28,2,FALSE)</f>
        <v>Rio de Janeiro</v>
      </c>
    </row>
    <row r="1926" spans="1:13" x14ac:dyDescent="0.45">
      <c r="A1926" t="s">
        <v>2384</v>
      </c>
      <c r="B1926" t="s">
        <v>2370</v>
      </c>
      <c r="C1926" t="s">
        <v>2026</v>
      </c>
      <c r="D1926" t="s">
        <v>16</v>
      </c>
      <c r="E1926" t="s">
        <v>269</v>
      </c>
      <c r="F1926">
        <v>1</v>
      </c>
      <c r="G1926">
        <v>58</v>
      </c>
      <c r="H1926">
        <v>25.25</v>
      </c>
      <c r="I1926" t="s">
        <v>44</v>
      </c>
      <c r="J1926">
        <v>15</v>
      </c>
      <c r="K1926" t="s">
        <v>51</v>
      </c>
      <c r="L1926">
        <v>4</v>
      </c>
      <c r="M1926" t="str">
        <f>VLOOKUP(D1926,State_Lookup!$A$2:$B$28,2,FALSE)</f>
        <v>Sao Paulo</v>
      </c>
    </row>
    <row r="1927" spans="1:13" x14ac:dyDescent="0.45">
      <c r="A1927" t="s">
        <v>2385</v>
      </c>
      <c r="B1927" t="s">
        <v>2370</v>
      </c>
      <c r="C1927" t="s">
        <v>2026</v>
      </c>
      <c r="D1927" t="s">
        <v>16</v>
      </c>
      <c r="E1927" t="s">
        <v>103</v>
      </c>
      <c r="F1927">
        <v>1</v>
      </c>
      <c r="G1927">
        <v>59.9</v>
      </c>
      <c r="H1927">
        <v>15.18</v>
      </c>
      <c r="I1927" t="s">
        <v>133</v>
      </c>
      <c r="J1927">
        <v>16</v>
      </c>
      <c r="K1927" t="s">
        <v>51</v>
      </c>
      <c r="L1927">
        <v>5</v>
      </c>
      <c r="M1927" t="str">
        <f>VLOOKUP(D1927,State_Lookup!$A$2:$B$28,2,FALSE)</f>
        <v>Sao Paulo</v>
      </c>
    </row>
    <row r="1928" spans="1:13" x14ac:dyDescent="0.45">
      <c r="A1928" t="s">
        <v>2386</v>
      </c>
      <c r="B1928" t="s">
        <v>2370</v>
      </c>
      <c r="C1928" t="s">
        <v>2026</v>
      </c>
      <c r="D1928" t="s">
        <v>16</v>
      </c>
      <c r="E1928" t="s">
        <v>107</v>
      </c>
      <c r="F1928">
        <v>1</v>
      </c>
      <c r="G1928">
        <v>30</v>
      </c>
      <c r="H1928">
        <v>8.7200000000000006</v>
      </c>
      <c r="I1928" t="s">
        <v>44</v>
      </c>
      <c r="J1928">
        <v>4</v>
      </c>
      <c r="K1928" t="s">
        <v>51</v>
      </c>
      <c r="L1928">
        <v>5</v>
      </c>
      <c r="M1928" t="str">
        <f>VLOOKUP(D1928,State_Lookup!$A$2:$B$28,2,FALSE)</f>
        <v>Sao Paulo</v>
      </c>
    </row>
    <row r="1929" spans="1:13" x14ac:dyDescent="0.45">
      <c r="A1929" t="s">
        <v>2387</v>
      </c>
      <c r="B1929" t="s">
        <v>2370</v>
      </c>
      <c r="C1929" t="s">
        <v>2026</v>
      </c>
      <c r="D1929" t="s">
        <v>20</v>
      </c>
      <c r="E1929" t="s">
        <v>148</v>
      </c>
      <c r="F1929">
        <v>2</v>
      </c>
      <c r="G1929">
        <v>58</v>
      </c>
      <c r="H1929">
        <v>51.26</v>
      </c>
      <c r="I1929" t="s">
        <v>44</v>
      </c>
      <c r="J1929">
        <v>8</v>
      </c>
      <c r="K1929" t="s">
        <v>51</v>
      </c>
      <c r="L1929">
        <v>5</v>
      </c>
      <c r="M1929" t="str">
        <f>VLOOKUP(D1929,State_Lookup!$A$2:$B$28,2,FALSE)</f>
        <v>Parana</v>
      </c>
    </row>
    <row r="1930" spans="1:13" x14ac:dyDescent="0.45">
      <c r="A1930" t="s">
        <v>2388</v>
      </c>
      <c r="B1930" t="s">
        <v>2370</v>
      </c>
      <c r="C1930" t="s">
        <v>2026</v>
      </c>
      <c r="D1930" t="s">
        <v>20</v>
      </c>
      <c r="E1930" t="s">
        <v>142</v>
      </c>
      <c r="F1930">
        <v>1</v>
      </c>
      <c r="G1930">
        <v>14.24</v>
      </c>
      <c r="H1930">
        <v>12.6</v>
      </c>
      <c r="I1930" t="s">
        <v>50</v>
      </c>
      <c r="J1930">
        <v>9</v>
      </c>
      <c r="K1930" t="s">
        <v>51</v>
      </c>
      <c r="L1930">
        <v>5</v>
      </c>
      <c r="M1930" t="str">
        <f>VLOOKUP(D1930,State_Lookup!$A$2:$B$28,2,FALSE)</f>
        <v>Parana</v>
      </c>
    </row>
    <row r="1931" spans="1:13" x14ac:dyDescent="0.45">
      <c r="A1931" t="s">
        <v>2389</v>
      </c>
      <c r="B1931" t="s">
        <v>2370</v>
      </c>
      <c r="C1931" t="s">
        <v>2026</v>
      </c>
      <c r="D1931" t="s">
        <v>20</v>
      </c>
      <c r="E1931" t="s">
        <v>79</v>
      </c>
      <c r="F1931">
        <v>1</v>
      </c>
      <c r="G1931">
        <v>37.9</v>
      </c>
      <c r="H1931">
        <v>15.1</v>
      </c>
      <c r="I1931" t="s">
        <v>44</v>
      </c>
      <c r="J1931">
        <v>8</v>
      </c>
      <c r="K1931" t="s">
        <v>51</v>
      </c>
      <c r="L1931">
        <v>3</v>
      </c>
      <c r="M1931" t="str">
        <f>VLOOKUP(D1931,State_Lookup!$A$2:$B$28,2,FALSE)</f>
        <v>Parana</v>
      </c>
    </row>
    <row r="1932" spans="1:13" x14ac:dyDescent="0.45">
      <c r="A1932" t="s">
        <v>2390</v>
      </c>
      <c r="B1932" t="s">
        <v>2370</v>
      </c>
      <c r="C1932" t="s">
        <v>2026</v>
      </c>
      <c r="D1932" t="s">
        <v>19</v>
      </c>
      <c r="E1932" t="s">
        <v>69</v>
      </c>
      <c r="F1932">
        <v>1</v>
      </c>
      <c r="G1932">
        <v>49</v>
      </c>
      <c r="H1932">
        <v>17.64</v>
      </c>
      <c r="I1932" t="s">
        <v>44</v>
      </c>
      <c r="J1932">
        <v>18</v>
      </c>
      <c r="K1932" t="s">
        <v>51</v>
      </c>
      <c r="L1932">
        <v>4</v>
      </c>
      <c r="M1932" t="str">
        <f>VLOOKUP(D1932,State_Lookup!$A$2:$B$28,2,FALSE)</f>
        <v>Rio Grande do Sul</v>
      </c>
    </row>
    <row r="1933" spans="1:13" x14ac:dyDescent="0.45">
      <c r="A1933" t="s">
        <v>2391</v>
      </c>
      <c r="B1933" t="s">
        <v>2370</v>
      </c>
      <c r="C1933" t="s">
        <v>2026</v>
      </c>
      <c r="D1933" t="s">
        <v>16</v>
      </c>
      <c r="E1933" t="s">
        <v>61</v>
      </c>
      <c r="F1933">
        <v>1</v>
      </c>
      <c r="G1933">
        <v>127.42</v>
      </c>
      <c r="H1933">
        <v>13.02</v>
      </c>
      <c r="I1933" t="s">
        <v>44</v>
      </c>
      <c r="J1933">
        <v>12</v>
      </c>
      <c r="K1933" t="s">
        <v>51</v>
      </c>
      <c r="L1933">
        <v>4</v>
      </c>
      <c r="M1933" t="str">
        <f>VLOOKUP(D1933,State_Lookup!$A$2:$B$28,2,FALSE)</f>
        <v>Sao Paulo</v>
      </c>
    </row>
    <row r="1934" spans="1:13" x14ac:dyDescent="0.45">
      <c r="A1934" t="s">
        <v>2392</v>
      </c>
      <c r="B1934" t="s">
        <v>2370</v>
      </c>
      <c r="C1934" t="s">
        <v>2026</v>
      </c>
      <c r="D1934" t="s">
        <v>18</v>
      </c>
      <c r="E1934" t="s">
        <v>53</v>
      </c>
      <c r="F1934">
        <v>1</v>
      </c>
      <c r="G1934">
        <v>34.99</v>
      </c>
      <c r="H1934">
        <v>15.11</v>
      </c>
      <c r="I1934" t="s">
        <v>44</v>
      </c>
      <c r="J1934">
        <v>18</v>
      </c>
      <c r="K1934" t="s">
        <v>51</v>
      </c>
      <c r="L1934">
        <v>5</v>
      </c>
      <c r="M1934" t="str">
        <f>VLOOKUP(D1934,State_Lookup!$A$2:$B$28,2,FALSE)</f>
        <v>Minas Gerais</v>
      </c>
    </row>
    <row r="1935" spans="1:13" x14ac:dyDescent="0.45">
      <c r="A1935" t="s">
        <v>2393</v>
      </c>
      <c r="B1935" t="s">
        <v>2370</v>
      </c>
      <c r="C1935" t="s">
        <v>2026</v>
      </c>
      <c r="D1935" t="s">
        <v>16</v>
      </c>
      <c r="E1935" t="s">
        <v>58</v>
      </c>
      <c r="F1935">
        <v>1</v>
      </c>
      <c r="G1935">
        <v>399</v>
      </c>
      <c r="H1935">
        <v>11.61</v>
      </c>
      <c r="I1935" t="s">
        <v>44</v>
      </c>
      <c r="J1935">
        <v>17</v>
      </c>
      <c r="K1935" t="s">
        <v>143</v>
      </c>
      <c r="L1935">
        <v>5</v>
      </c>
      <c r="M1935" t="str">
        <f>VLOOKUP(D1935,State_Lookup!$A$2:$B$28,2,FALSE)</f>
        <v>Sao Paulo</v>
      </c>
    </row>
    <row r="1936" spans="1:13" x14ac:dyDescent="0.45">
      <c r="A1936" t="s">
        <v>2394</v>
      </c>
      <c r="B1936" t="s">
        <v>2370</v>
      </c>
      <c r="C1936" t="s">
        <v>2026</v>
      </c>
      <c r="D1936" t="s">
        <v>16</v>
      </c>
      <c r="E1936" t="s">
        <v>118</v>
      </c>
      <c r="F1936">
        <v>2</v>
      </c>
      <c r="G1936">
        <v>169.8</v>
      </c>
      <c r="H1936">
        <v>27.22</v>
      </c>
      <c r="I1936" t="s">
        <v>44</v>
      </c>
      <c r="J1936">
        <v>14</v>
      </c>
      <c r="K1936" t="s">
        <v>51</v>
      </c>
      <c r="L1936">
        <v>5</v>
      </c>
      <c r="M1936" t="str">
        <f>VLOOKUP(D1936,State_Lookup!$A$2:$B$28,2,FALSE)</f>
        <v>Sao Paulo</v>
      </c>
    </row>
    <row r="1937" spans="1:13" x14ac:dyDescent="0.45">
      <c r="A1937" t="s">
        <v>2395</v>
      </c>
      <c r="B1937" t="s">
        <v>2370</v>
      </c>
      <c r="C1937" t="s">
        <v>2026</v>
      </c>
      <c r="D1937" t="s">
        <v>18</v>
      </c>
      <c r="E1937" t="s">
        <v>64</v>
      </c>
      <c r="F1937">
        <v>1</v>
      </c>
      <c r="G1937">
        <v>49.9</v>
      </c>
      <c r="H1937">
        <v>15.1</v>
      </c>
      <c r="I1937" t="s">
        <v>44</v>
      </c>
      <c r="J1937">
        <v>24</v>
      </c>
      <c r="K1937" t="s">
        <v>143</v>
      </c>
      <c r="L1937">
        <v>5</v>
      </c>
      <c r="M1937" t="str">
        <f>VLOOKUP(D1937,State_Lookup!$A$2:$B$28,2,FALSE)</f>
        <v>Minas Gerais</v>
      </c>
    </row>
    <row r="1938" spans="1:13" x14ac:dyDescent="0.45">
      <c r="A1938" t="s">
        <v>2396</v>
      </c>
      <c r="B1938" t="s">
        <v>2370</v>
      </c>
      <c r="C1938" t="s">
        <v>2026</v>
      </c>
      <c r="D1938" t="s">
        <v>16</v>
      </c>
      <c r="E1938" t="s">
        <v>107</v>
      </c>
      <c r="F1938">
        <v>1</v>
      </c>
      <c r="G1938">
        <v>29</v>
      </c>
      <c r="H1938">
        <v>7.78</v>
      </c>
      <c r="I1938" t="s">
        <v>50</v>
      </c>
      <c r="J1938">
        <v>3</v>
      </c>
      <c r="K1938" t="s">
        <v>51</v>
      </c>
      <c r="L1938">
        <v>5</v>
      </c>
      <c r="M1938" t="str">
        <f>VLOOKUP(D1938,State_Lookup!$A$2:$B$28,2,FALSE)</f>
        <v>Sao Paulo</v>
      </c>
    </row>
    <row r="1939" spans="1:13" x14ac:dyDescent="0.45">
      <c r="A1939" t="s">
        <v>2397</v>
      </c>
      <c r="B1939" t="s">
        <v>2398</v>
      </c>
      <c r="C1939" t="s">
        <v>2026</v>
      </c>
      <c r="D1939" t="s">
        <v>18</v>
      </c>
      <c r="E1939" t="s">
        <v>110</v>
      </c>
      <c r="F1939">
        <v>1</v>
      </c>
      <c r="G1939">
        <v>99.9</v>
      </c>
      <c r="H1939">
        <v>17.95</v>
      </c>
      <c r="I1939" t="s">
        <v>44</v>
      </c>
      <c r="J1939">
        <v>20</v>
      </c>
      <c r="K1939" t="s">
        <v>51</v>
      </c>
      <c r="L1939">
        <v>5</v>
      </c>
      <c r="M1939" t="str">
        <f>VLOOKUP(D1939,State_Lookup!$A$2:$B$28,2,FALSE)</f>
        <v>Minas Gerais</v>
      </c>
    </row>
    <row r="1940" spans="1:13" x14ac:dyDescent="0.45">
      <c r="A1940" t="s">
        <v>2399</v>
      </c>
      <c r="B1940" t="s">
        <v>2398</v>
      </c>
      <c r="C1940" t="s">
        <v>2026</v>
      </c>
      <c r="D1940" t="s">
        <v>16</v>
      </c>
      <c r="E1940" t="s">
        <v>132</v>
      </c>
      <c r="F1940">
        <v>1</v>
      </c>
      <c r="G1940">
        <v>49.9</v>
      </c>
      <c r="H1940">
        <v>7.78</v>
      </c>
      <c r="I1940" t="s">
        <v>50</v>
      </c>
      <c r="J1940">
        <v>7</v>
      </c>
      <c r="K1940" t="s">
        <v>51</v>
      </c>
      <c r="L1940">
        <v>5</v>
      </c>
      <c r="M1940" t="str">
        <f>VLOOKUP(D1940,State_Lookup!$A$2:$B$28,2,FALSE)</f>
        <v>Sao Paulo</v>
      </c>
    </row>
    <row r="1941" spans="1:13" x14ac:dyDescent="0.45">
      <c r="A1941" t="s">
        <v>2400</v>
      </c>
      <c r="B1941" t="s">
        <v>2398</v>
      </c>
      <c r="C1941" t="s">
        <v>2026</v>
      </c>
      <c r="D1941" t="s">
        <v>17</v>
      </c>
      <c r="E1941" t="s">
        <v>668</v>
      </c>
      <c r="F1941">
        <v>1</v>
      </c>
      <c r="G1941">
        <v>108.9</v>
      </c>
      <c r="H1941">
        <v>14.51</v>
      </c>
      <c r="I1941" t="s">
        <v>44</v>
      </c>
      <c r="J1941">
        <v>30</v>
      </c>
      <c r="K1941" t="s">
        <v>143</v>
      </c>
      <c r="L1941">
        <v>4</v>
      </c>
      <c r="M1941" t="str">
        <f>VLOOKUP(D1941,State_Lookup!$A$2:$B$28,2,FALSE)</f>
        <v>Rio de Janeiro</v>
      </c>
    </row>
    <row r="1942" spans="1:13" x14ac:dyDescent="0.45">
      <c r="A1942" t="s">
        <v>2401</v>
      </c>
      <c r="B1942" t="s">
        <v>2398</v>
      </c>
      <c r="C1942" t="s">
        <v>2026</v>
      </c>
      <c r="D1942" t="s">
        <v>25</v>
      </c>
      <c r="E1942" t="s">
        <v>53</v>
      </c>
      <c r="F1942">
        <v>1</v>
      </c>
      <c r="G1942">
        <v>86.99</v>
      </c>
      <c r="H1942">
        <v>17.86</v>
      </c>
      <c r="I1942" t="s">
        <v>44</v>
      </c>
      <c r="J1942">
        <v>31</v>
      </c>
      <c r="K1942" t="s">
        <v>143</v>
      </c>
      <c r="L1942">
        <v>3</v>
      </c>
      <c r="M1942" t="str">
        <f>VLOOKUP(D1942,State_Lookup!$A$2:$B$28,2,FALSE)</f>
        <v>Goias</v>
      </c>
    </row>
    <row r="1943" spans="1:13" x14ac:dyDescent="0.45">
      <c r="A1943" t="s">
        <v>2402</v>
      </c>
      <c r="B1943" t="s">
        <v>2398</v>
      </c>
      <c r="C1943" t="s">
        <v>2026</v>
      </c>
      <c r="D1943" t="s">
        <v>21</v>
      </c>
      <c r="E1943" t="s">
        <v>66</v>
      </c>
      <c r="F1943">
        <v>1</v>
      </c>
      <c r="G1943">
        <v>19.899999999999999</v>
      </c>
      <c r="H1943">
        <v>15.1</v>
      </c>
      <c r="I1943" t="s">
        <v>133</v>
      </c>
      <c r="J1943">
        <v>30</v>
      </c>
      <c r="K1943" t="s">
        <v>143</v>
      </c>
      <c r="L1943">
        <v>1</v>
      </c>
      <c r="M1943" t="str">
        <f>VLOOKUP(D1943,State_Lookup!$A$2:$B$28,2,FALSE)</f>
        <v>Santa Catarina</v>
      </c>
    </row>
    <row r="1944" spans="1:13" x14ac:dyDescent="0.45">
      <c r="A1944" t="s">
        <v>2403</v>
      </c>
      <c r="B1944" t="s">
        <v>2398</v>
      </c>
      <c r="C1944" t="s">
        <v>2026</v>
      </c>
      <c r="D1944" t="s">
        <v>17</v>
      </c>
      <c r="E1944" t="s">
        <v>69</v>
      </c>
      <c r="F1944">
        <v>1</v>
      </c>
      <c r="G1944">
        <v>179.99</v>
      </c>
      <c r="H1944">
        <v>45.72</v>
      </c>
      <c r="I1944" t="s">
        <v>44</v>
      </c>
      <c r="J1944">
        <v>9</v>
      </c>
      <c r="K1944" t="s">
        <v>51</v>
      </c>
      <c r="L1944">
        <v>5</v>
      </c>
      <c r="M1944" t="str">
        <f>VLOOKUP(D1944,State_Lookup!$A$2:$B$28,2,FALSE)</f>
        <v>Rio de Janeiro</v>
      </c>
    </row>
    <row r="1945" spans="1:13" x14ac:dyDescent="0.45">
      <c r="A1945" t="s">
        <v>2404</v>
      </c>
      <c r="B1945" t="s">
        <v>2398</v>
      </c>
      <c r="C1945" t="s">
        <v>2026</v>
      </c>
      <c r="D1945" t="s">
        <v>20</v>
      </c>
      <c r="E1945" t="s">
        <v>49</v>
      </c>
      <c r="F1945">
        <v>1</v>
      </c>
      <c r="G1945">
        <v>115</v>
      </c>
      <c r="H1945">
        <v>21.3</v>
      </c>
      <c r="I1945" t="s">
        <v>44</v>
      </c>
      <c r="J1945">
        <v>43</v>
      </c>
      <c r="K1945" t="s">
        <v>143</v>
      </c>
      <c r="L1945">
        <v>1</v>
      </c>
      <c r="M1945" t="str">
        <f>VLOOKUP(D1945,State_Lookup!$A$2:$B$28,2,FALSE)</f>
        <v>Parana</v>
      </c>
    </row>
    <row r="1946" spans="1:13" x14ac:dyDescent="0.45">
      <c r="A1946" t="s">
        <v>2405</v>
      </c>
      <c r="B1946" t="s">
        <v>2398</v>
      </c>
      <c r="C1946" t="s">
        <v>2026</v>
      </c>
      <c r="D1946" t="s">
        <v>128</v>
      </c>
      <c r="E1946" t="s">
        <v>66</v>
      </c>
      <c r="F1946">
        <v>1</v>
      </c>
      <c r="G1946">
        <v>298</v>
      </c>
      <c r="H1946">
        <v>27.37</v>
      </c>
      <c r="I1946" t="s">
        <v>44</v>
      </c>
      <c r="J1946">
        <v>24</v>
      </c>
      <c r="K1946" t="s">
        <v>51</v>
      </c>
      <c r="L1946">
        <v>4</v>
      </c>
      <c r="M1946" t="str">
        <f>VLOOKUP(D1946,State_Lookup!$A$2:$B$28,2,FALSE)</f>
        <v>Ceara</v>
      </c>
    </row>
    <row r="1947" spans="1:13" x14ac:dyDescent="0.45">
      <c r="A1947" t="s">
        <v>2406</v>
      </c>
      <c r="B1947" t="s">
        <v>2398</v>
      </c>
      <c r="C1947" t="s">
        <v>2026</v>
      </c>
      <c r="D1947" t="s">
        <v>17</v>
      </c>
      <c r="E1947" t="s">
        <v>110</v>
      </c>
      <c r="F1947">
        <v>1</v>
      </c>
      <c r="G1947">
        <v>99.99</v>
      </c>
      <c r="H1947">
        <v>49.23</v>
      </c>
      <c r="I1947" t="s">
        <v>44</v>
      </c>
      <c r="J1947">
        <v>17</v>
      </c>
      <c r="K1947" t="s">
        <v>51</v>
      </c>
      <c r="L1947">
        <v>4</v>
      </c>
      <c r="M1947" t="str">
        <f>VLOOKUP(D1947,State_Lookup!$A$2:$B$28,2,FALSE)</f>
        <v>Rio de Janeiro</v>
      </c>
    </row>
    <row r="1948" spans="1:13" x14ac:dyDescent="0.45">
      <c r="A1948" t="s">
        <v>2407</v>
      </c>
      <c r="B1948" t="s">
        <v>2398</v>
      </c>
      <c r="C1948" t="s">
        <v>2026</v>
      </c>
      <c r="D1948" t="s">
        <v>21</v>
      </c>
      <c r="E1948" t="s">
        <v>66</v>
      </c>
      <c r="F1948">
        <v>1</v>
      </c>
      <c r="G1948">
        <v>246.62</v>
      </c>
      <c r="H1948">
        <v>37.049999999999997</v>
      </c>
      <c r="I1948" t="s">
        <v>44</v>
      </c>
      <c r="J1948">
        <v>23</v>
      </c>
      <c r="K1948" t="s">
        <v>51</v>
      </c>
      <c r="L1948">
        <v>4</v>
      </c>
      <c r="M1948" t="str">
        <f>VLOOKUP(D1948,State_Lookup!$A$2:$B$28,2,FALSE)</f>
        <v>Santa Catarina</v>
      </c>
    </row>
    <row r="1949" spans="1:13" x14ac:dyDescent="0.45">
      <c r="A1949" t="s">
        <v>2408</v>
      </c>
      <c r="B1949" t="s">
        <v>2398</v>
      </c>
      <c r="C1949" t="s">
        <v>2026</v>
      </c>
      <c r="D1949" t="s">
        <v>16</v>
      </c>
      <c r="E1949" t="s">
        <v>79</v>
      </c>
      <c r="F1949">
        <v>1</v>
      </c>
      <c r="G1949">
        <v>99.99</v>
      </c>
      <c r="H1949">
        <v>17.41</v>
      </c>
      <c r="I1949" t="s">
        <v>44</v>
      </c>
      <c r="J1949">
        <v>3</v>
      </c>
      <c r="K1949" t="s">
        <v>51</v>
      </c>
      <c r="L1949">
        <v>5</v>
      </c>
      <c r="M1949" t="str">
        <f>VLOOKUP(D1949,State_Lookup!$A$2:$B$28,2,FALSE)</f>
        <v>Sao Paulo</v>
      </c>
    </row>
    <row r="1950" spans="1:13" x14ac:dyDescent="0.45">
      <c r="A1950" t="s">
        <v>2409</v>
      </c>
      <c r="B1950" t="s">
        <v>2398</v>
      </c>
      <c r="C1950" t="s">
        <v>2026</v>
      </c>
      <c r="D1950" t="s">
        <v>16</v>
      </c>
      <c r="E1950" t="s">
        <v>79</v>
      </c>
      <c r="F1950">
        <v>1</v>
      </c>
      <c r="G1950">
        <v>23.99</v>
      </c>
      <c r="H1950">
        <v>7.78</v>
      </c>
      <c r="I1950" t="s">
        <v>133</v>
      </c>
      <c r="J1950">
        <v>10</v>
      </c>
      <c r="K1950" t="s">
        <v>51</v>
      </c>
      <c r="L1950">
        <v>5</v>
      </c>
      <c r="M1950" t="str">
        <f>VLOOKUP(D1950,State_Lookup!$A$2:$B$28,2,FALSE)</f>
        <v>Sao Paulo</v>
      </c>
    </row>
    <row r="1951" spans="1:13" x14ac:dyDescent="0.45">
      <c r="A1951" t="s">
        <v>2410</v>
      </c>
      <c r="B1951" t="s">
        <v>2398</v>
      </c>
      <c r="C1951" t="s">
        <v>2026</v>
      </c>
      <c r="D1951" t="s">
        <v>20</v>
      </c>
      <c r="E1951" t="s">
        <v>142</v>
      </c>
      <c r="F1951">
        <v>1</v>
      </c>
      <c r="G1951">
        <v>177.99</v>
      </c>
      <c r="H1951">
        <v>14.4</v>
      </c>
      <c r="I1951" t="s">
        <v>44</v>
      </c>
      <c r="J1951">
        <v>15</v>
      </c>
      <c r="K1951" t="s">
        <v>51</v>
      </c>
      <c r="L1951">
        <v>5</v>
      </c>
      <c r="M1951" t="str">
        <f>VLOOKUP(D1951,State_Lookup!$A$2:$B$28,2,FALSE)</f>
        <v>Parana</v>
      </c>
    </row>
    <row r="1952" spans="1:13" x14ac:dyDescent="0.45">
      <c r="A1952" t="s">
        <v>2411</v>
      </c>
      <c r="B1952" t="s">
        <v>2398</v>
      </c>
      <c r="C1952" t="s">
        <v>2026</v>
      </c>
      <c r="D1952" t="s">
        <v>20</v>
      </c>
      <c r="E1952" t="s">
        <v>110</v>
      </c>
      <c r="F1952">
        <v>1</v>
      </c>
      <c r="G1952">
        <v>110.9</v>
      </c>
      <c r="H1952">
        <v>39.71</v>
      </c>
      <c r="I1952" t="s">
        <v>44</v>
      </c>
      <c r="J1952">
        <v>12</v>
      </c>
      <c r="K1952" t="s">
        <v>51</v>
      </c>
      <c r="L1952">
        <v>5</v>
      </c>
      <c r="M1952" t="str">
        <f>VLOOKUP(D1952,State_Lookup!$A$2:$B$28,2,FALSE)</f>
        <v>Parana</v>
      </c>
    </row>
    <row r="1953" spans="1:13" x14ac:dyDescent="0.45">
      <c r="A1953" t="s">
        <v>2412</v>
      </c>
      <c r="B1953" t="s">
        <v>2398</v>
      </c>
      <c r="C1953" t="s">
        <v>2026</v>
      </c>
      <c r="D1953" t="s">
        <v>22</v>
      </c>
      <c r="E1953" t="s">
        <v>66</v>
      </c>
      <c r="F1953">
        <v>2</v>
      </c>
      <c r="G1953">
        <v>54.98</v>
      </c>
      <c r="H1953">
        <v>33.58</v>
      </c>
      <c r="I1953" t="s">
        <v>44</v>
      </c>
      <c r="J1953">
        <v>39</v>
      </c>
      <c r="K1953" t="s">
        <v>143</v>
      </c>
      <c r="L1953">
        <v>1</v>
      </c>
      <c r="M1953" t="str">
        <f>VLOOKUP(D1953,State_Lookup!$A$2:$B$28,2,FALSE)</f>
        <v>Bahia</v>
      </c>
    </row>
    <row r="1954" spans="1:13" x14ac:dyDescent="0.45">
      <c r="A1954" t="s">
        <v>2413</v>
      </c>
      <c r="B1954" t="s">
        <v>2398</v>
      </c>
      <c r="C1954" t="s">
        <v>2026</v>
      </c>
      <c r="D1954" t="s">
        <v>16</v>
      </c>
      <c r="E1954" t="s">
        <v>58</v>
      </c>
      <c r="F1954">
        <v>1</v>
      </c>
      <c r="G1954">
        <v>24.5</v>
      </c>
      <c r="H1954">
        <v>11.85</v>
      </c>
      <c r="I1954" t="s">
        <v>44</v>
      </c>
      <c r="J1954">
        <v>13</v>
      </c>
      <c r="K1954" t="s">
        <v>51</v>
      </c>
      <c r="L1954">
        <v>4</v>
      </c>
      <c r="M1954" t="str">
        <f>VLOOKUP(D1954,State_Lookup!$A$2:$B$28,2,FALSE)</f>
        <v>Sao Paulo</v>
      </c>
    </row>
    <row r="1955" spans="1:13" x14ac:dyDescent="0.45">
      <c r="A1955" t="s">
        <v>2414</v>
      </c>
      <c r="B1955" t="s">
        <v>2398</v>
      </c>
      <c r="C1955" t="s">
        <v>2026</v>
      </c>
      <c r="D1955" t="s">
        <v>18</v>
      </c>
      <c r="E1955" t="s">
        <v>107</v>
      </c>
      <c r="F1955">
        <v>1</v>
      </c>
      <c r="G1955">
        <v>15.9</v>
      </c>
      <c r="H1955">
        <v>8.11</v>
      </c>
      <c r="I1955" t="s">
        <v>133</v>
      </c>
      <c r="J1955">
        <v>21</v>
      </c>
      <c r="K1955" t="s">
        <v>51</v>
      </c>
      <c r="L1955">
        <v>2</v>
      </c>
      <c r="M1955" t="str">
        <f>VLOOKUP(D1955,State_Lookup!$A$2:$B$28,2,FALSE)</f>
        <v>Minas Gerais</v>
      </c>
    </row>
    <row r="1956" spans="1:13" x14ac:dyDescent="0.45">
      <c r="A1956" t="s">
        <v>2415</v>
      </c>
      <c r="B1956" t="s">
        <v>2398</v>
      </c>
      <c r="C1956" t="s">
        <v>2026</v>
      </c>
      <c r="D1956" t="s">
        <v>16</v>
      </c>
      <c r="E1956" t="s">
        <v>69</v>
      </c>
      <c r="F1956">
        <v>1</v>
      </c>
      <c r="G1956">
        <v>238.9</v>
      </c>
      <c r="H1956">
        <v>15.28</v>
      </c>
      <c r="I1956" t="s">
        <v>44</v>
      </c>
      <c r="J1956">
        <v>17</v>
      </c>
      <c r="K1956" t="s">
        <v>51</v>
      </c>
      <c r="L1956">
        <v>5</v>
      </c>
      <c r="M1956" t="str">
        <f>VLOOKUP(D1956,State_Lookup!$A$2:$B$28,2,FALSE)</f>
        <v>Sao Paulo</v>
      </c>
    </row>
    <row r="1957" spans="1:13" x14ac:dyDescent="0.45">
      <c r="A1957" t="s">
        <v>2416</v>
      </c>
      <c r="B1957" t="s">
        <v>2398</v>
      </c>
      <c r="C1957" t="s">
        <v>2026</v>
      </c>
      <c r="D1957" t="s">
        <v>22</v>
      </c>
      <c r="E1957" t="s">
        <v>43</v>
      </c>
      <c r="F1957">
        <v>1</v>
      </c>
      <c r="G1957">
        <v>207.9</v>
      </c>
      <c r="H1957">
        <v>20.7</v>
      </c>
      <c r="I1957" t="s">
        <v>44</v>
      </c>
      <c r="J1957">
        <v>15</v>
      </c>
      <c r="K1957" t="s">
        <v>51</v>
      </c>
      <c r="L1957">
        <v>4</v>
      </c>
      <c r="M1957" t="str">
        <f>VLOOKUP(D1957,State_Lookup!$A$2:$B$28,2,FALSE)</f>
        <v>Bahia</v>
      </c>
    </row>
    <row r="1958" spans="1:13" x14ac:dyDescent="0.45">
      <c r="A1958" t="s">
        <v>2417</v>
      </c>
      <c r="B1958" t="s">
        <v>2398</v>
      </c>
      <c r="C1958" t="s">
        <v>2026</v>
      </c>
      <c r="D1958" t="s">
        <v>17</v>
      </c>
      <c r="E1958" t="s">
        <v>668</v>
      </c>
      <c r="F1958">
        <v>1</v>
      </c>
      <c r="G1958">
        <v>190.9</v>
      </c>
      <c r="H1958">
        <v>16.09</v>
      </c>
      <c r="I1958" t="s">
        <v>44</v>
      </c>
      <c r="J1958">
        <v>21</v>
      </c>
      <c r="K1958" t="s">
        <v>51</v>
      </c>
      <c r="L1958">
        <v>5</v>
      </c>
      <c r="M1958" t="str">
        <f>VLOOKUP(D1958,State_Lookup!$A$2:$B$28,2,FALSE)</f>
        <v>Rio de Janeiro</v>
      </c>
    </row>
    <row r="1959" spans="1:13" x14ac:dyDescent="0.45">
      <c r="A1959" t="s">
        <v>2418</v>
      </c>
      <c r="B1959" t="s">
        <v>2419</v>
      </c>
      <c r="C1959" t="s">
        <v>2026</v>
      </c>
      <c r="D1959" t="s">
        <v>18</v>
      </c>
      <c r="E1959" t="s">
        <v>79</v>
      </c>
      <c r="F1959">
        <v>3</v>
      </c>
      <c r="G1959">
        <v>299.7</v>
      </c>
      <c r="H1959">
        <v>49.38</v>
      </c>
      <c r="I1959" t="s">
        <v>44</v>
      </c>
      <c r="J1959">
        <v>15</v>
      </c>
      <c r="K1959" t="s">
        <v>51</v>
      </c>
      <c r="L1959">
        <v>5</v>
      </c>
      <c r="M1959" t="str">
        <f>VLOOKUP(D1959,State_Lookup!$A$2:$B$28,2,FALSE)</f>
        <v>Minas Gerais</v>
      </c>
    </row>
    <row r="1960" spans="1:13" x14ac:dyDescent="0.45">
      <c r="A1960" t="s">
        <v>2420</v>
      </c>
      <c r="B1960" t="s">
        <v>2419</v>
      </c>
      <c r="C1960" t="s">
        <v>2026</v>
      </c>
      <c r="D1960" t="s">
        <v>16</v>
      </c>
      <c r="E1960" t="s">
        <v>53</v>
      </c>
      <c r="F1960">
        <v>1</v>
      </c>
      <c r="G1960">
        <v>23.9</v>
      </c>
      <c r="H1960">
        <v>7.78</v>
      </c>
      <c r="I1960" t="s">
        <v>44</v>
      </c>
      <c r="J1960">
        <v>3</v>
      </c>
      <c r="K1960" t="s">
        <v>51</v>
      </c>
      <c r="L1960">
        <v>4</v>
      </c>
      <c r="M1960" t="str">
        <f>VLOOKUP(D1960,State_Lookup!$A$2:$B$28,2,FALSE)</f>
        <v>Sao Paulo</v>
      </c>
    </row>
    <row r="1961" spans="1:13" x14ac:dyDescent="0.45">
      <c r="A1961" t="s">
        <v>2421</v>
      </c>
      <c r="B1961" t="s">
        <v>2419</v>
      </c>
      <c r="C1961" t="s">
        <v>2026</v>
      </c>
      <c r="D1961" t="s">
        <v>16</v>
      </c>
      <c r="E1961" t="s">
        <v>142</v>
      </c>
      <c r="F1961">
        <v>1</v>
      </c>
      <c r="G1961">
        <v>59.9</v>
      </c>
      <c r="H1961">
        <v>13.44</v>
      </c>
      <c r="I1961" t="s">
        <v>133</v>
      </c>
      <c r="J1961">
        <v>9</v>
      </c>
      <c r="K1961" t="s">
        <v>51</v>
      </c>
      <c r="L1961">
        <v>5</v>
      </c>
      <c r="M1961" t="str">
        <f>VLOOKUP(D1961,State_Lookup!$A$2:$B$28,2,FALSE)</f>
        <v>Sao Paulo</v>
      </c>
    </row>
    <row r="1962" spans="1:13" x14ac:dyDescent="0.45">
      <c r="A1962" t="s">
        <v>2422</v>
      </c>
      <c r="B1962" t="s">
        <v>2419</v>
      </c>
      <c r="C1962" t="s">
        <v>2026</v>
      </c>
      <c r="D1962" t="s">
        <v>21</v>
      </c>
      <c r="E1962" t="s">
        <v>53</v>
      </c>
      <c r="F1962">
        <v>1</v>
      </c>
      <c r="G1962">
        <v>120.9</v>
      </c>
      <c r="H1962">
        <v>49.38</v>
      </c>
      <c r="I1962" t="s">
        <v>44</v>
      </c>
      <c r="J1962">
        <v>3</v>
      </c>
      <c r="K1962" t="s">
        <v>51</v>
      </c>
      <c r="L1962">
        <v>5</v>
      </c>
      <c r="M1962" t="str">
        <f>VLOOKUP(D1962,State_Lookup!$A$2:$B$28,2,FALSE)</f>
        <v>Santa Catarina</v>
      </c>
    </row>
    <row r="1963" spans="1:13" x14ac:dyDescent="0.45">
      <c r="A1963" t="s">
        <v>2423</v>
      </c>
      <c r="B1963" t="s">
        <v>2419</v>
      </c>
      <c r="C1963" t="s">
        <v>2026</v>
      </c>
      <c r="D1963" t="s">
        <v>18</v>
      </c>
      <c r="E1963" t="s">
        <v>64</v>
      </c>
      <c r="F1963">
        <v>1</v>
      </c>
      <c r="G1963">
        <v>339.9</v>
      </c>
      <c r="H1963">
        <v>18.14</v>
      </c>
      <c r="I1963" t="s">
        <v>44</v>
      </c>
      <c r="J1963">
        <v>10</v>
      </c>
      <c r="K1963" t="s">
        <v>51</v>
      </c>
      <c r="L1963">
        <v>5</v>
      </c>
      <c r="M1963" t="str">
        <f>VLOOKUP(D1963,State_Lookup!$A$2:$B$28,2,FALSE)</f>
        <v>Minas Gerais</v>
      </c>
    </row>
    <row r="1964" spans="1:13" x14ac:dyDescent="0.45">
      <c r="A1964" t="s">
        <v>2424</v>
      </c>
      <c r="B1964" t="s">
        <v>2419</v>
      </c>
      <c r="C1964" t="s">
        <v>2026</v>
      </c>
      <c r="D1964" t="s">
        <v>16</v>
      </c>
      <c r="E1964" t="s">
        <v>61</v>
      </c>
      <c r="F1964">
        <v>1</v>
      </c>
      <c r="G1964">
        <v>137.9</v>
      </c>
      <c r="H1964">
        <v>38.81</v>
      </c>
      <c r="I1964" t="s">
        <v>44</v>
      </c>
      <c r="J1964">
        <v>6</v>
      </c>
      <c r="K1964" t="s">
        <v>51</v>
      </c>
      <c r="L1964">
        <v>4</v>
      </c>
      <c r="M1964" t="str">
        <f>VLOOKUP(D1964,State_Lookup!$A$2:$B$28,2,FALSE)</f>
        <v>Sao Paulo</v>
      </c>
    </row>
    <row r="1965" spans="1:13" x14ac:dyDescent="0.45">
      <c r="A1965" t="s">
        <v>2425</v>
      </c>
      <c r="B1965" t="s">
        <v>2419</v>
      </c>
      <c r="C1965" t="s">
        <v>2026</v>
      </c>
      <c r="D1965" t="s">
        <v>18</v>
      </c>
      <c r="E1965" t="s">
        <v>69</v>
      </c>
      <c r="F1965">
        <v>1</v>
      </c>
      <c r="G1965">
        <v>89.99</v>
      </c>
      <c r="H1965">
        <v>26.25</v>
      </c>
      <c r="I1965" t="s">
        <v>44</v>
      </c>
      <c r="J1965">
        <v>7</v>
      </c>
      <c r="K1965" t="s">
        <v>51</v>
      </c>
      <c r="L1965">
        <v>5</v>
      </c>
      <c r="M1965" t="str">
        <f>VLOOKUP(D1965,State_Lookup!$A$2:$B$28,2,FALSE)</f>
        <v>Minas Gerais</v>
      </c>
    </row>
    <row r="1966" spans="1:13" x14ac:dyDescent="0.45">
      <c r="A1966" t="s">
        <v>2426</v>
      </c>
      <c r="B1966" t="s">
        <v>2419</v>
      </c>
      <c r="C1966" t="s">
        <v>2026</v>
      </c>
      <c r="D1966" t="s">
        <v>21</v>
      </c>
      <c r="E1966" t="s">
        <v>79</v>
      </c>
      <c r="F1966">
        <v>1</v>
      </c>
      <c r="G1966">
        <v>49.9</v>
      </c>
      <c r="H1966">
        <v>14.22</v>
      </c>
      <c r="I1966" t="s">
        <v>50</v>
      </c>
      <c r="J1966">
        <v>6</v>
      </c>
      <c r="K1966" t="s">
        <v>51</v>
      </c>
      <c r="L1966">
        <v>5</v>
      </c>
      <c r="M1966" t="str">
        <f>VLOOKUP(D1966,State_Lookup!$A$2:$B$28,2,FALSE)</f>
        <v>Santa Catarina</v>
      </c>
    </row>
    <row r="1967" spans="1:13" x14ac:dyDescent="0.45">
      <c r="A1967" t="s">
        <v>2427</v>
      </c>
      <c r="B1967" t="s">
        <v>2419</v>
      </c>
      <c r="C1967" t="s">
        <v>2026</v>
      </c>
      <c r="D1967" t="s">
        <v>17</v>
      </c>
      <c r="E1967" t="s">
        <v>66</v>
      </c>
      <c r="F1967">
        <v>1</v>
      </c>
      <c r="G1967">
        <v>24.99</v>
      </c>
      <c r="H1967">
        <v>14.1</v>
      </c>
      <c r="I1967" t="s">
        <v>44</v>
      </c>
      <c r="J1967">
        <v>10</v>
      </c>
      <c r="K1967" t="s">
        <v>51</v>
      </c>
      <c r="L1967">
        <v>5</v>
      </c>
      <c r="M1967" t="str">
        <f>VLOOKUP(D1967,State_Lookup!$A$2:$B$28,2,FALSE)</f>
        <v>Rio de Janeiro</v>
      </c>
    </row>
    <row r="1968" spans="1:13" x14ac:dyDescent="0.45">
      <c r="A1968" t="s">
        <v>2428</v>
      </c>
      <c r="B1968" t="s">
        <v>2419</v>
      </c>
      <c r="C1968" t="s">
        <v>2026</v>
      </c>
      <c r="D1968" t="s">
        <v>17</v>
      </c>
      <c r="E1968" t="s">
        <v>61</v>
      </c>
      <c r="F1968">
        <v>1</v>
      </c>
      <c r="G1968">
        <v>149.99</v>
      </c>
      <c r="H1968">
        <v>40.380000000000003</v>
      </c>
      <c r="I1968" t="s">
        <v>44</v>
      </c>
      <c r="J1968">
        <v>13</v>
      </c>
      <c r="K1968" t="s">
        <v>51</v>
      </c>
      <c r="L1968">
        <v>5</v>
      </c>
      <c r="M1968" t="str">
        <f>VLOOKUP(D1968,State_Lookup!$A$2:$B$28,2,FALSE)</f>
        <v>Rio de Janeiro</v>
      </c>
    </row>
    <row r="1969" spans="1:13" x14ac:dyDescent="0.45">
      <c r="A1969" t="s">
        <v>2429</v>
      </c>
      <c r="B1969" t="s">
        <v>2419</v>
      </c>
      <c r="C1969" t="s">
        <v>2026</v>
      </c>
      <c r="D1969" t="s">
        <v>21</v>
      </c>
      <c r="E1969" t="s">
        <v>123</v>
      </c>
      <c r="F1969">
        <v>1</v>
      </c>
      <c r="G1969">
        <v>59.9</v>
      </c>
      <c r="H1969">
        <v>16.18</v>
      </c>
      <c r="I1969" t="s">
        <v>50</v>
      </c>
      <c r="J1969">
        <v>23</v>
      </c>
      <c r="K1969" t="s">
        <v>51</v>
      </c>
      <c r="L1969">
        <v>5</v>
      </c>
      <c r="M1969" t="str">
        <f>VLOOKUP(D1969,State_Lookup!$A$2:$B$28,2,FALSE)</f>
        <v>Santa Catarina</v>
      </c>
    </row>
    <row r="1970" spans="1:13" x14ac:dyDescent="0.45">
      <c r="A1970" t="s">
        <v>2430</v>
      </c>
      <c r="B1970" t="s">
        <v>2419</v>
      </c>
      <c r="C1970" t="s">
        <v>2026</v>
      </c>
      <c r="D1970" t="s">
        <v>22</v>
      </c>
      <c r="E1970" t="s">
        <v>49</v>
      </c>
      <c r="F1970">
        <v>4</v>
      </c>
      <c r="G1970">
        <v>679.96</v>
      </c>
      <c r="H1970">
        <v>77.72</v>
      </c>
      <c r="I1970" t="s">
        <v>44</v>
      </c>
      <c r="J1970">
        <v>22</v>
      </c>
      <c r="K1970" t="s">
        <v>51</v>
      </c>
      <c r="L1970">
        <v>1</v>
      </c>
      <c r="M1970" t="str">
        <f>VLOOKUP(D1970,State_Lookup!$A$2:$B$28,2,FALSE)</f>
        <v>Bahia</v>
      </c>
    </row>
    <row r="1971" spans="1:13" x14ac:dyDescent="0.45">
      <c r="A1971" t="s">
        <v>2431</v>
      </c>
      <c r="B1971" t="s">
        <v>2419</v>
      </c>
      <c r="C1971" t="s">
        <v>2026</v>
      </c>
      <c r="D1971" t="s">
        <v>16</v>
      </c>
      <c r="E1971" t="s">
        <v>53</v>
      </c>
      <c r="F1971">
        <v>1</v>
      </c>
      <c r="G1971">
        <v>199.99</v>
      </c>
      <c r="H1971">
        <v>15.15</v>
      </c>
      <c r="I1971" t="s">
        <v>44</v>
      </c>
      <c r="J1971">
        <v>13</v>
      </c>
      <c r="K1971" t="s">
        <v>51</v>
      </c>
      <c r="L1971">
        <v>1</v>
      </c>
      <c r="M1971" t="str">
        <f>VLOOKUP(D1971,State_Lookup!$A$2:$B$28,2,FALSE)</f>
        <v>Sao Paulo</v>
      </c>
    </row>
    <row r="1972" spans="1:13" x14ac:dyDescent="0.45">
      <c r="A1972" t="s">
        <v>2432</v>
      </c>
      <c r="B1972" t="s">
        <v>2419</v>
      </c>
      <c r="C1972" t="s">
        <v>2026</v>
      </c>
      <c r="D1972" t="s">
        <v>16</v>
      </c>
      <c r="E1972" t="s">
        <v>49</v>
      </c>
      <c r="F1972">
        <v>1</v>
      </c>
      <c r="G1972">
        <v>35.9</v>
      </c>
      <c r="H1972">
        <v>7.78</v>
      </c>
      <c r="I1972" t="s">
        <v>44</v>
      </c>
      <c r="J1972">
        <v>9</v>
      </c>
      <c r="K1972" t="s">
        <v>51</v>
      </c>
      <c r="L1972">
        <v>5</v>
      </c>
      <c r="M1972" t="str">
        <f>VLOOKUP(D1972,State_Lookup!$A$2:$B$28,2,FALSE)</f>
        <v>Sao Paulo</v>
      </c>
    </row>
    <row r="1973" spans="1:13" x14ac:dyDescent="0.45">
      <c r="A1973" t="s">
        <v>2433</v>
      </c>
      <c r="B1973" t="s">
        <v>2419</v>
      </c>
      <c r="C1973" t="s">
        <v>2026</v>
      </c>
      <c r="D1973" t="s">
        <v>16</v>
      </c>
      <c r="E1973" t="s">
        <v>125</v>
      </c>
      <c r="F1973">
        <v>1</v>
      </c>
      <c r="G1973">
        <v>13.65</v>
      </c>
      <c r="H1973">
        <v>8.7200000000000006</v>
      </c>
      <c r="I1973" t="s">
        <v>44</v>
      </c>
      <c r="J1973">
        <v>3</v>
      </c>
      <c r="K1973" t="s">
        <v>51</v>
      </c>
      <c r="L1973">
        <v>5</v>
      </c>
      <c r="M1973" t="str">
        <f>VLOOKUP(D1973,State_Lookup!$A$2:$B$28,2,FALSE)</f>
        <v>Sao Paulo</v>
      </c>
    </row>
    <row r="1974" spans="1:13" x14ac:dyDescent="0.45">
      <c r="A1974" t="s">
        <v>2434</v>
      </c>
      <c r="B1974" t="s">
        <v>2419</v>
      </c>
      <c r="C1974" t="s">
        <v>2026</v>
      </c>
      <c r="D1974" t="s">
        <v>18</v>
      </c>
      <c r="E1974" t="s">
        <v>61</v>
      </c>
      <c r="F1974">
        <v>1</v>
      </c>
      <c r="G1974">
        <v>101.34</v>
      </c>
      <c r="H1974">
        <v>17.96</v>
      </c>
      <c r="I1974" t="s">
        <v>44</v>
      </c>
      <c r="J1974">
        <v>13</v>
      </c>
      <c r="K1974" t="s">
        <v>51</v>
      </c>
      <c r="L1974">
        <v>4</v>
      </c>
      <c r="M1974" t="str">
        <f>VLOOKUP(D1974,State_Lookup!$A$2:$B$28,2,FALSE)</f>
        <v>Minas Gerais</v>
      </c>
    </row>
    <row r="1975" spans="1:13" x14ac:dyDescent="0.45">
      <c r="A1975" t="s">
        <v>2435</v>
      </c>
      <c r="B1975" t="s">
        <v>2419</v>
      </c>
      <c r="C1975" t="s">
        <v>2026</v>
      </c>
      <c r="D1975" t="s">
        <v>22</v>
      </c>
      <c r="E1975" t="s">
        <v>148</v>
      </c>
      <c r="F1975">
        <v>2</v>
      </c>
      <c r="G1975">
        <v>58</v>
      </c>
      <c r="H1975">
        <v>51.26</v>
      </c>
      <c r="I1975" t="s">
        <v>133</v>
      </c>
      <c r="J1975">
        <v>21</v>
      </c>
      <c r="K1975" t="s">
        <v>51</v>
      </c>
      <c r="L1975">
        <v>5</v>
      </c>
      <c r="M1975" t="str">
        <f>VLOOKUP(D1975,State_Lookup!$A$2:$B$28,2,FALSE)</f>
        <v>Bahia</v>
      </c>
    </row>
    <row r="1976" spans="1:13" x14ac:dyDescent="0.45">
      <c r="A1976" t="s">
        <v>2436</v>
      </c>
      <c r="B1976" t="s">
        <v>2419</v>
      </c>
      <c r="C1976" t="s">
        <v>2026</v>
      </c>
      <c r="D1976" t="s">
        <v>24</v>
      </c>
      <c r="E1976" t="s">
        <v>103</v>
      </c>
      <c r="F1976">
        <v>1</v>
      </c>
      <c r="G1976">
        <v>179.9</v>
      </c>
      <c r="H1976">
        <v>22.1</v>
      </c>
      <c r="I1976" t="s">
        <v>44</v>
      </c>
      <c r="J1976">
        <v>24</v>
      </c>
      <c r="K1976" t="s">
        <v>143</v>
      </c>
      <c r="L1976">
        <v>1</v>
      </c>
      <c r="M1976" t="str">
        <f>VLOOKUP(D1976,State_Lookup!$A$2:$B$28,2,FALSE)</f>
        <v>Distrito Federal</v>
      </c>
    </row>
    <row r="1977" spans="1:13" x14ac:dyDescent="0.45">
      <c r="A1977" t="s">
        <v>2437</v>
      </c>
      <c r="B1977" t="s">
        <v>2419</v>
      </c>
      <c r="C1977" t="s">
        <v>2026</v>
      </c>
      <c r="D1977" t="s">
        <v>17</v>
      </c>
      <c r="E1977" t="s">
        <v>53</v>
      </c>
      <c r="F1977">
        <v>2</v>
      </c>
      <c r="G1977">
        <v>199.98</v>
      </c>
      <c r="H1977">
        <v>17.82</v>
      </c>
      <c r="I1977" t="s">
        <v>44</v>
      </c>
      <c r="J1977">
        <v>3</v>
      </c>
      <c r="K1977" t="s">
        <v>51</v>
      </c>
      <c r="L1977">
        <v>5</v>
      </c>
      <c r="M1977" t="str">
        <f>VLOOKUP(D1977,State_Lookup!$A$2:$B$28,2,FALSE)</f>
        <v>Rio de Janeiro</v>
      </c>
    </row>
    <row r="1978" spans="1:13" x14ac:dyDescent="0.45">
      <c r="A1978" t="s">
        <v>2438</v>
      </c>
      <c r="B1978" t="s">
        <v>2439</v>
      </c>
      <c r="C1978" t="s">
        <v>2026</v>
      </c>
      <c r="D1978" t="s">
        <v>487</v>
      </c>
      <c r="E1978" t="s">
        <v>66</v>
      </c>
      <c r="F1978">
        <v>1</v>
      </c>
      <c r="G1978">
        <v>27.99</v>
      </c>
      <c r="H1978">
        <v>21.15</v>
      </c>
      <c r="I1978" t="s">
        <v>44</v>
      </c>
      <c r="J1978">
        <v>9</v>
      </c>
      <c r="K1978" t="s">
        <v>51</v>
      </c>
      <c r="L1978">
        <v>3</v>
      </c>
      <c r="M1978" t="str">
        <f>VLOOKUP(D1978,State_Lookup!$A$2:$B$28,2,FALSE)</f>
        <v>Rio Grande do Norte</v>
      </c>
    </row>
    <row r="1979" spans="1:13" x14ac:dyDescent="0.45">
      <c r="A1979" t="s">
        <v>2440</v>
      </c>
      <c r="B1979" t="s">
        <v>2439</v>
      </c>
      <c r="C1979" t="s">
        <v>2026</v>
      </c>
      <c r="D1979" t="s">
        <v>23</v>
      </c>
      <c r="E1979" t="s">
        <v>132</v>
      </c>
      <c r="F1979">
        <v>2</v>
      </c>
      <c r="G1979">
        <v>61.6</v>
      </c>
      <c r="H1979">
        <v>30.2</v>
      </c>
      <c r="I1979" t="s">
        <v>44</v>
      </c>
      <c r="J1979">
        <v>28</v>
      </c>
      <c r="K1979" t="s">
        <v>143</v>
      </c>
      <c r="L1979">
        <v>1</v>
      </c>
      <c r="M1979" t="str">
        <f>VLOOKUP(D1979,State_Lookup!$A$2:$B$28,2,FALSE)</f>
        <v>Espirito Santo</v>
      </c>
    </row>
    <row r="1980" spans="1:13" x14ac:dyDescent="0.45">
      <c r="A1980" t="s">
        <v>2441</v>
      </c>
      <c r="B1980" t="s">
        <v>2439</v>
      </c>
      <c r="C1980" t="s">
        <v>2026</v>
      </c>
      <c r="D1980" t="s">
        <v>17</v>
      </c>
      <c r="E1980" t="s">
        <v>107</v>
      </c>
      <c r="F1980">
        <v>1</v>
      </c>
      <c r="G1980">
        <v>139</v>
      </c>
      <c r="H1980">
        <v>23.29</v>
      </c>
      <c r="I1980" t="s">
        <v>44</v>
      </c>
      <c r="J1980">
        <v>29</v>
      </c>
      <c r="K1980" t="s">
        <v>143</v>
      </c>
      <c r="L1980">
        <v>1</v>
      </c>
      <c r="M1980" t="str">
        <f>VLOOKUP(D1980,State_Lookup!$A$2:$B$28,2,FALSE)</f>
        <v>Rio de Janeiro</v>
      </c>
    </row>
    <row r="1981" spans="1:13" x14ac:dyDescent="0.45">
      <c r="A1981" t="s">
        <v>2442</v>
      </c>
      <c r="B1981" t="s">
        <v>2439</v>
      </c>
      <c r="C1981" t="s">
        <v>2026</v>
      </c>
      <c r="D1981" t="s">
        <v>20</v>
      </c>
      <c r="E1981" t="s">
        <v>244</v>
      </c>
      <c r="F1981">
        <v>1</v>
      </c>
      <c r="G1981">
        <v>269.89999999999998</v>
      </c>
      <c r="H1981">
        <v>22.38</v>
      </c>
      <c r="I1981" t="s">
        <v>44</v>
      </c>
      <c r="J1981">
        <v>19</v>
      </c>
      <c r="K1981" t="s">
        <v>51</v>
      </c>
      <c r="L1981">
        <v>5</v>
      </c>
      <c r="M1981" t="str">
        <f>VLOOKUP(D1981,State_Lookup!$A$2:$B$28,2,FALSE)</f>
        <v>Parana</v>
      </c>
    </row>
    <row r="1982" spans="1:13" x14ac:dyDescent="0.45">
      <c r="A1982" t="s">
        <v>2443</v>
      </c>
      <c r="B1982" t="s">
        <v>2439</v>
      </c>
      <c r="C1982" t="s">
        <v>2026</v>
      </c>
      <c r="D1982" t="s">
        <v>17</v>
      </c>
      <c r="E1982" t="s">
        <v>142</v>
      </c>
      <c r="F1982">
        <v>1</v>
      </c>
      <c r="G1982">
        <v>24.62</v>
      </c>
      <c r="H1982">
        <v>14.1</v>
      </c>
      <c r="I1982" t="s">
        <v>44</v>
      </c>
      <c r="J1982">
        <v>41</v>
      </c>
      <c r="K1982" t="s">
        <v>143</v>
      </c>
      <c r="L1982">
        <v>1</v>
      </c>
      <c r="M1982" t="str">
        <f>VLOOKUP(D1982,State_Lookup!$A$2:$B$28,2,FALSE)</f>
        <v>Rio de Janeiro</v>
      </c>
    </row>
    <row r="1983" spans="1:13" x14ac:dyDescent="0.45">
      <c r="A1983" t="s">
        <v>2444</v>
      </c>
      <c r="B1983" t="s">
        <v>2439</v>
      </c>
      <c r="C1983" t="s">
        <v>2026</v>
      </c>
      <c r="D1983" t="s">
        <v>17</v>
      </c>
      <c r="E1983" t="s">
        <v>157</v>
      </c>
      <c r="F1983">
        <v>1</v>
      </c>
      <c r="G1983">
        <v>219.9</v>
      </c>
      <c r="H1983">
        <v>18.79</v>
      </c>
      <c r="I1983" t="s">
        <v>44</v>
      </c>
      <c r="J1983">
        <v>29</v>
      </c>
      <c r="K1983" t="s">
        <v>143</v>
      </c>
      <c r="L1983">
        <v>1</v>
      </c>
      <c r="M1983" t="str">
        <f>VLOOKUP(D1983,State_Lookup!$A$2:$B$28,2,FALSE)</f>
        <v>Rio de Janeiro</v>
      </c>
    </row>
    <row r="1984" spans="1:13" x14ac:dyDescent="0.45">
      <c r="A1984" t="s">
        <v>2445</v>
      </c>
      <c r="B1984" t="s">
        <v>2439</v>
      </c>
      <c r="C1984" t="s">
        <v>2026</v>
      </c>
      <c r="D1984" t="s">
        <v>25</v>
      </c>
      <c r="E1984" t="s">
        <v>125</v>
      </c>
      <c r="F1984">
        <v>1</v>
      </c>
      <c r="G1984">
        <v>18.899999999999999</v>
      </c>
      <c r="H1984">
        <v>34.15</v>
      </c>
      <c r="I1984" t="s">
        <v>44</v>
      </c>
      <c r="J1984">
        <v>19</v>
      </c>
      <c r="K1984" t="s">
        <v>51</v>
      </c>
      <c r="L1984">
        <v>1</v>
      </c>
      <c r="M1984" t="str">
        <f>VLOOKUP(D1984,State_Lookup!$A$2:$B$28,2,FALSE)</f>
        <v>Goias</v>
      </c>
    </row>
    <row r="1985" spans="1:13" x14ac:dyDescent="0.45">
      <c r="A1985" t="s">
        <v>2446</v>
      </c>
      <c r="B1985" t="s">
        <v>2439</v>
      </c>
      <c r="C1985" t="s">
        <v>2026</v>
      </c>
      <c r="D1985" t="s">
        <v>22</v>
      </c>
      <c r="E1985" t="s">
        <v>244</v>
      </c>
      <c r="F1985">
        <v>1</v>
      </c>
      <c r="G1985">
        <v>199</v>
      </c>
      <c r="H1985">
        <v>17.829999999999998</v>
      </c>
      <c r="I1985" t="s">
        <v>44</v>
      </c>
      <c r="J1985">
        <v>19</v>
      </c>
      <c r="K1985" t="s">
        <v>51</v>
      </c>
      <c r="L1985">
        <v>4</v>
      </c>
      <c r="M1985" t="str">
        <f>VLOOKUP(D1985,State_Lookup!$A$2:$B$28,2,FALSE)</f>
        <v>Bahia</v>
      </c>
    </row>
    <row r="1986" spans="1:13" x14ac:dyDescent="0.45">
      <c r="A1986" t="s">
        <v>2447</v>
      </c>
      <c r="B1986" t="s">
        <v>2439</v>
      </c>
      <c r="C1986" t="s">
        <v>2026</v>
      </c>
      <c r="D1986" t="s">
        <v>21</v>
      </c>
      <c r="E1986" t="s">
        <v>69</v>
      </c>
      <c r="F1986">
        <v>1</v>
      </c>
      <c r="G1986">
        <v>59</v>
      </c>
      <c r="H1986">
        <v>17.66</v>
      </c>
      <c r="I1986" t="s">
        <v>44</v>
      </c>
      <c r="J1986">
        <v>46</v>
      </c>
      <c r="K1986" t="s">
        <v>143</v>
      </c>
      <c r="L1986">
        <v>1</v>
      </c>
      <c r="M1986" t="str">
        <f>VLOOKUP(D1986,State_Lookup!$A$2:$B$28,2,FALSE)</f>
        <v>Santa Catarina</v>
      </c>
    </row>
    <row r="1987" spans="1:13" x14ac:dyDescent="0.45">
      <c r="A1987" t="s">
        <v>2448</v>
      </c>
      <c r="B1987" t="s">
        <v>2439</v>
      </c>
      <c r="C1987" t="s">
        <v>2026</v>
      </c>
      <c r="D1987" t="s">
        <v>18</v>
      </c>
      <c r="E1987" t="s">
        <v>79</v>
      </c>
      <c r="F1987">
        <v>1</v>
      </c>
      <c r="G1987">
        <v>29.9</v>
      </c>
      <c r="H1987">
        <v>15.1</v>
      </c>
      <c r="I1987" t="s">
        <v>44</v>
      </c>
      <c r="J1987">
        <v>12</v>
      </c>
      <c r="K1987" t="s">
        <v>51</v>
      </c>
      <c r="L1987">
        <v>5</v>
      </c>
      <c r="M1987" t="str">
        <f>VLOOKUP(D1987,State_Lookup!$A$2:$B$28,2,FALSE)</f>
        <v>Minas Gerais</v>
      </c>
    </row>
    <row r="1988" spans="1:13" x14ac:dyDescent="0.45">
      <c r="A1988" t="s">
        <v>2449</v>
      </c>
      <c r="B1988" t="s">
        <v>2439</v>
      </c>
      <c r="C1988" t="s">
        <v>2026</v>
      </c>
      <c r="D1988" t="s">
        <v>20</v>
      </c>
      <c r="E1988" t="s">
        <v>173</v>
      </c>
      <c r="F1988">
        <v>1</v>
      </c>
      <c r="G1988">
        <v>199.9</v>
      </c>
      <c r="H1988">
        <v>18.649999999999999</v>
      </c>
      <c r="I1988" t="s">
        <v>50</v>
      </c>
      <c r="J1988">
        <v>28</v>
      </c>
      <c r="K1988" t="s">
        <v>143</v>
      </c>
      <c r="L1988">
        <v>5</v>
      </c>
      <c r="M1988" t="str">
        <f>VLOOKUP(D1988,State_Lookup!$A$2:$B$28,2,FALSE)</f>
        <v>Parana</v>
      </c>
    </row>
    <row r="1989" spans="1:13" x14ac:dyDescent="0.45">
      <c r="A1989" t="s">
        <v>2450</v>
      </c>
      <c r="B1989" t="s">
        <v>2439</v>
      </c>
      <c r="C1989" t="s">
        <v>2026</v>
      </c>
      <c r="D1989" t="s">
        <v>22</v>
      </c>
      <c r="E1989" t="s">
        <v>220</v>
      </c>
      <c r="F1989">
        <v>1</v>
      </c>
      <c r="G1989">
        <v>139.99</v>
      </c>
      <c r="H1989">
        <v>38.5</v>
      </c>
      <c r="I1989" t="s">
        <v>44</v>
      </c>
      <c r="J1989">
        <v>28</v>
      </c>
      <c r="K1989" t="s">
        <v>51</v>
      </c>
      <c r="L1989">
        <v>5</v>
      </c>
      <c r="M1989" t="str">
        <f>VLOOKUP(D1989,State_Lookup!$A$2:$B$28,2,FALSE)</f>
        <v>Bahia</v>
      </c>
    </row>
    <row r="1990" spans="1:13" x14ac:dyDescent="0.45">
      <c r="A1990" t="s">
        <v>2451</v>
      </c>
      <c r="B1990" t="s">
        <v>2439</v>
      </c>
      <c r="C1990" t="s">
        <v>2026</v>
      </c>
      <c r="D1990" t="s">
        <v>16</v>
      </c>
      <c r="E1990" t="s">
        <v>192</v>
      </c>
      <c r="F1990">
        <v>2</v>
      </c>
      <c r="G1990">
        <v>91.8</v>
      </c>
      <c r="H1990">
        <v>26.16</v>
      </c>
      <c r="I1990" t="s">
        <v>50</v>
      </c>
      <c r="J1990">
        <v>13</v>
      </c>
      <c r="K1990" t="s">
        <v>51</v>
      </c>
      <c r="L1990">
        <v>4</v>
      </c>
      <c r="M1990" t="str">
        <f>VLOOKUP(D1990,State_Lookup!$A$2:$B$28,2,FALSE)</f>
        <v>Sao Paulo</v>
      </c>
    </row>
    <row r="1991" spans="1:13" x14ac:dyDescent="0.45">
      <c r="A1991" t="s">
        <v>2452</v>
      </c>
      <c r="B1991" t="s">
        <v>2439</v>
      </c>
      <c r="C1991" t="s">
        <v>2026</v>
      </c>
      <c r="D1991" t="s">
        <v>113</v>
      </c>
      <c r="E1991" t="s">
        <v>157</v>
      </c>
      <c r="F1991">
        <v>1</v>
      </c>
      <c r="G1991">
        <v>49</v>
      </c>
      <c r="H1991">
        <v>34.15</v>
      </c>
      <c r="I1991" t="s">
        <v>44</v>
      </c>
      <c r="J1991">
        <v>29</v>
      </c>
      <c r="K1991" t="s">
        <v>143</v>
      </c>
      <c r="L1991">
        <v>2</v>
      </c>
      <c r="M1991" t="str">
        <f>VLOOKUP(D1991,State_Lookup!$A$2:$B$28,2,FALSE)</f>
        <v>Piaui</v>
      </c>
    </row>
    <row r="1992" spans="1:13" x14ac:dyDescent="0.45">
      <c r="A1992" t="s">
        <v>2453</v>
      </c>
      <c r="B1992" t="s">
        <v>2439</v>
      </c>
      <c r="C1992" t="s">
        <v>2026</v>
      </c>
      <c r="D1992" t="s">
        <v>16</v>
      </c>
      <c r="E1992" t="s">
        <v>157</v>
      </c>
      <c r="F1992">
        <v>1</v>
      </c>
      <c r="G1992">
        <v>399</v>
      </c>
      <c r="H1992">
        <v>11.61</v>
      </c>
      <c r="I1992" t="s">
        <v>50</v>
      </c>
      <c r="J1992">
        <v>8</v>
      </c>
      <c r="K1992" t="s">
        <v>51</v>
      </c>
      <c r="L1992">
        <v>5</v>
      </c>
      <c r="M1992" t="str">
        <f>VLOOKUP(D1992,State_Lookup!$A$2:$B$28,2,FALSE)</f>
        <v>Sao Paulo</v>
      </c>
    </row>
    <row r="1993" spans="1:13" x14ac:dyDescent="0.45">
      <c r="A1993" t="s">
        <v>2454</v>
      </c>
      <c r="B1993" t="s">
        <v>2439</v>
      </c>
      <c r="C1993" t="s">
        <v>2026</v>
      </c>
      <c r="D1993" t="s">
        <v>16</v>
      </c>
      <c r="E1993" t="s">
        <v>132</v>
      </c>
      <c r="F1993">
        <v>1</v>
      </c>
      <c r="G1993">
        <v>20.3</v>
      </c>
      <c r="H1993">
        <v>8.27</v>
      </c>
      <c r="I1993" t="s">
        <v>133</v>
      </c>
      <c r="J1993">
        <v>12</v>
      </c>
      <c r="K1993" t="s">
        <v>51</v>
      </c>
      <c r="L1993">
        <v>5</v>
      </c>
      <c r="M1993" t="str">
        <f>VLOOKUP(D1993,State_Lookup!$A$2:$B$28,2,FALSE)</f>
        <v>Sao Paulo</v>
      </c>
    </row>
    <row r="1994" spans="1:13" x14ac:dyDescent="0.45">
      <c r="A1994" t="s">
        <v>2455</v>
      </c>
      <c r="B1994" t="s">
        <v>2456</v>
      </c>
      <c r="C1994" t="s">
        <v>2026</v>
      </c>
      <c r="D1994" t="s">
        <v>16</v>
      </c>
      <c r="E1994" t="s">
        <v>142</v>
      </c>
      <c r="F1994">
        <v>2</v>
      </c>
      <c r="G1994">
        <v>99.8</v>
      </c>
      <c r="H1994">
        <v>18.68</v>
      </c>
      <c r="I1994" t="s">
        <v>44</v>
      </c>
      <c r="J1994">
        <v>9</v>
      </c>
      <c r="K1994" t="s">
        <v>51</v>
      </c>
      <c r="L1994">
        <v>5</v>
      </c>
      <c r="M1994" t="str">
        <f>VLOOKUP(D1994,State_Lookup!$A$2:$B$28,2,FALSE)</f>
        <v>Sao Paulo</v>
      </c>
    </row>
    <row r="1995" spans="1:13" x14ac:dyDescent="0.45">
      <c r="A1995" t="s">
        <v>2457</v>
      </c>
      <c r="B1995" t="s">
        <v>2456</v>
      </c>
      <c r="C1995" t="s">
        <v>2026</v>
      </c>
      <c r="D1995" t="s">
        <v>22</v>
      </c>
      <c r="E1995" t="s">
        <v>110</v>
      </c>
      <c r="F1995">
        <v>1</v>
      </c>
      <c r="G1995">
        <v>61</v>
      </c>
      <c r="H1995">
        <v>18</v>
      </c>
      <c r="I1995" t="s">
        <v>50</v>
      </c>
      <c r="J1995">
        <v>18</v>
      </c>
      <c r="K1995" t="s">
        <v>51</v>
      </c>
      <c r="L1995">
        <v>5</v>
      </c>
      <c r="M1995" t="str">
        <f>VLOOKUP(D1995,State_Lookup!$A$2:$B$28,2,FALSE)</f>
        <v>Bahia</v>
      </c>
    </row>
    <row r="1996" spans="1:13" x14ac:dyDescent="0.45">
      <c r="A1996" t="s">
        <v>2458</v>
      </c>
      <c r="B1996" t="s">
        <v>2456</v>
      </c>
      <c r="C1996" t="s">
        <v>2026</v>
      </c>
      <c r="D1996" t="s">
        <v>18</v>
      </c>
      <c r="E1996" t="s">
        <v>64</v>
      </c>
      <c r="F1996">
        <v>1</v>
      </c>
      <c r="G1996">
        <v>56</v>
      </c>
      <c r="H1996">
        <v>15.14</v>
      </c>
      <c r="I1996" t="s">
        <v>44</v>
      </c>
      <c r="J1996">
        <v>11</v>
      </c>
      <c r="K1996" t="s">
        <v>51</v>
      </c>
      <c r="L1996">
        <v>5</v>
      </c>
      <c r="M1996" t="str">
        <f>VLOOKUP(D1996,State_Lookup!$A$2:$B$28,2,FALSE)</f>
        <v>Minas Gerais</v>
      </c>
    </row>
    <row r="1997" spans="1:13" x14ac:dyDescent="0.45">
      <c r="A1997" t="s">
        <v>2459</v>
      </c>
      <c r="B1997" t="s">
        <v>2456</v>
      </c>
      <c r="C1997" t="s">
        <v>2026</v>
      </c>
      <c r="D1997" t="s">
        <v>20</v>
      </c>
      <c r="E1997" t="s">
        <v>107</v>
      </c>
      <c r="F1997">
        <v>1</v>
      </c>
      <c r="G1997">
        <v>140.5</v>
      </c>
      <c r="H1997">
        <v>23.3</v>
      </c>
      <c r="I1997" t="s">
        <v>44</v>
      </c>
      <c r="J1997">
        <v>13</v>
      </c>
      <c r="K1997" t="s">
        <v>51</v>
      </c>
      <c r="L1997">
        <v>5</v>
      </c>
      <c r="M1997" t="str">
        <f>VLOOKUP(D1997,State_Lookup!$A$2:$B$28,2,FALSE)</f>
        <v>Parana</v>
      </c>
    </row>
    <row r="1998" spans="1:13" x14ac:dyDescent="0.45">
      <c r="A1998" t="s">
        <v>2460</v>
      </c>
      <c r="B1998" t="s">
        <v>2456</v>
      </c>
      <c r="C1998" t="s">
        <v>2026</v>
      </c>
      <c r="D1998" t="s">
        <v>23</v>
      </c>
      <c r="E1998" t="s">
        <v>125</v>
      </c>
      <c r="F1998">
        <v>2</v>
      </c>
      <c r="G1998">
        <v>27.3</v>
      </c>
      <c r="H1998">
        <v>30.2</v>
      </c>
      <c r="I1998" t="s">
        <v>50</v>
      </c>
      <c r="J1998">
        <v>18</v>
      </c>
      <c r="K1998" t="s">
        <v>51</v>
      </c>
      <c r="L1998">
        <v>5</v>
      </c>
      <c r="M1998" t="str">
        <f>VLOOKUP(D1998,State_Lookup!$A$2:$B$28,2,FALSE)</f>
        <v>Espirito Santo</v>
      </c>
    </row>
    <row r="1999" spans="1:13" x14ac:dyDescent="0.45">
      <c r="A1999" t="s">
        <v>2461</v>
      </c>
      <c r="B1999" t="s">
        <v>2456</v>
      </c>
      <c r="C1999" t="s">
        <v>2026</v>
      </c>
      <c r="D1999" t="s">
        <v>22</v>
      </c>
      <c r="E1999" t="s">
        <v>125</v>
      </c>
      <c r="F1999">
        <v>1</v>
      </c>
      <c r="G1999">
        <v>189.9</v>
      </c>
      <c r="H1999">
        <v>29.85</v>
      </c>
      <c r="I1999" t="s">
        <v>50</v>
      </c>
      <c r="J1999">
        <v>43</v>
      </c>
      <c r="K1999" t="s">
        <v>143</v>
      </c>
      <c r="L1999">
        <v>1</v>
      </c>
      <c r="M1999" t="str">
        <f>VLOOKUP(D1999,State_Lookup!$A$2:$B$28,2,FALSE)</f>
        <v>Bahia</v>
      </c>
    </row>
    <row r="2000" spans="1:13" x14ac:dyDescent="0.45">
      <c r="A2000" t="s">
        <v>2462</v>
      </c>
      <c r="B2000" t="s">
        <v>2456</v>
      </c>
      <c r="C2000" t="s">
        <v>2026</v>
      </c>
      <c r="D2000" t="s">
        <v>16</v>
      </c>
      <c r="E2000" t="s">
        <v>61</v>
      </c>
      <c r="F2000">
        <v>1</v>
      </c>
      <c r="G2000">
        <v>189</v>
      </c>
      <c r="H2000">
        <v>22.12</v>
      </c>
      <c r="I2000" t="s">
        <v>44</v>
      </c>
      <c r="J2000">
        <v>12</v>
      </c>
      <c r="K2000" t="s">
        <v>51</v>
      </c>
      <c r="L2000">
        <v>5</v>
      </c>
      <c r="M2000" t="str">
        <f>VLOOKUP(D2000,State_Lookup!$A$2:$B$28,2,FALSE)</f>
        <v>Sao Paulo</v>
      </c>
    </row>
    <row r="2001" spans="1:13" x14ac:dyDescent="0.45">
      <c r="A2001" t="s">
        <v>2463</v>
      </c>
      <c r="B2001" t="s">
        <v>2456</v>
      </c>
      <c r="C2001" t="s">
        <v>2026</v>
      </c>
      <c r="D2001" t="s">
        <v>16</v>
      </c>
      <c r="E2001" t="s">
        <v>69</v>
      </c>
      <c r="F2001">
        <v>1</v>
      </c>
      <c r="G2001">
        <v>10</v>
      </c>
      <c r="H2001">
        <v>14.1</v>
      </c>
      <c r="I2001" t="s">
        <v>44</v>
      </c>
      <c r="J2001">
        <v>15</v>
      </c>
      <c r="K2001" t="s">
        <v>51</v>
      </c>
      <c r="L2001">
        <v>5</v>
      </c>
      <c r="M2001" t="str">
        <f>VLOOKUP(D2001,State_Lookup!$A$2:$B$28,2,FALSE)</f>
        <v>Sao Paulo</v>
      </c>
    </row>
    <row r="2002" spans="1:13" x14ac:dyDescent="0.45">
      <c r="A2002" t="s">
        <v>2464</v>
      </c>
      <c r="B2002" t="s">
        <v>2456</v>
      </c>
      <c r="C2002" t="s">
        <v>2026</v>
      </c>
      <c r="D2002" t="s">
        <v>16</v>
      </c>
      <c r="E2002" t="s">
        <v>103</v>
      </c>
      <c r="F2002">
        <v>1</v>
      </c>
      <c r="G2002">
        <v>110</v>
      </c>
      <c r="H2002">
        <v>14.5</v>
      </c>
      <c r="I2002" t="s">
        <v>50</v>
      </c>
      <c r="J2002">
        <v>7</v>
      </c>
      <c r="K2002" t="s">
        <v>51</v>
      </c>
      <c r="L2002">
        <v>5</v>
      </c>
      <c r="M2002" t="str">
        <f>VLOOKUP(D2002,State_Lookup!$A$2:$B$28,2,FALSE)</f>
        <v>Sao Paulo</v>
      </c>
    </row>
    <row r="2003" spans="1:13" x14ac:dyDescent="0.45">
      <c r="A2003" t="s">
        <v>2465</v>
      </c>
      <c r="B2003" t="s">
        <v>2456</v>
      </c>
      <c r="C2003" t="s">
        <v>2026</v>
      </c>
      <c r="D2003" t="s">
        <v>20</v>
      </c>
      <c r="E2003" t="s">
        <v>66</v>
      </c>
      <c r="F2003">
        <v>1</v>
      </c>
      <c r="G2003">
        <v>39.9</v>
      </c>
      <c r="H2003">
        <v>15.1</v>
      </c>
      <c r="I2003" t="s">
        <v>44</v>
      </c>
      <c r="J2003">
        <v>15</v>
      </c>
      <c r="K2003" t="s">
        <v>51</v>
      </c>
      <c r="L2003">
        <v>4</v>
      </c>
      <c r="M2003" t="str">
        <f>VLOOKUP(D2003,State_Lookup!$A$2:$B$28,2,FALSE)</f>
        <v>Parana</v>
      </c>
    </row>
    <row r="2004" spans="1:13" x14ac:dyDescent="0.45">
      <c r="A2004" t="s">
        <v>2466</v>
      </c>
      <c r="B2004" t="s">
        <v>2456</v>
      </c>
      <c r="C2004" t="s">
        <v>2026</v>
      </c>
      <c r="D2004" t="s">
        <v>16</v>
      </c>
      <c r="E2004" t="s">
        <v>2467</v>
      </c>
      <c r="F2004">
        <v>1</v>
      </c>
      <c r="G2004">
        <v>29.9</v>
      </c>
      <c r="H2004">
        <v>11.85</v>
      </c>
      <c r="I2004" t="s">
        <v>44</v>
      </c>
      <c r="J2004">
        <v>6</v>
      </c>
      <c r="K2004" t="s">
        <v>51</v>
      </c>
      <c r="L2004">
        <v>5</v>
      </c>
      <c r="M2004" t="str">
        <f>VLOOKUP(D2004,State_Lookup!$A$2:$B$28,2,FALSE)</f>
        <v>Sao Paulo</v>
      </c>
    </row>
    <row r="2005" spans="1:13" x14ac:dyDescent="0.45">
      <c r="A2005" t="s">
        <v>2468</v>
      </c>
      <c r="B2005" t="s">
        <v>2456</v>
      </c>
      <c r="C2005" t="s">
        <v>2026</v>
      </c>
      <c r="D2005" t="s">
        <v>16</v>
      </c>
      <c r="E2005" t="s">
        <v>1903</v>
      </c>
      <c r="F2005">
        <v>1</v>
      </c>
      <c r="G2005">
        <v>45</v>
      </c>
      <c r="H2005">
        <v>9.27</v>
      </c>
      <c r="I2005" t="s">
        <v>44</v>
      </c>
      <c r="J2005">
        <v>5</v>
      </c>
      <c r="K2005" t="s">
        <v>51</v>
      </c>
      <c r="L2005">
        <v>5</v>
      </c>
      <c r="M2005" t="str">
        <f>VLOOKUP(D2005,State_Lookup!$A$2:$B$28,2,FALSE)</f>
        <v>Sao Paulo</v>
      </c>
    </row>
    <row r="2006" spans="1:13" x14ac:dyDescent="0.45">
      <c r="A2006" t="s">
        <v>2469</v>
      </c>
      <c r="B2006" t="s">
        <v>2456</v>
      </c>
      <c r="C2006" t="s">
        <v>2026</v>
      </c>
      <c r="D2006" t="s">
        <v>20</v>
      </c>
      <c r="E2006" t="s">
        <v>107</v>
      </c>
      <c r="F2006">
        <v>1</v>
      </c>
      <c r="G2006">
        <v>139</v>
      </c>
      <c r="H2006">
        <v>15.73</v>
      </c>
      <c r="I2006" t="s">
        <v>44</v>
      </c>
      <c r="J2006">
        <v>7</v>
      </c>
      <c r="K2006" t="s">
        <v>51</v>
      </c>
      <c r="L2006">
        <v>5</v>
      </c>
      <c r="M2006" t="str">
        <f>VLOOKUP(D2006,State_Lookup!$A$2:$B$28,2,FALSE)</f>
        <v>Parana</v>
      </c>
    </row>
    <row r="2007" spans="1:13" x14ac:dyDescent="0.45">
      <c r="A2007" t="s">
        <v>2470</v>
      </c>
      <c r="B2007" t="s">
        <v>2456</v>
      </c>
      <c r="C2007" t="s">
        <v>2026</v>
      </c>
      <c r="D2007" t="s">
        <v>19</v>
      </c>
      <c r="E2007" t="s">
        <v>53</v>
      </c>
      <c r="F2007">
        <v>1</v>
      </c>
      <c r="G2007">
        <v>199.9</v>
      </c>
      <c r="H2007">
        <v>17.649999999999999</v>
      </c>
      <c r="I2007" t="s">
        <v>44</v>
      </c>
      <c r="J2007">
        <v>13</v>
      </c>
      <c r="K2007" t="s">
        <v>51</v>
      </c>
      <c r="L2007">
        <v>5</v>
      </c>
      <c r="M2007" t="str">
        <f>VLOOKUP(D2007,State_Lookup!$A$2:$B$28,2,FALSE)</f>
        <v>Rio Grande do Sul</v>
      </c>
    </row>
    <row r="2008" spans="1:13" x14ac:dyDescent="0.45">
      <c r="A2008" t="s">
        <v>2471</v>
      </c>
      <c r="B2008" t="s">
        <v>2456</v>
      </c>
      <c r="C2008" t="s">
        <v>2026</v>
      </c>
      <c r="D2008" t="s">
        <v>16</v>
      </c>
      <c r="E2008" t="s">
        <v>58</v>
      </c>
      <c r="F2008">
        <v>1</v>
      </c>
      <c r="G2008">
        <v>24.5</v>
      </c>
      <c r="H2008">
        <v>11.85</v>
      </c>
      <c r="I2008" t="s">
        <v>50</v>
      </c>
      <c r="J2008">
        <v>18</v>
      </c>
      <c r="K2008" t="s">
        <v>51</v>
      </c>
      <c r="L2008">
        <v>5</v>
      </c>
      <c r="M2008" t="str">
        <f>VLOOKUP(D2008,State_Lookup!$A$2:$B$28,2,FALSE)</f>
        <v>Sao Paulo</v>
      </c>
    </row>
    <row r="2009" spans="1:13" x14ac:dyDescent="0.45">
      <c r="A2009" t="s">
        <v>2472</v>
      </c>
      <c r="B2009" t="s">
        <v>2456</v>
      </c>
      <c r="C2009" t="s">
        <v>2026</v>
      </c>
      <c r="D2009" t="s">
        <v>16</v>
      </c>
      <c r="E2009" t="s">
        <v>192</v>
      </c>
      <c r="F2009">
        <v>1</v>
      </c>
      <c r="G2009">
        <v>94.9</v>
      </c>
      <c r="H2009">
        <v>16.420000000000002</v>
      </c>
      <c r="I2009" t="s">
        <v>44</v>
      </c>
      <c r="J2009">
        <v>15</v>
      </c>
      <c r="K2009" t="s">
        <v>51</v>
      </c>
      <c r="L2009">
        <v>5</v>
      </c>
      <c r="M2009" t="str">
        <f>VLOOKUP(D2009,State_Lookup!$A$2:$B$28,2,FALSE)</f>
        <v>Sao Paulo</v>
      </c>
    </row>
    <row r="2010" spans="1:13" x14ac:dyDescent="0.45">
      <c r="A2010" t="s">
        <v>2473</v>
      </c>
      <c r="B2010" t="s">
        <v>2456</v>
      </c>
      <c r="C2010" t="s">
        <v>2026</v>
      </c>
      <c r="D2010" t="s">
        <v>16</v>
      </c>
      <c r="E2010" t="s">
        <v>110</v>
      </c>
      <c r="F2010">
        <v>2</v>
      </c>
      <c r="G2010">
        <v>199.8</v>
      </c>
      <c r="H2010">
        <v>26.08</v>
      </c>
      <c r="I2010" t="s">
        <v>44</v>
      </c>
      <c r="J2010">
        <v>13</v>
      </c>
      <c r="K2010" t="s">
        <v>51</v>
      </c>
      <c r="L2010">
        <v>4</v>
      </c>
      <c r="M2010" t="str">
        <f>VLOOKUP(D2010,State_Lookup!$A$2:$B$28,2,FALSE)</f>
        <v>Sao Paulo</v>
      </c>
    </row>
    <row r="2011" spans="1:13" x14ac:dyDescent="0.45">
      <c r="A2011" t="s">
        <v>2474</v>
      </c>
      <c r="B2011" t="s">
        <v>2456</v>
      </c>
      <c r="C2011" t="s">
        <v>2026</v>
      </c>
      <c r="D2011" t="s">
        <v>83</v>
      </c>
      <c r="E2011" t="s">
        <v>1056</v>
      </c>
      <c r="F2011">
        <v>1</v>
      </c>
      <c r="G2011">
        <v>119.9</v>
      </c>
      <c r="H2011">
        <v>15.6</v>
      </c>
      <c r="I2011" t="s">
        <v>44</v>
      </c>
      <c r="J2011">
        <v>18</v>
      </c>
      <c r="K2011" t="s">
        <v>51</v>
      </c>
      <c r="L2011">
        <v>4</v>
      </c>
      <c r="M2011" t="str">
        <f>VLOOKUP(D2011,State_Lookup!$A$2:$B$28,2,FALSE)</f>
        <v>Sergipe</v>
      </c>
    </row>
    <row r="2012" spans="1:13" x14ac:dyDescent="0.45">
      <c r="A2012" t="s">
        <v>2475</v>
      </c>
      <c r="B2012" t="s">
        <v>2456</v>
      </c>
      <c r="C2012" t="s">
        <v>2026</v>
      </c>
      <c r="D2012" t="s">
        <v>16</v>
      </c>
      <c r="E2012" t="s">
        <v>302</v>
      </c>
      <c r="F2012">
        <v>1</v>
      </c>
      <c r="G2012">
        <v>199</v>
      </c>
      <c r="H2012">
        <v>10.210000000000001</v>
      </c>
      <c r="I2012" t="s">
        <v>44</v>
      </c>
      <c r="J2012">
        <v>5</v>
      </c>
      <c r="K2012" t="s">
        <v>51</v>
      </c>
      <c r="L2012">
        <v>1</v>
      </c>
      <c r="M2012" t="str">
        <f>VLOOKUP(D2012,State_Lookup!$A$2:$B$28,2,FALSE)</f>
        <v>Sao Paulo</v>
      </c>
    </row>
    <row r="2013" spans="1:13" x14ac:dyDescent="0.45">
      <c r="A2013" t="s">
        <v>2476</v>
      </c>
      <c r="B2013" t="s">
        <v>2456</v>
      </c>
      <c r="C2013" t="s">
        <v>2026</v>
      </c>
      <c r="D2013" t="s">
        <v>16</v>
      </c>
      <c r="E2013" t="s">
        <v>49</v>
      </c>
      <c r="F2013">
        <v>1</v>
      </c>
      <c r="G2013">
        <v>55</v>
      </c>
      <c r="H2013">
        <v>25.67</v>
      </c>
      <c r="I2013" t="s">
        <v>50</v>
      </c>
      <c r="J2013">
        <v>7</v>
      </c>
      <c r="K2013" t="s">
        <v>51</v>
      </c>
      <c r="L2013">
        <v>5</v>
      </c>
      <c r="M2013" t="str">
        <f>VLOOKUP(D2013,State_Lookup!$A$2:$B$28,2,FALSE)</f>
        <v>Sao Paulo</v>
      </c>
    </row>
    <row r="2014" spans="1:13" x14ac:dyDescent="0.45">
      <c r="A2014" t="s">
        <v>2477</v>
      </c>
      <c r="B2014" t="s">
        <v>2456</v>
      </c>
      <c r="C2014" t="s">
        <v>2026</v>
      </c>
      <c r="D2014" t="s">
        <v>17</v>
      </c>
      <c r="E2014" t="s">
        <v>110</v>
      </c>
      <c r="F2014">
        <v>1</v>
      </c>
      <c r="G2014">
        <v>119.99</v>
      </c>
      <c r="H2014">
        <v>21.33</v>
      </c>
      <c r="I2014" t="s">
        <v>44</v>
      </c>
      <c r="J2014">
        <v>27</v>
      </c>
      <c r="K2014" t="s">
        <v>51</v>
      </c>
      <c r="L2014">
        <v>4</v>
      </c>
      <c r="M2014" t="str">
        <f>VLOOKUP(D2014,State_Lookup!$A$2:$B$28,2,FALSE)</f>
        <v>Rio de Janeiro</v>
      </c>
    </row>
    <row r="2015" spans="1:13" x14ac:dyDescent="0.45">
      <c r="A2015" t="s">
        <v>2478</v>
      </c>
      <c r="B2015" t="s">
        <v>2456</v>
      </c>
      <c r="C2015" t="s">
        <v>2026</v>
      </c>
      <c r="D2015" t="s">
        <v>17</v>
      </c>
      <c r="E2015" t="s">
        <v>244</v>
      </c>
      <c r="F2015">
        <v>1</v>
      </c>
      <c r="G2015">
        <v>45</v>
      </c>
      <c r="H2015">
        <v>15.1</v>
      </c>
      <c r="I2015" t="s">
        <v>50</v>
      </c>
      <c r="J2015">
        <v>12</v>
      </c>
      <c r="K2015" t="s">
        <v>51</v>
      </c>
      <c r="L2015">
        <v>5</v>
      </c>
      <c r="M2015" t="str">
        <f>VLOOKUP(D2015,State_Lookup!$A$2:$B$28,2,FALSE)</f>
        <v>Rio de Janeiro</v>
      </c>
    </row>
    <row r="2016" spans="1:13" x14ac:dyDescent="0.45">
      <c r="A2016" t="s">
        <v>2479</v>
      </c>
      <c r="B2016" t="s">
        <v>2456</v>
      </c>
      <c r="C2016" t="s">
        <v>2026</v>
      </c>
      <c r="D2016" t="s">
        <v>18</v>
      </c>
      <c r="E2016" t="s">
        <v>79</v>
      </c>
      <c r="F2016">
        <v>1</v>
      </c>
      <c r="G2016">
        <v>84.99</v>
      </c>
      <c r="H2016">
        <v>21.08</v>
      </c>
      <c r="I2016" t="s">
        <v>44</v>
      </c>
      <c r="J2016">
        <v>9</v>
      </c>
      <c r="K2016" t="s">
        <v>51</v>
      </c>
      <c r="L2016">
        <v>5</v>
      </c>
      <c r="M2016" t="str">
        <f>VLOOKUP(D2016,State_Lookup!$A$2:$B$28,2,FALSE)</f>
        <v>Minas Gerais</v>
      </c>
    </row>
    <row r="2017" spans="1:13" x14ac:dyDescent="0.45">
      <c r="A2017" t="s">
        <v>2480</v>
      </c>
      <c r="B2017" t="s">
        <v>2456</v>
      </c>
      <c r="C2017" t="s">
        <v>2026</v>
      </c>
      <c r="D2017" t="s">
        <v>20</v>
      </c>
      <c r="E2017" t="s">
        <v>79</v>
      </c>
      <c r="F2017">
        <v>1</v>
      </c>
      <c r="G2017">
        <v>46.49</v>
      </c>
      <c r="H2017">
        <v>15.1</v>
      </c>
      <c r="I2017" t="s">
        <v>44</v>
      </c>
      <c r="J2017">
        <v>25</v>
      </c>
      <c r="K2017" t="s">
        <v>51</v>
      </c>
      <c r="L2017">
        <v>3</v>
      </c>
      <c r="M2017" t="str">
        <f>VLOOKUP(D2017,State_Lookup!$A$2:$B$28,2,FALSE)</f>
        <v>Parana</v>
      </c>
    </row>
    <row r="2018" spans="1:13" x14ac:dyDescent="0.45">
      <c r="A2018" t="s">
        <v>2481</v>
      </c>
      <c r="B2018" t="s">
        <v>2456</v>
      </c>
      <c r="C2018" t="s">
        <v>2026</v>
      </c>
      <c r="D2018" t="s">
        <v>16</v>
      </c>
      <c r="E2018" t="s">
        <v>49</v>
      </c>
      <c r="F2018">
        <v>1</v>
      </c>
      <c r="G2018">
        <v>1199</v>
      </c>
      <c r="H2018">
        <v>134.25</v>
      </c>
      <c r="I2018" t="s">
        <v>44</v>
      </c>
      <c r="J2018">
        <v>11</v>
      </c>
      <c r="K2018" t="s">
        <v>51</v>
      </c>
      <c r="L2018">
        <v>5</v>
      </c>
      <c r="M2018" t="str">
        <f>VLOOKUP(D2018,State_Lookup!$A$2:$B$28,2,FALSE)</f>
        <v>Sao Paulo</v>
      </c>
    </row>
    <row r="2019" spans="1:13" x14ac:dyDescent="0.45">
      <c r="A2019" t="s">
        <v>2482</v>
      </c>
      <c r="B2019" t="s">
        <v>2456</v>
      </c>
      <c r="C2019" t="s">
        <v>2026</v>
      </c>
      <c r="D2019" t="s">
        <v>23</v>
      </c>
      <c r="E2019" t="s">
        <v>53</v>
      </c>
      <c r="F2019">
        <v>1</v>
      </c>
      <c r="G2019">
        <v>139.9</v>
      </c>
      <c r="H2019">
        <v>15.74</v>
      </c>
      <c r="I2019" t="s">
        <v>50</v>
      </c>
      <c r="J2019">
        <v>18</v>
      </c>
      <c r="K2019" t="s">
        <v>51</v>
      </c>
      <c r="L2019">
        <v>5</v>
      </c>
      <c r="M2019" t="str">
        <f>VLOOKUP(D2019,State_Lookup!$A$2:$B$28,2,FALSE)</f>
        <v>Espirito Santo</v>
      </c>
    </row>
    <row r="2020" spans="1:13" x14ac:dyDescent="0.45">
      <c r="A2020" t="s">
        <v>2483</v>
      </c>
      <c r="B2020" t="s">
        <v>2456</v>
      </c>
      <c r="C2020" t="s">
        <v>2026</v>
      </c>
      <c r="D2020" t="s">
        <v>17</v>
      </c>
      <c r="E2020" t="s">
        <v>110</v>
      </c>
      <c r="F2020">
        <v>1</v>
      </c>
      <c r="G2020">
        <v>21.99</v>
      </c>
      <c r="H2020">
        <v>15.1</v>
      </c>
      <c r="I2020" t="s">
        <v>44</v>
      </c>
      <c r="J2020">
        <v>34</v>
      </c>
      <c r="K2020" t="s">
        <v>143</v>
      </c>
      <c r="L2020">
        <v>2</v>
      </c>
      <c r="M2020" t="str">
        <f>VLOOKUP(D2020,State_Lookup!$A$2:$B$28,2,FALSE)</f>
        <v>Rio de Janeiro</v>
      </c>
    </row>
    <row r="2021" spans="1:13" x14ac:dyDescent="0.45">
      <c r="A2021" t="s">
        <v>2484</v>
      </c>
      <c r="B2021" t="s">
        <v>2456</v>
      </c>
      <c r="C2021" t="s">
        <v>2026</v>
      </c>
      <c r="D2021" t="s">
        <v>17</v>
      </c>
      <c r="E2021" t="s">
        <v>110</v>
      </c>
      <c r="F2021">
        <v>1</v>
      </c>
      <c r="G2021">
        <v>99.9</v>
      </c>
      <c r="H2021">
        <v>17.95</v>
      </c>
      <c r="I2021" t="s">
        <v>44</v>
      </c>
      <c r="J2021">
        <v>20</v>
      </c>
      <c r="K2021" t="s">
        <v>51</v>
      </c>
      <c r="L2021">
        <v>4</v>
      </c>
      <c r="M2021" t="str">
        <f>VLOOKUP(D2021,State_Lookup!$A$2:$B$28,2,FALSE)</f>
        <v>Rio de Janeiro</v>
      </c>
    </row>
    <row r="2022" spans="1:13" x14ac:dyDescent="0.45">
      <c r="A2022" t="s">
        <v>2485</v>
      </c>
      <c r="B2022" t="s">
        <v>2486</v>
      </c>
      <c r="C2022" t="s">
        <v>2487</v>
      </c>
      <c r="D2022" t="s">
        <v>17</v>
      </c>
      <c r="E2022" t="s">
        <v>61</v>
      </c>
      <c r="F2022">
        <v>1</v>
      </c>
      <c r="G2022">
        <v>31.9</v>
      </c>
      <c r="H2022">
        <v>14.1</v>
      </c>
      <c r="I2022" t="s">
        <v>44</v>
      </c>
      <c r="J2022">
        <v>20</v>
      </c>
      <c r="K2022" t="s">
        <v>51</v>
      </c>
      <c r="L2022">
        <v>5</v>
      </c>
      <c r="M2022" t="str">
        <f>VLOOKUP(D2022,State_Lookup!$A$2:$B$28,2,FALSE)</f>
        <v>Rio de Janeiro</v>
      </c>
    </row>
    <row r="2023" spans="1:13" x14ac:dyDescent="0.45">
      <c r="A2023" t="s">
        <v>2488</v>
      </c>
      <c r="B2023" t="s">
        <v>2486</v>
      </c>
      <c r="C2023" t="s">
        <v>2487</v>
      </c>
      <c r="D2023" t="s">
        <v>208</v>
      </c>
      <c r="E2023" t="s">
        <v>79</v>
      </c>
      <c r="F2023">
        <v>1</v>
      </c>
      <c r="G2023">
        <v>149.65</v>
      </c>
      <c r="H2023">
        <v>26.33</v>
      </c>
      <c r="I2023" t="s">
        <v>44</v>
      </c>
      <c r="J2023">
        <v>32</v>
      </c>
      <c r="K2023" t="s">
        <v>51</v>
      </c>
      <c r="L2023">
        <v>5</v>
      </c>
      <c r="M2023" t="str">
        <f>VLOOKUP(D2023,State_Lookup!$A$2:$B$28,2,FALSE)</f>
        <v>Mato Grosso</v>
      </c>
    </row>
    <row r="2024" spans="1:13" x14ac:dyDescent="0.45">
      <c r="A2024" t="s">
        <v>2489</v>
      </c>
      <c r="B2024" t="s">
        <v>2486</v>
      </c>
      <c r="C2024" t="s">
        <v>2487</v>
      </c>
      <c r="D2024" t="s">
        <v>19</v>
      </c>
      <c r="E2024" t="s">
        <v>199</v>
      </c>
      <c r="F2024">
        <v>1</v>
      </c>
      <c r="G2024">
        <v>122.99</v>
      </c>
      <c r="H2024">
        <v>15.61</v>
      </c>
      <c r="I2024" t="s">
        <v>44</v>
      </c>
      <c r="J2024">
        <v>11</v>
      </c>
      <c r="K2024" t="s">
        <v>51</v>
      </c>
      <c r="L2024">
        <v>5</v>
      </c>
      <c r="M2024" t="str">
        <f>VLOOKUP(D2024,State_Lookup!$A$2:$B$28,2,FALSE)</f>
        <v>Rio Grande do Sul</v>
      </c>
    </row>
    <row r="2025" spans="1:13" x14ac:dyDescent="0.45">
      <c r="A2025" t="s">
        <v>2490</v>
      </c>
      <c r="B2025" t="s">
        <v>2486</v>
      </c>
      <c r="C2025" t="s">
        <v>2487</v>
      </c>
      <c r="D2025" t="s">
        <v>16</v>
      </c>
      <c r="E2025" t="s">
        <v>110</v>
      </c>
      <c r="F2025">
        <v>2</v>
      </c>
      <c r="G2025">
        <v>57.8</v>
      </c>
      <c r="H2025">
        <v>18.54</v>
      </c>
      <c r="I2025" t="s">
        <v>50</v>
      </c>
      <c r="J2025">
        <v>11</v>
      </c>
      <c r="K2025" t="s">
        <v>51</v>
      </c>
      <c r="L2025">
        <v>4</v>
      </c>
      <c r="M2025" t="str">
        <f>VLOOKUP(D2025,State_Lookup!$A$2:$B$28,2,FALSE)</f>
        <v>Sao Paulo</v>
      </c>
    </row>
    <row r="2026" spans="1:13" x14ac:dyDescent="0.45">
      <c r="A2026" t="s">
        <v>2491</v>
      </c>
      <c r="B2026" t="s">
        <v>2486</v>
      </c>
      <c r="C2026" t="s">
        <v>2487</v>
      </c>
      <c r="D2026" t="s">
        <v>16</v>
      </c>
      <c r="E2026" t="s">
        <v>61</v>
      </c>
      <c r="F2026">
        <v>1</v>
      </c>
      <c r="G2026">
        <v>109.9</v>
      </c>
      <c r="H2026">
        <v>12.9</v>
      </c>
      <c r="I2026" t="s">
        <v>50</v>
      </c>
      <c r="J2026">
        <v>10</v>
      </c>
      <c r="K2026" t="s">
        <v>51</v>
      </c>
      <c r="L2026">
        <v>4</v>
      </c>
      <c r="M2026" t="str">
        <f>VLOOKUP(D2026,State_Lookup!$A$2:$B$28,2,FALSE)</f>
        <v>Sao Paulo</v>
      </c>
    </row>
    <row r="2027" spans="1:13" x14ac:dyDescent="0.45">
      <c r="A2027" t="s">
        <v>2492</v>
      </c>
      <c r="B2027" t="s">
        <v>2486</v>
      </c>
      <c r="C2027" t="s">
        <v>2487</v>
      </c>
      <c r="D2027" t="s">
        <v>17</v>
      </c>
      <c r="E2027" t="s">
        <v>157</v>
      </c>
      <c r="F2027">
        <v>1</v>
      </c>
      <c r="G2027">
        <v>348.8</v>
      </c>
      <c r="H2027">
        <v>16.190000000000001</v>
      </c>
      <c r="I2027" t="s">
        <v>44</v>
      </c>
      <c r="J2027">
        <v>48</v>
      </c>
      <c r="K2027" t="s">
        <v>143</v>
      </c>
      <c r="L2027">
        <v>2</v>
      </c>
      <c r="M2027" t="str">
        <f>VLOOKUP(D2027,State_Lookup!$A$2:$B$28,2,FALSE)</f>
        <v>Rio de Janeiro</v>
      </c>
    </row>
    <row r="2028" spans="1:13" x14ac:dyDescent="0.45">
      <c r="A2028" t="s">
        <v>2493</v>
      </c>
      <c r="B2028" t="s">
        <v>2486</v>
      </c>
      <c r="C2028" t="s">
        <v>2487</v>
      </c>
      <c r="D2028" t="s">
        <v>128</v>
      </c>
      <c r="E2028" t="s">
        <v>53</v>
      </c>
      <c r="F2028">
        <v>1</v>
      </c>
      <c r="G2028">
        <v>86.99</v>
      </c>
      <c r="H2028">
        <v>29.01</v>
      </c>
      <c r="I2028" t="s">
        <v>44</v>
      </c>
      <c r="J2028">
        <v>34</v>
      </c>
      <c r="K2028" t="s">
        <v>143</v>
      </c>
      <c r="L2028">
        <v>3</v>
      </c>
      <c r="M2028" t="str">
        <f>VLOOKUP(D2028,State_Lookup!$A$2:$B$28,2,FALSE)</f>
        <v>Ceara</v>
      </c>
    </row>
    <row r="2029" spans="1:13" x14ac:dyDescent="0.45">
      <c r="A2029" t="s">
        <v>2494</v>
      </c>
      <c r="B2029" t="s">
        <v>2486</v>
      </c>
      <c r="C2029" t="s">
        <v>2487</v>
      </c>
      <c r="D2029" t="s">
        <v>16</v>
      </c>
      <c r="E2029" t="s">
        <v>110</v>
      </c>
      <c r="F2029">
        <v>1</v>
      </c>
      <c r="G2029">
        <v>54.9</v>
      </c>
      <c r="H2029">
        <v>13.08</v>
      </c>
      <c r="I2029" t="s">
        <v>44</v>
      </c>
      <c r="J2029">
        <v>5</v>
      </c>
      <c r="K2029" t="s">
        <v>51</v>
      </c>
      <c r="L2029">
        <v>5</v>
      </c>
      <c r="M2029" t="str">
        <f>VLOOKUP(D2029,State_Lookup!$A$2:$B$28,2,FALSE)</f>
        <v>Sao Paulo</v>
      </c>
    </row>
    <row r="2030" spans="1:13" x14ac:dyDescent="0.45">
      <c r="A2030" t="s">
        <v>2495</v>
      </c>
      <c r="B2030" t="s">
        <v>2486</v>
      </c>
      <c r="C2030" t="s">
        <v>2487</v>
      </c>
      <c r="D2030" t="s">
        <v>16</v>
      </c>
      <c r="E2030" t="s">
        <v>61</v>
      </c>
      <c r="F2030">
        <v>1</v>
      </c>
      <c r="G2030">
        <v>215.5</v>
      </c>
      <c r="H2030">
        <v>14.53</v>
      </c>
      <c r="I2030" t="s">
        <v>50</v>
      </c>
      <c r="J2030">
        <v>11</v>
      </c>
      <c r="K2030" t="s">
        <v>51</v>
      </c>
      <c r="L2030">
        <v>4</v>
      </c>
      <c r="M2030" t="str">
        <f>VLOOKUP(D2030,State_Lookup!$A$2:$B$28,2,FALSE)</f>
        <v>Sao Paulo</v>
      </c>
    </row>
    <row r="2031" spans="1:13" x14ac:dyDescent="0.45">
      <c r="A2031" t="s">
        <v>2496</v>
      </c>
      <c r="B2031" t="s">
        <v>2486</v>
      </c>
      <c r="C2031" t="s">
        <v>2487</v>
      </c>
      <c r="D2031" t="s">
        <v>20</v>
      </c>
      <c r="E2031" t="s">
        <v>69</v>
      </c>
      <c r="F2031">
        <v>1</v>
      </c>
      <c r="G2031">
        <v>89.99</v>
      </c>
      <c r="H2031">
        <v>50.5</v>
      </c>
      <c r="I2031" t="s">
        <v>44</v>
      </c>
      <c r="J2031">
        <v>17</v>
      </c>
      <c r="K2031" t="s">
        <v>51</v>
      </c>
      <c r="L2031">
        <v>5</v>
      </c>
      <c r="M2031" t="str">
        <f>VLOOKUP(D2031,State_Lookup!$A$2:$B$28,2,FALSE)</f>
        <v>Parana</v>
      </c>
    </row>
    <row r="2032" spans="1:13" x14ac:dyDescent="0.45">
      <c r="A2032" t="s">
        <v>2497</v>
      </c>
      <c r="B2032" t="s">
        <v>2498</v>
      </c>
      <c r="C2032" t="s">
        <v>2487</v>
      </c>
      <c r="D2032" t="s">
        <v>17</v>
      </c>
      <c r="E2032" t="s">
        <v>148</v>
      </c>
      <c r="F2032">
        <v>1</v>
      </c>
      <c r="G2032">
        <v>64.989999999999995</v>
      </c>
      <c r="H2032">
        <v>16.21</v>
      </c>
      <c r="I2032" t="s">
        <v>44</v>
      </c>
      <c r="J2032">
        <v>12</v>
      </c>
      <c r="K2032" t="s">
        <v>51</v>
      </c>
      <c r="L2032">
        <v>5</v>
      </c>
      <c r="M2032" t="str">
        <f>VLOOKUP(D2032,State_Lookup!$A$2:$B$28,2,FALSE)</f>
        <v>Rio de Janeiro</v>
      </c>
    </row>
    <row r="2033" spans="1:13" x14ac:dyDescent="0.45">
      <c r="A2033" t="s">
        <v>2499</v>
      </c>
      <c r="B2033" t="s">
        <v>2498</v>
      </c>
      <c r="C2033" t="s">
        <v>2487</v>
      </c>
      <c r="D2033" t="s">
        <v>16</v>
      </c>
      <c r="E2033" t="s">
        <v>53</v>
      </c>
      <c r="F2033">
        <v>2</v>
      </c>
      <c r="G2033">
        <v>119.98</v>
      </c>
      <c r="H2033">
        <v>18.68</v>
      </c>
      <c r="I2033" t="s">
        <v>44</v>
      </c>
      <c r="J2033">
        <v>12</v>
      </c>
      <c r="K2033" t="s">
        <v>51</v>
      </c>
      <c r="L2033">
        <v>3</v>
      </c>
      <c r="M2033" t="str">
        <f>VLOOKUP(D2033,State_Lookup!$A$2:$B$28,2,FALSE)</f>
        <v>Sao Paulo</v>
      </c>
    </row>
    <row r="2034" spans="1:13" x14ac:dyDescent="0.45">
      <c r="A2034" t="s">
        <v>2500</v>
      </c>
      <c r="B2034" t="s">
        <v>2498</v>
      </c>
      <c r="C2034" t="s">
        <v>2487</v>
      </c>
      <c r="D2034" t="s">
        <v>16</v>
      </c>
      <c r="E2034" t="s">
        <v>61</v>
      </c>
      <c r="F2034">
        <v>1</v>
      </c>
      <c r="G2034">
        <v>44.9</v>
      </c>
      <c r="H2034">
        <v>11.85</v>
      </c>
      <c r="I2034" t="s">
        <v>44</v>
      </c>
      <c r="J2034">
        <v>13</v>
      </c>
      <c r="K2034" t="s">
        <v>51</v>
      </c>
      <c r="L2034">
        <v>5</v>
      </c>
      <c r="M2034" t="str">
        <f>VLOOKUP(D2034,State_Lookup!$A$2:$B$28,2,FALSE)</f>
        <v>Sao Paulo</v>
      </c>
    </row>
    <row r="2035" spans="1:13" x14ac:dyDescent="0.45">
      <c r="A2035" t="s">
        <v>2501</v>
      </c>
      <c r="B2035" t="s">
        <v>2498</v>
      </c>
      <c r="C2035" t="s">
        <v>2487</v>
      </c>
      <c r="D2035" t="s">
        <v>17</v>
      </c>
      <c r="E2035" t="s">
        <v>53</v>
      </c>
      <c r="F2035">
        <v>1</v>
      </c>
      <c r="G2035">
        <v>299.99</v>
      </c>
      <c r="H2035">
        <v>11.11</v>
      </c>
      <c r="I2035" t="s">
        <v>44</v>
      </c>
      <c r="J2035">
        <v>3</v>
      </c>
      <c r="K2035" t="s">
        <v>51</v>
      </c>
      <c r="L2035">
        <v>5</v>
      </c>
      <c r="M2035" t="str">
        <f>VLOOKUP(D2035,State_Lookup!$A$2:$B$28,2,FALSE)</f>
        <v>Rio de Janeiro</v>
      </c>
    </row>
    <row r="2036" spans="1:13" x14ac:dyDescent="0.45">
      <c r="A2036" t="s">
        <v>2502</v>
      </c>
      <c r="B2036" t="s">
        <v>2498</v>
      </c>
      <c r="C2036" t="s">
        <v>2487</v>
      </c>
      <c r="D2036" t="s">
        <v>16</v>
      </c>
      <c r="E2036" t="s">
        <v>43</v>
      </c>
      <c r="F2036">
        <v>1</v>
      </c>
      <c r="G2036">
        <v>50.9</v>
      </c>
      <c r="H2036">
        <v>12.7</v>
      </c>
      <c r="I2036" t="s">
        <v>44</v>
      </c>
      <c r="J2036">
        <v>12</v>
      </c>
      <c r="K2036" t="s">
        <v>51</v>
      </c>
      <c r="L2036">
        <v>5</v>
      </c>
      <c r="M2036" t="str">
        <f>VLOOKUP(D2036,State_Lookup!$A$2:$B$28,2,FALSE)</f>
        <v>Sao Paulo</v>
      </c>
    </row>
    <row r="2037" spans="1:13" x14ac:dyDescent="0.45">
      <c r="A2037" t="s">
        <v>2503</v>
      </c>
      <c r="B2037" t="s">
        <v>2498</v>
      </c>
      <c r="C2037" t="s">
        <v>2487</v>
      </c>
      <c r="D2037" t="s">
        <v>21</v>
      </c>
      <c r="E2037" t="s">
        <v>244</v>
      </c>
      <c r="F2037">
        <v>1</v>
      </c>
      <c r="G2037">
        <v>37.5</v>
      </c>
      <c r="H2037">
        <v>16.11</v>
      </c>
      <c r="I2037" t="s">
        <v>44</v>
      </c>
      <c r="J2037">
        <v>16</v>
      </c>
      <c r="K2037" t="s">
        <v>51</v>
      </c>
      <c r="L2037">
        <v>5</v>
      </c>
      <c r="M2037" t="str">
        <f>VLOOKUP(D2037,State_Lookup!$A$2:$B$28,2,FALSE)</f>
        <v>Santa Catarina</v>
      </c>
    </row>
    <row r="2038" spans="1:13" x14ac:dyDescent="0.45">
      <c r="A2038" t="s">
        <v>2504</v>
      </c>
      <c r="B2038" t="s">
        <v>2498</v>
      </c>
      <c r="C2038" t="s">
        <v>2487</v>
      </c>
      <c r="D2038" t="s">
        <v>24</v>
      </c>
      <c r="E2038" t="s">
        <v>110</v>
      </c>
      <c r="F2038">
        <v>1</v>
      </c>
      <c r="G2038">
        <v>99.9</v>
      </c>
      <c r="H2038">
        <v>21.19</v>
      </c>
      <c r="I2038" t="s">
        <v>44</v>
      </c>
      <c r="J2038">
        <v>17</v>
      </c>
      <c r="K2038" t="s">
        <v>51</v>
      </c>
      <c r="L2038">
        <v>3</v>
      </c>
      <c r="M2038" t="str">
        <f>VLOOKUP(D2038,State_Lookup!$A$2:$B$28,2,FALSE)</f>
        <v>Distrito Federal</v>
      </c>
    </row>
    <row r="2039" spans="1:13" x14ac:dyDescent="0.45">
      <c r="A2039" t="s">
        <v>2505</v>
      </c>
      <c r="B2039" t="s">
        <v>2498</v>
      </c>
      <c r="C2039" t="s">
        <v>2487</v>
      </c>
      <c r="D2039" t="s">
        <v>16</v>
      </c>
      <c r="E2039" t="s">
        <v>79</v>
      </c>
      <c r="F2039">
        <v>1</v>
      </c>
      <c r="G2039">
        <v>34.99</v>
      </c>
      <c r="H2039">
        <v>7.78</v>
      </c>
      <c r="I2039" t="s">
        <v>50</v>
      </c>
      <c r="J2039">
        <v>6</v>
      </c>
      <c r="K2039" t="s">
        <v>51</v>
      </c>
      <c r="L2039">
        <v>1</v>
      </c>
      <c r="M2039" t="str">
        <f>VLOOKUP(D2039,State_Lookup!$A$2:$B$28,2,FALSE)</f>
        <v>Sao Paulo</v>
      </c>
    </row>
    <row r="2040" spans="1:13" x14ac:dyDescent="0.45">
      <c r="A2040" t="s">
        <v>2506</v>
      </c>
      <c r="B2040" t="s">
        <v>2498</v>
      </c>
      <c r="C2040" t="s">
        <v>2487</v>
      </c>
      <c r="D2040" t="s">
        <v>16</v>
      </c>
      <c r="E2040" t="s">
        <v>43</v>
      </c>
      <c r="F2040">
        <v>1</v>
      </c>
      <c r="G2040">
        <v>148</v>
      </c>
      <c r="H2040">
        <v>18.29</v>
      </c>
      <c r="I2040" t="s">
        <v>44</v>
      </c>
      <c r="J2040">
        <v>19</v>
      </c>
      <c r="K2040" t="s">
        <v>51</v>
      </c>
      <c r="L2040">
        <v>5</v>
      </c>
      <c r="M2040" t="str">
        <f>VLOOKUP(D2040,State_Lookup!$A$2:$B$28,2,FALSE)</f>
        <v>Sao Paulo</v>
      </c>
    </row>
    <row r="2041" spans="1:13" x14ac:dyDescent="0.45">
      <c r="A2041" t="s">
        <v>2507</v>
      </c>
      <c r="B2041" t="s">
        <v>2498</v>
      </c>
      <c r="C2041" t="s">
        <v>2487</v>
      </c>
      <c r="D2041" t="s">
        <v>17</v>
      </c>
      <c r="E2041" t="s">
        <v>110</v>
      </c>
      <c r="F2041">
        <v>1</v>
      </c>
      <c r="G2041">
        <v>39.99</v>
      </c>
      <c r="H2041">
        <v>15.1</v>
      </c>
      <c r="I2041" t="s">
        <v>50</v>
      </c>
      <c r="J2041">
        <v>36</v>
      </c>
      <c r="K2041" t="s">
        <v>143</v>
      </c>
      <c r="L2041">
        <v>1</v>
      </c>
      <c r="M2041" t="str">
        <f>VLOOKUP(D2041,State_Lookup!$A$2:$B$28,2,FALSE)</f>
        <v>Rio de Janeiro</v>
      </c>
    </row>
    <row r="2042" spans="1:13" x14ac:dyDescent="0.45">
      <c r="A2042" t="s">
        <v>2508</v>
      </c>
      <c r="B2042" t="s">
        <v>2509</v>
      </c>
      <c r="C2042" t="s">
        <v>2487</v>
      </c>
      <c r="D2042" t="s">
        <v>16</v>
      </c>
      <c r="E2042" t="s">
        <v>43</v>
      </c>
      <c r="F2042">
        <v>1</v>
      </c>
      <c r="G2042">
        <v>89.9</v>
      </c>
      <c r="H2042">
        <v>13.65</v>
      </c>
      <c r="I2042" t="s">
        <v>50</v>
      </c>
      <c r="J2042">
        <v>5</v>
      </c>
      <c r="K2042" t="s">
        <v>51</v>
      </c>
      <c r="L2042">
        <v>5</v>
      </c>
      <c r="M2042" t="str">
        <f>VLOOKUP(D2042,State_Lookup!$A$2:$B$28,2,FALSE)</f>
        <v>Sao Paulo</v>
      </c>
    </row>
    <row r="2043" spans="1:13" x14ac:dyDescent="0.45">
      <c r="A2043" t="s">
        <v>2510</v>
      </c>
      <c r="B2043" t="s">
        <v>2509</v>
      </c>
      <c r="C2043" t="s">
        <v>2487</v>
      </c>
      <c r="D2043" t="s">
        <v>16</v>
      </c>
      <c r="E2043" t="s">
        <v>110</v>
      </c>
      <c r="F2043">
        <v>1</v>
      </c>
      <c r="G2043">
        <v>140</v>
      </c>
      <c r="H2043">
        <v>25.5</v>
      </c>
      <c r="I2043" t="s">
        <v>44</v>
      </c>
      <c r="J2043">
        <v>3</v>
      </c>
      <c r="K2043" t="s">
        <v>51</v>
      </c>
      <c r="L2043">
        <v>2</v>
      </c>
      <c r="M2043" t="str">
        <f>VLOOKUP(D2043,State_Lookup!$A$2:$B$28,2,FALSE)</f>
        <v>Sao Paulo</v>
      </c>
    </row>
    <row r="2044" spans="1:13" x14ac:dyDescent="0.45">
      <c r="A2044" t="s">
        <v>2511</v>
      </c>
      <c r="B2044" t="s">
        <v>2509</v>
      </c>
      <c r="C2044" t="s">
        <v>2487</v>
      </c>
      <c r="D2044" t="s">
        <v>20</v>
      </c>
      <c r="E2044" t="s">
        <v>53</v>
      </c>
      <c r="F2044">
        <v>1</v>
      </c>
      <c r="G2044">
        <v>86.99</v>
      </c>
      <c r="H2044">
        <v>17.86</v>
      </c>
      <c r="I2044" t="s">
        <v>44</v>
      </c>
      <c r="J2044">
        <v>31</v>
      </c>
      <c r="K2044" t="s">
        <v>51</v>
      </c>
      <c r="L2044">
        <v>2</v>
      </c>
      <c r="M2044" t="str">
        <f>VLOOKUP(D2044,State_Lookup!$A$2:$B$28,2,FALSE)</f>
        <v>Parana</v>
      </c>
    </row>
    <row r="2045" spans="1:13" x14ac:dyDescent="0.45">
      <c r="A2045" t="s">
        <v>2512</v>
      </c>
      <c r="B2045" t="s">
        <v>2509</v>
      </c>
      <c r="C2045" t="s">
        <v>2487</v>
      </c>
      <c r="D2045" t="s">
        <v>19</v>
      </c>
      <c r="E2045" t="s">
        <v>1903</v>
      </c>
      <c r="F2045">
        <v>1</v>
      </c>
      <c r="G2045">
        <v>40</v>
      </c>
      <c r="H2045">
        <v>17.600000000000001</v>
      </c>
      <c r="I2045" t="s">
        <v>44</v>
      </c>
      <c r="J2045">
        <v>18</v>
      </c>
      <c r="K2045" t="s">
        <v>51</v>
      </c>
      <c r="L2045">
        <v>5</v>
      </c>
      <c r="M2045" t="str">
        <f>VLOOKUP(D2045,State_Lookup!$A$2:$B$28,2,FALSE)</f>
        <v>Rio Grande do Sul</v>
      </c>
    </row>
    <row r="2046" spans="1:13" x14ac:dyDescent="0.45">
      <c r="A2046" t="s">
        <v>2513</v>
      </c>
      <c r="B2046" t="s">
        <v>2509</v>
      </c>
      <c r="C2046" t="s">
        <v>2487</v>
      </c>
      <c r="D2046" t="s">
        <v>17</v>
      </c>
      <c r="E2046" t="s">
        <v>220</v>
      </c>
      <c r="F2046">
        <v>1</v>
      </c>
      <c r="G2046">
        <v>196.99</v>
      </c>
      <c r="H2046">
        <v>59.93</v>
      </c>
      <c r="I2046" t="s">
        <v>44</v>
      </c>
      <c r="J2046">
        <v>30</v>
      </c>
      <c r="K2046" t="s">
        <v>51</v>
      </c>
      <c r="L2046">
        <v>1</v>
      </c>
      <c r="M2046" t="str">
        <f>VLOOKUP(D2046,State_Lookup!$A$2:$B$28,2,FALSE)</f>
        <v>Rio de Janeiro</v>
      </c>
    </row>
    <row r="2047" spans="1:13" x14ac:dyDescent="0.45">
      <c r="A2047" t="s">
        <v>2514</v>
      </c>
      <c r="B2047" t="s">
        <v>2509</v>
      </c>
      <c r="C2047" t="s">
        <v>2487</v>
      </c>
      <c r="D2047" t="s">
        <v>23</v>
      </c>
      <c r="E2047" t="s">
        <v>110</v>
      </c>
      <c r="F2047">
        <v>1</v>
      </c>
      <c r="G2047">
        <v>45.9</v>
      </c>
      <c r="H2047">
        <v>15.11</v>
      </c>
      <c r="I2047" t="s">
        <v>44</v>
      </c>
      <c r="J2047">
        <v>15</v>
      </c>
      <c r="K2047" t="s">
        <v>51</v>
      </c>
      <c r="L2047">
        <v>5</v>
      </c>
      <c r="M2047" t="str">
        <f>VLOOKUP(D2047,State_Lookup!$A$2:$B$28,2,FALSE)</f>
        <v>Espirito Santo</v>
      </c>
    </row>
    <row r="2048" spans="1:13" x14ac:dyDescent="0.45">
      <c r="A2048" t="s">
        <v>2515</v>
      </c>
      <c r="B2048" t="s">
        <v>2509</v>
      </c>
      <c r="C2048" t="s">
        <v>2487</v>
      </c>
      <c r="D2048" t="s">
        <v>17</v>
      </c>
      <c r="E2048" t="s">
        <v>157</v>
      </c>
      <c r="F2048">
        <v>1</v>
      </c>
      <c r="G2048">
        <v>170</v>
      </c>
      <c r="H2048">
        <v>15.94</v>
      </c>
      <c r="I2048" t="s">
        <v>44</v>
      </c>
      <c r="J2048">
        <v>12</v>
      </c>
      <c r="K2048" t="s">
        <v>51</v>
      </c>
      <c r="L2048">
        <v>5</v>
      </c>
      <c r="M2048" t="str">
        <f>VLOOKUP(D2048,State_Lookup!$A$2:$B$28,2,FALSE)</f>
        <v>Rio de Janeiro</v>
      </c>
    </row>
    <row r="2049" spans="1:13" x14ac:dyDescent="0.45">
      <c r="A2049" t="s">
        <v>2516</v>
      </c>
      <c r="B2049" t="s">
        <v>2509</v>
      </c>
      <c r="C2049" t="s">
        <v>2487</v>
      </c>
      <c r="D2049" t="s">
        <v>17</v>
      </c>
      <c r="E2049" t="s">
        <v>43</v>
      </c>
      <c r="F2049">
        <v>1</v>
      </c>
      <c r="G2049">
        <v>69.900000000000006</v>
      </c>
      <c r="H2049">
        <v>26.81</v>
      </c>
      <c r="I2049" t="s">
        <v>44</v>
      </c>
      <c r="J2049">
        <v>11</v>
      </c>
      <c r="K2049" t="s">
        <v>51</v>
      </c>
      <c r="L2049">
        <v>5</v>
      </c>
      <c r="M2049" t="str">
        <f>VLOOKUP(D2049,State_Lookup!$A$2:$B$28,2,FALSE)</f>
        <v>Rio de Janeiro</v>
      </c>
    </row>
    <row r="2050" spans="1:13" x14ac:dyDescent="0.45">
      <c r="A2050" t="s">
        <v>2517</v>
      </c>
      <c r="B2050" t="s">
        <v>2509</v>
      </c>
      <c r="C2050" t="s">
        <v>2487</v>
      </c>
      <c r="D2050" t="s">
        <v>18</v>
      </c>
      <c r="E2050" t="s">
        <v>79</v>
      </c>
      <c r="F2050">
        <v>1</v>
      </c>
      <c r="G2050">
        <v>125.5</v>
      </c>
      <c r="H2050">
        <v>16.64</v>
      </c>
      <c r="I2050" t="s">
        <v>44</v>
      </c>
      <c r="K2050" t="s">
        <v>45</v>
      </c>
      <c r="L2050">
        <v>1</v>
      </c>
      <c r="M2050" t="str">
        <f>VLOOKUP(D2050,State_Lookup!$A$2:$B$28,2,FALSE)</f>
        <v>Minas Gerais</v>
      </c>
    </row>
    <row r="2051" spans="1:13" x14ac:dyDescent="0.45">
      <c r="A2051" t="s">
        <v>2518</v>
      </c>
      <c r="B2051" t="s">
        <v>2519</v>
      </c>
      <c r="C2051" t="s">
        <v>2487</v>
      </c>
      <c r="D2051" t="s">
        <v>22</v>
      </c>
      <c r="E2051" t="s">
        <v>43</v>
      </c>
      <c r="F2051">
        <v>1</v>
      </c>
      <c r="G2051">
        <v>17.899999999999999</v>
      </c>
      <c r="H2051">
        <v>16.79</v>
      </c>
      <c r="I2051" t="s">
        <v>50</v>
      </c>
      <c r="J2051">
        <v>36</v>
      </c>
      <c r="K2051" t="s">
        <v>143</v>
      </c>
      <c r="L2051">
        <v>1</v>
      </c>
      <c r="M2051" t="str">
        <f>VLOOKUP(D2051,State_Lookup!$A$2:$B$28,2,FALSE)</f>
        <v>Bahia</v>
      </c>
    </row>
    <row r="2052" spans="1:13" x14ac:dyDescent="0.45">
      <c r="A2052" t="s">
        <v>2520</v>
      </c>
      <c r="B2052" t="s">
        <v>2519</v>
      </c>
      <c r="C2052" t="s">
        <v>2487</v>
      </c>
      <c r="D2052" t="s">
        <v>16</v>
      </c>
      <c r="E2052" t="s">
        <v>152</v>
      </c>
      <c r="F2052">
        <v>1</v>
      </c>
      <c r="G2052">
        <v>129.99</v>
      </c>
      <c r="H2052">
        <v>17.16</v>
      </c>
      <c r="I2052" t="s">
        <v>44</v>
      </c>
      <c r="J2052">
        <v>14</v>
      </c>
      <c r="K2052" t="s">
        <v>51</v>
      </c>
      <c r="L2052">
        <v>5</v>
      </c>
      <c r="M2052" t="str">
        <f>VLOOKUP(D2052,State_Lookup!$A$2:$B$28,2,FALSE)</f>
        <v>Sao Paulo</v>
      </c>
    </row>
    <row r="2053" spans="1:13" x14ac:dyDescent="0.45">
      <c r="A2053" t="s">
        <v>2521</v>
      </c>
      <c r="B2053" t="s">
        <v>2519</v>
      </c>
      <c r="C2053" t="s">
        <v>2487</v>
      </c>
      <c r="D2053" t="s">
        <v>19</v>
      </c>
      <c r="E2053" t="s">
        <v>66</v>
      </c>
      <c r="F2053">
        <v>2</v>
      </c>
      <c r="G2053">
        <v>398</v>
      </c>
      <c r="H2053">
        <v>32.28</v>
      </c>
      <c r="I2053" t="s">
        <v>44</v>
      </c>
      <c r="J2053">
        <v>9</v>
      </c>
      <c r="K2053" t="s">
        <v>51</v>
      </c>
      <c r="L2053">
        <v>1</v>
      </c>
      <c r="M2053" t="str">
        <f>VLOOKUP(D2053,State_Lookup!$A$2:$B$28,2,FALSE)</f>
        <v>Rio Grande do Sul</v>
      </c>
    </row>
    <row r="2054" spans="1:13" x14ac:dyDescent="0.45">
      <c r="A2054" t="s">
        <v>2522</v>
      </c>
      <c r="B2054" t="s">
        <v>2519</v>
      </c>
      <c r="C2054" t="s">
        <v>2487</v>
      </c>
      <c r="D2054" t="s">
        <v>17</v>
      </c>
      <c r="E2054" t="s">
        <v>110</v>
      </c>
      <c r="F2054">
        <v>1</v>
      </c>
      <c r="G2054">
        <v>69.900000000000006</v>
      </c>
      <c r="H2054">
        <v>18.059999999999999</v>
      </c>
      <c r="I2054" t="s">
        <v>50</v>
      </c>
      <c r="J2054">
        <v>16</v>
      </c>
      <c r="K2054" t="s">
        <v>51</v>
      </c>
      <c r="L2054">
        <v>5</v>
      </c>
      <c r="M2054" t="str">
        <f>VLOOKUP(D2054,State_Lookup!$A$2:$B$28,2,FALSE)</f>
        <v>Rio de Janeiro</v>
      </c>
    </row>
    <row r="2055" spans="1:13" x14ac:dyDescent="0.45">
      <c r="A2055" t="s">
        <v>2523</v>
      </c>
      <c r="B2055" t="s">
        <v>2519</v>
      </c>
      <c r="C2055" t="s">
        <v>2487</v>
      </c>
      <c r="D2055" t="s">
        <v>22</v>
      </c>
      <c r="E2055" t="s">
        <v>43</v>
      </c>
      <c r="F2055">
        <v>1</v>
      </c>
      <c r="G2055">
        <v>89.9</v>
      </c>
      <c r="H2055">
        <v>28.01</v>
      </c>
      <c r="I2055" t="s">
        <v>50</v>
      </c>
      <c r="J2055">
        <v>16</v>
      </c>
      <c r="K2055" t="s">
        <v>51</v>
      </c>
      <c r="L2055">
        <v>5</v>
      </c>
      <c r="M2055" t="str">
        <f>VLOOKUP(D2055,State_Lookup!$A$2:$B$28,2,FALSE)</f>
        <v>Bahia</v>
      </c>
    </row>
    <row r="2056" spans="1:13" x14ac:dyDescent="0.45">
      <c r="A2056" t="s">
        <v>2524</v>
      </c>
      <c r="B2056" t="s">
        <v>2519</v>
      </c>
      <c r="C2056" t="s">
        <v>2487</v>
      </c>
      <c r="D2056" t="s">
        <v>18</v>
      </c>
      <c r="E2056" t="s">
        <v>49</v>
      </c>
      <c r="F2056">
        <v>1</v>
      </c>
      <c r="G2056">
        <v>239.99</v>
      </c>
      <c r="H2056">
        <v>18.93</v>
      </c>
      <c r="I2056" t="s">
        <v>44</v>
      </c>
      <c r="J2056">
        <v>21</v>
      </c>
      <c r="K2056" t="s">
        <v>51</v>
      </c>
      <c r="L2056">
        <v>4</v>
      </c>
      <c r="M2056" t="str">
        <f>VLOOKUP(D2056,State_Lookup!$A$2:$B$28,2,FALSE)</f>
        <v>Minas Gerais</v>
      </c>
    </row>
    <row r="2057" spans="1:13" x14ac:dyDescent="0.45">
      <c r="A2057" t="s">
        <v>2525</v>
      </c>
      <c r="B2057" t="s">
        <v>2519</v>
      </c>
      <c r="C2057" t="s">
        <v>2487</v>
      </c>
      <c r="D2057" t="s">
        <v>18</v>
      </c>
      <c r="E2057" t="s">
        <v>79</v>
      </c>
      <c r="F2057">
        <v>1</v>
      </c>
      <c r="G2057">
        <v>394.65</v>
      </c>
      <c r="H2057">
        <v>17.510000000000002</v>
      </c>
      <c r="I2057" t="s">
        <v>44</v>
      </c>
      <c r="J2057">
        <v>24</v>
      </c>
      <c r="K2057" t="s">
        <v>143</v>
      </c>
      <c r="L2057">
        <v>4</v>
      </c>
      <c r="M2057" t="str">
        <f>VLOOKUP(D2057,State_Lookup!$A$2:$B$28,2,FALSE)</f>
        <v>Minas Gerais</v>
      </c>
    </row>
    <row r="2058" spans="1:13" x14ac:dyDescent="0.45">
      <c r="A2058" t="s">
        <v>2526</v>
      </c>
      <c r="B2058" t="s">
        <v>2519</v>
      </c>
      <c r="C2058" t="s">
        <v>2487</v>
      </c>
      <c r="D2058" t="s">
        <v>17</v>
      </c>
      <c r="E2058" t="s">
        <v>950</v>
      </c>
      <c r="F2058">
        <v>1</v>
      </c>
      <c r="G2058">
        <v>206.9</v>
      </c>
      <c r="H2058">
        <v>34.81</v>
      </c>
      <c r="I2058" t="s">
        <v>50</v>
      </c>
      <c r="J2058">
        <v>22</v>
      </c>
      <c r="K2058" t="s">
        <v>51</v>
      </c>
      <c r="L2058">
        <v>3</v>
      </c>
      <c r="M2058" t="str">
        <f>VLOOKUP(D2058,State_Lookup!$A$2:$B$28,2,FALSE)</f>
        <v>Rio de Janeiro</v>
      </c>
    </row>
    <row r="2059" spans="1:13" x14ac:dyDescent="0.45">
      <c r="A2059" t="s">
        <v>2527</v>
      </c>
      <c r="B2059" t="s">
        <v>2519</v>
      </c>
      <c r="C2059" t="s">
        <v>2487</v>
      </c>
      <c r="D2059" t="s">
        <v>18</v>
      </c>
      <c r="E2059" t="s">
        <v>157</v>
      </c>
      <c r="F2059">
        <v>1</v>
      </c>
      <c r="G2059">
        <v>49.99</v>
      </c>
      <c r="H2059">
        <v>15.1</v>
      </c>
      <c r="I2059" t="s">
        <v>50</v>
      </c>
      <c r="J2059">
        <v>16</v>
      </c>
      <c r="K2059" t="s">
        <v>51</v>
      </c>
      <c r="L2059">
        <v>4</v>
      </c>
      <c r="M2059" t="str">
        <f>VLOOKUP(D2059,State_Lookup!$A$2:$B$28,2,FALSE)</f>
        <v>Minas Gerais</v>
      </c>
    </row>
    <row r="2060" spans="1:13" x14ac:dyDescent="0.45">
      <c r="A2060" t="s">
        <v>2528</v>
      </c>
      <c r="B2060" t="s">
        <v>2519</v>
      </c>
      <c r="C2060" t="s">
        <v>2487</v>
      </c>
      <c r="D2060" t="s">
        <v>16</v>
      </c>
      <c r="E2060" t="s">
        <v>61</v>
      </c>
      <c r="F2060">
        <v>1</v>
      </c>
      <c r="G2060">
        <v>140</v>
      </c>
      <c r="H2060">
        <v>12.48</v>
      </c>
      <c r="I2060" t="s">
        <v>50</v>
      </c>
      <c r="J2060">
        <v>9</v>
      </c>
      <c r="K2060" t="s">
        <v>51</v>
      </c>
      <c r="L2060">
        <v>5</v>
      </c>
      <c r="M2060" t="str">
        <f>VLOOKUP(D2060,State_Lookup!$A$2:$B$28,2,FALSE)</f>
        <v>Sao Paulo</v>
      </c>
    </row>
    <row r="2061" spans="1:13" x14ac:dyDescent="0.45">
      <c r="A2061" t="s">
        <v>2529</v>
      </c>
      <c r="B2061" t="s">
        <v>2519</v>
      </c>
      <c r="C2061" t="s">
        <v>2487</v>
      </c>
      <c r="D2061" t="s">
        <v>63</v>
      </c>
      <c r="E2061" t="s">
        <v>53</v>
      </c>
      <c r="F2061">
        <v>2</v>
      </c>
      <c r="G2061">
        <v>179.8</v>
      </c>
      <c r="H2061">
        <v>42.06</v>
      </c>
      <c r="I2061" t="s">
        <v>44</v>
      </c>
      <c r="J2061">
        <v>22</v>
      </c>
      <c r="K2061" t="s">
        <v>51</v>
      </c>
      <c r="L2061">
        <v>4</v>
      </c>
      <c r="M2061" t="str">
        <f>VLOOKUP(D2061,State_Lookup!$A$2:$B$28,2,FALSE)</f>
        <v>Pernambuco</v>
      </c>
    </row>
    <row r="2062" spans="1:13" x14ac:dyDescent="0.45">
      <c r="A2062" t="s">
        <v>2530</v>
      </c>
      <c r="B2062" t="s">
        <v>2519</v>
      </c>
      <c r="C2062" t="s">
        <v>2487</v>
      </c>
      <c r="D2062" t="s">
        <v>17</v>
      </c>
      <c r="E2062" t="s">
        <v>157</v>
      </c>
      <c r="F2062">
        <v>1</v>
      </c>
      <c r="G2062">
        <v>348.8</v>
      </c>
      <c r="H2062">
        <v>17.190000000000001</v>
      </c>
      <c r="I2062" t="s">
        <v>44</v>
      </c>
      <c r="J2062">
        <v>37</v>
      </c>
      <c r="K2062" t="s">
        <v>143</v>
      </c>
      <c r="L2062">
        <v>1</v>
      </c>
      <c r="M2062" t="str">
        <f>VLOOKUP(D2062,State_Lookup!$A$2:$B$28,2,FALSE)</f>
        <v>Rio de Janeiro</v>
      </c>
    </row>
    <row r="2063" spans="1:13" x14ac:dyDescent="0.45">
      <c r="A2063" t="s">
        <v>2531</v>
      </c>
      <c r="B2063" t="s">
        <v>2519</v>
      </c>
      <c r="C2063" t="s">
        <v>2487</v>
      </c>
      <c r="D2063" t="s">
        <v>17</v>
      </c>
      <c r="E2063" t="s">
        <v>79</v>
      </c>
      <c r="F2063">
        <v>1</v>
      </c>
      <c r="G2063">
        <v>29.9</v>
      </c>
      <c r="H2063">
        <v>15.1</v>
      </c>
      <c r="I2063" t="s">
        <v>50</v>
      </c>
      <c r="J2063">
        <v>30</v>
      </c>
      <c r="K2063" t="s">
        <v>143</v>
      </c>
      <c r="L2063">
        <v>5</v>
      </c>
      <c r="M2063" t="str">
        <f>VLOOKUP(D2063,State_Lookup!$A$2:$B$28,2,FALSE)</f>
        <v>Rio de Janeiro</v>
      </c>
    </row>
    <row r="2064" spans="1:13" x14ac:dyDescent="0.45">
      <c r="A2064" t="s">
        <v>2532</v>
      </c>
      <c r="B2064" t="s">
        <v>2519</v>
      </c>
      <c r="C2064" t="s">
        <v>2487</v>
      </c>
      <c r="D2064" t="s">
        <v>16</v>
      </c>
      <c r="E2064" t="s">
        <v>204</v>
      </c>
      <c r="F2064">
        <v>1</v>
      </c>
      <c r="G2064">
        <v>412</v>
      </c>
      <c r="H2064">
        <v>23.72</v>
      </c>
      <c r="I2064" t="s">
        <v>50</v>
      </c>
      <c r="J2064">
        <v>9</v>
      </c>
      <c r="K2064" t="s">
        <v>51</v>
      </c>
      <c r="L2064">
        <v>5</v>
      </c>
      <c r="M2064" t="str">
        <f>VLOOKUP(D2064,State_Lookup!$A$2:$B$28,2,FALSE)</f>
        <v>Sao Paulo</v>
      </c>
    </row>
    <row r="2065" spans="1:13" x14ac:dyDescent="0.45">
      <c r="A2065" t="s">
        <v>2533</v>
      </c>
      <c r="B2065" t="s">
        <v>2519</v>
      </c>
      <c r="C2065" t="s">
        <v>2487</v>
      </c>
      <c r="D2065" t="s">
        <v>22</v>
      </c>
      <c r="E2065" t="s">
        <v>107</v>
      </c>
      <c r="F2065">
        <v>1</v>
      </c>
      <c r="G2065">
        <v>79.900000000000006</v>
      </c>
      <c r="H2065">
        <v>19.8</v>
      </c>
      <c r="I2065" t="s">
        <v>44</v>
      </c>
      <c r="J2065">
        <v>14</v>
      </c>
      <c r="K2065" t="s">
        <v>51</v>
      </c>
      <c r="L2065">
        <v>5</v>
      </c>
      <c r="M2065" t="str">
        <f>VLOOKUP(D2065,State_Lookup!$A$2:$B$28,2,FALSE)</f>
        <v>Bahia</v>
      </c>
    </row>
    <row r="2066" spans="1:13" x14ac:dyDescent="0.45">
      <c r="A2066" t="s">
        <v>2534</v>
      </c>
      <c r="B2066" t="s">
        <v>2519</v>
      </c>
      <c r="C2066" t="s">
        <v>2487</v>
      </c>
      <c r="D2066" t="s">
        <v>16</v>
      </c>
      <c r="E2066" t="s">
        <v>192</v>
      </c>
      <c r="F2066">
        <v>1</v>
      </c>
      <c r="G2066">
        <v>110</v>
      </c>
      <c r="H2066">
        <v>36.43</v>
      </c>
      <c r="I2066" t="s">
        <v>44</v>
      </c>
      <c r="J2066">
        <v>7</v>
      </c>
      <c r="K2066" t="s">
        <v>51</v>
      </c>
      <c r="L2066">
        <v>5</v>
      </c>
      <c r="M2066" t="str">
        <f>VLOOKUP(D2066,State_Lookup!$A$2:$B$28,2,FALSE)</f>
        <v>Sao Paulo</v>
      </c>
    </row>
    <row r="2067" spans="1:13" x14ac:dyDescent="0.45">
      <c r="A2067" t="s">
        <v>2535</v>
      </c>
      <c r="B2067" t="s">
        <v>2519</v>
      </c>
      <c r="C2067" t="s">
        <v>2487</v>
      </c>
      <c r="D2067" t="s">
        <v>16</v>
      </c>
      <c r="E2067" t="s">
        <v>49</v>
      </c>
      <c r="F2067">
        <v>1</v>
      </c>
      <c r="G2067">
        <v>36.99</v>
      </c>
      <c r="H2067">
        <v>15.11</v>
      </c>
      <c r="I2067" t="s">
        <v>44</v>
      </c>
      <c r="K2067" t="s">
        <v>45</v>
      </c>
      <c r="L2067">
        <v>1</v>
      </c>
      <c r="M2067" t="str">
        <f>VLOOKUP(D2067,State_Lookup!$A$2:$B$28,2,FALSE)</f>
        <v>Sao Paulo</v>
      </c>
    </row>
    <row r="2068" spans="1:13" x14ac:dyDescent="0.45">
      <c r="A2068" t="s">
        <v>2536</v>
      </c>
      <c r="B2068" t="s">
        <v>2519</v>
      </c>
      <c r="C2068" t="s">
        <v>2487</v>
      </c>
      <c r="D2068" t="s">
        <v>16</v>
      </c>
      <c r="E2068" t="s">
        <v>110</v>
      </c>
      <c r="F2068">
        <v>1</v>
      </c>
      <c r="G2068">
        <v>89.9</v>
      </c>
      <c r="H2068">
        <v>16.260000000000002</v>
      </c>
      <c r="I2068" t="s">
        <v>44</v>
      </c>
      <c r="J2068">
        <v>11</v>
      </c>
      <c r="K2068" t="s">
        <v>51</v>
      </c>
      <c r="L2068">
        <v>5</v>
      </c>
      <c r="M2068" t="str">
        <f>VLOOKUP(D2068,State_Lookup!$A$2:$B$28,2,FALSE)</f>
        <v>Sao Paulo</v>
      </c>
    </row>
    <row r="2069" spans="1:13" x14ac:dyDescent="0.45">
      <c r="A2069" t="s">
        <v>2537</v>
      </c>
      <c r="B2069" t="s">
        <v>2519</v>
      </c>
      <c r="C2069" t="s">
        <v>2487</v>
      </c>
      <c r="D2069" t="s">
        <v>17</v>
      </c>
      <c r="E2069" t="s">
        <v>244</v>
      </c>
      <c r="F2069">
        <v>1</v>
      </c>
      <c r="G2069">
        <v>79</v>
      </c>
      <c r="H2069">
        <v>17.8</v>
      </c>
      <c r="I2069" t="s">
        <v>44</v>
      </c>
      <c r="J2069">
        <v>37</v>
      </c>
      <c r="K2069" t="s">
        <v>143</v>
      </c>
      <c r="L2069">
        <v>1</v>
      </c>
      <c r="M2069" t="str">
        <f>VLOOKUP(D2069,State_Lookup!$A$2:$B$28,2,FALSE)</f>
        <v>Rio de Janeiro</v>
      </c>
    </row>
    <row r="2070" spans="1:13" x14ac:dyDescent="0.45">
      <c r="A2070" t="s">
        <v>2538</v>
      </c>
      <c r="B2070" t="s">
        <v>2519</v>
      </c>
      <c r="C2070" t="s">
        <v>2487</v>
      </c>
      <c r="D2070" t="s">
        <v>22</v>
      </c>
      <c r="E2070" t="s">
        <v>244</v>
      </c>
      <c r="F2070">
        <v>1</v>
      </c>
      <c r="G2070">
        <v>120</v>
      </c>
      <c r="H2070">
        <v>20.079999999999998</v>
      </c>
      <c r="I2070" t="s">
        <v>44</v>
      </c>
      <c r="J2070">
        <v>32</v>
      </c>
      <c r="K2070" t="s">
        <v>143</v>
      </c>
      <c r="L2070">
        <v>4</v>
      </c>
      <c r="M2070" t="str">
        <f>VLOOKUP(D2070,State_Lookup!$A$2:$B$28,2,FALSE)</f>
        <v>Bahia</v>
      </c>
    </row>
    <row r="2071" spans="1:13" x14ac:dyDescent="0.45">
      <c r="A2071" t="s">
        <v>2539</v>
      </c>
      <c r="B2071" t="s">
        <v>2519</v>
      </c>
      <c r="C2071" t="s">
        <v>2487</v>
      </c>
      <c r="D2071" t="s">
        <v>23</v>
      </c>
      <c r="E2071" t="s">
        <v>199</v>
      </c>
      <c r="F2071">
        <v>1</v>
      </c>
      <c r="G2071">
        <v>259.77</v>
      </c>
      <c r="H2071">
        <v>15.57</v>
      </c>
      <c r="I2071" t="s">
        <v>44</v>
      </c>
      <c r="J2071">
        <v>8</v>
      </c>
      <c r="K2071" t="s">
        <v>51</v>
      </c>
      <c r="L2071">
        <v>4</v>
      </c>
      <c r="M2071" t="str">
        <f>VLOOKUP(D2071,State_Lookup!$A$2:$B$28,2,FALSE)</f>
        <v>Espirito Santo</v>
      </c>
    </row>
    <row r="2072" spans="1:13" x14ac:dyDescent="0.45">
      <c r="A2072" t="s">
        <v>2540</v>
      </c>
      <c r="B2072" t="s">
        <v>2519</v>
      </c>
      <c r="C2072" t="s">
        <v>2487</v>
      </c>
      <c r="D2072" t="s">
        <v>23</v>
      </c>
      <c r="E2072" t="s">
        <v>61</v>
      </c>
      <c r="F2072">
        <v>1</v>
      </c>
      <c r="G2072">
        <v>42.79</v>
      </c>
      <c r="H2072">
        <v>15.79</v>
      </c>
      <c r="I2072" t="s">
        <v>50</v>
      </c>
      <c r="J2072">
        <v>8</v>
      </c>
      <c r="K2072" t="s">
        <v>51</v>
      </c>
      <c r="L2072">
        <v>5</v>
      </c>
      <c r="M2072" t="str">
        <f>VLOOKUP(D2072,State_Lookup!$A$2:$B$28,2,FALSE)</f>
        <v>Espirito Santo</v>
      </c>
    </row>
    <row r="2073" spans="1:13" x14ac:dyDescent="0.45">
      <c r="A2073" t="s">
        <v>2541</v>
      </c>
      <c r="B2073" t="s">
        <v>2542</v>
      </c>
      <c r="C2073" t="s">
        <v>2487</v>
      </c>
      <c r="D2073" t="s">
        <v>22</v>
      </c>
      <c r="E2073" t="s">
        <v>110</v>
      </c>
      <c r="F2073">
        <v>1</v>
      </c>
      <c r="G2073">
        <v>59.99</v>
      </c>
      <c r="H2073">
        <v>17.989999999999998</v>
      </c>
      <c r="I2073" t="s">
        <v>44</v>
      </c>
      <c r="J2073">
        <v>31</v>
      </c>
      <c r="K2073" t="s">
        <v>143</v>
      </c>
      <c r="L2073">
        <v>5</v>
      </c>
      <c r="M2073" t="str">
        <f>VLOOKUP(D2073,State_Lookup!$A$2:$B$28,2,FALSE)</f>
        <v>Bahia</v>
      </c>
    </row>
    <row r="2074" spans="1:13" x14ac:dyDescent="0.45">
      <c r="A2074" t="s">
        <v>2543</v>
      </c>
      <c r="B2074" t="s">
        <v>2542</v>
      </c>
      <c r="C2074" t="s">
        <v>2487</v>
      </c>
      <c r="D2074" t="s">
        <v>18</v>
      </c>
      <c r="E2074" t="s">
        <v>107</v>
      </c>
      <c r="F2074">
        <v>1</v>
      </c>
      <c r="G2074">
        <v>83.9</v>
      </c>
      <c r="H2074">
        <v>16.350000000000001</v>
      </c>
      <c r="I2074" t="s">
        <v>44</v>
      </c>
      <c r="J2074">
        <v>6</v>
      </c>
      <c r="K2074" t="s">
        <v>51</v>
      </c>
      <c r="L2074">
        <v>4</v>
      </c>
      <c r="M2074" t="str">
        <f>VLOOKUP(D2074,State_Lookup!$A$2:$B$28,2,FALSE)</f>
        <v>Minas Gerais</v>
      </c>
    </row>
    <row r="2075" spans="1:13" x14ac:dyDescent="0.45">
      <c r="A2075" t="s">
        <v>2544</v>
      </c>
      <c r="B2075" t="s">
        <v>2542</v>
      </c>
      <c r="C2075" t="s">
        <v>2487</v>
      </c>
      <c r="D2075" t="s">
        <v>17</v>
      </c>
      <c r="E2075" t="s">
        <v>157</v>
      </c>
      <c r="F2075">
        <v>1</v>
      </c>
      <c r="G2075">
        <v>79</v>
      </c>
      <c r="H2075">
        <v>14.3</v>
      </c>
      <c r="I2075" t="s">
        <v>44</v>
      </c>
      <c r="K2075" t="s">
        <v>45</v>
      </c>
      <c r="M2075" t="str">
        <f>VLOOKUP(D2075,State_Lookup!$A$2:$B$28,2,FALSE)</f>
        <v>Rio de Janeiro</v>
      </c>
    </row>
    <row r="2076" spans="1:13" x14ac:dyDescent="0.45">
      <c r="A2076" t="s">
        <v>2545</v>
      </c>
      <c r="B2076" t="s">
        <v>2542</v>
      </c>
      <c r="C2076" t="s">
        <v>2487</v>
      </c>
      <c r="D2076" t="s">
        <v>16</v>
      </c>
      <c r="E2076" t="s">
        <v>142</v>
      </c>
      <c r="F2076">
        <v>1</v>
      </c>
      <c r="G2076">
        <v>177.99</v>
      </c>
      <c r="H2076">
        <v>17.010000000000002</v>
      </c>
      <c r="I2076" t="s">
        <v>44</v>
      </c>
      <c r="J2076">
        <v>15</v>
      </c>
      <c r="K2076" t="s">
        <v>51</v>
      </c>
      <c r="L2076">
        <v>5</v>
      </c>
      <c r="M2076" t="str">
        <f>VLOOKUP(D2076,State_Lookup!$A$2:$B$28,2,FALSE)</f>
        <v>Sao Paulo</v>
      </c>
    </row>
    <row r="2077" spans="1:13" x14ac:dyDescent="0.45">
      <c r="A2077" t="s">
        <v>2546</v>
      </c>
      <c r="B2077" t="s">
        <v>2542</v>
      </c>
      <c r="C2077" t="s">
        <v>2487</v>
      </c>
      <c r="D2077" t="s">
        <v>20</v>
      </c>
      <c r="E2077" t="s">
        <v>79</v>
      </c>
      <c r="F2077">
        <v>1</v>
      </c>
      <c r="G2077">
        <v>92.9</v>
      </c>
      <c r="H2077">
        <v>17.22</v>
      </c>
      <c r="I2077" t="s">
        <v>44</v>
      </c>
      <c r="J2077">
        <v>13</v>
      </c>
      <c r="K2077" t="s">
        <v>51</v>
      </c>
      <c r="L2077">
        <v>5</v>
      </c>
      <c r="M2077" t="str">
        <f>VLOOKUP(D2077,State_Lookup!$A$2:$B$28,2,FALSE)</f>
        <v>Parana</v>
      </c>
    </row>
    <row r="2078" spans="1:13" x14ac:dyDescent="0.45">
      <c r="A2078" t="s">
        <v>2547</v>
      </c>
      <c r="B2078" t="s">
        <v>2542</v>
      </c>
      <c r="C2078" t="s">
        <v>2487</v>
      </c>
      <c r="D2078" t="s">
        <v>17</v>
      </c>
      <c r="E2078" t="s">
        <v>53</v>
      </c>
      <c r="F2078">
        <v>1</v>
      </c>
      <c r="G2078">
        <v>139.99</v>
      </c>
      <c r="H2078">
        <v>13.81</v>
      </c>
      <c r="I2078" t="s">
        <v>44</v>
      </c>
      <c r="J2078">
        <v>8</v>
      </c>
      <c r="K2078" t="s">
        <v>51</v>
      </c>
      <c r="L2078">
        <v>4</v>
      </c>
      <c r="M2078" t="str">
        <f>VLOOKUP(D2078,State_Lookup!$A$2:$B$28,2,FALSE)</f>
        <v>Rio de Janeiro</v>
      </c>
    </row>
    <row r="2079" spans="1:13" x14ac:dyDescent="0.45">
      <c r="A2079" t="s">
        <v>2548</v>
      </c>
      <c r="B2079" t="s">
        <v>2542</v>
      </c>
      <c r="C2079" t="s">
        <v>2487</v>
      </c>
      <c r="D2079" t="s">
        <v>25</v>
      </c>
      <c r="E2079" t="s">
        <v>79</v>
      </c>
      <c r="F2079">
        <v>2</v>
      </c>
      <c r="G2079">
        <v>58.9</v>
      </c>
      <c r="H2079">
        <v>28.2</v>
      </c>
      <c r="I2079" t="s">
        <v>133</v>
      </c>
      <c r="J2079">
        <v>23</v>
      </c>
      <c r="K2079" t="s">
        <v>51</v>
      </c>
      <c r="L2079">
        <v>3</v>
      </c>
      <c r="M2079" t="str">
        <f>VLOOKUP(D2079,State_Lookup!$A$2:$B$28,2,FALSE)</f>
        <v>Goias</v>
      </c>
    </row>
    <row r="2080" spans="1:13" x14ac:dyDescent="0.45">
      <c r="A2080" t="s">
        <v>2549</v>
      </c>
      <c r="B2080" t="s">
        <v>2542</v>
      </c>
      <c r="C2080" t="s">
        <v>2487</v>
      </c>
      <c r="D2080" t="s">
        <v>17</v>
      </c>
      <c r="E2080" t="s">
        <v>192</v>
      </c>
      <c r="F2080">
        <v>1</v>
      </c>
      <c r="G2080">
        <v>29.9</v>
      </c>
      <c r="H2080">
        <v>16.600000000000001</v>
      </c>
      <c r="I2080" t="s">
        <v>133</v>
      </c>
      <c r="J2080">
        <v>36</v>
      </c>
      <c r="K2080" t="s">
        <v>143</v>
      </c>
      <c r="L2080">
        <v>1</v>
      </c>
      <c r="M2080" t="str">
        <f>VLOOKUP(D2080,State_Lookup!$A$2:$B$28,2,FALSE)</f>
        <v>Rio de Janeiro</v>
      </c>
    </row>
    <row r="2081" spans="1:13" x14ac:dyDescent="0.45">
      <c r="A2081" t="s">
        <v>2550</v>
      </c>
      <c r="B2081" t="s">
        <v>2542</v>
      </c>
      <c r="C2081" t="s">
        <v>2487</v>
      </c>
      <c r="D2081" t="s">
        <v>16</v>
      </c>
      <c r="E2081" t="s">
        <v>49</v>
      </c>
      <c r="F2081">
        <v>1</v>
      </c>
      <c r="G2081">
        <v>67.900000000000006</v>
      </c>
      <c r="H2081">
        <v>11.98</v>
      </c>
      <c r="I2081" t="s">
        <v>44</v>
      </c>
      <c r="J2081">
        <v>6</v>
      </c>
      <c r="K2081" t="s">
        <v>51</v>
      </c>
      <c r="L2081">
        <v>5</v>
      </c>
      <c r="M2081" t="str">
        <f>VLOOKUP(D2081,State_Lookup!$A$2:$B$28,2,FALSE)</f>
        <v>Sao Paulo</v>
      </c>
    </row>
    <row r="2082" spans="1:13" x14ac:dyDescent="0.45">
      <c r="A2082" t="s">
        <v>2551</v>
      </c>
      <c r="B2082" t="s">
        <v>2542</v>
      </c>
      <c r="C2082" t="s">
        <v>2487</v>
      </c>
      <c r="D2082" t="s">
        <v>16</v>
      </c>
      <c r="E2082" t="s">
        <v>142</v>
      </c>
      <c r="F2082">
        <v>1</v>
      </c>
      <c r="G2082">
        <v>18.8</v>
      </c>
      <c r="H2082">
        <v>7.78</v>
      </c>
      <c r="I2082" t="s">
        <v>44</v>
      </c>
      <c r="J2082">
        <v>6</v>
      </c>
      <c r="K2082" t="s">
        <v>51</v>
      </c>
      <c r="L2082">
        <v>5</v>
      </c>
      <c r="M2082" t="str">
        <f>VLOOKUP(D2082,State_Lookup!$A$2:$B$28,2,FALSE)</f>
        <v>Sao Paulo</v>
      </c>
    </row>
    <row r="2083" spans="1:13" x14ac:dyDescent="0.45">
      <c r="A2083" t="s">
        <v>2552</v>
      </c>
      <c r="B2083" t="s">
        <v>2553</v>
      </c>
      <c r="C2083" t="s">
        <v>2487</v>
      </c>
      <c r="D2083" t="s">
        <v>17</v>
      </c>
      <c r="E2083" t="s">
        <v>125</v>
      </c>
      <c r="F2083">
        <v>1</v>
      </c>
      <c r="G2083">
        <v>89.9</v>
      </c>
      <c r="H2083">
        <v>17.07</v>
      </c>
      <c r="I2083" t="s">
        <v>50</v>
      </c>
      <c r="J2083">
        <v>16</v>
      </c>
      <c r="K2083" t="s">
        <v>51</v>
      </c>
      <c r="L2083">
        <v>3</v>
      </c>
      <c r="M2083" t="str">
        <f>VLOOKUP(D2083,State_Lookup!$A$2:$B$28,2,FALSE)</f>
        <v>Rio de Janeiro</v>
      </c>
    </row>
    <row r="2084" spans="1:13" x14ac:dyDescent="0.45">
      <c r="A2084" t="s">
        <v>2554</v>
      </c>
      <c r="B2084" t="s">
        <v>2553</v>
      </c>
      <c r="C2084" t="s">
        <v>2487</v>
      </c>
      <c r="D2084" t="s">
        <v>16</v>
      </c>
      <c r="E2084" t="s">
        <v>79</v>
      </c>
      <c r="F2084">
        <v>1</v>
      </c>
      <c r="G2084">
        <v>49</v>
      </c>
      <c r="H2084">
        <v>8.11</v>
      </c>
      <c r="I2084" t="s">
        <v>50</v>
      </c>
      <c r="J2084">
        <v>5</v>
      </c>
      <c r="K2084" t="s">
        <v>51</v>
      </c>
      <c r="L2084">
        <v>5</v>
      </c>
      <c r="M2084" t="str">
        <f>VLOOKUP(D2084,State_Lookup!$A$2:$B$28,2,FALSE)</f>
        <v>Sao Paulo</v>
      </c>
    </row>
    <row r="2085" spans="1:13" x14ac:dyDescent="0.45">
      <c r="A2085" t="s">
        <v>2555</v>
      </c>
      <c r="B2085" t="s">
        <v>2553</v>
      </c>
      <c r="C2085" t="s">
        <v>2487</v>
      </c>
      <c r="D2085" t="s">
        <v>16</v>
      </c>
      <c r="E2085" t="s">
        <v>148</v>
      </c>
      <c r="F2085">
        <v>1</v>
      </c>
      <c r="G2085">
        <v>144.99</v>
      </c>
      <c r="H2085">
        <v>12.22</v>
      </c>
      <c r="I2085" t="s">
        <v>44</v>
      </c>
      <c r="J2085">
        <v>5</v>
      </c>
      <c r="K2085" t="s">
        <v>51</v>
      </c>
      <c r="L2085">
        <v>5</v>
      </c>
      <c r="M2085" t="str">
        <f>VLOOKUP(D2085,State_Lookup!$A$2:$B$28,2,FALSE)</f>
        <v>Sao Paulo</v>
      </c>
    </row>
    <row r="2086" spans="1:13" x14ac:dyDescent="0.45">
      <c r="A2086" t="s">
        <v>2556</v>
      </c>
      <c r="B2086" t="s">
        <v>2553</v>
      </c>
      <c r="C2086" t="s">
        <v>2487</v>
      </c>
      <c r="D2086" t="s">
        <v>22</v>
      </c>
      <c r="E2086" t="s">
        <v>220</v>
      </c>
      <c r="F2086">
        <v>1</v>
      </c>
      <c r="G2086">
        <v>139.99</v>
      </c>
      <c r="H2086">
        <v>38.5</v>
      </c>
      <c r="I2086" t="s">
        <v>44</v>
      </c>
      <c r="J2086">
        <v>33</v>
      </c>
      <c r="K2086" t="s">
        <v>51</v>
      </c>
      <c r="L2086">
        <v>5</v>
      </c>
      <c r="M2086" t="str">
        <f>VLOOKUP(D2086,State_Lookup!$A$2:$B$28,2,FALSE)</f>
        <v>Bahia</v>
      </c>
    </row>
    <row r="2087" spans="1:13" x14ac:dyDescent="0.45">
      <c r="A2087" t="s">
        <v>2557</v>
      </c>
      <c r="B2087" t="s">
        <v>2553</v>
      </c>
      <c r="C2087" t="s">
        <v>2487</v>
      </c>
      <c r="D2087" t="s">
        <v>16</v>
      </c>
      <c r="E2087" t="s">
        <v>103</v>
      </c>
      <c r="F2087">
        <v>1</v>
      </c>
      <c r="G2087">
        <v>14.9</v>
      </c>
      <c r="H2087">
        <v>16.11</v>
      </c>
      <c r="I2087" t="s">
        <v>44</v>
      </c>
      <c r="J2087">
        <v>12</v>
      </c>
      <c r="K2087" t="s">
        <v>51</v>
      </c>
      <c r="L2087">
        <v>3</v>
      </c>
      <c r="M2087" t="str">
        <f>VLOOKUP(D2087,State_Lookup!$A$2:$B$28,2,FALSE)</f>
        <v>Sao Paulo</v>
      </c>
    </row>
    <row r="2088" spans="1:13" x14ac:dyDescent="0.45">
      <c r="A2088" t="s">
        <v>2558</v>
      </c>
      <c r="B2088" t="s">
        <v>2553</v>
      </c>
      <c r="C2088" t="s">
        <v>2487</v>
      </c>
      <c r="D2088" t="s">
        <v>17</v>
      </c>
      <c r="E2088" t="s">
        <v>79</v>
      </c>
      <c r="F2088">
        <v>1</v>
      </c>
      <c r="G2088">
        <v>326.16000000000003</v>
      </c>
      <c r="H2088">
        <v>33.03</v>
      </c>
      <c r="I2088" t="s">
        <v>44</v>
      </c>
      <c r="J2088">
        <v>37</v>
      </c>
      <c r="K2088" t="s">
        <v>143</v>
      </c>
      <c r="L2088">
        <v>1</v>
      </c>
      <c r="M2088" t="str">
        <f>VLOOKUP(D2088,State_Lookup!$A$2:$B$28,2,FALSE)</f>
        <v>Rio de Janeiro</v>
      </c>
    </row>
    <row r="2089" spans="1:13" x14ac:dyDescent="0.45">
      <c r="A2089" t="s">
        <v>2559</v>
      </c>
      <c r="B2089" t="s">
        <v>2553</v>
      </c>
      <c r="C2089" t="s">
        <v>2487</v>
      </c>
      <c r="D2089" t="s">
        <v>18</v>
      </c>
      <c r="E2089" t="s">
        <v>148</v>
      </c>
      <c r="F2089">
        <v>5</v>
      </c>
      <c r="G2089">
        <v>59.95</v>
      </c>
      <c r="H2089">
        <v>70.48</v>
      </c>
      <c r="I2089" t="s">
        <v>50</v>
      </c>
      <c r="J2089">
        <v>5</v>
      </c>
      <c r="K2089" t="s">
        <v>51</v>
      </c>
      <c r="L2089">
        <v>5</v>
      </c>
      <c r="M2089" t="str">
        <f>VLOOKUP(D2089,State_Lookup!$A$2:$B$28,2,FALSE)</f>
        <v>Minas Gerais</v>
      </c>
    </row>
    <row r="2090" spans="1:13" x14ac:dyDescent="0.45">
      <c r="A2090" t="s">
        <v>2560</v>
      </c>
      <c r="B2090" t="s">
        <v>2553</v>
      </c>
      <c r="C2090" t="s">
        <v>2487</v>
      </c>
      <c r="D2090" t="s">
        <v>19</v>
      </c>
      <c r="E2090" t="s">
        <v>107</v>
      </c>
      <c r="F2090">
        <v>1</v>
      </c>
      <c r="G2090">
        <v>559</v>
      </c>
      <c r="H2090">
        <v>37.270000000000003</v>
      </c>
      <c r="I2090" t="s">
        <v>50</v>
      </c>
      <c r="J2090">
        <v>34</v>
      </c>
      <c r="K2090" t="s">
        <v>143</v>
      </c>
      <c r="L2090">
        <v>3</v>
      </c>
      <c r="M2090" t="str">
        <f>VLOOKUP(D2090,State_Lookup!$A$2:$B$28,2,FALSE)</f>
        <v>Rio Grande do Sul</v>
      </c>
    </row>
    <row r="2091" spans="1:13" x14ac:dyDescent="0.45">
      <c r="A2091" t="s">
        <v>2561</v>
      </c>
      <c r="B2091" t="s">
        <v>2553</v>
      </c>
      <c r="C2091" t="s">
        <v>2487</v>
      </c>
      <c r="D2091" t="s">
        <v>17</v>
      </c>
      <c r="E2091" t="s">
        <v>148</v>
      </c>
      <c r="F2091">
        <v>1</v>
      </c>
      <c r="G2091">
        <v>599</v>
      </c>
      <c r="H2091">
        <v>20.440000000000001</v>
      </c>
      <c r="I2091" t="s">
        <v>44</v>
      </c>
      <c r="J2091">
        <v>14</v>
      </c>
      <c r="K2091" t="s">
        <v>51</v>
      </c>
      <c r="L2091">
        <v>5</v>
      </c>
      <c r="M2091" t="str">
        <f>VLOOKUP(D2091,State_Lookup!$A$2:$B$28,2,FALSE)</f>
        <v>Rio de Janeiro</v>
      </c>
    </row>
    <row r="2092" spans="1:13" x14ac:dyDescent="0.45">
      <c r="A2092" t="s">
        <v>2562</v>
      </c>
      <c r="B2092" t="s">
        <v>2553</v>
      </c>
      <c r="C2092" t="s">
        <v>2487</v>
      </c>
      <c r="D2092" t="s">
        <v>16</v>
      </c>
      <c r="E2092" t="s">
        <v>79</v>
      </c>
      <c r="F2092">
        <v>1</v>
      </c>
      <c r="G2092">
        <v>449</v>
      </c>
      <c r="H2092">
        <v>19.39</v>
      </c>
      <c r="I2092" t="s">
        <v>44</v>
      </c>
      <c r="J2092">
        <v>10</v>
      </c>
      <c r="K2092" t="s">
        <v>51</v>
      </c>
      <c r="L2092">
        <v>5</v>
      </c>
      <c r="M2092" t="str">
        <f>VLOOKUP(D2092,State_Lookup!$A$2:$B$28,2,FALSE)</f>
        <v>Sao Paulo</v>
      </c>
    </row>
    <row r="2093" spans="1:13" x14ac:dyDescent="0.45">
      <c r="A2093" t="s">
        <v>2563</v>
      </c>
      <c r="B2093" t="s">
        <v>2553</v>
      </c>
      <c r="C2093" t="s">
        <v>2487</v>
      </c>
      <c r="D2093" t="s">
        <v>16</v>
      </c>
      <c r="E2093" t="s">
        <v>79</v>
      </c>
      <c r="F2093">
        <v>1</v>
      </c>
      <c r="G2093">
        <v>39.9</v>
      </c>
      <c r="H2093">
        <v>11.85</v>
      </c>
      <c r="I2093" t="s">
        <v>50</v>
      </c>
      <c r="J2093">
        <v>7</v>
      </c>
      <c r="K2093" t="s">
        <v>51</v>
      </c>
      <c r="L2093">
        <v>5</v>
      </c>
      <c r="M2093" t="str">
        <f>VLOOKUP(D2093,State_Lookup!$A$2:$B$28,2,FALSE)</f>
        <v>Sao Paulo</v>
      </c>
    </row>
    <row r="2094" spans="1:13" x14ac:dyDescent="0.45">
      <c r="A2094" t="s">
        <v>2564</v>
      </c>
      <c r="B2094" t="s">
        <v>2553</v>
      </c>
      <c r="C2094" t="s">
        <v>2487</v>
      </c>
      <c r="D2094" t="s">
        <v>16</v>
      </c>
      <c r="E2094" t="s">
        <v>1250</v>
      </c>
      <c r="F2094">
        <v>1</v>
      </c>
      <c r="G2094">
        <v>49.9</v>
      </c>
      <c r="H2094">
        <v>11.85</v>
      </c>
      <c r="I2094" t="s">
        <v>50</v>
      </c>
      <c r="J2094">
        <v>11</v>
      </c>
      <c r="K2094" t="s">
        <v>51</v>
      </c>
      <c r="L2094">
        <v>5</v>
      </c>
      <c r="M2094" t="str">
        <f>VLOOKUP(D2094,State_Lookup!$A$2:$B$28,2,FALSE)</f>
        <v>Sao Paulo</v>
      </c>
    </row>
    <row r="2095" spans="1:13" x14ac:dyDescent="0.45">
      <c r="A2095" t="s">
        <v>2565</v>
      </c>
      <c r="B2095" t="s">
        <v>2566</v>
      </c>
      <c r="C2095" t="s">
        <v>2487</v>
      </c>
      <c r="D2095" t="s">
        <v>24</v>
      </c>
      <c r="E2095" t="s">
        <v>49</v>
      </c>
      <c r="F2095">
        <v>1</v>
      </c>
      <c r="G2095">
        <v>45.9</v>
      </c>
      <c r="H2095">
        <v>14.1</v>
      </c>
      <c r="I2095" t="s">
        <v>50</v>
      </c>
      <c r="J2095">
        <v>13</v>
      </c>
      <c r="K2095" t="s">
        <v>51</v>
      </c>
      <c r="L2095">
        <v>5</v>
      </c>
      <c r="M2095" t="str">
        <f>VLOOKUP(D2095,State_Lookup!$A$2:$B$28,2,FALSE)</f>
        <v>Distrito Federal</v>
      </c>
    </row>
    <row r="2096" spans="1:13" x14ac:dyDescent="0.45">
      <c r="A2096" t="s">
        <v>2567</v>
      </c>
      <c r="B2096" t="s">
        <v>2566</v>
      </c>
      <c r="C2096" t="s">
        <v>2487</v>
      </c>
      <c r="D2096" t="s">
        <v>18</v>
      </c>
      <c r="E2096" t="s">
        <v>79</v>
      </c>
      <c r="F2096">
        <v>1</v>
      </c>
      <c r="G2096">
        <v>89.99</v>
      </c>
      <c r="H2096">
        <v>16.39</v>
      </c>
      <c r="I2096" t="s">
        <v>44</v>
      </c>
      <c r="J2096">
        <v>7</v>
      </c>
      <c r="K2096" t="s">
        <v>51</v>
      </c>
      <c r="L2096">
        <v>5</v>
      </c>
      <c r="M2096" t="str">
        <f>VLOOKUP(D2096,State_Lookup!$A$2:$B$28,2,FALSE)</f>
        <v>Minas Gerais</v>
      </c>
    </row>
    <row r="2097" spans="1:13" x14ac:dyDescent="0.45">
      <c r="A2097" t="s">
        <v>2568</v>
      </c>
      <c r="B2097" t="s">
        <v>2566</v>
      </c>
      <c r="C2097" t="s">
        <v>2487</v>
      </c>
      <c r="D2097" t="s">
        <v>194</v>
      </c>
      <c r="E2097" t="s">
        <v>53</v>
      </c>
      <c r="F2097">
        <v>3</v>
      </c>
      <c r="G2097">
        <v>212.91</v>
      </c>
      <c r="H2097">
        <v>53.25</v>
      </c>
      <c r="I2097" t="s">
        <v>44</v>
      </c>
      <c r="J2097">
        <v>16</v>
      </c>
      <c r="K2097" t="s">
        <v>51</v>
      </c>
      <c r="L2097">
        <v>1</v>
      </c>
      <c r="M2097" t="str">
        <f>VLOOKUP(D2097,State_Lookup!$A$2:$B$28,2,FALSE)</f>
        <v>Mato Grosso do Sul</v>
      </c>
    </row>
    <row r="2098" spans="1:13" x14ac:dyDescent="0.45">
      <c r="A2098" t="s">
        <v>2569</v>
      </c>
      <c r="B2098" t="s">
        <v>2566</v>
      </c>
      <c r="C2098" t="s">
        <v>2487</v>
      </c>
      <c r="D2098" t="s">
        <v>17</v>
      </c>
      <c r="E2098" t="s">
        <v>366</v>
      </c>
      <c r="F2098">
        <v>1</v>
      </c>
      <c r="G2098">
        <v>15.75</v>
      </c>
      <c r="H2098">
        <v>15.1</v>
      </c>
      <c r="I2098" t="s">
        <v>44</v>
      </c>
      <c r="J2098">
        <v>33</v>
      </c>
      <c r="K2098" t="s">
        <v>51</v>
      </c>
      <c r="L2098">
        <v>4</v>
      </c>
      <c r="M2098" t="str">
        <f>VLOOKUP(D2098,State_Lookup!$A$2:$B$28,2,FALSE)</f>
        <v>Rio de Janeiro</v>
      </c>
    </row>
    <row r="2099" spans="1:13" x14ac:dyDescent="0.45">
      <c r="A2099" t="s">
        <v>2570</v>
      </c>
      <c r="B2099" t="s">
        <v>2566</v>
      </c>
      <c r="C2099" t="s">
        <v>2487</v>
      </c>
      <c r="D2099" t="s">
        <v>16</v>
      </c>
      <c r="E2099" t="s">
        <v>103</v>
      </c>
      <c r="F2099">
        <v>1</v>
      </c>
      <c r="G2099">
        <v>134.9</v>
      </c>
      <c r="H2099">
        <v>10.16</v>
      </c>
      <c r="I2099" t="s">
        <v>44</v>
      </c>
      <c r="J2099">
        <v>6</v>
      </c>
      <c r="K2099" t="s">
        <v>51</v>
      </c>
      <c r="L2099">
        <v>5</v>
      </c>
      <c r="M2099" t="str">
        <f>VLOOKUP(D2099,State_Lookup!$A$2:$B$28,2,FALSE)</f>
        <v>Sao Paulo</v>
      </c>
    </row>
    <row r="2100" spans="1:13" x14ac:dyDescent="0.45">
      <c r="A2100" t="s">
        <v>2571</v>
      </c>
      <c r="B2100" t="s">
        <v>2566</v>
      </c>
      <c r="C2100" t="s">
        <v>2487</v>
      </c>
      <c r="D2100" t="s">
        <v>18</v>
      </c>
      <c r="E2100" t="s">
        <v>66</v>
      </c>
      <c r="F2100">
        <v>1</v>
      </c>
      <c r="G2100">
        <v>39.99</v>
      </c>
      <c r="H2100">
        <v>15.1</v>
      </c>
      <c r="I2100" t="s">
        <v>44</v>
      </c>
      <c r="J2100">
        <v>12</v>
      </c>
      <c r="K2100" t="s">
        <v>51</v>
      </c>
      <c r="L2100">
        <v>1</v>
      </c>
      <c r="M2100" t="str">
        <f>VLOOKUP(D2100,State_Lookup!$A$2:$B$28,2,FALSE)</f>
        <v>Minas Gerais</v>
      </c>
    </row>
    <row r="2101" spans="1:13" x14ac:dyDescent="0.45">
      <c r="A2101" t="s">
        <v>2572</v>
      </c>
      <c r="B2101" t="s">
        <v>2566</v>
      </c>
      <c r="C2101" t="s">
        <v>2487</v>
      </c>
      <c r="D2101" t="s">
        <v>22</v>
      </c>
      <c r="E2101" t="s">
        <v>244</v>
      </c>
      <c r="F2101">
        <v>1</v>
      </c>
      <c r="G2101">
        <v>189.99</v>
      </c>
      <c r="H2101">
        <v>20.57</v>
      </c>
      <c r="I2101" t="s">
        <v>44</v>
      </c>
      <c r="J2101">
        <v>39</v>
      </c>
      <c r="K2101" t="s">
        <v>143</v>
      </c>
      <c r="L2101">
        <v>3</v>
      </c>
      <c r="M2101" t="str">
        <f>VLOOKUP(D2101,State_Lookup!$A$2:$B$28,2,FALSE)</f>
        <v>Bahia</v>
      </c>
    </row>
    <row r="2102" spans="1:13" x14ac:dyDescent="0.45">
      <c r="A2102" t="s">
        <v>2573</v>
      </c>
      <c r="B2102" t="s">
        <v>2566</v>
      </c>
      <c r="C2102" t="s">
        <v>2487</v>
      </c>
      <c r="D2102" t="s">
        <v>18</v>
      </c>
      <c r="E2102" t="s">
        <v>125</v>
      </c>
      <c r="F2102">
        <v>2</v>
      </c>
      <c r="G2102">
        <v>25.8</v>
      </c>
      <c r="H2102">
        <v>30.2</v>
      </c>
      <c r="I2102" t="s">
        <v>44</v>
      </c>
      <c r="J2102">
        <v>21</v>
      </c>
      <c r="K2102" t="s">
        <v>51</v>
      </c>
      <c r="L2102">
        <v>1</v>
      </c>
      <c r="M2102" t="str">
        <f>VLOOKUP(D2102,State_Lookup!$A$2:$B$28,2,FALSE)</f>
        <v>Minas Gerais</v>
      </c>
    </row>
    <row r="2103" spans="1:13" x14ac:dyDescent="0.45">
      <c r="A2103" t="s">
        <v>2574</v>
      </c>
      <c r="B2103" t="s">
        <v>2566</v>
      </c>
      <c r="C2103" t="s">
        <v>2487</v>
      </c>
      <c r="D2103" t="s">
        <v>16</v>
      </c>
      <c r="E2103" t="s">
        <v>53</v>
      </c>
      <c r="F2103">
        <v>1</v>
      </c>
      <c r="G2103">
        <v>69.989999999999995</v>
      </c>
      <c r="H2103">
        <v>12.83</v>
      </c>
      <c r="I2103" t="s">
        <v>50</v>
      </c>
      <c r="J2103">
        <v>20</v>
      </c>
      <c r="K2103" t="s">
        <v>51</v>
      </c>
      <c r="L2103">
        <v>5</v>
      </c>
      <c r="M2103" t="str">
        <f>VLOOKUP(D2103,State_Lookup!$A$2:$B$28,2,FALSE)</f>
        <v>Sao Paulo</v>
      </c>
    </row>
    <row r="2104" spans="1:13" x14ac:dyDescent="0.45">
      <c r="A2104" t="s">
        <v>2575</v>
      </c>
      <c r="B2104" t="s">
        <v>2566</v>
      </c>
      <c r="C2104" t="s">
        <v>2487</v>
      </c>
      <c r="D2104" t="s">
        <v>17</v>
      </c>
      <c r="E2104" t="s">
        <v>157</v>
      </c>
      <c r="F2104">
        <v>1</v>
      </c>
      <c r="G2104">
        <v>108</v>
      </c>
      <c r="H2104">
        <v>9.77</v>
      </c>
      <c r="I2104" t="s">
        <v>50</v>
      </c>
      <c r="J2104">
        <v>7</v>
      </c>
      <c r="K2104" t="s">
        <v>51</v>
      </c>
      <c r="L2104">
        <v>5</v>
      </c>
      <c r="M2104" t="str">
        <f>VLOOKUP(D2104,State_Lookup!$A$2:$B$28,2,FALSE)</f>
        <v>Rio de Janeiro</v>
      </c>
    </row>
    <row r="2105" spans="1:13" x14ac:dyDescent="0.45">
      <c r="A2105" t="s">
        <v>2576</v>
      </c>
      <c r="B2105" t="s">
        <v>2577</v>
      </c>
      <c r="C2105" t="s">
        <v>2487</v>
      </c>
      <c r="D2105" t="s">
        <v>16</v>
      </c>
      <c r="E2105" t="s">
        <v>53</v>
      </c>
      <c r="F2105">
        <v>1</v>
      </c>
      <c r="G2105">
        <v>99.9</v>
      </c>
      <c r="H2105">
        <v>16.46</v>
      </c>
      <c r="I2105" t="s">
        <v>44</v>
      </c>
      <c r="J2105">
        <v>19</v>
      </c>
      <c r="K2105" t="s">
        <v>51</v>
      </c>
      <c r="L2105">
        <v>1</v>
      </c>
      <c r="M2105" t="str">
        <f>VLOOKUP(D2105,State_Lookup!$A$2:$B$28,2,FALSE)</f>
        <v>Sao Paulo</v>
      </c>
    </row>
    <row r="2106" spans="1:13" x14ac:dyDescent="0.45">
      <c r="A2106" t="s">
        <v>2578</v>
      </c>
      <c r="B2106" t="s">
        <v>2577</v>
      </c>
      <c r="C2106" t="s">
        <v>2487</v>
      </c>
      <c r="D2106" t="s">
        <v>16</v>
      </c>
      <c r="E2106" t="s">
        <v>49</v>
      </c>
      <c r="F2106">
        <v>1</v>
      </c>
      <c r="G2106">
        <v>99</v>
      </c>
      <c r="H2106">
        <v>7.95</v>
      </c>
      <c r="I2106" t="s">
        <v>50</v>
      </c>
      <c r="J2106">
        <v>7</v>
      </c>
      <c r="K2106" t="s">
        <v>51</v>
      </c>
      <c r="L2106">
        <v>5</v>
      </c>
      <c r="M2106" t="str">
        <f>VLOOKUP(D2106,State_Lookup!$A$2:$B$28,2,FALSE)</f>
        <v>Sao Paulo</v>
      </c>
    </row>
    <row r="2107" spans="1:13" x14ac:dyDescent="0.45">
      <c r="A2107" t="s">
        <v>2579</v>
      </c>
      <c r="B2107" t="s">
        <v>2577</v>
      </c>
      <c r="C2107" t="s">
        <v>2487</v>
      </c>
      <c r="D2107" t="s">
        <v>16</v>
      </c>
      <c r="E2107" t="s">
        <v>49</v>
      </c>
      <c r="F2107">
        <v>1</v>
      </c>
      <c r="G2107">
        <v>149.9</v>
      </c>
      <c r="H2107">
        <v>21.54</v>
      </c>
      <c r="I2107" t="s">
        <v>44</v>
      </c>
      <c r="J2107">
        <v>9</v>
      </c>
      <c r="K2107" t="s">
        <v>51</v>
      </c>
      <c r="L2107">
        <v>5</v>
      </c>
      <c r="M2107" t="str">
        <f>VLOOKUP(D2107,State_Lookup!$A$2:$B$28,2,FALSE)</f>
        <v>Sao Paulo</v>
      </c>
    </row>
    <row r="2108" spans="1:13" x14ac:dyDescent="0.45">
      <c r="A2108" t="s">
        <v>2580</v>
      </c>
      <c r="B2108" t="s">
        <v>2577</v>
      </c>
      <c r="C2108" t="s">
        <v>2487</v>
      </c>
      <c r="D2108" t="s">
        <v>16</v>
      </c>
      <c r="E2108" t="s">
        <v>64</v>
      </c>
      <c r="F2108">
        <v>1</v>
      </c>
      <c r="G2108">
        <v>16.899999999999999</v>
      </c>
      <c r="H2108">
        <v>7.78</v>
      </c>
      <c r="I2108" t="s">
        <v>108</v>
      </c>
      <c r="J2108">
        <v>7</v>
      </c>
      <c r="K2108" t="s">
        <v>51</v>
      </c>
      <c r="L2108">
        <v>5</v>
      </c>
      <c r="M2108" t="str">
        <f>VLOOKUP(D2108,State_Lookup!$A$2:$B$28,2,FALSE)</f>
        <v>Sao Paulo</v>
      </c>
    </row>
    <row r="2109" spans="1:13" x14ac:dyDescent="0.45">
      <c r="A2109" t="s">
        <v>2581</v>
      </c>
      <c r="B2109" t="s">
        <v>2577</v>
      </c>
      <c r="C2109" t="s">
        <v>2487</v>
      </c>
      <c r="D2109" t="s">
        <v>25</v>
      </c>
      <c r="E2109" t="s">
        <v>244</v>
      </c>
      <c r="F2109">
        <v>1</v>
      </c>
      <c r="G2109">
        <v>69</v>
      </c>
      <c r="H2109">
        <v>15.23</v>
      </c>
      <c r="I2109" t="s">
        <v>44</v>
      </c>
      <c r="J2109">
        <v>34</v>
      </c>
      <c r="K2109" t="s">
        <v>143</v>
      </c>
      <c r="L2109">
        <v>1</v>
      </c>
      <c r="M2109" t="str">
        <f>VLOOKUP(D2109,State_Lookup!$A$2:$B$28,2,FALSE)</f>
        <v>Goias</v>
      </c>
    </row>
    <row r="2110" spans="1:13" x14ac:dyDescent="0.45">
      <c r="A2110" t="s">
        <v>2582</v>
      </c>
      <c r="B2110" t="s">
        <v>2577</v>
      </c>
      <c r="C2110" t="s">
        <v>2487</v>
      </c>
      <c r="D2110" t="s">
        <v>16</v>
      </c>
      <c r="E2110" t="s">
        <v>142</v>
      </c>
      <c r="F2110">
        <v>1</v>
      </c>
      <c r="G2110">
        <v>64.989999999999995</v>
      </c>
      <c r="H2110">
        <v>11.73</v>
      </c>
      <c r="I2110" t="s">
        <v>44</v>
      </c>
      <c r="J2110">
        <v>5</v>
      </c>
      <c r="K2110" t="s">
        <v>51</v>
      </c>
      <c r="L2110">
        <v>5</v>
      </c>
      <c r="M2110" t="str">
        <f>VLOOKUP(D2110,State_Lookup!$A$2:$B$28,2,FALSE)</f>
        <v>Sao Paulo</v>
      </c>
    </row>
    <row r="2111" spans="1:13" x14ac:dyDescent="0.45">
      <c r="A2111" t="s">
        <v>2583</v>
      </c>
      <c r="B2111" t="s">
        <v>2577</v>
      </c>
      <c r="C2111" t="s">
        <v>2487</v>
      </c>
      <c r="D2111" t="s">
        <v>17</v>
      </c>
      <c r="E2111" t="s">
        <v>142</v>
      </c>
      <c r="F2111">
        <v>1</v>
      </c>
      <c r="G2111">
        <v>43</v>
      </c>
      <c r="H2111">
        <v>16.600000000000001</v>
      </c>
      <c r="I2111" t="s">
        <v>50</v>
      </c>
      <c r="J2111">
        <v>20</v>
      </c>
      <c r="K2111" t="s">
        <v>51</v>
      </c>
      <c r="L2111">
        <v>5</v>
      </c>
      <c r="M2111" t="str">
        <f>VLOOKUP(D2111,State_Lookup!$A$2:$B$28,2,FALSE)</f>
        <v>Rio de Janeiro</v>
      </c>
    </row>
    <row r="2112" spans="1:13" x14ac:dyDescent="0.45">
      <c r="A2112" t="s">
        <v>2584</v>
      </c>
      <c r="B2112" t="s">
        <v>2577</v>
      </c>
      <c r="C2112" t="s">
        <v>2487</v>
      </c>
      <c r="D2112" t="s">
        <v>21</v>
      </c>
      <c r="E2112" t="s">
        <v>61</v>
      </c>
      <c r="F2112">
        <v>1</v>
      </c>
      <c r="G2112">
        <v>19.989999999999998</v>
      </c>
      <c r="H2112">
        <v>14.1</v>
      </c>
      <c r="I2112" t="s">
        <v>44</v>
      </c>
      <c r="J2112">
        <v>14</v>
      </c>
      <c r="K2112" t="s">
        <v>51</v>
      </c>
      <c r="L2112">
        <v>5</v>
      </c>
      <c r="M2112" t="str">
        <f>VLOOKUP(D2112,State_Lookup!$A$2:$B$28,2,FALSE)</f>
        <v>Santa Catarina</v>
      </c>
    </row>
    <row r="2113" spans="1:13" x14ac:dyDescent="0.45">
      <c r="A2113" t="s">
        <v>2585</v>
      </c>
      <c r="B2113" t="s">
        <v>2577</v>
      </c>
      <c r="C2113" t="s">
        <v>2487</v>
      </c>
      <c r="D2113" t="s">
        <v>16</v>
      </c>
      <c r="E2113" t="s">
        <v>64</v>
      </c>
      <c r="F2113">
        <v>1</v>
      </c>
      <c r="G2113">
        <v>118</v>
      </c>
      <c r="H2113">
        <v>8.08</v>
      </c>
      <c r="I2113" t="s">
        <v>44</v>
      </c>
      <c r="J2113">
        <v>3</v>
      </c>
      <c r="K2113" t="s">
        <v>51</v>
      </c>
      <c r="L2113">
        <v>4</v>
      </c>
      <c r="M2113" t="str">
        <f>VLOOKUP(D2113,State_Lookup!$A$2:$B$28,2,FALSE)</f>
        <v>Sao Paulo</v>
      </c>
    </row>
    <row r="2114" spans="1:13" x14ac:dyDescent="0.45">
      <c r="A2114" t="s">
        <v>2586</v>
      </c>
      <c r="B2114" t="s">
        <v>2577</v>
      </c>
      <c r="C2114" t="s">
        <v>2487</v>
      </c>
      <c r="D2114" t="s">
        <v>208</v>
      </c>
      <c r="E2114" t="s">
        <v>69</v>
      </c>
      <c r="F2114">
        <v>1</v>
      </c>
      <c r="G2114">
        <v>89.99</v>
      </c>
      <c r="H2114">
        <v>64.05</v>
      </c>
      <c r="I2114" t="s">
        <v>44</v>
      </c>
      <c r="J2114">
        <v>31</v>
      </c>
      <c r="K2114" t="s">
        <v>51</v>
      </c>
      <c r="L2114">
        <v>5</v>
      </c>
      <c r="M2114" t="str">
        <f>VLOOKUP(D2114,State_Lookup!$A$2:$B$28,2,FALSE)</f>
        <v>Mato Grosso</v>
      </c>
    </row>
    <row r="2115" spans="1:13" x14ac:dyDescent="0.45">
      <c r="A2115" t="s">
        <v>2587</v>
      </c>
      <c r="B2115" t="s">
        <v>2577</v>
      </c>
      <c r="C2115" t="s">
        <v>2487</v>
      </c>
      <c r="D2115" t="s">
        <v>16</v>
      </c>
      <c r="E2115" t="s">
        <v>110</v>
      </c>
      <c r="F2115">
        <v>1</v>
      </c>
      <c r="G2115">
        <v>126</v>
      </c>
      <c r="H2115">
        <v>13.9</v>
      </c>
      <c r="I2115" t="s">
        <v>44</v>
      </c>
      <c r="J2115">
        <v>20</v>
      </c>
      <c r="K2115" t="s">
        <v>51</v>
      </c>
      <c r="L2115">
        <v>5</v>
      </c>
      <c r="M2115" t="str">
        <f>VLOOKUP(D2115,State_Lookup!$A$2:$B$28,2,FALSE)</f>
        <v>Sao Paulo</v>
      </c>
    </row>
    <row r="2116" spans="1:13" x14ac:dyDescent="0.45">
      <c r="A2116" t="s">
        <v>2588</v>
      </c>
      <c r="B2116" t="s">
        <v>2577</v>
      </c>
      <c r="C2116" t="s">
        <v>2487</v>
      </c>
      <c r="D2116" t="s">
        <v>16</v>
      </c>
      <c r="E2116" t="s">
        <v>199</v>
      </c>
      <c r="F2116">
        <v>1</v>
      </c>
      <c r="G2116">
        <v>169.76</v>
      </c>
      <c r="H2116">
        <v>12.69</v>
      </c>
      <c r="I2116" t="s">
        <v>44</v>
      </c>
      <c r="J2116">
        <v>20</v>
      </c>
      <c r="K2116" t="s">
        <v>51</v>
      </c>
      <c r="L2116">
        <v>5</v>
      </c>
      <c r="M2116" t="str">
        <f>VLOOKUP(D2116,State_Lookup!$A$2:$B$28,2,FALSE)</f>
        <v>Sao Paulo</v>
      </c>
    </row>
    <row r="2117" spans="1:13" x14ac:dyDescent="0.45">
      <c r="A2117" t="s">
        <v>2589</v>
      </c>
      <c r="B2117" t="s">
        <v>2577</v>
      </c>
      <c r="C2117" t="s">
        <v>2487</v>
      </c>
      <c r="D2117" t="s">
        <v>16</v>
      </c>
      <c r="E2117" t="s">
        <v>64</v>
      </c>
      <c r="F2117">
        <v>1</v>
      </c>
      <c r="G2117">
        <v>339.9</v>
      </c>
      <c r="H2117">
        <v>18.14</v>
      </c>
      <c r="I2117" t="s">
        <v>44</v>
      </c>
      <c r="J2117">
        <v>15</v>
      </c>
      <c r="K2117" t="s">
        <v>51</v>
      </c>
      <c r="L2117">
        <v>4</v>
      </c>
      <c r="M2117" t="str">
        <f>VLOOKUP(D2117,State_Lookup!$A$2:$B$28,2,FALSE)</f>
        <v>Sao Paulo</v>
      </c>
    </row>
    <row r="2118" spans="1:13" x14ac:dyDescent="0.45">
      <c r="A2118" t="s">
        <v>2590</v>
      </c>
      <c r="B2118" t="s">
        <v>2577</v>
      </c>
      <c r="C2118" t="s">
        <v>2487</v>
      </c>
      <c r="D2118" t="s">
        <v>21</v>
      </c>
      <c r="E2118" t="s">
        <v>79</v>
      </c>
      <c r="F2118">
        <v>1</v>
      </c>
      <c r="G2118">
        <v>23</v>
      </c>
      <c r="H2118">
        <v>15.1</v>
      </c>
      <c r="I2118" t="s">
        <v>44</v>
      </c>
      <c r="J2118">
        <v>25</v>
      </c>
      <c r="K2118" t="s">
        <v>51</v>
      </c>
      <c r="L2118">
        <v>5</v>
      </c>
      <c r="M2118" t="str">
        <f>VLOOKUP(D2118,State_Lookup!$A$2:$B$28,2,FALSE)</f>
        <v>Santa Catarina</v>
      </c>
    </row>
    <row r="2119" spans="1:13" x14ac:dyDescent="0.45">
      <c r="A2119" t="s">
        <v>2591</v>
      </c>
      <c r="B2119" t="s">
        <v>2577</v>
      </c>
      <c r="C2119" t="s">
        <v>2487</v>
      </c>
      <c r="D2119" t="s">
        <v>18</v>
      </c>
      <c r="E2119" t="s">
        <v>79</v>
      </c>
      <c r="F2119">
        <v>1</v>
      </c>
      <c r="G2119">
        <v>81.900000000000006</v>
      </c>
      <c r="H2119">
        <v>16.82</v>
      </c>
      <c r="I2119" t="s">
        <v>108</v>
      </c>
      <c r="J2119">
        <v>14</v>
      </c>
      <c r="K2119" t="s">
        <v>51</v>
      </c>
      <c r="L2119">
        <v>4</v>
      </c>
      <c r="M2119" t="str">
        <f>VLOOKUP(D2119,State_Lookup!$A$2:$B$28,2,FALSE)</f>
        <v>Minas Gerais</v>
      </c>
    </row>
    <row r="2120" spans="1:13" x14ac:dyDescent="0.45">
      <c r="A2120" t="s">
        <v>2592</v>
      </c>
      <c r="B2120" t="s">
        <v>2577</v>
      </c>
      <c r="C2120" t="s">
        <v>2487</v>
      </c>
      <c r="D2120" t="s">
        <v>16</v>
      </c>
      <c r="E2120" t="s">
        <v>66</v>
      </c>
      <c r="F2120">
        <v>1</v>
      </c>
      <c r="G2120">
        <v>29.99</v>
      </c>
      <c r="H2120">
        <v>7.78</v>
      </c>
      <c r="I2120" t="s">
        <v>44</v>
      </c>
      <c r="J2120">
        <v>7</v>
      </c>
      <c r="K2120" t="s">
        <v>51</v>
      </c>
      <c r="L2120">
        <v>5</v>
      </c>
      <c r="M2120" t="str">
        <f>VLOOKUP(D2120,State_Lookup!$A$2:$B$28,2,FALSE)</f>
        <v>Sao Paulo</v>
      </c>
    </row>
    <row r="2121" spans="1:13" x14ac:dyDescent="0.45">
      <c r="A2121" t="s">
        <v>2593</v>
      </c>
      <c r="B2121" t="s">
        <v>2594</v>
      </c>
      <c r="C2121" t="s">
        <v>2487</v>
      </c>
      <c r="D2121" t="s">
        <v>16</v>
      </c>
      <c r="E2121" t="s">
        <v>100</v>
      </c>
      <c r="F2121">
        <v>1</v>
      </c>
      <c r="G2121">
        <v>48.9</v>
      </c>
      <c r="H2121">
        <v>17.600000000000001</v>
      </c>
      <c r="I2121" t="s">
        <v>44</v>
      </c>
      <c r="J2121">
        <v>17</v>
      </c>
      <c r="K2121" t="s">
        <v>51</v>
      </c>
      <c r="L2121">
        <v>5</v>
      </c>
      <c r="M2121" t="str">
        <f>VLOOKUP(D2121,State_Lookup!$A$2:$B$28,2,FALSE)</f>
        <v>Sao Paulo</v>
      </c>
    </row>
    <row r="2122" spans="1:13" x14ac:dyDescent="0.45">
      <c r="A2122" t="s">
        <v>2595</v>
      </c>
      <c r="B2122" t="s">
        <v>2594</v>
      </c>
      <c r="C2122" t="s">
        <v>2487</v>
      </c>
      <c r="D2122" t="s">
        <v>17</v>
      </c>
      <c r="E2122" t="s">
        <v>244</v>
      </c>
      <c r="F2122">
        <v>2</v>
      </c>
      <c r="G2122">
        <v>178</v>
      </c>
      <c r="H2122">
        <v>35.74</v>
      </c>
      <c r="I2122" t="s">
        <v>44</v>
      </c>
      <c r="J2122">
        <v>30</v>
      </c>
      <c r="K2122" t="s">
        <v>51</v>
      </c>
      <c r="L2122">
        <v>4</v>
      </c>
      <c r="M2122" t="str">
        <f>VLOOKUP(D2122,State_Lookup!$A$2:$B$28,2,FALSE)</f>
        <v>Rio de Janeiro</v>
      </c>
    </row>
    <row r="2123" spans="1:13" x14ac:dyDescent="0.45">
      <c r="A2123" t="s">
        <v>2596</v>
      </c>
      <c r="B2123" t="s">
        <v>2594</v>
      </c>
      <c r="C2123" t="s">
        <v>2487</v>
      </c>
      <c r="D2123" t="s">
        <v>16</v>
      </c>
      <c r="E2123" t="s">
        <v>110</v>
      </c>
      <c r="F2123">
        <v>1</v>
      </c>
      <c r="G2123">
        <v>119.9</v>
      </c>
      <c r="H2123">
        <v>13.86</v>
      </c>
      <c r="I2123" t="s">
        <v>44</v>
      </c>
      <c r="J2123">
        <v>8</v>
      </c>
      <c r="K2123" t="s">
        <v>51</v>
      </c>
      <c r="L2123">
        <v>5</v>
      </c>
      <c r="M2123" t="str">
        <f>VLOOKUP(D2123,State_Lookup!$A$2:$B$28,2,FALSE)</f>
        <v>Sao Paulo</v>
      </c>
    </row>
    <row r="2124" spans="1:13" x14ac:dyDescent="0.45">
      <c r="A2124" t="s">
        <v>2597</v>
      </c>
      <c r="B2124" t="s">
        <v>2594</v>
      </c>
      <c r="C2124" t="s">
        <v>2487</v>
      </c>
      <c r="D2124" t="s">
        <v>16</v>
      </c>
      <c r="E2124" t="s">
        <v>302</v>
      </c>
      <c r="F2124">
        <v>1</v>
      </c>
      <c r="G2124">
        <v>79.900000000000006</v>
      </c>
      <c r="H2124">
        <v>11.76</v>
      </c>
      <c r="I2124" t="s">
        <v>44</v>
      </c>
      <c r="J2124">
        <v>3</v>
      </c>
      <c r="K2124" t="s">
        <v>51</v>
      </c>
      <c r="L2124">
        <v>2</v>
      </c>
      <c r="M2124" t="str">
        <f>VLOOKUP(D2124,State_Lookup!$A$2:$B$28,2,FALSE)</f>
        <v>Sao Paulo</v>
      </c>
    </row>
    <row r="2125" spans="1:13" x14ac:dyDescent="0.45">
      <c r="A2125" t="s">
        <v>2598</v>
      </c>
      <c r="B2125" t="s">
        <v>2594</v>
      </c>
      <c r="C2125" t="s">
        <v>2487</v>
      </c>
      <c r="D2125" t="s">
        <v>23</v>
      </c>
      <c r="E2125" t="s">
        <v>43</v>
      </c>
      <c r="F2125">
        <v>1</v>
      </c>
      <c r="G2125">
        <v>59.99</v>
      </c>
      <c r="H2125">
        <v>16.18</v>
      </c>
      <c r="I2125" t="s">
        <v>50</v>
      </c>
      <c r="J2125">
        <v>24</v>
      </c>
      <c r="K2125" t="s">
        <v>51</v>
      </c>
      <c r="L2125">
        <v>5</v>
      </c>
      <c r="M2125" t="str">
        <f>VLOOKUP(D2125,State_Lookup!$A$2:$B$28,2,FALSE)</f>
        <v>Espirito Santo</v>
      </c>
    </row>
    <row r="2126" spans="1:13" x14ac:dyDescent="0.45">
      <c r="A2126" t="s">
        <v>2599</v>
      </c>
      <c r="B2126" t="s">
        <v>2594</v>
      </c>
      <c r="C2126" t="s">
        <v>2487</v>
      </c>
      <c r="D2126" t="s">
        <v>20</v>
      </c>
      <c r="E2126" t="s">
        <v>110</v>
      </c>
      <c r="F2126">
        <v>1</v>
      </c>
      <c r="G2126">
        <v>220</v>
      </c>
      <c r="H2126">
        <v>26.38</v>
      </c>
      <c r="I2126" t="s">
        <v>44</v>
      </c>
      <c r="J2126">
        <v>10</v>
      </c>
      <c r="K2126" t="s">
        <v>51</v>
      </c>
      <c r="L2126">
        <v>1</v>
      </c>
      <c r="M2126" t="str">
        <f>VLOOKUP(D2126,State_Lookup!$A$2:$B$28,2,FALSE)</f>
        <v>Parana</v>
      </c>
    </row>
    <row r="2127" spans="1:13" x14ac:dyDescent="0.45">
      <c r="A2127" t="s">
        <v>2600</v>
      </c>
      <c r="B2127" t="s">
        <v>2594</v>
      </c>
      <c r="C2127" t="s">
        <v>2487</v>
      </c>
      <c r="D2127" t="s">
        <v>16</v>
      </c>
      <c r="E2127" t="s">
        <v>199</v>
      </c>
      <c r="F2127">
        <v>1</v>
      </c>
      <c r="G2127">
        <v>157.77000000000001</v>
      </c>
      <c r="H2127">
        <v>12.6</v>
      </c>
      <c r="I2127" t="s">
        <v>44</v>
      </c>
      <c r="J2127">
        <v>11</v>
      </c>
      <c r="K2127" t="s">
        <v>51</v>
      </c>
      <c r="L2127">
        <v>5</v>
      </c>
      <c r="M2127" t="str">
        <f>VLOOKUP(D2127,State_Lookup!$A$2:$B$28,2,FALSE)</f>
        <v>Sao Paulo</v>
      </c>
    </row>
    <row r="2128" spans="1:13" x14ac:dyDescent="0.45">
      <c r="A2128" t="s">
        <v>2601</v>
      </c>
      <c r="B2128" t="s">
        <v>2594</v>
      </c>
      <c r="C2128" t="s">
        <v>2487</v>
      </c>
      <c r="D2128" t="s">
        <v>18</v>
      </c>
      <c r="E2128" t="s">
        <v>125</v>
      </c>
      <c r="F2128">
        <v>1</v>
      </c>
      <c r="G2128">
        <v>13.65</v>
      </c>
      <c r="H2128">
        <v>15.1</v>
      </c>
      <c r="I2128" t="s">
        <v>44</v>
      </c>
      <c r="J2128">
        <v>18</v>
      </c>
      <c r="K2128" t="s">
        <v>51</v>
      </c>
      <c r="L2128">
        <v>3</v>
      </c>
      <c r="M2128" t="str">
        <f>VLOOKUP(D2128,State_Lookup!$A$2:$B$28,2,FALSE)</f>
        <v>Minas Gerais</v>
      </c>
    </row>
    <row r="2129" spans="1:13" x14ac:dyDescent="0.45">
      <c r="A2129" t="s">
        <v>2602</v>
      </c>
      <c r="B2129" t="s">
        <v>2603</v>
      </c>
      <c r="C2129" t="s">
        <v>2487</v>
      </c>
      <c r="D2129" t="s">
        <v>17</v>
      </c>
      <c r="E2129" t="s">
        <v>157</v>
      </c>
      <c r="F2129">
        <v>1</v>
      </c>
      <c r="G2129">
        <v>124.9</v>
      </c>
      <c r="H2129">
        <v>14.62</v>
      </c>
      <c r="I2129" t="s">
        <v>44</v>
      </c>
      <c r="J2129">
        <v>18</v>
      </c>
      <c r="K2129" t="s">
        <v>51</v>
      </c>
      <c r="L2129">
        <v>5</v>
      </c>
      <c r="M2129" t="str">
        <f>VLOOKUP(D2129,State_Lookup!$A$2:$B$28,2,FALSE)</f>
        <v>Rio de Janeiro</v>
      </c>
    </row>
    <row r="2130" spans="1:13" x14ac:dyDescent="0.45">
      <c r="A2130" t="s">
        <v>2604</v>
      </c>
      <c r="B2130" t="s">
        <v>2603</v>
      </c>
      <c r="C2130" t="s">
        <v>2487</v>
      </c>
      <c r="D2130" t="s">
        <v>16</v>
      </c>
      <c r="E2130" t="s">
        <v>107</v>
      </c>
      <c r="F2130">
        <v>1</v>
      </c>
      <c r="G2130">
        <v>93.9</v>
      </c>
      <c r="H2130">
        <v>14.26</v>
      </c>
      <c r="I2130" t="s">
        <v>44</v>
      </c>
      <c r="J2130">
        <v>4</v>
      </c>
      <c r="K2130" t="s">
        <v>51</v>
      </c>
      <c r="L2130">
        <v>5</v>
      </c>
      <c r="M2130" t="str">
        <f>VLOOKUP(D2130,State_Lookup!$A$2:$B$28,2,FALSE)</f>
        <v>Sao Paulo</v>
      </c>
    </row>
    <row r="2131" spans="1:13" x14ac:dyDescent="0.45">
      <c r="A2131" t="s">
        <v>2605</v>
      </c>
      <c r="B2131" t="s">
        <v>2603</v>
      </c>
      <c r="C2131" t="s">
        <v>2487</v>
      </c>
      <c r="D2131" t="s">
        <v>20</v>
      </c>
      <c r="E2131" t="s">
        <v>1935</v>
      </c>
      <c r="F2131">
        <v>1</v>
      </c>
      <c r="G2131">
        <v>130.80000000000001</v>
      </c>
      <c r="H2131">
        <v>15.67</v>
      </c>
      <c r="I2131" t="s">
        <v>44</v>
      </c>
      <c r="J2131">
        <v>26</v>
      </c>
      <c r="K2131" t="s">
        <v>51</v>
      </c>
      <c r="L2131">
        <v>1</v>
      </c>
      <c r="M2131" t="str">
        <f>VLOOKUP(D2131,State_Lookup!$A$2:$B$28,2,FALSE)</f>
        <v>Parana</v>
      </c>
    </row>
    <row r="2132" spans="1:13" x14ac:dyDescent="0.45">
      <c r="A2132" t="s">
        <v>2606</v>
      </c>
      <c r="B2132" t="s">
        <v>2603</v>
      </c>
      <c r="C2132" t="s">
        <v>2487</v>
      </c>
      <c r="D2132" t="s">
        <v>18</v>
      </c>
      <c r="E2132" t="s">
        <v>49</v>
      </c>
      <c r="F2132">
        <v>1</v>
      </c>
      <c r="G2132">
        <v>649</v>
      </c>
      <c r="H2132">
        <v>20.98</v>
      </c>
      <c r="I2132" t="s">
        <v>44</v>
      </c>
      <c r="J2132">
        <v>9</v>
      </c>
      <c r="K2132" t="s">
        <v>51</v>
      </c>
      <c r="L2132">
        <v>5</v>
      </c>
      <c r="M2132" t="str">
        <f>VLOOKUP(D2132,State_Lookup!$A$2:$B$28,2,FALSE)</f>
        <v>Minas Gerais</v>
      </c>
    </row>
    <row r="2133" spans="1:13" x14ac:dyDescent="0.45">
      <c r="A2133" t="s">
        <v>2607</v>
      </c>
      <c r="B2133" t="s">
        <v>2603</v>
      </c>
      <c r="C2133" t="s">
        <v>2487</v>
      </c>
      <c r="D2133" t="s">
        <v>19</v>
      </c>
      <c r="E2133" t="s">
        <v>61</v>
      </c>
      <c r="F2133">
        <v>1</v>
      </c>
      <c r="G2133">
        <v>109.9</v>
      </c>
      <c r="H2133">
        <v>15.52</v>
      </c>
      <c r="I2133" t="s">
        <v>44</v>
      </c>
      <c r="J2133">
        <v>24</v>
      </c>
      <c r="K2133" t="s">
        <v>51</v>
      </c>
      <c r="L2133">
        <v>5</v>
      </c>
      <c r="M2133" t="str">
        <f>VLOOKUP(D2133,State_Lookup!$A$2:$B$28,2,FALSE)</f>
        <v>Rio Grande do Sul</v>
      </c>
    </row>
    <row r="2134" spans="1:13" x14ac:dyDescent="0.45">
      <c r="A2134" t="s">
        <v>2608</v>
      </c>
      <c r="B2134" t="s">
        <v>2603</v>
      </c>
      <c r="C2134" t="s">
        <v>2487</v>
      </c>
      <c r="D2134" t="s">
        <v>17</v>
      </c>
      <c r="E2134" t="s">
        <v>186</v>
      </c>
      <c r="F2134">
        <v>1</v>
      </c>
      <c r="G2134">
        <v>46.99</v>
      </c>
      <c r="H2134">
        <v>25.22</v>
      </c>
      <c r="I2134" t="s">
        <v>44</v>
      </c>
      <c r="J2134">
        <v>16</v>
      </c>
      <c r="K2134" t="s">
        <v>51</v>
      </c>
      <c r="L2134">
        <v>4</v>
      </c>
      <c r="M2134" t="str">
        <f>VLOOKUP(D2134,State_Lookup!$A$2:$B$28,2,FALSE)</f>
        <v>Rio de Janeiro</v>
      </c>
    </row>
    <row r="2135" spans="1:13" x14ac:dyDescent="0.45">
      <c r="A2135" t="s">
        <v>2609</v>
      </c>
      <c r="B2135" t="s">
        <v>2603</v>
      </c>
      <c r="C2135" t="s">
        <v>2487</v>
      </c>
      <c r="D2135" t="s">
        <v>22</v>
      </c>
      <c r="E2135" t="s">
        <v>66</v>
      </c>
      <c r="F2135">
        <v>1</v>
      </c>
      <c r="G2135">
        <v>189.9</v>
      </c>
      <c r="H2135">
        <v>9.89</v>
      </c>
      <c r="I2135" t="s">
        <v>44</v>
      </c>
      <c r="J2135">
        <v>3</v>
      </c>
      <c r="K2135" t="s">
        <v>51</v>
      </c>
      <c r="L2135">
        <v>5</v>
      </c>
      <c r="M2135" t="str">
        <f>VLOOKUP(D2135,State_Lookup!$A$2:$B$28,2,FALSE)</f>
        <v>Bahia</v>
      </c>
    </row>
    <row r="2136" spans="1:13" x14ac:dyDescent="0.45">
      <c r="A2136" t="s">
        <v>2610</v>
      </c>
      <c r="B2136" t="s">
        <v>2611</v>
      </c>
      <c r="C2136" t="s">
        <v>2487</v>
      </c>
      <c r="D2136" t="s">
        <v>194</v>
      </c>
      <c r="E2136" t="s">
        <v>79</v>
      </c>
      <c r="F2136">
        <v>1</v>
      </c>
      <c r="G2136">
        <v>159.99</v>
      </c>
      <c r="H2136">
        <v>20.36</v>
      </c>
      <c r="I2136" t="s">
        <v>44</v>
      </c>
      <c r="J2136">
        <v>16</v>
      </c>
      <c r="K2136" t="s">
        <v>51</v>
      </c>
      <c r="L2136">
        <v>5</v>
      </c>
      <c r="M2136" t="str">
        <f>VLOOKUP(D2136,State_Lookup!$A$2:$B$28,2,FALSE)</f>
        <v>Mato Grosso do Sul</v>
      </c>
    </row>
    <row r="2137" spans="1:13" x14ac:dyDescent="0.45">
      <c r="A2137" t="s">
        <v>2612</v>
      </c>
      <c r="B2137" t="s">
        <v>2611</v>
      </c>
      <c r="C2137" t="s">
        <v>2487</v>
      </c>
      <c r="D2137" t="s">
        <v>17</v>
      </c>
      <c r="E2137" t="s">
        <v>43</v>
      </c>
      <c r="F2137">
        <v>1</v>
      </c>
      <c r="G2137">
        <v>89.9</v>
      </c>
      <c r="H2137">
        <v>16.88</v>
      </c>
      <c r="I2137" t="s">
        <v>44</v>
      </c>
      <c r="J2137">
        <v>24</v>
      </c>
      <c r="K2137" t="s">
        <v>143</v>
      </c>
      <c r="L2137">
        <v>1</v>
      </c>
      <c r="M2137" t="str">
        <f>VLOOKUP(D2137,State_Lookup!$A$2:$B$28,2,FALSE)</f>
        <v>Rio de Janeiro</v>
      </c>
    </row>
    <row r="2138" spans="1:13" x14ac:dyDescent="0.45">
      <c r="A2138" t="s">
        <v>2613</v>
      </c>
      <c r="B2138" t="s">
        <v>2611</v>
      </c>
      <c r="C2138" t="s">
        <v>2487</v>
      </c>
      <c r="D2138" t="s">
        <v>17</v>
      </c>
      <c r="E2138" t="s">
        <v>49</v>
      </c>
      <c r="F2138">
        <v>1</v>
      </c>
      <c r="G2138">
        <v>129.9</v>
      </c>
      <c r="H2138">
        <v>27.16</v>
      </c>
      <c r="I2138" t="s">
        <v>44</v>
      </c>
      <c r="J2138">
        <v>11</v>
      </c>
      <c r="K2138" t="s">
        <v>51</v>
      </c>
      <c r="L2138">
        <v>4</v>
      </c>
      <c r="M2138" t="str">
        <f>VLOOKUP(D2138,State_Lookup!$A$2:$B$28,2,FALSE)</f>
        <v>Rio de Janeiro</v>
      </c>
    </row>
    <row r="2139" spans="1:13" x14ac:dyDescent="0.45">
      <c r="A2139" t="s">
        <v>2614</v>
      </c>
      <c r="B2139" t="s">
        <v>2611</v>
      </c>
      <c r="C2139" t="s">
        <v>2487</v>
      </c>
      <c r="D2139" t="s">
        <v>22</v>
      </c>
      <c r="E2139" t="s">
        <v>110</v>
      </c>
      <c r="F2139">
        <v>1</v>
      </c>
      <c r="G2139">
        <v>129.88999999999999</v>
      </c>
      <c r="H2139">
        <v>17.48</v>
      </c>
      <c r="I2139" t="s">
        <v>44</v>
      </c>
      <c r="J2139">
        <v>16</v>
      </c>
      <c r="K2139" t="s">
        <v>51</v>
      </c>
      <c r="L2139">
        <v>1</v>
      </c>
      <c r="M2139" t="str">
        <f>VLOOKUP(D2139,State_Lookup!$A$2:$B$28,2,FALSE)</f>
        <v>Bahia</v>
      </c>
    </row>
    <row r="2140" spans="1:13" x14ac:dyDescent="0.45">
      <c r="A2140" t="s">
        <v>2615</v>
      </c>
      <c r="B2140" t="s">
        <v>2611</v>
      </c>
      <c r="C2140" t="s">
        <v>2487</v>
      </c>
      <c r="D2140" t="s">
        <v>22</v>
      </c>
      <c r="E2140" t="s">
        <v>1056</v>
      </c>
      <c r="F2140">
        <v>2</v>
      </c>
      <c r="G2140">
        <v>159.97999999999999</v>
      </c>
      <c r="H2140">
        <v>34</v>
      </c>
      <c r="I2140" t="s">
        <v>44</v>
      </c>
      <c r="J2140">
        <v>22</v>
      </c>
      <c r="K2140" t="s">
        <v>51</v>
      </c>
      <c r="L2140">
        <v>5</v>
      </c>
      <c r="M2140" t="str">
        <f>VLOOKUP(D2140,State_Lookup!$A$2:$B$28,2,FALSE)</f>
        <v>Bahia</v>
      </c>
    </row>
    <row r="2141" spans="1:13" x14ac:dyDescent="0.45">
      <c r="A2141" t="s">
        <v>2616</v>
      </c>
      <c r="B2141" t="s">
        <v>2611</v>
      </c>
      <c r="C2141" t="s">
        <v>2487</v>
      </c>
      <c r="D2141" t="s">
        <v>16</v>
      </c>
      <c r="E2141" t="s">
        <v>157</v>
      </c>
      <c r="F2141">
        <v>1</v>
      </c>
      <c r="G2141">
        <v>65</v>
      </c>
      <c r="H2141">
        <v>7.78</v>
      </c>
      <c r="I2141" t="s">
        <v>44</v>
      </c>
      <c r="J2141">
        <v>1</v>
      </c>
      <c r="K2141" t="s">
        <v>51</v>
      </c>
      <c r="L2141">
        <v>5</v>
      </c>
      <c r="M2141" t="str">
        <f>VLOOKUP(D2141,State_Lookup!$A$2:$B$28,2,FALSE)</f>
        <v>Sao Paulo</v>
      </c>
    </row>
    <row r="2142" spans="1:13" x14ac:dyDescent="0.45">
      <c r="A2142" t="s">
        <v>2617</v>
      </c>
      <c r="B2142" t="s">
        <v>2611</v>
      </c>
      <c r="C2142" t="s">
        <v>2487</v>
      </c>
      <c r="D2142" t="s">
        <v>18</v>
      </c>
      <c r="E2142" t="s">
        <v>79</v>
      </c>
      <c r="F2142">
        <v>1</v>
      </c>
      <c r="G2142">
        <v>58.99</v>
      </c>
      <c r="H2142">
        <v>17.66</v>
      </c>
      <c r="I2142" t="s">
        <v>44</v>
      </c>
      <c r="J2142">
        <v>16</v>
      </c>
      <c r="K2142" t="s">
        <v>51</v>
      </c>
      <c r="L2142">
        <v>1</v>
      </c>
      <c r="M2142" t="str">
        <f>VLOOKUP(D2142,State_Lookup!$A$2:$B$28,2,FALSE)</f>
        <v>Minas Gerais</v>
      </c>
    </row>
    <row r="2143" spans="1:13" x14ac:dyDescent="0.45">
      <c r="A2143" t="s">
        <v>2618</v>
      </c>
      <c r="B2143" t="s">
        <v>2611</v>
      </c>
      <c r="C2143" t="s">
        <v>2487</v>
      </c>
      <c r="D2143" t="s">
        <v>17</v>
      </c>
      <c r="E2143" t="s">
        <v>157</v>
      </c>
      <c r="F2143">
        <v>1</v>
      </c>
      <c r="G2143">
        <v>170</v>
      </c>
      <c r="H2143">
        <v>15.94</v>
      </c>
      <c r="I2143" t="s">
        <v>44</v>
      </c>
      <c r="J2143">
        <v>23</v>
      </c>
      <c r="K2143" t="s">
        <v>51</v>
      </c>
      <c r="L2143">
        <v>5</v>
      </c>
      <c r="M2143" t="str">
        <f>VLOOKUP(D2143,State_Lookup!$A$2:$B$28,2,FALSE)</f>
        <v>Rio de Janeiro</v>
      </c>
    </row>
    <row r="2144" spans="1:13" x14ac:dyDescent="0.45">
      <c r="A2144" t="s">
        <v>2619</v>
      </c>
      <c r="B2144" t="s">
        <v>2611</v>
      </c>
      <c r="C2144" t="s">
        <v>2487</v>
      </c>
      <c r="D2144" t="s">
        <v>16</v>
      </c>
      <c r="E2144" t="s">
        <v>142</v>
      </c>
      <c r="F2144">
        <v>1</v>
      </c>
      <c r="G2144">
        <v>57</v>
      </c>
      <c r="H2144">
        <v>22.72</v>
      </c>
      <c r="I2144" t="s">
        <v>50</v>
      </c>
      <c r="J2144">
        <v>11</v>
      </c>
      <c r="K2144" t="s">
        <v>51</v>
      </c>
      <c r="L2144">
        <v>5</v>
      </c>
      <c r="M2144" t="str">
        <f>VLOOKUP(D2144,State_Lookup!$A$2:$B$28,2,FALSE)</f>
        <v>Sao Paulo</v>
      </c>
    </row>
    <row r="2145" spans="1:13" x14ac:dyDescent="0.45">
      <c r="A2145" t="s">
        <v>2620</v>
      </c>
      <c r="B2145" t="s">
        <v>2621</v>
      </c>
      <c r="C2145" t="s">
        <v>2487</v>
      </c>
      <c r="D2145" t="s">
        <v>20</v>
      </c>
      <c r="E2145" t="s">
        <v>53</v>
      </c>
      <c r="F2145">
        <v>1</v>
      </c>
      <c r="G2145">
        <v>239.9</v>
      </c>
      <c r="H2145">
        <v>14.83</v>
      </c>
      <c r="I2145" t="s">
        <v>44</v>
      </c>
      <c r="J2145">
        <v>42</v>
      </c>
      <c r="K2145" t="s">
        <v>143</v>
      </c>
      <c r="L2145">
        <v>2</v>
      </c>
      <c r="M2145" t="str">
        <f>VLOOKUP(D2145,State_Lookup!$A$2:$B$28,2,FALSE)</f>
        <v>Parana</v>
      </c>
    </row>
    <row r="2146" spans="1:13" x14ac:dyDescent="0.45">
      <c r="A2146" t="s">
        <v>2622</v>
      </c>
      <c r="B2146" t="s">
        <v>2621</v>
      </c>
      <c r="C2146" t="s">
        <v>2487</v>
      </c>
      <c r="D2146" t="s">
        <v>20</v>
      </c>
      <c r="E2146" t="s">
        <v>49</v>
      </c>
      <c r="F2146">
        <v>1</v>
      </c>
      <c r="G2146">
        <v>89.99</v>
      </c>
      <c r="H2146">
        <v>15.38</v>
      </c>
      <c r="I2146" t="s">
        <v>44</v>
      </c>
      <c r="J2146">
        <v>51</v>
      </c>
      <c r="K2146" t="s">
        <v>143</v>
      </c>
      <c r="L2146">
        <v>1</v>
      </c>
      <c r="M2146" t="str">
        <f>VLOOKUP(D2146,State_Lookup!$A$2:$B$28,2,FALSE)</f>
        <v>Parana</v>
      </c>
    </row>
    <row r="2147" spans="1:13" x14ac:dyDescent="0.45">
      <c r="A2147" t="s">
        <v>2623</v>
      </c>
      <c r="B2147" t="s">
        <v>2621</v>
      </c>
      <c r="C2147" t="s">
        <v>2487</v>
      </c>
      <c r="D2147" t="s">
        <v>23</v>
      </c>
      <c r="E2147" t="s">
        <v>43</v>
      </c>
      <c r="F2147">
        <v>1</v>
      </c>
      <c r="G2147">
        <v>148</v>
      </c>
      <c r="H2147">
        <v>21.44</v>
      </c>
      <c r="I2147" t="s">
        <v>44</v>
      </c>
      <c r="J2147">
        <v>18</v>
      </c>
      <c r="K2147" t="s">
        <v>51</v>
      </c>
      <c r="L2147">
        <v>5</v>
      </c>
      <c r="M2147" t="str">
        <f>VLOOKUP(D2147,State_Lookup!$A$2:$B$28,2,FALSE)</f>
        <v>Espirito Santo</v>
      </c>
    </row>
    <row r="2148" spans="1:13" x14ac:dyDescent="0.45">
      <c r="A2148" t="s">
        <v>2624</v>
      </c>
      <c r="B2148" t="s">
        <v>2621</v>
      </c>
      <c r="C2148" t="s">
        <v>2487</v>
      </c>
      <c r="D2148" t="s">
        <v>63</v>
      </c>
      <c r="E2148" t="s">
        <v>107</v>
      </c>
      <c r="F2148">
        <v>1</v>
      </c>
      <c r="G2148">
        <v>139</v>
      </c>
      <c r="H2148">
        <v>28.96</v>
      </c>
      <c r="I2148" t="s">
        <v>44</v>
      </c>
      <c r="J2148">
        <v>16</v>
      </c>
      <c r="K2148" t="s">
        <v>51</v>
      </c>
      <c r="L2148">
        <v>4</v>
      </c>
      <c r="M2148" t="str">
        <f>VLOOKUP(D2148,State_Lookup!$A$2:$B$28,2,FALSE)</f>
        <v>Pernambuco</v>
      </c>
    </row>
    <row r="2149" spans="1:13" x14ac:dyDescent="0.45">
      <c r="A2149" t="s">
        <v>2625</v>
      </c>
      <c r="B2149" t="s">
        <v>2621</v>
      </c>
      <c r="C2149" t="s">
        <v>2487</v>
      </c>
      <c r="D2149" t="s">
        <v>16</v>
      </c>
      <c r="E2149" t="s">
        <v>53</v>
      </c>
      <c r="F2149">
        <v>1</v>
      </c>
      <c r="G2149">
        <v>479.9</v>
      </c>
      <c r="H2149">
        <v>68.13</v>
      </c>
      <c r="I2149" t="s">
        <v>44</v>
      </c>
      <c r="J2149">
        <v>14</v>
      </c>
      <c r="K2149" t="s">
        <v>51</v>
      </c>
      <c r="L2149">
        <v>1</v>
      </c>
      <c r="M2149" t="str">
        <f>VLOOKUP(D2149,State_Lookup!$A$2:$B$28,2,FALSE)</f>
        <v>Sao Paulo</v>
      </c>
    </row>
    <row r="2150" spans="1:13" x14ac:dyDescent="0.45">
      <c r="A2150" t="s">
        <v>2626</v>
      </c>
      <c r="B2150" t="s">
        <v>2621</v>
      </c>
      <c r="C2150" t="s">
        <v>2487</v>
      </c>
      <c r="D2150" t="s">
        <v>17</v>
      </c>
      <c r="E2150" t="s">
        <v>61</v>
      </c>
      <c r="F2150">
        <v>1</v>
      </c>
      <c r="G2150">
        <v>97.52</v>
      </c>
      <c r="H2150">
        <v>17.12</v>
      </c>
      <c r="I2150" t="s">
        <v>50</v>
      </c>
      <c r="J2150">
        <v>15</v>
      </c>
      <c r="K2150" t="s">
        <v>51</v>
      </c>
      <c r="L2150">
        <v>4</v>
      </c>
      <c r="M2150" t="str">
        <f>VLOOKUP(D2150,State_Lookup!$A$2:$B$28,2,FALSE)</f>
        <v>Rio de Janeiro</v>
      </c>
    </row>
    <row r="2151" spans="1:13" x14ac:dyDescent="0.45">
      <c r="A2151" t="s">
        <v>2627</v>
      </c>
      <c r="B2151" t="s">
        <v>2621</v>
      </c>
      <c r="C2151" t="s">
        <v>2487</v>
      </c>
      <c r="D2151" t="s">
        <v>17</v>
      </c>
      <c r="E2151" t="s">
        <v>53</v>
      </c>
      <c r="F2151">
        <v>1</v>
      </c>
      <c r="G2151">
        <v>69.900000000000006</v>
      </c>
      <c r="H2151">
        <v>17.739999999999998</v>
      </c>
      <c r="I2151" t="s">
        <v>44</v>
      </c>
      <c r="J2151">
        <v>15</v>
      </c>
      <c r="K2151" t="s">
        <v>51</v>
      </c>
      <c r="L2151">
        <v>5</v>
      </c>
      <c r="M2151" t="str">
        <f>VLOOKUP(D2151,State_Lookup!$A$2:$B$28,2,FALSE)</f>
        <v>Rio de Janeiro</v>
      </c>
    </row>
    <row r="2152" spans="1:13" x14ac:dyDescent="0.45">
      <c r="A2152" t="s">
        <v>2628</v>
      </c>
      <c r="B2152" t="s">
        <v>2621</v>
      </c>
      <c r="C2152" t="s">
        <v>2487</v>
      </c>
      <c r="D2152" t="s">
        <v>16</v>
      </c>
      <c r="E2152" t="s">
        <v>148</v>
      </c>
      <c r="F2152">
        <v>1</v>
      </c>
      <c r="G2152">
        <v>139.9</v>
      </c>
      <c r="H2152">
        <v>9.7899999999999991</v>
      </c>
      <c r="I2152" t="s">
        <v>44</v>
      </c>
      <c r="J2152">
        <v>6</v>
      </c>
      <c r="K2152" t="s">
        <v>51</v>
      </c>
      <c r="L2152">
        <v>4</v>
      </c>
      <c r="M2152" t="str">
        <f>VLOOKUP(D2152,State_Lookup!$A$2:$B$28,2,FALSE)</f>
        <v>Sao Paulo</v>
      </c>
    </row>
    <row r="2153" spans="1:13" x14ac:dyDescent="0.45">
      <c r="A2153" t="s">
        <v>2629</v>
      </c>
      <c r="B2153" t="s">
        <v>2621</v>
      </c>
      <c r="C2153" t="s">
        <v>2487</v>
      </c>
      <c r="D2153" t="s">
        <v>22</v>
      </c>
      <c r="E2153" t="s">
        <v>49</v>
      </c>
      <c r="F2153">
        <v>1</v>
      </c>
      <c r="G2153">
        <v>19.989999999999998</v>
      </c>
      <c r="H2153">
        <v>18.59</v>
      </c>
      <c r="I2153" t="s">
        <v>133</v>
      </c>
      <c r="J2153">
        <v>34</v>
      </c>
      <c r="K2153" t="s">
        <v>143</v>
      </c>
      <c r="L2153">
        <v>5</v>
      </c>
      <c r="M2153" t="str">
        <f>VLOOKUP(D2153,State_Lookup!$A$2:$B$28,2,FALSE)</f>
        <v>Bahia</v>
      </c>
    </row>
    <row r="2154" spans="1:13" x14ac:dyDescent="0.45">
      <c r="A2154" t="s">
        <v>2630</v>
      </c>
      <c r="B2154" t="s">
        <v>2621</v>
      </c>
      <c r="C2154" t="s">
        <v>2487</v>
      </c>
      <c r="D2154" t="s">
        <v>16</v>
      </c>
      <c r="E2154" t="s">
        <v>43</v>
      </c>
      <c r="F2154">
        <v>1</v>
      </c>
      <c r="G2154">
        <v>75</v>
      </c>
      <c r="H2154">
        <v>13.08</v>
      </c>
      <c r="I2154" t="s">
        <v>50</v>
      </c>
      <c r="J2154">
        <v>5</v>
      </c>
      <c r="K2154" t="s">
        <v>51</v>
      </c>
      <c r="L2154">
        <v>5</v>
      </c>
      <c r="M2154" t="str">
        <f>VLOOKUP(D2154,State_Lookup!$A$2:$B$28,2,FALSE)</f>
        <v>Sao Paulo</v>
      </c>
    </row>
    <row r="2155" spans="1:13" x14ac:dyDescent="0.45">
      <c r="A2155" t="s">
        <v>2631</v>
      </c>
      <c r="B2155" t="s">
        <v>2621</v>
      </c>
      <c r="C2155" t="s">
        <v>2487</v>
      </c>
      <c r="D2155" t="s">
        <v>17</v>
      </c>
      <c r="E2155" t="s">
        <v>53</v>
      </c>
      <c r="F2155">
        <v>1</v>
      </c>
      <c r="G2155">
        <v>194</v>
      </c>
      <c r="H2155">
        <v>17.12</v>
      </c>
      <c r="I2155" t="s">
        <v>44</v>
      </c>
      <c r="J2155">
        <v>28</v>
      </c>
      <c r="K2155" t="s">
        <v>51</v>
      </c>
      <c r="L2155">
        <v>3</v>
      </c>
      <c r="M2155" t="str">
        <f>VLOOKUP(D2155,State_Lookup!$A$2:$B$28,2,FALSE)</f>
        <v>Rio de Janeiro</v>
      </c>
    </row>
    <row r="2156" spans="1:13" x14ac:dyDescent="0.45">
      <c r="A2156" t="s">
        <v>2632</v>
      </c>
      <c r="B2156" t="s">
        <v>2621</v>
      </c>
      <c r="C2156" t="s">
        <v>2487</v>
      </c>
      <c r="D2156" t="s">
        <v>24</v>
      </c>
      <c r="E2156" t="s">
        <v>110</v>
      </c>
      <c r="F2156">
        <v>1</v>
      </c>
      <c r="G2156">
        <v>79.900000000000006</v>
      </c>
      <c r="H2156">
        <v>16.32</v>
      </c>
      <c r="I2156" t="s">
        <v>44</v>
      </c>
      <c r="J2156">
        <v>30</v>
      </c>
      <c r="K2156" t="s">
        <v>143</v>
      </c>
      <c r="L2156">
        <v>1</v>
      </c>
      <c r="M2156" t="str">
        <f>VLOOKUP(D2156,State_Lookup!$A$2:$B$28,2,FALSE)</f>
        <v>Distrito Federal</v>
      </c>
    </row>
    <row r="2157" spans="1:13" x14ac:dyDescent="0.45">
      <c r="A2157" t="s">
        <v>2633</v>
      </c>
      <c r="B2157" t="s">
        <v>2634</v>
      </c>
      <c r="C2157" t="s">
        <v>2487</v>
      </c>
      <c r="D2157" t="s">
        <v>16</v>
      </c>
      <c r="E2157" t="s">
        <v>69</v>
      </c>
      <c r="F2157">
        <v>2</v>
      </c>
      <c r="G2157">
        <v>113.9</v>
      </c>
      <c r="H2157">
        <v>28</v>
      </c>
      <c r="I2157" t="s">
        <v>44</v>
      </c>
      <c r="J2157">
        <v>5</v>
      </c>
      <c r="K2157" t="s">
        <v>51</v>
      </c>
      <c r="L2157">
        <v>5</v>
      </c>
      <c r="M2157" t="str">
        <f>VLOOKUP(D2157,State_Lookup!$A$2:$B$28,2,FALSE)</f>
        <v>Sao Paulo</v>
      </c>
    </row>
    <row r="2158" spans="1:13" x14ac:dyDescent="0.45">
      <c r="A2158" t="s">
        <v>2635</v>
      </c>
      <c r="B2158" t="s">
        <v>2634</v>
      </c>
      <c r="C2158" t="s">
        <v>2487</v>
      </c>
      <c r="D2158" t="s">
        <v>128</v>
      </c>
      <c r="E2158" t="s">
        <v>79</v>
      </c>
      <c r="F2158">
        <v>1</v>
      </c>
      <c r="G2158">
        <v>84.99</v>
      </c>
      <c r="H2158">
        <v>19.13</v>
      </c>
      <c r="I2158" t="s">
        <v>50</v>
      </c>
      <c r="J2158">
        <v>16</v>
      </c>
      <c r="K2158" t="s">
        <v>51</v>
      </c>
      <c r="L2158">
        <v>4</v>
      </c>
      <c r="M2158" t="str">
        <f>VLOOKUP(D2158,State_Lookup!$A$2:$B$28,2,FALSE)</f>
        <v>Ceara</v>
      </c>
    </row>
    <row r="2159" spans="1:13" x14ac:dyDescent="0.45">
      <c r="A2159" t="s">
        <v>2636</v>
      </c>
      <c r="B2159" t="s">
        <v>2634</v>
      </c>
      <c r="C2159" t="s">
        <v>2487</v>
      </c>
      <c r="D2159" t="s">
        <v>18</v>
      </c>
      <c r="E2159" t="s">
        <v>79</v>
      </c>
      <c r="F2159">
        <v>1</v>
      </c>
      <c r="G2159">
        <v>234.9</v>
      </c>
      <c r="H2159">
        <v>16.39</v>
      </c>
      <c r="I2159" t="s">
        <v>50</v>
      </c>
      <c r="J2159">
        <v>12</v>
      </c>
      <c r="K2159" t="s">
        <v>51</v>
      </c>
      <c r="L2159">
        <v>4</v>
      </c>
      <c r="M2159" t="str">
        <f>VLOOKUP(D2159,State_Lookup!$A$2:$B$28,2,FALSE)</f>
        <v>Minas Gerais</v>
      </c>
    </row>
    <row r="2160" spans="1:13" x14ac:dyDescent="0.45">
      <c r="A2160" t="s">
        <v>2637</v>
      </c>
      <c r="B2160" t="s">
        <v>2634</v>
      </c>
      <c r="C2160" t="s">
        <v>2487</v>
      </c>
      <c r="D2160" t="s">
        <v>487</v>
      </c>
      <c r="E2160" t="s">
        <v>148</v>
      </c>
      <c r="F2160">
        <v>1</v>
      </c>
      <c r="G2160">
        <v>89.9</v>
      </c>
      <c r="H2160">
        <v>27.48</v>
      </c>
      <c r="I2160" t="s">
        <v>50</v>
      </c>
      <c r="J2160">
        <v>13</v>
      </c>
      <c r="K2160" t="s">
        <v>51</v>
      </c>
      <c r="L2160">
        <v>5</v>
      </c>
      <c r="M2160" t="str">
        <f>VLOOKUP(D2160,State_Lookup!$A$2:$B$28,2,FALSE)</f>
        <v>Rio Grande do Norte</v>
      </c>
    </row>
    <row r="2161" spans="1:13" x14ac:dyDescent="0.45">
      <c r="A2161" t="s">
        <v>2638</v>
      </c>
      <c r="B2161" t="s">
        <v>2634</v>
      </c>
      <c r="C2161" t="s">
        <v>2487</v>
      </c>
      <c r="D2161" t="s">
        <v>17</v>
      </c>
      <c r="E2161" t="s">
        <v>148</v>
      </c>
      <c r="F2161">
        <v>1</v>
      </c>
      <c r="G2161">
        <v>195.9</v>
      </c>
      <c r="H2161">
        <v>16.12</v>
      </c>
      <c r="I2161" t="s">
        <v>44</v>
      </c>
      <c r="J2161">
        <v>42</v>
      </c>
      <c r="K2161" t="s">
        <v>143</v>
      </c>
      <c r="L2161">
        <v>1</v>
      </c>
      <c r="M2161" t="str">
        <f>VLOOKUP(D2161,State_Lookup!$A$2:$B$28,2,FALSE)</f>
        <v>Rio de Janeiro</v>
      </c>
    </row>
    <row r="2162" spans="1:13" x14ac:dyDescent="0.45">
      <c r="A2162" t="s">
        <v>2639</v>
      </c>
      <c r="B2162" t="s">
        <v>2640</v>
      </c>
      <c r="C2162" t="s">
        <v>2487</v>
      </c>
      <c r="D2162" t="s">
        <v>16</v>
      </c>
      <c r="E2162" t="s">
        <v>53</v>
      </c>
      <c r="F2162">
        <v>1</v>
      </c>
      <c r="G2162">
        <v>99.9</v>
      </c>
      <c r="H2162">
        <v>16.95</v>
      </c>
      <c r="I2162" t="s">
        <v>44</v>
      </c>
      <c r="J2162">
        <v>20</v>
      </c>
      <c r="K2162" t="s">
        <v>51</v>
      </c>
      <c r="L2162">
        <v>4</v>
      </c>
      <c r="M2162" t="str">
        <f>VLOOKUP(D2162,State_Lookup!$A$2:$B$28,2,FALSE)</f>
        <v>Sao Paulo</v>
      </c>
    </row>
    <row r="2163" spans="1:13" x14ac:dyDescent="0.45">
      <c r="A2163" t="s">
        <v>2641</v>
      </c>
      <c r="B2163" t="s">
        <v>2640</v>
      </c>
      <c r="C2163" t="s">
        <v>2487</v>
      </c>
      <c r="D2163" t="s">
        <v>16</v>
      </c>
      <c r="E2163" t="s">
        <v>148</v>
      </c>
      <c r="F2163">
        <v>1</v>
      </c>
      <c r="G2163">
        <v>449.9</v>
      </c>
      <c r="H2163">
        <v>65.540000000000006</v>
      </c>
      <c r="I2163" t="s">
        <v>44</v>
      </c>
      <c r="J2163">
        <v>8</v>
      </c>
      <c r="K2163" t="s">
        <v>51</v>
      </c>
      <c r="L2163">
        <v>5</v>
      </c>
      <c r="M2163" t="str">
        <f>VLOOKUP(D2163,State_Lookup!$A$2:$B$28,2,FALSE)</f>
        <v>Sao Paulo</v>
      </c>
    </row>
    <row r="2164" spans="1:13" x14ac:dyDescent="0.45">
      <c r="A2164" t="s">
        <v>2642</v>
      </c>
      <c r="B2164" t="s">
        <v>2640</v>
      </c>
      <c r="C2164" t="s">
        <v>2487</v>
      </c>
      <c r="D2164" t="s">
        <v>20</v>
      </c>
      <c r="E2164" t="s">
        <v>107</v>
      </c>
      <c r="F2164">
        <v>1</v>
      </c>
      <c r="G2164">
        <v>59.9</v>
      </c>
      <c r="H2164">
        <v>26.74</v>
      </c>
      <c r="I2164" t="s">
        <v>50</v>
      </c>
      <c r="J2164">
        <v>13</v>
      </c>
      <c r="K2164" t="s">
        <v>51</v>
      </c>
      <c r="L2164">
        <v>1</v>
      </c>
      <c r="M2164" t="str">
        <f>VLOOKUP(D2164,State_Lookup!$A$2:$B$28,2,FALSE)</f>
        <v>Parana</v>
      </c>
    </row>
    <row r="2165" spans="1:13" x14ac:dyDescent="0.45">
      <c r="A2165" t="s">
        <v>2643</v>
      </c>
      <c r="B2165" t="s">
        <v>2640</v>
      </c>
      <c r="C2165" t="s">
        <v>2487</v>
      </c>
      <c r="D2165" t="s">
        <v>128</v>
      </c>
      <c r="E2165" t="s">
        <v>142</v>
      </c>
      <c r="F2165">
        <v>1</v>
      </c>
      <c r="G2165">
        <v>32</v>
      </c>
      <c r="H2165">
        <v>17.63</v>
      </c>
      <c r="I2165" t="s">
        <v>44</v>
      </c>
      <c r="J2165">
        <v>12</v>
      </c>
      <c r="K2165" t="s">
        <v>51</v>
      </c>
      <c r="L2165">
        <v>5</v>
      </c>
      <c r="M2165" t="str">
        <f>VLOOKUP(D2165,State_Lookup!$A$2:$B$28,2,FALSE)</f>
        <v>Ceara</v>
      </c>
    </row>
    <row r="2166" spans="1:13" x14ac:dyDescent="0.45">
      <c r="A2166" t="s">
        <v>2644</v>
      </c>
      <c r="B2166" t="s">
        <v>2640</v>
      </c>
      <c r="C2166" t="s">
        <v>2487</v>
      </c>
      <c r="D2166" t="s">
        <v>20</v>
      </c>
      <c r="E2166" t="s">
        <v>107</v>
      </c>
      <c r="F2166">
        <v>1</v>
      </c>
      <c r="G2166">
        <v>93.9</v>
      </c>
      <c r="H2166">
        <v>25.5</v>
      </c>
      <c r="I2166" t="s">
        <v>44</v>
      </c>
      <c r="J2166">
        <v>20</v>
      </c>
      <c r="K2166" t="s">
        <v>51</v>
      </c>
      <c r="L2166">
        <v>5</v>
      </c>
      <c r="M2166" t="str">
        <f>VLOOKUP(D2166,State_Lookup!$A$2:$B$28,2,FALSE)</f>
        <v>Parana</v>
      </c>
    </row>
    <row r="2167" spans="1:13" x14ac:dyDescent="0.45">
      <c r="A2167" t="s">
        <v>2645</v>
      </c>
      <c r="B2167" t="s">
        <v>2640</v>
      </c>
      <c r="C2167" t="s">
        <v>2487</v>
      </c>
      <c r="D2167" t="s">
        <v>19</v>
      </c>
      <c r="E2167" t="s">
        <v>43</v>
      </c>
      <c r="F2167">
        <v>1</v>
      </c>
      <c r="G2167">
        <v>45.9</v>
      </c>
      <c r="H2167">
        <v>16.11</v>
      </c>
      <c r="I2167" t="s">
        <v>44</v>
      </c>
      <c r="J2167">
        <v>54</v>
      </c>
      <c r="K2167" t="s">
        <v>143</v>
      </c>
      <c r="M2167" t="str">
        <f>VLOOKUP(D2167,State_Lookup!$A$2:$B$28,2,FALSE)</f>
        <v>Rio Grande do Sul</v>
      </c>
    </row>
    <row r="2168" spans="1:13" x14ac:dyDescent="0.45">
      <c r="A2168" t="s">
        <v>2646</v>
      </c>
      <c r="B2168" t="s">
        <v>2640</v>
      </c>
      <c r="C2168" t="s">
        <v>2487</v>
      </c>
      <c r="D2168" t="s">
        <v>16</v>
      </c>
      <c r="E2168" t="s">
        <v>58</v>
      </c>
      <c r="F2168">
        <v>1</v>
      </c>
      <c r="G2168">
        <v>50</v>
      </c>
      <c r="H2168">
        <v>8.7200000000000006</v>
      </c>
      <c r="I2168" t="s">
        <v>44</v>
      </c>
      <c r="J2168">
        <v>7</v>
      </c>
      <c r="K2168" t="s">
        <v>51</v>
      </c>
      <c r="L2168">
        <v>5</v>
      </c>
      <c r="M2168" t="str">
        <f>VLOOKUP(D2168,State_Lookup!$A$2:$B$28,2,FALSE)</f>
        <v>Sao Paulo</v>
      </c>
    </row>
    <row r="2169" spans="1:13" x14ac:dyDescent="0.45">
      <c r="A2169" t="s">
        <v>2647</v>
      </c>
      <c r="B2169" t="s">
        <v>2640</v>
      </c>
      <c r="C2169" t="s">
        <v>2487</v>
      </c>
      <c r="D2169" t="s">
        <v>18</v>
      </c>
      <c r="E2169" t="s">
        <v>157</v>
      </c>
      <c r="F2169">
        <v>1</v>
      </c>
      <c r="G2169">
        <v>319.89999999999998</v>
      </c>
      <c r="H2169">
        <v>15.99</v>
      </c>
      <c r="I2169" t="s">
        <v>44</v>
      </c>
      <c r="J2169">
        <v>13</v>
      </c>
      <c r="K2169" t="s">
        <v>51</v>
      </c>
      <c r="L2169">
        <v>5</v>
      </c>
      <c r="M2169" t="str">
        <f>VLOOKUP(D2169,State_Lookup!$A$2:$B$28,2,FALSE)</f>
        <v>Minas Gerais</v>
      </c>
    </row>
    <row r="2170" spans="1:13" x14ac:dyDescent="0.45">
      <c r="A2170" t="s">
        <v>2648</v>
      </c>
      <c r="B2170" t="s">
        <v>2640</v>
      </c>
      <c r="C2170" t="s">
        <v>2487</v>
      </c>
      <c r="D2170" t="s">
        <v>16</v>
      </c>
      <c r="E2170" t="s">
        <v>66</v>
      </c>
      <c r="F2170">
        <v>1</v>
      </c>
      <c r="G2170">
        <v>29.99</v>
      </c>
      <c r="H2170">
        <v>7.78</v>
      </c>
      <c r="I2170" t="s">
        <v>44</v>
      </c>
      <c r="J2170">
        <v>5</v>
      </c>
      <c r="K2170" t="s">
        <v>51</v>
      </c>
      <c r="L2170">
        <v>5</v>
      </c>
      <c r="M2170" t="str">
        <f>VLOOKUP(D2170,State_Lookup!$A$2:$B$28,2,FALSE)</f>
        <v>Sao Paulo</v>
      </c>
    </row>
    <row r="2171" spans="1:13" x14ac:dyDescent="0.45">
      <c r="A2171" t="s">
        <v>2649</v>
      </c>
      <c r="B2171" t="s">
        <v>2640</v>
      </c>
      <c r="C2171" t="s">
        <v>2487</v>
      </c>
      <c r="D2171" t="s">
        <v>20</v>
      </c>
      <c r="E2171" t="s">
        <v>125</v>
      </c>
      <c r="F2171">
        <v>1</v>
      </c>
      <c r="G2171">
        <v>29.9</v>
      </c>
      <c r="H2171">
        <v>15.1</v>
      </c>
      <c r="I2171" t="s">
        <v>50</v>
      </c>
      <c r="J2171">
        <v>12</v>
      </c>
      <c r="K2171" t="s">
        <v>51</v>
      </c>
      <c r="L2171">
        <v>4</v>
      </c>
      <c r="M2171" t="str">
        <f>VLOOKUP(D2171,State_Lookup!$A$2:$B$28,2,FALSE)</f>
        <v>Parana</v>
      </c>
    </row>
    <row r="2172" spans="1:13" x14ac:dyDescent="0.45">
      <c r="A2172" t="s">
        <v>2650</v>
      </c>
      <c r="B2172" t="s">
        <v>2640</v>
      </c>
      <c r="C2172" t="s">
        <v>2487</v>
      </c>
      <c r="D2172" t="s">
        <v>22</v>
      </c>
      <c r="E2172" t="s">
        <v>49</v>
      </c>
      <c r="F2172">
        <v>1</v>
      </c>
      <c r="G2172">
        <v>29.99</v>
      </c>
      <c r="H2172">
        <v>16.79</v>
      </c>
      <c r="I2172" t="s">
        <v>133</v>
      </c>
      <c r="J2172">
        <v>25</v>
      </c>
      <c r="K2172" t="s">
        <v>51</v>
      </c>
      <c r="L2172">
        <v>5</v>
      </c>
      <c r="M2172" t="str">
        <f>VLOOKUP(D2172,State_Lookup!$A$2:$B$28,2,FALSE)</f>
        <v>Bahia</v>
      </c>
    </row>
    <row r="2173" spans="1:13" x14ac:dyDescent="0.45">
      <c r="A2173" t="s">
        <v>2651</v>
      </c>
      <c r="B2173" t="s">
        <v>2652</v>
      </c>
      <c r="C2173" t="s">
        <v>2487</v>
      </c>
      <c r="D2173" t="s">
        <v>18</v>
      </c>
      <c r="E2173" t="s">
        <v>66</v>
      </c>
      <c r="F2173">
        <v>1</v>
      </c>
      <c r="G2173">
        <v>21.99</v>
      </c>
      <c r="H2173">
        <v>15.1</v>
      </c>
      <c r="I2173" t="s">
        <v>50</v>
      </c>
      <c r="J2173">
        <v>19</v>
      </c>
      <c r="K2173" t="s">
        <v>51</v>
      </c>
      <c r="L2173">
        <v>5</v>
      </c>
      <c r="M2173" t="str">
        <f>VLOOKUP(D2173,State_Lookup!$A$2:$B$28,2,FALSE)</f>
        <v>Minas Gerais</v>
      </c>
    </row>
    <row r="2174" spans="1:13" x14ac:dyDescent="0.45">
      <c r="A2174" t="s">
        <v>2653</v>
      </c>
      <c r="B2174" t="s">
        <v>2652</v>
      </c>
      <c r="C2174" t="s">
        <v>2487</v>
      </c>
      <c r="D2174" t="s">
        <v>16</v>
      </c>
      <c r="E2174" t="s">
        <v>157</v>
      </c>
      <c r="F2174">
        <v>1</v>
      </c>
      <c r="G2174">
        <v>29</v>
      </c>
      <c r="H2174">
        <v>7.78</v>
      </c>
      <c r="I2174" t="s">
        <v>44</v>
      </c>
      <c r="J2174">
        <v>5</v>
      </c>
      <c r="K2174" t="s">
        <v>51</v>
      </c>
      <c r="L2174">
        <v>5</v>
      </c>
      <c r="M2174" t="str">
        <f>VLOOKUP(D2174,State_Lookup!$A$2:$B$28,2,FALSE)</f>
        <v>Sao Paulo</v>
      </c>
    </row>
    <row r="2175" spans="1:13" x14ac:dyDescent="0.45">
      <c r="A2175" t="s">
        <v>2654</v>
      </c>
      <c r="B2175" t="s">
        <v>2652</v>
      </c>
      <c r="C2175" t="s">
        <v>2487</v>
      </c>
      <c r="D2175" t="s">
        <v>19</v>
      </c>
      <c r="E2175" t="s">
        <v>79</v>
      </c>
      <c r="F2175">
        <v>1</v>
      </c>
      <c r="G2175">
        <v>89.99</v>
      </c>
      <c r="H2175">
        <v>16.39</v>
      </c>
      <c r="I2175" t="s">
        <v>50</v>
      </c>
      <c r="J2175">
        <v>12</v>
      </c>
      <c r="K2175" t="s">
        <v>51</v>
      </c>
      <c r="L2175">
        <v>5</v>
      </c>
      <c r="M2175" t="str">
        <f>VLOOKUP(D2175,State_Lookup!$A$2:$B$28,2,FALSE)</f>
        <v>Rio Grande do Sul</v>
      </c>
    </row>
    <row r="2176" spans="1:13" x14ac:dyDescent="0.45">
      <c r="A2176" t="s">
        <v>2655</v>
      </c>
      <c r="B2176" t="s">
        <v>2652</v>
      </c>
      <c r="C2176" t="s">
        <v>2487</v>
      </c>
      <c r="D2176" t="s">
        <v>20</v>
      </c>
      <c r="E2176" t="s">
        <v>157</v>
      </c>
      <c r="F2176">
        <v>1</v>
      </c>
      <c r="G2176">
        <v>170</v>
      </c>
      <c r="H2176">
        <v>15.94</v>
      </c>
      <c r="I2176" t="s">
        <v>44</v>
      </c>
      <c r="J2176">
        <v>24</v>
      </c>
      <c r="K2176" t="s">
        <v>51</v>
      </c>
      <c r="L2176">
        <v>4</v>
      </c>
      <c r="M2176" t="str">
        <f>VLOOKUP(D2176,State_Lookup!$A$2:$B$28,2,FALSE)</f>
        <v>Parana</v>
      </c>
    </row>
    <row r="2177" spans="1:13" x14ac:dyDescent="0.45">
      <c r="A2177" t="s">
        <v>2656</v>
      </c>
      <c r="B2177" t="s">
        <v>2652</v>
      </c>
      <c r="C2177" t="s">
        <v>2487</v>
      </c>
      <c r="D2177" t="s">
        <v>16</v>
      </c>
      <c r="E2177" t="s">
        <v>79</v>
      </c>
      <c r="F2177">
        <v>1</v>
      </c>
      <c r="G2177">
        <v>19.989999999999998</v>
      </c>
      <c r="H2177">
        <v>7.78</v>
      </c>
      <c r="I2177" t="s">
        <v>44</v>
      </c>
      <c r="J2177">
        <v>7</v>
      </c>
      <c r="K2177" t="s">
        <v>51</v>
      </c>
      <c r="L2177">
        <v>5</v>
      </c>
      <c r="M2177" t="str">
        <f>VLOOKUP(D2177,State_Lookup!$A$2:$B$28,2,FALSE)</f>
        <v>Sao Paulo</v>
      </c>
    </row>
    <row r="2178" spans="1:13" x14ac:dyDescent="0.45">
      <c r="A2178" t="s">
        <v>2657</v>
      </c>
      <c r="B2178" t="s">
        <v>2652</v>
      </c>
      <c r="C2178" t="s">
        <v>2487</v>
      </c>
      <c r="D2178" t="s">
        <v>16</v>
      </c>
      <c r="E2178" t="s">
        <v>110</v>
      </c>
      <c r="F2178">
        <v>1</v>
      </c>
      <c r="G2178">
        <v>59.99</v>
      </c>
      <c r="H2178">
        <v>12.76</v>
      </c>
      <c r="I2178" t="s">
        <v>50</v>
      </c>
      <c r="J2178">
        <v>11</v>
      </c>
      <c r="K2178" t="s">
        <v>51</v>
      </c>
      <c r="L2178">
        <v>4</v>
      </c>
      <c r="M2178" t="str">
        <f>VLOOKUP(D2178,State_Lookup!$A$2:$B$28,2,FALSE)</f>
        <v>Sao Paulo</v>
      </c>
    </row>
    <row r="2179" spans="1:13" x14ac:dyDescent="0.45">
      <c r="A2179" t="s">
        <v>2658</v>
      </c>
      <c r="B2179" t="s">
        <v>2652</v>
      </c>
      <c r="C2179" t="s">
        <v>2487</v>
      </c>
      <c r="D2179" t="s">
        <v>63</v>
      </c>
      <c r="E2179" t="s">
        <v>43</v>
      </c>
      <c r="F2179">
        <v>1</v>
      </c>
      <c r="G2179">
        <v>55</v>
      </c>
      <c r="H2179">
        <v>26.93</v>
      </c>
      <c r="I2179" t="s">
        <v>50</v>
      </c>
      <c r="J2179">
        <v>22</v>
      </c>
      <c r="K2179" t="s">
        <v>51</v>
      </c>
      <c r="L2179">
        <v>5</v>
      </c>
      <c r="M2179" t="str">
        <f>VLOOKUP(D2179,State_Lookup!$A$2:$B$28,2,FALSE)</f>
        <v>Pernambuco</v>
      </c>
    </row>
    <row r="2180" spans="1:13" x14ac:dyDescent="0.45">
      <c r="A2180" t="s">
        <v>2659</v>
      </c>
      <c r="B2180" t="s">
        <v>2652</v>
      </c>
      <c r="C2180" t="s">
        <v>2487</v>
      </c>
      <c r="D2180" t="s">
        <v>17</v>
      </c>
      <c r="E2180" t="s">
        <v>157</v>
      </c>
      <c r="F2180">
        <v>1</v>
      </c>
      <c r="G2180">
        <v>369</v>
      </c>
      <c r="H2180">
        <v>17.329999999999998</v>
      </c>
      <c r="I2180" t="s">
        <v>44</v>
      </c>
      <c r="J2180">
        <v>19</v>
      </c>
      <c r="K2180" t="s">
        <v>51</v>
      </c>
      <c r="L2180">
        <v>4</v>
      </c>
      <c r="M2180" t="str">
        <f>VLOOKUP(D2180,State_Lookup!$A$2:$B$28,2,FALSE)</f>
        <v>Rio de Janeiro</v>
      </c>
    </row>
    <row r="2181" spans="1:13" x14ac:dyDescent="0.45">
      <c r="A2181" t="s">
        <v>2660</v>
      </c>
      <c r="B2181" t="s">
        <v>2652</v>
      </c>
      <c r="C2181" t="s">
        <v>2487</v>
      </c>
      <c r="D2181" t="s">
        <v>16</v>
      </c>
      <c r="E2181" t="s">
        <v>142</v>
      </c>
      <c r="F2181">
        <v>2</v>
      </c>
      <c r="G2181">
        <v>86</v>
      </c>
      <c r="H2181">
        <v>42.36</v>
      </c>
      <c r="I2181" t="s">
        <v>44</v>
      </c>
      <c r="J2181">
        <v>5</v>
      </c>
      <c r="K2181" t="s">
        <v>51</v>
      </c>
      <c r="L2181">
        <v>5</v>
      </c>
      <c r="M2181" t="str">
        <f>VLOOKUP(D2181,State_Lookup!$A$2:$B$28,2,FALSE)</f>
        <v>Sao Paulo</v>
      </c>
    </row>
    <row r="2182" spans="1:13" x14ac:dyDescent="0.45">
      <c r="A2182" t="s">
        <v>2661</v>
      </c>
      <c r="B2182" t="s">
        <v>2662</v>
      </c>
      <c r="C2182" t="s">
        <v>2487</v>
      </c>
      <c r="D2182" t="s">
        <v>16</v>
      </c>
      <c r="E2182" t="s">
        <v>58</v>
      </c>
      <c r="F2182">
        <v>1</v>
      </c>
      <c r="G2182">
        <v>24.5</v>
      </c>
      <c r="H2182">
        <v>11.85</v>
      </c>
      <c r="I2182" t="s">
        <v>44</v>
      </c>
      <c r="J2182">
        <v>23</v>
      </c>
      <c r="K2182" t="s">
        <v>51</v>
      </c>
      <c r="L2182">
        <v>5</v>
      </c>
      <c r="M2182" t="str">
        <f>VLOOKUP(D2182,State_Lookup!$A$2:$B$28,2,FALSE)</f>
        <v>Sao Paulo</v>
      </c>
    </row>
    <row r="2183" spans="1:13" x14ac:dyDescent="0.45">
      <c r="A2183" t="s">
        <v>2663</v>
      </c>
      <c r="B2183" t="s">
        <v>2662</v>
      </c>
      <c r="C2183" t="s">
        <v>2487</v>
      </c>
      <c r="D2183" t="s">
        <v>17</v>
      </c>
      <c r="E2183" t="s">
        <v>53</v>
      </c>
      <c r="F2183">
        <v>1</v>
      </c>
      <c r="G2183">
        <v>69.989999999999995</v>
      </c>
      <c r="H2183">
        <v>15.25</v>
      </c>
      <c r="I2183" t="s">
        <v>44</v>
      </c>
      <c r="J2183">
        <v>10</v>
      </c>
      <c r="K2183" t="s">
        <v>51</v>
      </c>
      <c r="L2183">
        <v>4</v>
      </c>
      <c r="M2183" t="str">
        <f>VLOOKUP(D2183,State_Lookup!$A$2:$B$28,2,FALSE)</f>
        <v>Rio de Janeiro</v>
      </c>
    </row>
    <row r="2184" spans="1:13" x14ac:dyDescent="0.45">
      <c r="A2184" t="s">
        <v>2664</v>
      </c>
      <c r="B2184" t="s">
        <v>2662</v>
      </c>
      <c r="C2184" t="s">
        <v>2487</v>
      </c>
      <c r="D2184" t="s">
        <v>20</v>
      </c>
      <c r="E2184" t="s">
        <v>142</v>
      </c>
      <c r="F2184">
        <v>1</v>
      </c>
      <c r="G2184">
        <v>25</v>
      </c>
      <c r="H2184">
        <v>15.1</v>
      </c>
      <c r="I2184" t="s">
        <v>133</v>
      </c>
      <c r="J2184">
        <v>10</v>
      </c>
      <c r="K2184" t="s">
        <v>51</v>
      </c>
      <c r="L2184">
        <v>3</v>
      </c>
      <c r="M2184" t="str">
        <f>VLOOKUP(D2184,State_Lookup!$A$2:$B$28,2,FALSE)</f>
        <v>Parana</v>
      </c>
    </row>
    <row r="2185" spans="1:13" x14ac:dyDescent="0.45">
      <c r="A2185" t="s">
        <v>2665</v>
      </c>
      <c r="B2185" t="s">
        <v>2662</v>
      </c>
      <c r="C2185" t="s">
        <v>2487</v>
      </c>
      <c r="D2185" t="s">
        <v>16</v>
      </c>
      <c r="E2185" t="s">
        <v>302</v>
      </c>
      <c r="F2185">
        <v>1</v>
      </c>
      <c r="G2185">
        <v>79.900000000000006</v>
      </c>
      <c r="H2185">
        <v>9.3699999999999992</v>
      </c>
      <c r="I2185" t="s">
        <v>44</v>
      </c>
      <c r="J2185">
        <v>3</v>
      </c>
      <c r="K2185" t="s">
        <v>51</v>
      </c>
      <c r="L2185">
        <v>5</v>
      </c>
      <c r="M2185" t="str">
        <f>VLOOKUP(D2185,State_Lookup!$A$2:$B$28,2,FALSE)</f>
        <v>Sao Paulo</v>
      </c>
    </row>
    <row r="2186" spans="1:13" x14ac:dyDescent="0.45">
      <c r="A2186" t="s">
        <v>2666</v>
      </c>
      <c r="B2186" t="s">
        <v>2662</v>
      </c>
      <c r="C2186" t="s">
        <v>2487</v>
      </c>
      <c r="D2186" t="s">
        <v>18</v>
      </c>
      <c r="E2186" t="s">
        <v>103</v>
      </c>
      <c r="F2186">
        <v>1</v>
      </c>
      <c r="G2186">
        <v>124.99</v>
      </c>
      <c r="H2186">
        <v>13</v>
      </c>
      <c r="I2186" t="s">
        <v>44</v>
      </c>
      <c r="J2186">
        <v>6</v>
      </c>
      <c r="K2186" t="s">
        <v>51</v>
      </c>
      <c r="L2186">
        <v>5</v>
      </c>
      <c r="M2186" t="str">
        <f>VLOOKUP(D2186,State_Lookup!$A$2:$B$28,2,FALSE)</f>
        <v>Minas Gerais</v>
      </c>
    </row>
    <row r="2187" spans="1:13" x14ac:dyDescent="0.45">
      <c r="A2187" t="s">
        <v>2667</v>
      </c>
      <c r="B2187" t="s">
        <v>2662</v>
      </c>
      <c r="C2187" t="s">
        <v>2487</v>
      </c>
      <c r="D2187" t="s">
        <v>16</v>
      </c>
      <c r="E2187" t="s">
        <v>43</v>
      </c>
      <c r="F2187">
        <v>1</v>
      </c>
      <c r="G2187">
        <v>36.9</v>
      </c>
      <c r="H2187">
        <v>11.85</v>
      </c>
      <c r="I2187" t="s">
        <v>44</v>
      </c>
      <c r="J2187">
        <v>19</v>
      </c>
      <c r="K2187" t="s">
        <v>51</v>
      </c>
      <c r="L2187">
        <v>4</v>
      </c>
      <c r="M2187" t="str">
        <f>VLOOKUP(D2187,State_Lookup!$A$2:$B$28,2,FALSE)</f>
        <v>Sao Paulo</v>
      </c>
    </row>
    <row r="2188" spans="1:13" x14ac:dyDescent="0.45">
      <c r="A2188" t="s">
        <v>2668</v>
      </c>
      <c r="B2188" t="s">
        <v>2669</v>
      </c>
      <c r="C2188" t="s">
        <v>2487</v>
      </c>
      <c r="D2188" t="s">
        <v>16</v>
      </c>
      <c r="E2188" t="s">
        <v>79</v>
      </c>
      <c r="F2188">
        <v>1</v>
      </c>
      <c r="G2188">
        <v>29.9</v>
      </c>
      <c r="H2188">
        <v>8.11</v>
      </c>
      <c r="I2188" t="s">
        <v>44</v>
      </c>
      <c r="J2188">
        <v>3</v>
      </c>
      <c r="K2188" t="s">
        <v>51</v>
      </c>
      <c r="L2188">
        <v>4</v>
      </c>
      <c r="M2188" t="str">
        <f>VLOOKUP(D2188,State_Lookup!$A$2:$B$28,2,FALSE)</f>
        <v>Sao Paulo</v>
      </c>
    </row>
    <row r="2189" spans="1:13" x14ac:dyDescent="0.45">
      <c r="A2189" t="s">
        <v>2670</v>
      </c>
      <c r="B2189" t="s">
        <v>2669</v>
      </c>
      <c r="C2189" t="s">
        <v>2487</v>
      </c>
      <c r="D2189" t="s">
        <v>16</v>
      </c>
      <c r="E2189" t="s">
        <v>142</v>
      </c>
      <c r="F2189">
        <v>1</v>
      </c>
      <c r="G2189">
        <v>177.99</v>
      </c>
      <c r="H2189">
        <v>17.010000000000002</v>
      </c>
      <c r="I2189" t="s">
        <v>44</v>
      </c>
      <c r="J2189">
        <v>18</v>
      </c>
      <c r="K2189" t="s">
        <v>51</v>
      </c>
      <c r="L2189">
        <v>5</v>
      </c>
      <c r="M2189" t="str">
        <f>VLOOKUP(D2189,State_Lookup!$A$2:$B$28,2,FALSE)</f>
        <v>Sao Paulo</v>
      </c>
    </row>
    <row r="2190" spans="1:13" x14ac:dyDescent="0.45">
      <c r="A2190" t="s">
        <v>2671</v>
      </c>
      <c r="B2190" t="s">
        <v>2669</v>
      </c>
      <c r="C2190" t="s">
        <v>2487</v>
      </c>
      <c r="D2190" t="s">
        <v>17</v>
      </c>
      <c r="E2190" t="s">
        <v>58</v>
      </c>
      <c r="F2190">
        <v>1</v>
      </c>
      <c r="G2190">
        <v>69.989999999999995</v>
      </c>
      <c r="H2190">
        <v>14.24</v>
      </c>
      <c r="I2190" t="s">
        <v>44</v>
      </c>
      <c r="J2190">
        <v>26</v>
      </c>
      <c r="K2190" t="s">
        <v>143</v>
      </c>
      <c r="L2190">
        <v>3</v>
      </c>
      <c r="M2190" t="str">
        <f>VLOOKUP(D2190,State_Lookup!$A$2:$B$28,2,FALSE)</f>
        <v>Rio de Janeiro</v>
      </c>
    </row>
    <row r="2191" spans="1:13" x14ac:dyDescent="0.45">
      <c r="A2191" t="s">
        <v>2672</v>
      </c>
      <c r="B2191" t="s">
        <v>2669</v>
      </c>
      <c r="C2191" t="s">
        <v>2487</v>
      </c>
      <c r="D2191" t="s">
        <v>16</v>
      </c>
      <c r="E2191" t="s">
        <v>107</v>
      </c>
      <c r="F2191">
        <v>1</v>
      </c>
      <c r="G2191">
        <v>159</v>
      </c>
      <c r="H2191">
        <v>14.86</v>
      </c>
      <c r="I2191" t="s">
        <v>133</v>
      </c>
      <c r="J2191">
        <v>9</v>
      </c>
      <c r="K2191" t="s">
        <v>51</v>
      </c>
      <c r="L2191">
        <v>5</v>
      </c>
      <c r="M2191" t="str">
        <f>VLOOKUP(D2191,State_Lookup!$A$2:$B$28,2,FALSE)</f>
        <v>Sao Paulo</v>
      </c>
    </row>
    <row r="2192" spans="1:13" x14ac:dyDescent="0.45">
      <c r="A2192" t="s">
        <v>2673</v>
      </c>
      <c r="B2192" t="s">
        <v>2669</v>
      </c>
      <c r="C2192" t="s">
        <v>2487</v>
      </c>
      <c r="D2192" t="s">
        <v>17</v>
      </c>
      <c r="E2192" t="s">
        <v>157</v>
      </c>
      <c r="F2192">
        <v>2</v>
      </c>
      <c r="G2192">
        <v>115</v>
      </c>
      <c r="H2192">
        <v>22.07</v>
      </c>
      <c r="I2192" t="s">
        <v>50</v>
      </c>
      <c r="J2192">
        <v>10</v>
      </c>
      <c r="K2192" t="s">
        <v>51</v>
      </c>
      <c r="L2192">
        <v>2</v>
      </c>
      <c r="M2192" t="str">
        <f>VLOOKUP(D2192,State_Lookup!$A$2:$B$28,2,FALSE)</f>
        <v>Rio de Janeiro</v>
      </c>
    </row>
    <row r="2193" spans="1:13" x14ac:dyDescent="0.45">
      <c r="A2193" t="s">
        <v>2674</v>
      </c>
      <c r="B2193" t="s">
        <v>2669</v>
      </c>
      <c r="C2193" t="s">
        <v>2487</v>
      </c>
      <c r="D2193" t="s">
        <v>16</v>
      </c>
      <c r="E2193" t="s">
        <v>79</v>
      </c>
      <c r="F2193">
        <v>1</v>
      </c>
      <c r="G2193">
        <v>44.3</v>
      </c>
      <c r="H2193">
        <v>11.85</v>
      </c>
      <c r="I2193" t="s">
        <v>44</v>
      </c>
      <c r="J2193">
        <v>9</v>
      </c>
      <c r="K2193" t="s">
        <v>51</v>
      </c>
      <c r="L2193">
        <v>5</v>
      </c>
      <c r="M2193" t="str">
        <f>VLOOKUP(D2193,State_Lookup!$A$2:$B$28,2,FALSE)</f>
        <v>Sao Paulo</v>
      </c>
    </row>
    <row r="2194" spans="1:13" x14ac:dyDescent="0.45">
      <c r="A2194" t="s">
        <v>2675</v>
      </c>
      <c r="B2194" t="s">
        <v>2669</v>
      </c>
      <c r="C2194" t="s">
        <v>2487</v>
      </c>
      <c r="D2194" t="s">
        <v>194</v>
      </c>
      <c r="E2194" t="s">
        <v>132</v>
      </c>
      <c r="F2194">
        <v>1</v>
      </c>
      <c r="G2194">
        <v>359</v>
      </c>
      <c r="H2194">
        <v>27.79</v>
      </c>
      <c r="I2194" t="s">
        <v>44</v>
      </c>
      <c r="J2194">
        <v>31</v>
      </c>
      <c r="K2194" t="s">
        <v>51</v>
      </c>
      <c r="L2194">
        <v>2</v>
      </c>
      <c r="M2194" t="str">
        <f>VLOOKUP(D2194,State_Lookup!$A$2:$B$28,2,FALSE)</f>
        <v>Mato Grosso do Sul</v>
      </c>
    </row>
    <row r="2195" spans="1:13" x14ac:dyDescent="0.45">
      <c r="A2195" t="s">
        <v>2676</v>
      </c>
      <c r="B2195" t="s">
        <v>2669</v>
      </c>
      <c r="C2195" t="s">
        <v>2487</v>
      </c>
      <c r="D2195" t="s">
        <v>17</v>
      </c>
      <c r="E2195" t="s">
        <v>49</v>
      </c>
      <c r="F2195">
        <v>2</v>
      </c>
      <c r="G2195">
        <v>145.80000000000001</v>
      </c>
      <c r="H2195">
        <v>36.159999999999997</v>
      </c>
      <c r="I2195" t="s">
        <v>44</v>
      </c>
      <c r="J2195">
        <v>24</v>
      </c>
      <c r="K2195" t="s">
        <v>51</v>
      </c>
      <c r="L2195">
        <v>1</v>
      </c>
      <c r="M2195" t="str">
        <f>VLOOKUP(D2195,State_Lookup!$A$2:$B$28,2,FALSE)</f>
        <v>Rio de Janeiro</v>
      </c>
    </row>
    <row r="2196" spans="1:13" x14ac:dyDescent="0.45">
      <c r="A2196" t="s">
        <v>2677</v>
      </c>
      <c r="B2196" t="s">
        <v>2678</v>
      </c>
      <c r="C2196" t="s">
        <v>2487</v>
      </c>
      <c r="D2196" t="s">
        <v>16</v>
      </c>
      <c r="E2196" t="s">
        <v>110</v>
      </c>
      <c r="F2196">
        <v>1</v>
      </c>
      <c r="G2196">
        <v>89.9</v>
      </c>
      <c r="H2196">
        <v>13.65</v>
      </c>
      <c r="I2196" t="s">
        <v>44</v>
      </c>
      <c r="J2196">
        <v>10</v>
      </c>
      <c r="K2196" t="s">
        <v>51</v>
      </c>
      <c r="L2196">
        <v>5</v>
      </c>
      <c r="M2196" t="str">
        <f>VLOOKUP(D2196,State_Lookup!$A$2:$B$28,2,FALSE)</f>
        <v>Sao Paulo</v>
      </c>
    </row>
    <row r="2197" spans="1:13" x14ac:dyDescent="0.45">
      <c r="A2197" t="s">
        <v>2679</v>
      </c>
      <c r="B2197" t="s">
        <v>2678</v>
      </c>
      <c r="C2197" t="s">
        <v>2487</v>
      </c>
      <c r="D2197" t="s">
        <v>17</v>
      </c>
      <c r="E2197" t="s">
        <v>58</v>
      </c>
      <c r="F2197">
        <v>1</v>
      </c>
      <c r="G2197">
        <v>24.5</v>
      </c>
      <c r="H2197">
        <v>15.1</v>
      </c>
      <c r="I2197" t="s">
        <v>50</v>
      </c>
      <c r="J2197">
        <v>20</v>
      </c>
      <c r="K2197" t="s">
        <v>51</v>
      </c>
      <c r="L2197">
        <v>4</v>
      </c>
      <c r="M2197" t="str">
        <f>VLOOKUP(D2197,State_Lookup!$A$2:$B$28,2,FALSE)</f>
        <v>Rio de Janeiro</v>
      </c>
    </row>
    <row r="2198" spans="1:13" x14ac:dyDescent="0.45">
      <c r="A2198" t="s">
        <v>2680</v>
      </c>
      <c r="B2198" t="s">
        <v>2678</v>
      </c>
      <c r="C2198" t="s">
        <v>2487</v>
      </c>
      <c r="D2198" t="s">
        <v>17</v>
      </c>
      <c r="E2198" t="s">
        <v>64</v>
      </c>
      <c r="F2198">
        <v>1</v>
      </c>
      <c r="G2198">
        <v>84.99</v>
      </c>
      <c r="H2198">
        <v>15.35</v>
      </c>
      <c r="I2198" t="s">
        <v>44</v>
      </c>
      <c r="J2198">
        <v>8</v>
      </c>
      <c r="K2198" t="s">
        <v>51</v>
      </c>
      <c r="L2198">
        <v>5</v>
      </c>
      <c r="M2198" t="str">
        <f>VLOOKUP(D2198,State_Lookup!$A$2:$B$28,2,FALSE)</f>
        <v>Rio de Janeiro</v>
      </c>
    </row>
    <row r="2199" spans="1:13" x14ac:dyDescent="0.45">
      <c r="A2199" t="s">
        <v>2681</v>
      </c>
      <c r="B2199" t="s">
        <v>2678</v>
      </c>
      <c r="C2199" t="s">
        <v>2487</v>
      </c>
      <c r="D2199" t="s">
        <v>18</v>
      </c>
      <c r="E2199" t="s">
        <v>107</v>
      </c>
      <c r="F2199">
        <v>1</v>
      </c>
      <c r="G2199">
        <v>24.49</v>
      </c>
      <c r="H2199">
        <v>15.1</v>
      </c>
      <c r="I2199" t="s">
        <v>50</v>
      </c>
      <c r="J2199">
        <v>16</v>
      </c>
      <c r="K2199" t="s">
        <v>51</v>
      </c>
      <c r="L2199">
        <v>5</v>
      </c>
      <c r="M2199" t="str">
        <f>VLOOKUP(D2199,State_Lookup!$A$2:$B$28,2,FALSE)</f>
        <v>Minas Gerais</v>
      </c>
    </row>
    <row r="2200" spans="1:13" x14ac:dyDescent="0.45">
      <c r="A2200" t="s">
        <v>2682</v>
      </c>
      <c r="B2200" t="s">
        <v>2678</v>
      </c>
      <c r="C2200" t="s">
        <v>2487</v>
      </c>
      <c r="D2200" t="s">
        <v>25</v>
      </c>
      <c r="E2200" t="s">
        <v>64</v>
      </c>
      <c r="F2200">
        <v>1</v>
      </c>
      <c r="G2200">
        <v>56.99</v>
      </c>
      <c r="H2200">
        <v>17</v>
      </c>
      <c r="I2200" t="s">
        <v>44</v>
      </c>
      <c r="J2200">
        <v>18</v>
      </c>
      <c r="K2200" t="s">
        <v>51</v>
      </c>
      <c r="L2200">
        <v>5</v>
      </c>
      <c r="M2200" t="str">
        <f>VLOOKUP(D2200,State_Lookup!$A$2:$B$28,2,FALSE)</f>
        <v>Goias</v>
      </c>
    </row>
    <row r="2201" spans="1:13" x14ac:dyDescent="0.45">
      <c r="A2201" t="s">
        <v>2683</v>
      </c>
      <c r="B2201" t="s">
        <v>2678</v>
      </c>
      <c r="C2201" t="s">
        <v>2487</v>
      </c>
      <c r="D2201" t="s">
        <v>16</v>
      </c>
      <c r="E2201" t="s">
        <v>43</v>
      </c>
      <c r="F2201">
        <v>1</v>
      </c>
      <c r="G2201">
        <v>99.9</v>
      </c>
      <c r="H2201">
        <v>21.19</v>
      </c>
      <c r="I2201" t="s">
        <v>44</v>
      </c>
      <c r="J2201">
        <v>10</v>
      </c>
      <c r="K2201" t="s">
        <v>51</v>
      </c>
      <c r="L2201">
        <v>4</v>
      </c>
      <c r="M2201" t="str">
        <f>VLOOKUP(D2201,State_Lookup!$A$2:$B$28,2,FALSE)</f>
        <v>Sao Paulo</v>
      </c>
    </row>
    <row r="2202" spans="1:13" x14ac:dyDescent="0.45">
      <c r="A2202" t="s">
        <v>2684</v>
      </c>
      <c r="B2202" t="s">
        <v>2678</v>
      </c>
      <c r="C2202" t="s">
        <v>2487</v>
      </c>
      <c r="D2202" t="s">
        <v>25</v>
      </c>
      <c r="E2202" t="s">
        <v>157</v>
      </c>
      <c r="F2202">
        <v>1</v>
      </c>
      <c r="G2202">
        <v>190.83</v>
      </c>
      <c r="H2202">
        <v>16.09</v>
      </c>
      <c r="I2202" t="s">
        <v>50</v>
      </c>
      <c r="J2202">
        <v>11</v>
      </c>
      <c r="K2202" t="s">
        <v>51</v>
      </c>
      <c r="L2202">
        <v>5</v>
      </c>
      <c r="M2202" t="str">
        <f>VLOOKUP(D2202,State_Lookup!$A$2:$B$28,2,FALSE)</f>
        <v>Goias</v>
      </c>
    </row>
    <row r="2203" spans="1:13" x14ac:dyDescent="0.45">
      <c r="A2203" t="s">
        <v>2685</v>
      </c>
      <c r="B2203" t="s">
        <v>2678</v>
      </c>
      <c r="C2203" t="s">
        <v>2487</v>
      </c>
      <c r="D2203" t="s">
        <v>16</v>
      </c>
      <c r="E2203" t="s">
        <v>58</v>
      </c>
      <c r="F2203">
        <v>1</v>
      </c>
      <c r="G2203">
        <v>25</v>
      </c>
      <c r="H2203">
        <v>12.99</v>
      </c>
      <c r="I2203" t="s">
        <v>44</v>
      </c>
      <c r="J2203">
        <v>8</v>
      </c>
      <c r="K2203" t="s">
        <v>51</v>
      </c>
      <c r="L2203">
        <v>5</v>
      </c>
      <c r="M2203" t="str">
        <f>VLOOKUP(D2203,State_Lookup!$A$2:$B$28,2,FALSE)</f>
        <v>Sao Paulo</v>
      </c>
    </row>
    <row r="2204" spans="1:13" x14ac:dyDescent="0.45">
      <c r="A2204" t="s">
        <v>2686</v>
      </c>
      <c r="B2204" t="s">
        <v>2678</v>
      </c>
      <c r="C2204" t="s">
        <v>2487</v>
      </c>
      <c r="D2204" t="s">
        <v>16</v>
      </c>
      <c r="E2204" t="s">
        <v>64</v>
      </c>
      <c r="F2204">
        <v>1</v>
      </c>
      <c r="G2204">
        <v>118</v>
      </c>
      <c r="H2204">
        <v>12.33</v>
      </c>
      <c r="I2204" t="s">
        <v>50</v>
      </c>
      <c r="J2204">
        <v>3</v>
      </c>
      <c r="K2204" t="s">
        <v>51</v>
      </c>
      <c r="L2204">
        <v>5</v>
      </c>
      <c r="M2204" t="str">
        <f>VLOOKUP(D2204,State_Lookup!$A$2:$B$28,2,FALSE)</f>
        <v>Sao Paulo</v>
      </c>
    </row>
    <row r="2205" spans="1:13" x14ac:dyDescent="0.45">
      <c r="A2205" t="s">
        <v>2687</v>
      </c>
      <c r="B2205" t="s">
        <v>2678</v>
      </c>
      <c r="C2205" t="s">
        <v>2487</v>
      </c>
      <c r="D2205" t="s">
        <v>16</v>
      </c>
      <c r="E2205" t="s">
        <v>192</v>
      </c>
      <c r="F2205">
        <v>2</v>
      </c>
      <c r="G2205">
        <v>342</v>
      </c>
      <c r="H2205">
        <v>17.88</v>
      </c>
      <c r="I2205" t="s">
        <v>44</v>
      </c>
      <c r="J2205">
        <v>3</v>
      </c>
      <c r="K2205" t="s">
        <v>51</v>
      </c>
      <c r="L2205">
        <v>5</v>
      </c>
      <c r="M2205" t="str">
        <f>VLOOKUP(D2205,State_Lookup!$A$2:$B$28,2,FALSE)</f>
        <v>Sao Paulo</v>
      </c>
    </row>
    <row r="2206" spans="1:13" x14ac:dyDescent="0.45">
      <c r="A2206" t="s">
        <v>2688</v>
      </c>
      <c r="B2206" t="s">
        <v>2678</v>
      </c>
      <c r="C2206" t="s">
        <v>2487</v>
      </c>
      <c r="D2206" t="s">
        <v>16</v>
      </c>
      <c r="E2206" t="s">
        <v>61</v>
      </c>
      <c r="F2206">
        <v>1</v>
      </c>
      <c r="G2206">
        <v>152</v>
      </c>
      <c r="H2206">
        <v>15.81</v>
      </c>
      <c r="I2206" t="s">
        <v>50</v>
      </c>
      <c r="J2206">
        <v>17</v>
      </c>
      <c r="K2206" t="s">
        <v>51</v>
      </c>
      <c r="L2206">
        <v>3</v>
      </c>
      <c r="M2206" t="str">
        <f>VLOOKUP(D2206,State_Lookup!$A$2:$B$28,2,FALSE)</f>
        <v>Sao Paulo</v>
      </c>
    </row>
    <row r="2207" spans="1:13" x14ac:dyDescent="0.45">
      <c r="A2207" t="s">
        <v>2689</v>
      </c>
      <c r="B2207" t="s">
        <v>2690</v>
      </c>
      <c r="C2207" t="s">
        <v>2487</v>
      </c>
      <c r="D2207" t="s">
        <v>16</v>
      </c>
      <c r="E2207" t="s">
        <v>1903</v>
      </c>
      <c r="F2207">
        <v>1</v>
      </c>
      <c r="G2207">
        <v>55.49</v>
      </c>
      <c r="H2207">
        <v>9.94</v>
      </c>
      <c r="I2207" t="s">
        <v>50</v>
      </c>
      <c r="J2207">
        <v>4</v>
      </c>
      <c r="K2207" t="s">
        <v>51</v>
      </c>
      <c r="L2207">
        <v>5</v>
      </c>
      <c r="M2207" t="str">
        <f>VLOOKUP(D2207,State_Lookup!$A$2:$B$28,2,FALSE)</f>
        <v>Sao Paulo</v>
      </c>
    </row>
    <row r="2208" spans="1:13" x14ac:dyDescent="0.45">
      <c r="A2208" t="s">
        <v>2691</v>
      </c>
      <c r="B2208" t="s">
        <v>2690</v>
      </c>
      <c r="C2208" t="s">
        <v>2487</v>
      </c>
      <c r="D2208" t="s">
        <v>63</v>
      </c>
      <c r="E2208" t="s">
        <v>132</v>
      </c>
      <c r="F2208">
        <v>1</v>
      </c>
      <c r="G2208">
        <v>35</v>
      </c>
      <c r="H2208">
        <v>25.63</v>
      </c>
      <c r="I2208" t="s">
        <v>44</v>
      </c>
      <c r="J2208">
        <v>20</v>
      </c>
      <c r="K2208" t="s">
        <v>51</v>
      </c>
      <c r="L2208">
        <v>5</v>
      </c>
      <c r="M2208" t="str">
        <f>VLOOKUP(D2208,State_Lookup!$A$2:$B$28,2,FALSE)</f>
        <v>Pernambuco</v>
      </c>
    </row>
    <row r="2209" spans="1:13" x14ac:dyDescent="0.45">
      <c r="A2209" t="s">
        <v>2692</v>
      </c>
      <c r="B2209" t="s">
        <v>2690</v>
      </c>
      <c r="C2209" t="s">
        <v>2487</v>
      </c>
      <c r="D2209" t="s">
        <v>17</v>
      </c>
      <c r="E2209" t="s">
        <v>64</v>
      </c>
      <c r="F2209">
        <v>1</v>
      </c>
      <c r="G2209">
        <v>250.9</v>
      </c>
      <c r="H2209">
        <v>16.510000000000002</v>
      </c>
      <c r="I2209" t="s">
        <v>44</v>
      </c>
      <c r="J2209">
        <v>50</v>
      </c>
      <c r="K2209" t="s">
        <v>143</v>
      </c>
      <c r="L2209">
        <v>1</v>
      </c>
      <c r="M2209" t="str">
        <f>VLOOKUP(D2209,State_Lookup!$A$2:$B$28,2,FALSE)</f>
        <v>Rio de Janeiro</v>
      </c>
    </row>
    <row r="2210" spans="1:13" x14ac:dyDescent="0.45">
      <c r="A2210" t="s">
        <v>2693</v>
      </c>
      <c r="B2210" t="s">
        <v>2690</v>
      </c>
      <c r="C2210" t="s">
        <v>2487</v>
      </c>
      <c r="D2210" t="s">
        <v>24</v>
      </c>
      <c r="E2210" t="s">
        <v>1637</v>
      </c>
      <c r="F2210">
        <v>3</v>
      </c>
      <c r="G2210">
        <v>38.1</v>
      </c>
      <c r="H2210">
        <v>45.33</v>
      </c>
      <c r="I2210" t="s">
        <v>44</v>
      </c>
      <c r="J2210">
        <v>8</v>
      </c>
      <c r="K2210" t="s">
        <v>51</v>
      </c>
      <c r="L2210">
        <v>5</v>
      </c>
      <c r="M2210" t="str">
        <f>VLOOKUP(D2210,State_Lookup!$A$2:$B$28,2,FALSE)</f>
        <v>Distrito Federal</v>
      </c>
    </row>
    <row r="2211" spans="1:13" x14ac:dyDescent="0.45">
      <c r="A2211" t="s">
        <v>2694</v>
      </c>
      <c r="B2211" t="s">
        <v>2690</v>
      </c>
      <c r="C2211" t="s">
        <v>2487</v>
      </c>
      <c r="D2211" t="s">
        <v>16</v>
      </c>
      <c r="E2211" t="s">
        <v>79</v>
      </c>
      <c r="F2211">
        <v>1</v>
      </c>
      <c r="G2211">
        <v>150</v>
      </c>
      <c r="H2211">
        <v>12.55</v>
      </c>
      <c r="I2211" t="s">
        <v>44</v>
      </c>
      <c r="J2211">
        <v>7</v>
      </c>
      <c r="K2211" t="s">
        <v>51</v>
      </c>
      <c r="L2211">
        <v>5</v>
      </c>
      <c r="M2211" t="str">
        <f>VLOOKUP(D2211,State_Lookup!$A$2:$B$28,2,FALSE)</f>
        <v>Sao Paulo</v>
      </c>
    </row>
    <row r="2212" spans="1:13" x14ac:dyDescent="0.45">
      <c r="A2212" t="s">
        <v>2695</v>
      </c>
      <c r="B2212" t="s">
        <v>2690</v>
      </c>
      <c r="C2212" t="s">
        <v>2487</v>
      </c>
      <c r="D2212" t="s">
        <v>18</v>
      </c>
      <c r="E2212" t="s">
        <v>107</v>
      </c>
      <c r="F2212">
        <v>1</v>
      </c>
      <c r="G2212">
        <v>69.900000000000006</v>
      </c>
      <c r="H2212">
        <v>17.739999999999998</v>
      </c>
      <c r="I2212" t="s">
        <v>133</v>
      </c>
      <c r="J2212">
        <v>10</v>
      </c>
      <c r="K2212" t="s">
        <v>51</v>
      </c>
      <c r="L2212">
        <v>5</v>
      </c>
      <c r="M2212" t="str">
        <f>VLOOKUP(D2212,State_Lookup!$A$2:$B$28,2,FALSE)</f>
        <v>Minas Gerais</v>
      </c>
    </row>
    <row r="2213" spans="1:13" x14ac:dyDescent="0.45">
      <c r="A2213" t="s">
        <v>2696</v>
      </c>
      <c r="B2213" t="s">
        <v>2697</v>
      </c>
      <c r="C2213" t="s">
        <v>2487</v>
      </c>
      <c r="D2213" t="s">
        <v>16</v>
      </c>
      <c r="E2213" t="s">
        <v>58</v>
      </c>
      <c r="F2213">
        <v>1</v>
      </c>
      <c r="G2213">
        <v>24.5</v>
      </c>
      <c r="H2213">
        <v>11.85</v>
      </c>
      <c r="I2213" t="s">
        <v>50</v>
      </c>
      <c r="J2213">
        <v>19</v>
      </c>
      <c r="K2213" t="s">
        <v>51</v>
      </c>
      <c r="L2213">
        <v>5</v>
      </c>
      <c r="M2213" t="str">
        <f>VLOOKUP(D2213,State_Lookup!$A$2:$B$28,2,FALSE)</f>
        <v>Sao Paulo</v>
      </c>
    </row>
    <row r="2214" spans="1:13" x14ac:dyDescent="0.45">
      <c r="A2214" t="s">
        <v>2698</v>
      </c>
      <c r="B2214" t="s">
        <v>2697</v>
      </c>
      <c r="C2214" t="s">
        <v>2487</v>
      </c>
      <c r="D2214" t="s">
        <v>16</v>
      </c>
      <c r="E2214" t="s">
        <v>49</v>
      </c>
      <c r="F2214">
        <v>1</v>
      </c>
      <c r="G2214">
        <v>22.99</v>
      </c>
      <c r="H2214">
        <v>11.85</v>
      </c>
      <c r="I2214" t="s">
        <v>50</v>
      </c>
      <c r="J2214">
        <v>9</v>
      </c>
      <c r="K2214" t="s">
        <v>51</v>
      </c>
      <c r="L2214">
        <v>5</v>
      </c>
      <c r="M2214" t="str">
        <f>VLOOKUP(D2214,State_Lookup!$A$2:$B$28,2,FALSE)</f>
        <v>Sao Paulo</v>
      </c>
    </row>
    <row r="2215" spans="1:13" x14ac:dyDescent="0.45">
      <c r="A2215" t="s">
        <v>2699</v>
      </c>
      <c r="B2215" t="s">
        <v>2697</v>
      </c>
      <c r="C2215" t="s">
        <v>2487</v>
      </c>
      <c r="D2215" t="s">
        <v>22</v>
      </c>
      <c r="E2215" t="s">
        <v>107</v>
      </c>
      <c r="F2215">
        <v>1</v>
      </c>
      <c r="G2215">
        <v>64.02</v>
      </c>
      <c r="H2215">
        <v>17.73</v>
      </c>
      <c r="I2215" t="s">
        <v>44</v>
      </c>
      <c r="J2215">
        <v>9</v>
      </c>
      <c r="K2215" t="s">
        <v>51</v>
      </c>
      <c r="L2215">
        <v>5</v>
      </c>
      <c r="M2215" t="str">
        <f>VLOOKUP(D2215,State_Lookup!$A$2:$B$28,2,FALSE)</f>
        <v>Bahia</v>
      </c>
    </row>
    <row r="2216" spans="1:13" x14ac:dyDescent="0.45">
      <c r="A2216" t="s">
        <v>2700</v>
      </c>
      <c r="B2216" t="s">
        <v>2697</v>
      </c>
      <c r="C2216" t="s">
        <v>2487</v>
      </c>
      <c r="D2216" t="s">
        <v>63</v>
      </c>
      <c r="E2216" t="s">
        <v>132</v>
      </c>
      <c r="F2216">
        <v>1</v>
      </c>
      <c r="G2216">
        <v>49.9</v>
      </c>
      <c r="H2216">
        <v>34.15</v>
      </c>
      <c r="I2216" t="s">
        <v>50</v>
      </c>
      <c r="J2216">
        <v>14</v>
      </c>
      <c r="K2216" t="s">
        <v>51</v>
      </c>
      <c r="L2216">
        <v>4</v>
      </c>
      <c r="M2216" t="str">
        <f>VLOOKUP(D2216,State_Lookup!$A$2:$B$28,2,FALSE)</f>
        <v>Pernambuco</v>
      </c>
    </row>
    <row r="2217" spans="1:13" x14ac:dyDescent="0.45">
      <c r="A2217" t="s">
        <v>2701</v>
      </c>
      <c r="B2217" t="s">
        <v>2697</v>
      </c>
      <c r="C2217" t="s">
        <v>2487</v>
      </c>
      <c r="D2217" t="s">
        <v>128</v>
      </c>
      <c r="E2217" t="s">
        <v>157</v>
      </c>
      <c r="F2217">
        <v>1</v>
      </c>
      <c r="G2217">
        <v>155.99</v>
      </c>
      <c r="H2217">
        <v>26.37</v>
      </c>
      <c r="I2217" t="s">
        <v>44</v>
      </c>
      <c r="J2217">
        <v>15</v>
      </c>
      <c r="K2217" t="s">
        <v>51</v>
      </c>
      <c r="L2217">
        <v>4</v>
      </c>
      <c r="M2217" t="str">
        <f>VLOOKUP(D2217,State_Lookup!$A$2:$B$28,2,FALSE)</f>
        <v>Ceara</v>
      </c>
    </row>
    <row r="2218" spans="1:13" x14ac:dyDescent="0.45">
      <c r="A2218" t="s">
        <v>2702</v>
      </c>
      <c r="B2218" t="s">
        <v>2697</v>
      </c>
      <c r="C2218" t="s">
        <v>2487</v>
      </c>
      <c r="D2218" t="s">
        <v>18</v>
      </c>
      <c r="E2218" t="s">
        <v>302</v>
      </c>
      <c r="F2218">
        <v>1</v>
      </c>
      <c r="G2218">
        <v>1288.72</v>
      </c>
      <c r="H2218">
        <v>26.27</v>
      </c>
      <c r="I2218" t="s">
        <v>44</v>
      </c>
      <c r="J2218">
        <v>13</v>
      </c>
      <c r="K2218" t="s">
        <v>51</v>
      </c>
      <c r="M2218" t="str">
        <f>VLOOKUP(D2218,State_Lookup!$A$2:$B$28,2,FALSE)</f>
        <v>Minas Gerais</v>
      </c>
    </row>
    <row r="2219" spans="1:13" x14ac:dyDescent="0.45">
      <c r="A2219" t="s">
        <v>2703</v>
      </c>
      <c r="B2219" t="s">
        <v>2704</v>
      </c>
      <c r="C2219" t="s">
        <v>2487</v>
      </c>
      <c r="D2219" t="s">
        <v>194</v>
      </c>
      <c r="E2219" t="s">
        <v>110</v>
      </c>
      <c r="F2219">
        <v>1</v>
      </c>
      <c r="G2219">
        <v>122.9</v>
      </c>
      <c r="H2219">
        <v>16.62</v>
      </c>
      <c r="I2219" t="s">
        <v>50</v>
      </c>
      <c r="J2219">
        <v>20</v>
      </c>
      <c r="K2219" t="s">
        <v>51</v>
      </c>
      <c r="L2219">
        <v>5</v>
      </c>
      <c r="M2219" t="str">
        <f>VLOOKUP(D2219,State_Lookup!$A$2:$B$28,2,FALSE)</f>
        <v>Mato Grosso do Sul</v>
      </c>
    </row>
    <row r="2220" spans="1:13" x14ac:dyDescent="0.45">
      <c r="A2220" t="s">
        <v>2705</v>
      </c>
      <c r="B2220" t="s">
        <v>2704</v>
      </c>
      <c r="C2220" t="s">
        <v>2487</v>
      </c>
      <c r="D2220" t="s">
        <v>24</v>
      </c>
      <c r="E2220" t="s">
        <v>244</v>
      </c>
      <c r="F2220">
        <v>1</v>
      </c>
      <c r="G2220">
        <v>79</v>
      </c>
      <c r="H2220">
        <v>17.8</v>
      </c>
      <c r="I2220" t="s">
        <v>44</v>
      </c>
      <c r="J2220">
        <v>8</v>
      </c>
      <c r="K2220" t="s">
        <v>51</v>
      </c>
      <c r="L2220">
        <v>5</v>
      </c>
      <c r="M2220" t="str">
        <f>VLOOKUP(D2220,State_Lookup!$A$2:$B$28,2,FALSE)</f>
        <v>Distrito Federal</v>
      </c>
    </row>
    <row r="2221" spans="1:13" x14ac:dyDescent="0.45">
      <c r="A2221" t="s">
        <v>2706</v>
      </c>
      <c r="B2221" t="s">
        <v>2704</v>
      </c>
      <c r="C2221" t="s">
        <v>2487</v>
      </c>
      <c r="D2221" t="s">
        <v>18</v>
      </c>
      <c r="E2221" t="s">
        <v>61</v>
      </c>
      <c r="F2221">
        <v>1</v>
      </c>
      <c r="G2221">
        <v>14.99</v>
      </c>
      <c r="H2221">
        <v>14.1</v>
      </c>
      <c r="I2221" t="s">
        <v>50</v>
      </c>
      <c r="J2221">
        <v>12</v>
      </c>
      <c r="K2221" t="s">
        <v>51</v>
      </c>
      <c r="L2221">
        <v>4</v>
      </c>
      <c r="M2221" t="str">
        <f>VLOOKUP(D2221,State_Lookup!$A$2:$B$28,2,FALSE)</f>
        <v>Minas Gerais</v>
      </c>
    </row>
    <row r="2222" spans="1:13" x14ac:dyDescent="0.45">
      <c r="A2222" t="s">
        <v>2707</v>
      </c>
      <c r="B2222" t="s">
        <v>2704</v>
      </c>
      <c r="C2222" t="s">
        <v>2487</v>
      </c>
      <c r="D2222" t="s">
        <v>194</v>
      </c>
      <c r="E2222" t="s">
        <v>43</v>
      </c>
      <c r="F2222">
        <v>1</v>
      </c>
      <c r="G2222">
        <v>320</v>
      </c>
      <c r="H2222">
        <v>58.91</v>
      </c>
      <c r="I2222" t="s">
        <v>50</v>
      </c>
      <c r="J2222">
        <v>6</v>
      </c>
      <c r="K2222" t="s">
        <v>51</v>
      </c>
      <c r="L2222">
        <v>4</v>
      </c>
      <c r="M2222" t="str">
        <f>VLOOKUP(D2222,State_Lookup!$A$2:$B$28,2,FALSE)</f>
        <v>Mato Grosso do Sul</v>
      </c>
    </row>
    <row r="2223" spans="1:13" x14ac:dyDescent="0.45">
      <c r="A2223" t="s">
        <v>2708</v>
      </c>
      <c r="B2223" t="s">
        <v>2704</v>
      </c>
      <c r="C2223" t="s">
        <v>2487</v>
      </c>
      <c r="D2223" t="s">
        <v>17</v>
      </c>
      <c r="E2223" t="s">
        <v>244</v>
      </c>
      <c r="F2223">
        <v>1</v>
      </c>
      <c r="G2223">
        <v>79</v>
      </c>
      <c r="H2223">
        <v>17.8</v>
      </c>
      <c r="I2223" t="s">
        <v>133</v>
      </c>
      <c r="J2223">
        <v>7</v>
      </c>
      <c r="K2223" t="s">
        <v>51</v>
      </c>
      <c r="L2223">
        <v>5</v>
      </c>
      <c r="M2223" t="str">
        <f>VLOOKUP(D2223,State_Lookup!$A$2:$B$28,2,FALSE)</f>
        <v>Rio de Janeiro</v>
      </c>
    </row>
    <row r="2224" spans="1:13" x14ac:dyDescent="0.45">
      <c r="A2224" t="s">
        <v>2709</v>
      </c>
      <c r="B2224" t="s">
        <v>2704</v>
      </c>
      <c r="C2224" t="s">
        <v>2487</v>
      </c>
      <c r="D2224" t="s">
        <v>24</v>
      </c>
      <c r="E2224" t="s">
        <v>53</v>
      </c>
      <c r="F2224">
        <v>1</v>
      </c>
      <c r="G2224">
        <v>329.9</v>
      </c>
      <c r="H2224">
        <v>87.93</v>
      </c>
      <c r="I2224" t="s">
        <v>44</v>
      </c>
      <c r="J2224">
        <v>7</v>
      </c>
      <c r="K2224" t="s">
        <v>51</v>
      </c>
      <c r="L2224">
        <v>3</v>
      </c>
      <c r="M2224" t="str">
        <f>VLOOKUP(D2224,State_Lookup!$A$2:$B$28,2,FALSE)</f>
        <v>Distrito Federal</v>
      </c>
    </row>
    <row r="2225" spans="1:13" x14ac:dyDescent="0.45">
      <c r="A2225" t="s">
        <v>2710</v>
      </c>
      <c r="B2225" t="s">
        <v>2704</v>
      </c>
      <c r="C2225" t="s">
        <v>2487</v>
      </c>
      <c r="D2225" t="s">
        <v>16</v>
      </c>
      <c r="E2225" t="s">
        <v>53</v>
      </c>
      <c r="F2225">
        <v>1</v>
      </c>
      <c r="G2225">
        <v>201.6</v>
      </c>
      <c r="H2225">
        <v>10.23</v>
      </c>
      <c r="I2225" t="s">
        <v>44</v>
      </c>
      <c r="J2225">
        <v>5</v>
      </c>
      <c r="K2225" t="s">
        <v>51</v>
      </c>
      <c r="L2225">
        <v>4</v>
      </c>
      <c r="M2225" t="str">
        <f>VLOOKUP(D2225,State_Lookup!$A$2:$B$28,2,FALSE)</f>
        <v>Sao Paulo</v>
      </c>
    </row>
    <row r="2226" spans="1:13" x14ac:dyDescent="0.45">
      <c r="A2226" t="s">
        <v>2711</v>
      </c>
      <c r="B2226" t="s">
        <v>2704</v>
      </c>
      <c r="C2226" t="s">
        <v>2487</v>
      </c>
      <c r="D2226" t="s">
        <v>17</v>
      </c>
      <c r="E2226" t="s">
        <v>49</v>
      </c>
      <c r="F2226">
        <v>1</v>
      </c>
      <c r="G2226">
        <v>244.69</v>
      </c>
      <c r="H2226">
        <v>54.31</v>
      </c>
      <c r="I2226" t="s">
        <v>50</v>
      </c>
      <c r="K2226" t="s">
        <v>45</v>
      </c>
      <c r="L2226">
        <v>1</v>
      </c>
      <c r="M2226" t="str">
        <f>VLOOKUP(D2226,State_Lookup!$A$2:$B$28,2,FALSE)</f>
        <v>Rio de Janeiro</v>
      </c>
    </row>
    <row r="2227" spans="1:13" x14ac:dyDescent="0.45">
      <c r="A2227" t="s">
        <v>2712</v>
      </c>
      <c r="B2227" t="s">
        <v>2704</v>
      </c>
      <c r="C2227" t="s">
        <v>2487</v>
      </c>
      <c r="D2227" t="s">
        <v>16</v>
      </c>
      <c r="E2227" t="s">
        <v>142</v>
      </c>
      <c r="F2227">
        <v>1</v>
      </c>
      <c r="G2227">
        <v>71.67</v>
      </c>
      <c r="H2227">
        <v>9.34</v>
      </c>
      <c r="I2227" t="s">
        <v>44</v>
      </c>
      <c r="J2227">
        <v>1</v>
      </c>
      <c r="K2227" t="s">
        <v>51</v>
      </c>
      <c r="L2227">
        <v>4</v>
      </c>
      <c r="M2227" t="str">
        <f>VLOOKUP(D2227,State_Lookup!$A$2:$B$28,2,FALSE)</f>
        <v>Sao Paulo</v>
      </c>
    </row>
    <row r="2228" spans="1:13" x14ac:dyDescent="0.45">
      <c r="A2228" t="s">
        <v>2713</v>
      </c>
      <c r="B2228" t="s">
        <v>2704</v>
      </c>
      <c r="C2228" t="s">
        <v>2487</v>
      </c>
      <c r="D2228" t="s">
        <v>18</v>
      </c>
      <c r="E2228" t="s">
        <v>103</v>
      </c>
      <c r="F2228">
        <v>1</v>
      </c>
      <c r="G2228">
        <v>388</v>
      </c>
      <c r="H2228">
        <v>23.21</v>
      </c>
      <c r="I2228" t="s">
        <v>50</v>
      </c>
      <c r="J2228">
        <v>6</v>
      </c>
      <c r="K2228" t="s">
        <v>51</v>
      </c>
      <c r="L2228">
        <v>3</v>
      </c>
      <c r="M2228" t="str">
        <f>VLOOKUP(D2228,State_Lookup!$A$2:$B$28,2,FALSE)</f>
        <v>Minas Gerais</v>
      </c>
    </row>
    <row r="2229" spans="1:13" x14ac:dyDescent="0.45">
      <c r="A2229" t="s">
        <v>2714</v>
      </c>
      <c r="B2229" t="s">
        <v>2704</v>
      </c>
      <c r="C2229" t="s">
        <v>2487</v>
      </c>
      <c r="D2229" t="s">
        <v>16</v>
      </c>
      <c r="E2229" t="s">
        <v>53</v>
      </c>
      <c r="F2229">
        <v>1</v>
      </c>
      <c r="G2229">
        <v>94.9</v>
      </c>
      <c r="H2229">
        <v>7.92</v>
      </c>
      <c r="I2229" t="s">
        <v>44</v>
      </c>
      <c r="J2229">
        <v>1</v>
      </c>
      <c r="K2229" t="s">
        <v>51</v>
      </c>
      <c r="L2229">
        <v>5</v>
      </c>
      <c r="M2229" t="str">
        <f>VLOOKUP(D2229,State_Lookup!$A$2:$B$28,2,FALSE)</f>
        <v>Sao Paulo</v>
      </c>
    </row>
    <row r="2230" spans="1:13" x14ac:dyDescent="0.45">
      <c r="A2230" t="s">
        <v>2715</v>
      </c>
      <c r="B2230" t="s">
        <v>2704</v>
      </c>
      <c r="C2230" t="s">
        <v>2487</v>
      </c>
      <c r="D2230" t="s">
        <v>16</v>
      </c>
      <c r="E2230" t="s">
        <v>110</v>
      </c>
      <c r="F2230">
        <v>1</v>
      </c>
      <c r="G2230">
        <v>25</v>
      </c>
      <c r="H2230">
        <v>8.7200000000000006</v>
      </c>
      <c r="I2230" t="s">
        <v>44</v>
      </c>
      <c r="J2230">
        <v>6</v>
      </c>
      <c r="K2230" t="s">
        <v>51</v>
      </c>
      <c r="L2230">
        <v>5</v>
      </c>
      <c r="M2230" t="str">
        <f>VLOOKUP(D2230,State_Lookup!$A$2:$B$28,2,FALSE)</f>
        <v>Sao Paulo</v>
      </c>
    </row>
    <row r="2231" spans="1:13" x14ac:dyDescent="0.45">
      <c r="A2231" t="s">
        <v>2716</v>
      </c>
      <c r="B2231" t="s">
        <v>2717</v>
      </c>
      <c r="C2231" t="s">
        <v>2487</v>
      </c>
      <c r="D2231" t="s">
        <v>16</v>
      </c>
      <c r="E2231" t="s">
        <v>110</v>
      </c>
      <c r="F2231">
        <v>1</v>
      </c>
      <c r="G2231">
        <v>134.9</v>
      </c>
      <c r="H2231">
        <v>12.65</v>
      </c>
      <c r="I2231" t="s">
        <v>44</v>
      </c>
      <c r="J2231">
        <v>16</v>
      </c>
      <c r="K2231" t="s">
        <v>51</v>
      </c>
      <c r="L2231">
        <v>4</v>
      </c>
      <c r="M2231" t="str">
        <f>VLOOKUP(D2231,State_Lookup!$A$2:$B$28,2,FALSE)</f>
        <v>Sao Paulo</v>
      </c>
    </row>
    <row r="2232" spans="1:13" x14ac:dyDescent="0.45">
      <c r="A2232" t="s">
        <v>2718</v>
      </c>
      <c r="B2232" t="s">
        <v>2717</v>
      </c>
      <c r="C2232" t="s">
        <v>2487</v>
      </c>
      <c r="D2232" t="s">
        <v>487</v>
      </c>
      <c r="E2232" t="s">
        <v>244</v>
      </c>
      <c r="F2232">
        <v>1</v>
      </c>
      <c r="G2232">
        <v>149</v>
      </c>
      <c r="H2232">
        <v>38.590000000000003</v>
      </c>
      <c r="I2232" t="s">
        <v>44</v>
      </c>
      <c r="J2232">
        <v>27</v>
      </c>
      <c r="K2232" t="s">
        <v>51</v>
      </c>
      <c r="L2232">
        <v>4</v>
      </c>
      <c r="M2232" t="str">
        <f>VLOOKUP(D2232,State_Lookup!$A$2:$B$28,2,FALSE)</f>
        <v>Rio Grande do Norte</v>
      </c>
    </row>
    <row r="2233" spans="1:13" x14ac:dyDescent="0.45">
      <c r="A2233" t="s">
        <v>2719</v>
      </c>
      <c r="B2233" t="s">
        <v>2717</v>
      </c>
      <c r="C2233" t="s">
        <v>2487</v>
      </c>
      <c r="D2233" t="s">
        <v>18</v>
      </c>
      <c r="E2233" t="s">
        <v>61</v>
      </c>
      <c r="F2233">
        <v>1</v>
      </c>
      <c r="G2233">
        <v>149.99</v>
      </c>
      <c r="H2233">
        <v>23.85</v>
      </c>
      <c r="I2233" t="s">
        <v>44</v>
      </c>
      <c r="J2233">
        <v>17</v>
      </c>
      <c r="K2233" t="s">
        <v>51</v>
      </c>
      <c r="L2233">
        <v>5</v>
      </c>
      <c r="M2233" t="str">
        <f>VLOOKUP(D2233,State_Lookup!$A$2:$B$28,2,FALSE)</f>
        <v>Minas Gerais</v>
      </c>
    </row>
    <row r="2234" spans="1:13" x14ac:dyDescent="0.45">
      <c r="A2234" t="s">
        <v>2720</v>
      </c>
      <c r="B2234" t="s">
        <v>2717</v>
      </c>
      <c r="C2234" t="s">
        <v>2487</v>
      </c>
      <c r="D2234" t="s">
        <v>23</v>
      </c>
      <c r="E2234" t="s">
        <v>110</v>
      </c>
      <c r="F2234">
        <v>1</v>
      </c>
      <c r="G2234">
        <v>39</v>
      </c>
      <c r="H2234">
        <v>16.11</v>
      </c>
      <c r="I2234" t="s">
        <v>44</v>
      </c>
      <c r="J2234">
        <v>21</v>
      </c>
      <c r="K2234" t="s">
        <v>51</v>
      </c>
      <c r="L2234">
        <v>1</v>
      </c>
      <c r="M2234" t="str">
        <f>VLOOKUP(D2234,State_Lookup!$A$2:$B$28,2,FALSE)</f>
        <v>Espirito Santo</v>
      </c>
    </row>
    <row r="2235" spans="1:13" x14ac:dyDescent="0.45">
      <c r="A2235" t="s">
        <v>2721</v>
      </c>
      <c r="B2235" t="s">
        <v>2717</v>
      </c>
      <c r="C2235" t="s">
        <v>2487</v>
      </c>
      <c r="D2235" t="s">
        <v>19</v>
      </c>
      <c r="E2235" t="s">
        <v>69</v>
      </c>
      <c r="F2235">
        <v>5</v>
      </c>
      <c r="G2235">
        <v>295</v>
      </c>
      <c r="H2235">
        <v>88.3</v>
      </c>
      <c r="I2235" t="s">
        <v>44</v>
      </c>
      <c r="J2235">
        <v>18</v>
      </c>
      <c r="K2235" t="s">
        <v>51</v>
      </c>
      <c r="L2235">
        <v>1</v>
      </c>
      <c r="M2235" t="str">
        <f>VLOOKUP(D2235,State_Lookup!$A$2:$B$28,2,FALSE)</f>
        <v>Rio Grande do Sul</v>
      </c>
    </row>
    <row r="2236" spans="1:13" x14ac:dyDescent="0.45">
      <c r="A2236" t="s">
        <v>2722</v>
      </c>
      <c r="B2236" t="s">
        <v>2723</v>
      </c>
      <c r="C2236" t="s">
        <v>2487</v>
      </c>
      <c r="D2236" t="s">
        <v>22</v>
      </c>
      <c r="E2236" t="s">
        <v>61</v>
      </c>
      <c r="F2236">
        <v>1</v>
      </c>
      <c r="G2236">
        <v>140</v>
      </c>
      <c r="H2236">
        <v>17.420000000000002</v>
      </c>
      <c r="I2236" t="s">
        <v>50</v>
      </c>
      <c r="J2236">
        <v>31</v>
      </c>
      <c r="K2236" t="s">
        <v>51</v>
      </c>
      <c r="L2236">
        <v>5</v>
      </c>
      <c r="M2236" t="str">
        <f>VLOOKUP(D2236,State_Lookup!$A$2:$B$28,2,FALSE)</f>
        <v>Bahia</v>
      </c>
    </row>
    <row r="2237" spans="1:13" x14ac:dyDescent="0.45">
      <c r="A2237" t="s">
        <v>2724</v>
      </c>
      <c r="B2237" t="s">
        <v>2723</v>
      </c>
      <c r="C2237" t="s">
        <v>2487</v>
      </c>
      <c r="D2237" t="s">
        <v>18</v>
      </c>
      <c r="E2237" t="s">
        <v>79</v>
      </c>
      <c r="F2237">
        <v>1</v>
      </c>
      <c r="G2237">
        <v>78.989999999999995</v>
      </c>
      <c r="H2237">
        <v>15.3</v>
      </c>
      <c r="I2237" t="s">
        <v>44</v>
      </c>
      <c r="J2237">
        <v>13</v>
      </c>
      <c r="K2237" t="s">
        <v>51</v>
      </c>
      <c r="L2237">
        <v>4</v>
      </c>
      <c r="M2237" t="str">
        <f>VLOOKUP(D2237,State_Lookup!$A$2:$B$28,2,FALSE)</f>
        <v>Minas Gerais</v>
      </c>
    </row>
    <row r="2238" spans="1:13" x14ac:dyDescent="0.45">
      <c r="A2238" t="s">
        <v>2725</v>
      </c>
      <c r="B2238" t="s">
        <v>2723</v>
      </c>
      <c r="C2238" t="s">
        <v>2487</v>
      </c>
      <c r="D2238" t="s">
        <v>22</v>
      </c>
      <c r="E2238" t="s">
        <v>69</v>
      </c>
      <c r="F2238">
        <v>1</v>
      </c>
      <c r="G2238">
        <v>14.46</v>
      </c>
      <c r="H2238">
        <v>15.79</v>
      </c>
      <c r="I2238" t="s">
        <v>44</v>
      </c>
      <c r="J2238">
        <v>20</v>
      </c>
      <c r="K2238" t="s">
        <v>51</v>
      </c>
      <c r="L2238">
        <v>4</v>
      </c>
      <c r="M2238" t="str">
        <f>VLOOKUP(D2238,State_Lookup!$A$2:$B$28,2,FALSE)</f>
        <v>Bahia</v>
      </c>
    </row>
    <row r="2239" spans="1:13" x14ac:dyDescent="0.45">
      <c r="A2239" t="s">
        <v>2726</v>
      </c>
      <c r="B2239" t="s">
        <v>2727</v>
      </c>
      <c r="C2239" t="s">
        <v>2487</v>
      </c>
      <c r="D2239" t="s">
        <v>18</v>
      </c>
      <c r="E2239" t="s">
        <v>61</v>
      </c>
      <c r="F2239">
        <v>1</v>
      </c>
      <c r="G2239">
        <v>44.99</v>
      </c>
      <c r="H2239">
        <v>16.11</v>
      </c>
      <c r="I2239" t="s">
        <v>44</v>
      </c>
      <c r="J2239">
        <v>10</v>
      </c>
      <c r="K2239" t="s">
        <v>51</v>
      </c>
      <c r="L2239">
        <v>5</v>
      </c>
      <c r="M2239" t="str">
        <f>VLOOKUP(D2239,State_Lookup!$A$2:$B$28,2,FALSE)</f>
        <v>Minas Gerais</v>
      </c>
    </row>
    <row r="2240" spans="1:13" x14ac:dyDescent="0.45">
      <c r="A2240" t="s">
        <v>2728</v>
      </c>
      <c r="B2240" t="s">
        <v>2727</v>
      </c>
      <c r="C2240" t="s">
        <v>2487</v>
      </c>
      <c r="D2240" t="s">
        <v>20</v>
      </c>
      <c r="E2240" t="s">
        <v>157</v>
      </c>
      <c r="F2240">
        <v>1</v>
      </c>
      <c r="G2240">
        <v>248.9</v>
      </c>
      <c r="H2240">
        <v>15.49</v>
      </c>
      <c r="I2240" t="s">
        <v>44</v>
      </c>
      <c r="J2240">
        <v>10</v>
      </c>
      <c r="K2240" t="s">
        <v>51</v>
      </c>
      <c r="L2240">
        <v>5</v>
      </c>
      <c r="M2240" t="str">
        <f>VLOOKUP(D2240,State_Lookup!$A$2:$B$28,2,FALSE)</f>
        <v>Parana</v>
      </c>
    </row>
    <row r="2241" spans="1:13" x14ac:dyDescent="0.45">
      <c r="A2241" t="s">
        <v>2729</v>
      </c>
      <c r="B2241" t="s">
        <v>2727</v>
      </c>
      <c r="C2241" t="s">
        <v>2487</v>
      </c>
      <c r="D2241" t="s">
        <v>16</v>
      </c>
      <c r="E2241" t="s">
        <v>110</v>
      </c>
      <c r="F2241">
        <v>1</v>
      </c>
      <c r="G2241">
        <v>129.9</v>
      </c>
      <c r="H2241">
        <v>12.11</v>
      </c>
      <c r="I2241" t="s">
        <v>44</v>
      </c>
      <c r="J2241">
        <v>3</v>
      </c>
      <c r="K2241" t="s">
        <v>51</v>
      </c>
      <c r="L2241">
        <v>3</v>
      </c>
      <c r="M2241" t="str">
        <f>VLOOKUP(D2241,State_Lookup!$A$2:$B$28,2,FALSE)</f>
        <v>Sao Paulo</v>
      </c>
    </row>
    <row r="2242" spans="1:13" x14ac:dyDescent="0.45">
      <c r="A2242" t="s">
        <v>2730</v>
      </c>
      <c r="B2242" t="s">
        <v>2731</v>
      </c>
      <c r="C2242" t="s">
        <v>2487</v>
      </c>
      <c r="D2242" t="s">
        <v>19</v>
      </c>
      <c r="E2242" t="s">
        <v>79</v>
      </c>
      <c r="F2242">
        <v>1</v>
      </c>
      <c r="G2242">
        <v>58.99</v>
      </c>
      <c r="H2242">
        <v>17.66</v>
      </c>
      <c r="I2242" t="s">
        <v>44</v>
      </c>
      <c r="J2242">
        <v>14</v>
      </c>
      <c r="K2242" t="s">
        <v>51</v>
      </c>
      <c r="L2242">
        <v>5</v>
      </c>
      <c r="M2242" t="str">
        <f>VLOOKUP(D2242,State_Lookup!$A$2:$B$28,2,FALSE)</f>
        <v>Rio Grande do Sul</v>
      </c>
    </row>
    <row r="2243" spans="1:13" x14ac:dyDescent="0.45">
      <c r="A2243" t="s">
        <v>2732</v>
      </c>
      <c r="B2243" t="s">
        <v>2731</v>
      </c>
      <c r="C2243" t="s">
        <v>2487</v>
      </c>
      <c r="D2243" t="s">
        <v>16</v>
      </c>
      <c r="E2243" t="s">
        <v>1903</v>
      </c>
      <c r="F2243">
        <v>1</v>
      </c>
      <c r="G2243">
        <v>57.49</v>
      </c>
      <c r="H2243">
        <v>9.94</v>
      </c>
      <c r="I2243" t="s">
        <v>44</v>
      </c>
      <c r="J2243">
        <v>2</v>
      </c>
      <c r="K2243" t="s">
        <v>51</v>
      </c>
      <c r="L2243">
        <v>5</v>
      </c>
      <c r="M2243" t="str">
        <f>VLOOKUP(D2243,State_Lookup!$A$2:$B$28,2,FALSE)</f>
        <v>Sao Paulo</v>
      </c>
    </row>
    <row r="2244" spans="1:13" x14ac:dyDescent="0.45">
      <c r="A2244" t="s">
        <v>2733</v>
      </c>
      <c r="B2244" t="s">
        <v>2731</v>
      </c>
      <c r="C2244" t="s">
        <v>2487</v>
      </c>
      <c r="D2244" t="s">
        <v>21</v>
      </c>
      <c r="E2244" t="s">
        <v>244</v>
      </c>
      <c r="F2244">
        <v>1</v>
      </c>
      <c r="G2244">
        <v>79</v>
      </c>
      <c r="H2244">
        <v>17.8</v>
      </c>
      <c r="I2244" t="s">
        <v>44</v>
      </c>
      <c r="J2244">
        <v>3</v>
      </c>
      <c r="K2244" t="s">
        <v>51</v>
      </c>
      <c r="L2244">
        <v>3</v>
      </c>
      <c r="M2244" t="str">
        <f>VLOOKUP(D2244,State_Lookup!$A$2:$B$28,2,FALSE)</f>
        <v>Santa Catarina</v>
      </c>
    </row>
    <row r="2245" spans="1:13" x14ac:dyDescent="0.45">
      <c r="A2245" t="s">
        <v>2734</v>
      </c>
      <c r="B2245" t="s">
        <v>2731</v>
      </c>
      <c r="C2245" t="s">
        <v>2487</v>
      </c>
      <c r="D2245" t="s">
        <v>16</v>
      </c>
      <c r="E2245" t="s">
        <v>58</v>
      </c>
      <c r="F2245">
        <v>1</v>
      </c>
      <c r="G2245">
        <v>129</v>
      </c>
      <c r="H2245">
        <v>13.92</v>
      </c>
      <c r="I2245" t="s">
        <v>44</v>
      </c>
      <c r="J2245">
        <v>37</v>
      </c>
      <c r="K2245" t="s">
        <v>143</v>
      </c>
      <c r="L2245">
        <v>1</v>
      </c>
      <c r="M2245" t="str">
        <f>VLOOKUP(D2245,State_Lookup!$A$2:$B$28,2,FALSE)</f>
        <v>Sao Paulo</v>
      </c>
    </row>
    <row r="2246" spans="1:13" x14ac:dyDescent="0.45">
      <c r="A2246" t="s">
        <v>2735</v>
      </c>
      <c r="B2246" t="s">
        <v>2731</v>
      </c>
      <c r="C2246" t="s">
        <v>2487</v>
      </c>
      <c r="D2246" t="s">
        <v>17</v>
      </c>
      <c r="E2246" t="s">
        <v>66</v>
      </c>
      <c r="F2246">
        <v>1</v>
      </c>
      <c r="G2246">
        <v>27.99</v>
      </c>
      <c r="H2246">
        <v>15.1</v>
      </c>
      <c r="I2246" t="s">
        <v>44</v>
      </c>
      <c r="J2246">
        <v>9</v>
      </c>
      <c r="K2246" t="s">
        <v>51</v>
      </c>
      <c r="L2246">
        <v>4</v>
      </c>
      <c r="M2246" t="str">
        <f>VLOOKUP(D2246,State_Lookup!$A$2:$B$28,2,FALSE)</f>
        <v>Rio de Janeiro</v>
      </c>
    </row>
    <row r="2247" spans="1:13" x14ac:dyDescent="0.45">
      <c r="A2247" t="s">
        <v>2736</v>
      </c>
      <c r="B2247" t="s">
        <v>2737</v>
      </c>
      <c r="C2247" t="s">
        <v>2487</v>
      </c>
      <c r="D2247" t="s">
        <v>16</v>
      </c>
      <c r="E2247" t="s">
        <v>43</v>
      </c>
      <c r="F2247">
        <v>1</v>
      </c>
      <c r="G2247">
        <v>180</v>
      </c>
      <c r="H2247">
        <v>12.47</v>
      </c>
      <c r="I2247" t="s">
        <v>44</v>
      </c>
      <c r="J2247">
        <v>2</v>
      </c>
      <c r="K2247" t="s">
        <v>51</v>
      </c>
      <c r="L2247">
        <v>5</v>
      </c>
      <c r="M2247" t="str">
        <f>VLOOKUP(D2247,State_Lookup!$A$2:$B$28,2,FALSE)</f>
        <v>Sao Paulo</v>
      </c>
    </row>
    <row r="2248" spans="1:13" x14ac:dyDescent="0.45">
      <c r="A2248" t="s">
        <v>2738</v>
      </c>
      <c r="B2248" t="s">
        <v>2737</v>
      </c>
      <c r="C2248" t="s">
        <v>2487</v>
      </c>
      <c r="D2248" t="s">
        <v>16</v>
      </c>
      <c r="E2248" t="s">
        <v>110</v>
      </c>
      <c r="F2248">
        <v>1</v>
      </c>
      <c r="G2248">
        <v>80</v>
      </c>
      <c r="H2248">
        <v>12.9</v>
      </c>
      <c r="I2248" t="s">
        <v>44</v>
      </c>
      <c r="J2248">
        <v>7</v>
      </c>
      <c r="K2248" t="s">
        <v>51</v>
      </c>
      <c r="L2248">
        <v>5</v>
      </c>
      <c r="M2248" t="str">
        <f>VLOOKUP(D2248,State_Lookup!$A$2:$B$28,2,FALSE)</f>
        <v>Sao Paulo</v>
      </c>
    </row>
    <row r="2249" spans="1:13" x14ac:dyDescent="0.45">
      <c r="A2249" t="s">
        <v>2739</v>
      </c>
      <c r="B2249" t="s">
        <v>2737</v>
      </c>
      <c r="C2249" t="s">
        <v>2487</v>
      </c>
      <c r="D2249" t="s">
        <v>16</v>
      </c>
      <c r="E2249" t="s">
        <v>53</v>
      </c>
      <c r="F2249">
        <v>1</v>
      </c>
      <c r="G2249">
        <v>69.989999999999995</v>
      </c>
      <c r="H2249">
        <v>9.34</v>
      </c>
      <c r="I2249" t="s">
        <v>50</v>
      </c>
      <c r="J2249">
        <v>2</v>
      </c>
      <c r="K2249" t="s">
        <v>51</v>
      </c>
      <c r="L2249">
        <v>5</v>
      </c>
      <c r="M2249" t="str">
        <f>VLOOKUP(D2249,State_Lookup!$A$2:$B$28,2,FALSE)</f>
        <v>Sao Paulo</v>
      </c>
    </row>
    <row r="2250" spans="1:13" x14ac:dyDescent="0.45">
      <c r="A2250" t="s">
        <v>2740</v>
      </c>
      <c r="B2250" t="s">
        <v>2737</v>
      </c>
      <c r="C2250" t="s">
        <v>2487</v>
      </c>
      <c r="D2250" t="s">
        <v>19</v>
      </c>
      <c r="E2250" t="s">
        <v>66</v>
      </c>
      <c r="F2250">
        <v>1</v>
      </c>
      <c r="G2250">
        <v>55</v>
      </c>
      <c r="H2250">
        <v>16.149999999999999</v>
      </c>
      <c r="I2250" t="s">
        <v>50</v>
      </c>
      <c r="J2250">
        <v>13</v>
      </c>
      <c r="K2250" t="s">
        <v>51</v>
      </c>
      <c r="L2250">
        <v>5</v>
      </c>
      <c r="M2250" t="str">
        <f>VLOOKUP(D2250,State_Lookup!$A$2:$B$28,2,FALSE)</f>
        <v>Rio Grande do Sul</v>
      </c>
    </row>
    <row r="2251" spans="1:13" x14ac:dyDescent="0.45">
      <c r="A2251" t="s">
        <v>2741</v>
      </c>
      <c r="B2251" t="s">
        <v>2737</v>
      </c>
      <c r="C2251" t="s">
        <v>2487</v>
      </c>
      <c r="D2251" t="s">
        <v>17</v>
      </c>
      <c r="E2251" t="s">
        <v>110</v>
      </c>
      <c r="F2251">
        <v>1</v>
      </c>
      <c r="G2251">
        <v>135</v>
      </c>
      <c r="H2251">
        <v>18.2</v>
      </c>
      <c r="I2251" t="s">
        <v>50</v>
      </c>
      <c r="J2251">
        <v>22</v>
      </c>
      <c r="K2251" t="s">
        <v>51</v>
      </c>
      <c r="L2251">
        <v>1</v>
      </c>
      <c r="M2251" t="str">
        <f>VLOOKUP(D2251,State_Lookup!$A$2:$B$28,2,FALSE)</f>
        <v>Rio de Janeiro</v>
      </c>
    </row>
    <row r="2252" spans="1:13" x14ac:dyDescent="0.45">
      <c r="A2252" t="s">
        <v>2742</v>
      </c>
      <c r="B2252" t="s">
        <v>2737</v>
      </c>
      <c r="C2252" t="s">
        <v>2487</v>
      </c>
      <c r="D2252" t="s">
        <v>16</v>
      </c>
      <c r="E2252" t="s">
        <v>64</v>
      </c>
      <c r="F2252">
        <v>1</v>
      </c>
      <c r="G2252">
        <v>13.99</v>
      </c>
      <c r="H2252">
        <v>11.85</v>
      </c>
      <c r="I2252" t="s">
        <v>50</v>
      </c>
      <c r="J2252">
        <v>20</v>
      </c>
      <c r="K2252" t="s">
        <v>51</v>
      </c>
      <c r="L2252">
        <v>5</v>
      </c>
      <c r="M2252" t="str">
        <f>VLOOKUP(D2252,State_Lookup!$A$2:$B$28,2,FALSE)</f>
        <v>Sao Paulo</v>
      </c>
    </row>
    <row r="2253" spans="1:13" x14ac:dyDescent="0.45">
      <c r="A2253" t="s">
        <v>2743</v>
      </c>
      <c r="B2253" t="s">
        <v>2737</v>
      </c>
      <c r="C2253" t="s">
        <v>2487</v>
      </c>
      <c r="D2253" t="s">
        <v>20</v>
      </c>
      <c r="E2253" t="s">
        <v>110</v>
      </c>
      <c r="F2253">
        <v>1</v>
      </c>
      <c r="G2253">
        <v>45.9</v>
      </c>
      <c r="H2253">
        <v>15.11</v>
      </c>
      <c r="I2253" t="s">
        <v>44</v>
      </c>
      <c r="J2253">
        <v>10</v>
      </c>
      <c r="K2253" t="s">
        <v>51</v>
      </c>
      <c r="L2253">
        <v>5</v>
      </c>
      <c r="M2253" t="str">
        <f>VLOOKUP(D2253,State_Lookup!$A$2:$B$28,2,FALSE)</f>
        <v>Parana</v>
      </c>
    </row>
    <row r="2254" spans="1:13" x14ac:dyDescent="0.45">
      <c r="A2254" t="s">
        <v>2744</v>
      </c>
      <c r="B2254" t="s">
        <v>2745</v>
      </c>
      <c r="C2254" t="s">
        <v>2487</v>
      </c>
      <c r="D2254" t="s">
        <v>18</v>
      </c>
      <c r="E2254" t="s">
        <v>148</v>
      </c>
      <c r="F2254">
        <v>1</v>
      </c>
      <c r="G2254">
        <v>229.99</v>
      </c>
      <c r="H2254">
        <v>22.1</v>
      </c>
      <c r="I2254" t="s">
        <v>44</v>
      </c>
      <c r="J2254">
        <v>8</v>
      </c>
      <c r="K2254" t="s">
        <v>51</v>
      </c>
      <c r="L2254">
        <v>5</v>
      </c>
      <c r="M2254" t="str">
        <f>VLOOKUP(D2254,State_Lookup!$A$2:$B$28,2,FALSE)</f>
        <v>Minas Gerais</v>
      </c>
    </row>
    <row r="2255" spans="1:13" x14ac:dyDescent="0.45">
      <c r="A2255" t="s">
        <v>2746</v>
      </c>
      <c r="B2255" t="s">
        <v>2745</v>
      </c>
      <c r="C2255" t="s">
        <v>2487</v>
      </c>
      <c r="D2255" t="s">
        <v>19</v>
      </c>
      <c r="E2255" t="s">
        <v>132</v>
      </c>
      <c r="F2255">
        <v>1</v>
      </c>
      <c r="G2255">
        <v>429</v>
      </c>
      <c r="H2255">
        <v>19.440000000000001</v>
      </c>
      <c r="I2255" t="s">
        <v>44</v>
      </c>
      <c r="J2255">
        <v>33</v>
      </c>
      <c r="K2255" t="s">
        <v>143</v>
      </c>
      <c r="L2255">
        <v>1</v>
      </c>
      <c r="M2255" t="str">
        <f>VLOOKUP(D2255,State_Lookup!$A$2:$B$28,2,FALSE)</f>
        <v>Rio Grande do Sul</v>
      </c>
    </row>
    <row r="2256" spans="1:13" x14ac:dyDescent="0.45">
      <c r="A2256" t="s">
        <v>2747</v>
      </c>
      <c r="B2256" t="s">
        <v>2745</v>
      </c>
      <c r="C2256" t="s">
        <v>2487</v>
      </c>
      <c r="D2256" t="s">
        <v>16</v>
      </c>
      <c r="E2256" t="s">
        <v>43</v>
      </c>
      <c r="F2256">
        <v>1</v>
      </c>
      <c r="G2256">
        <v>40.9</v>
      </c>
      <c r="H2256">
        <v>7.78</v>
      </c>
      <c r="I2256" t="s">
        <v>44</v>
      </c>
      <c r="J2256">
        <v>8</v>
      </c>
      <c r="K2256" t="s">
        <v>51</v>
      </c>
      <c r="L2256">
        <v>5</v>
      </c>
      <c r="M2256" t="str">
        <f>VLOOKUP(D2256,State_Lookup!$A$2:$B$28,2,FALSE)</f>
        <v>Sao Paulo</v>
      </c>
    </row>
    <row r="2257" spans="1:13" x14ac:dyDescent="0.45">
      <c r="A2257" t="s">
        <v>2748</v>
      </c>
      <c r="B2257" t="s">
        <v>2745</v>
      </c>
      <c r="C2257" t="s">
        <v>2487</v>
      </c>
      <c r="D2257" t="s">
        <v>16</v>
      </c>
      <c r="E2257" t="s">
        <v>192</v>
      </c>
      <c r="F2257">
        <v>1</v>
      </c>
      <c r="G2257">
        <v>77.7</v>
      </c>
      <c r="H2257">
        <v>11.75</v>
      </c>
      <c r="I2257" t="s">
        <v>133</v>
      </c>
      <c r="J2257">
        <v>12</v>
      </c>
      <c r="K2257" t="s">
        <v>51</v>
      </c>
      <c r="L2257">
        <v>5</v>
      </c>
      <c r="M2257" t="str">
        <f>VLOOKUP(D2257,State_Lookup!$A$2:$B$28,2,FALSE)</f>
        <v>Sao Paulo</v>
      </c>
    </row>
    <row r="2258" spans="1:13" x14ac:dyDescent="0.45">
      <c r="A2258" t="s">
        <v>2749</v>
      </c>
      <c r="B2258" t="s">
        <v>2745</v>
      </c>
      <c r="C2258" t="s">
        <v>2487</v>
      </c>
      <c r="D2258" t="s">
        <v>17</v>
      </c>
      <c r="E2258" t="s">
        <v>302</v>
      </c>
      <c r="F2258">
        <v>1</v>
      </c>
      <c r="G2258">
        <v>67.900000000000006</v>
      </c>
      <c r="H2258">
        <v>16.920000000000002</v>
      </c>
      <c r="I2258" t="s">
        <v>44</v>
      </c>
      <c r="J2258">
        <v>36</v>
      </c>
      <c r="K2258" t="s">
        <v>143</v>
      </c>
      <c r="L2258">
        <v>1</v>
      </c>
      <c r="M2258" t="str">
        <f>VLOOKUP(D2258,State_Lookup!$A$2:$B$28,2,FALSE)</f>
        <v>Rio de Janeiro</v>
      </c>
    </row>
    <row r="2259" spans="1:13" x14ac:dyDescent="0.45">
      <c r="A2259" t="s">
        <v>2750</v>
      </c>
      <c r="B2259" t="s">
        <v>2751</v>
      </c>
      <c r="C2259" t="s">
        <v>2487</v>
      </c>
      <c r="D2259" t="s">
        <v>83</v>
      </c>
      <c r="E2259" t="s">
        <v>66</v>
      </c>
      <c r="F2259">
        <v>1</v>
      </c>
      <c r="G2259">
        <v>82.99</v>
      </c>
      <c r="H2259">
        <v>17.829999999999998</v>
      </c>
      <c r="I2259" t="s">
        <v>44</v>
      </c>
      <c r="J2259">
        <v>27</v>
      </c>
      <c r="K2259" t="s">
        <v>51</v>
      </c>
      <c r="L2259">
        <v>5</v>
      </c>
      <c r="M2259" t="str">
        <f>VLOOKUP(D2259,State_Lookup!$A$2:$B$28,2,FALSE)</f>
        <v>Sergipe</v>
      </c>
    </row>
    <row r="2260" spans="1:13" x14ac:dyDescent="0.45">
      <c r="A2260" t="s">
        <v>2752</v>
      </c>
      <c r="B2260" t="s">
        <v>2751</v>
      </c>
      <c r="C2260" t="s">
        <v>2487</v>
      </c>
      <c r="D2260" t="s">
        <v>16</v>
      </c>
      <c r="E2260" t="s">
        <v>66</v>
      </c>
      <c r="F2260">
        <v>1</v>
      </c>
      <c r="G2260">
        <v>24.99</v>
      </c>
      <c r="H2260">
        <v>7.78</v>
      </c>
      <c r="I2260" t="s">
        <v>44</v>
      </c>
      <c r="J2260">
        <v>8</v>
      </c>
      <c r="K2260" t="s">
        <v>51</v>
      </c>
      <c r="L2260">
        <v>5</v>
      </c>
      <c r="M2260" t="str">
        <f>VLOOKUP(D2260,State_Lookup!$A$2:$B$28,2,FALSE)</f>
        <v>Sao Paulo</v>
      </c>
    </row>
    <row r="2261" spans="1:13" x14ac:dyDescent="0.45">
      <c r="A2261" t="s">
        <v>2753</v>
      </c>
      <c r="B2261" t="s">
        <v>2751</v>
      </c>
      <c r="C2261" t="s">
        <v>2487</v>
      </c>
      <c r="D2261" t="s">
        <v>19</v>
      </c>
      <c r="E2261" t="s">
        <v>43</v>
      </c>
      <c r="F2261">
        <v>1</v>
      </c>
      <c r="G2261">
        <v>45.99</v>
      </c>
      <c r="H2261">
        <v>14.1</v>
      </c>
      <c r="I2261" t="s">
        <v>108</v>
      </c>
      <c r="J2261">
        <v>19</v>
      </c>
      <c r="K2261" t="s">
        <v>51</v>
      </c>
      <c r="L2261">
        <v>5</v>
      </c>
      <c r="M2261" t="str">
        <f>VLOOKUP(D2261,State_Lookup!$A$2:$B$28,2,FALSE)</f>
        <v>Rio Grande do Sul</v>
      </c>
    </row>
    <row r="2262" spans="1:13" x14ac:dyDescent="0.45">
      <c r="A2262" t="s">
        <v>2754</v>
      </c>
      <c r="B2262" t="s">
        <v>2751</v>
      </c>
      <c r="C2262" t="s">
        <v>2487</v>
      </c>
      <c r="D2262" t="s">
        <v>18</v>
      </c>
      <c r="E2262" t="s">
        <v>204</v>
      </c>
      <c r="F2262">
        <v>1</v>
      </c>
      <c r="G2262">
        <v>412</v>
      </c>
      <c r="H2262">
        <v>30.26</v>
      </c>
      <c r="I2262" t="s">
        <v>44</v>
      </c>
      <c r="J2262">
        <v>12</v>
      </c>
      <c r="K2262" t="s">
        <v>51</v>
      </c>
      <c r="L2262">
        <v>5</v>
      </c>
      <c r="M2262" t="str">
        <f>VLOOKUP(D2262,State_Lookup!$A$2:$B$28,2,FALSE)</f>
        <v>Minas Gerais</v>
      </c>
    </row>
    <row r="2263" spans="1:13" x14ac:dyDescent="0.45">
      <c r="A2263" t="s">
        <v>2755</v>
      </c>
      <c r="B2263" t="s">
        <v>2751</v>
      </c>
      <c r="C2263" t="s">
        <v>2487</v>
      </c>
      <c r="D2263" t="s">
        <v>210</v>
      </c>
      <c r="E2263" t="s">
        <v>244</v>
      </c>
      <c r="F2263">
        <v>1</v>
      </c>
      <c r="G2263">
        <v>46.5</v>
      </c>
      <c r="H2263">
        <v>25.38</v>
      </c>
      <c r="I2263" t="s">
        <v>44</v>
      </c>
      <c r="J2263">
        <v>41</v>
      </c>
      <c r="K2263" t="s">
        <v>51</v>
      </c>
      <c r="L2263">
        <v>5</v>
      </c>
      <c r="M2263" t="str">
        <f>VLOOKUP(D2263,State_Lookup!$A$2:$B$28,2,FALSE)</f>
        <v>Amazonas</v>
      </c>
    </row>
    <row r="2264" spans="1:13" x14ac:dyDescent="0.45">
      <c r="A2264" t="s">
        <v>2756</v>
      </c>
      <c r="B2264" t="s">
        <v>2751</v>
      </c>
      <c r="C2264" t="s">
        <v>2487</v>
      </c>
      <c r="D2264" t="s">
        <v>16</v>
      </c>
      <c r="E2264" t="s">
        <v>148</v>
      </c>
      <c r="F2264">
        <v>1</v>
      </c>
      <c r="G2264">
        <v>64.900000000000006</v>
      </c>
      <c r="H2264">
        <v>25.29</v>
      </c>
      <c r="I2264" t="s">
        <v>44</v>
      </c>
      <c r="J2264">
        <v>10</v>
      </c>
      <c r="K2264" t="s">
        <v>51</v>
      </c>
      <c r="L2264">
        <v>5</v>
      </c>
      <c r="M2264" t="str">
        <f>VLOOKUP(D2264,State_Lookup!$A$2:$B$28,2,FALSE)</f>
        <v>Sao Paulo</v>
      </c>
    </row>
    <row r="2265" spans="1:13" x14ac:dyDescent="0.45">
      <c r="A2265" t="s">
        <v>2757</v>
      </c>
      <c r="B2265" t="s">
        <v>2751</v>
      </c>
      <c r="C2265" t="s">
        <v>2487</v>
      </c>
      <c r="D2265" t="s">
        <v>17</v>
      </c>
      <c r="E2265" t="s">
        <v>142</v>
      </c>
      <c r="F2265">
        <v>1</v>
      </c>
      <c r="G2265">
        <v>42.9</v>
      </c>
      <c r="H2265">
        <v>16.11</v>
      </c>
      <c r="I2265" t="s">
        <v>133</v>
      </c>
      <c r="J2265">
        <v>25</v>
      </c>
      <c r="K2265" t="s">
        <v>51</v>
      </c>
      <c r="L2265">
        <v>5</v>
      </c>
      <c r="M2265" t="str">
        <f>VLOOKUP(D2265,State_Lookup!$A$2:$B$28,2,FALSE)</f>
        <v>Rio de Janeiro</v>
      </c>
    </row>
    <row r="2266" spans="1:13" x14ac:dyDescent="0.45">
      <c r="A2266" t="s">
        <v>2758</v>
      </c>
      <c r="B2266" t="s">
        <v>2751</v>
      </c>
      <c r="C2266" t="s">
        <v>2487</v>
      </c>
      <c r="D2266" t="s">
        <v>18</v>
      </c>
      <c r="E2266" t="s">
        <v>61</v>
      </c>
      <c r="F2266">
        <v>1</v>
      </c>
      <c r="G2266">
        <v>149.99</v>
      </c>
      <c r="H2266">
        <v>23.85</v>
      </c>
      <c r="I2266" t="s">
        <v>44</v>
      </c>
      <c r="J2266">
        <v>11</v>
      </c>
      <c r="K2266" t="s">
        <v>51</v>
      </c>
      <c r="L2266">
        <v>5</v>
      </c>
      <c r="M2266" t="str">
        <f>VLOOKUP(D2266,State_Lookup!$A$2:$B$28,2,FALSE)</f>
        <v>Minas Gerais</v>
      </c>
    </row>
    <row r="2267" spans="1:13" x14ac:dyDescent="0.45">
      <c r="A2267" t="s">
        <v>2759</v>
      </c>
      <c r="B2267" t="s">
        <v>2760</v>
      </c>
      <c r="C2267" t="s">
        <v>2487</v>
      </c>
      <c r="D2267" t="s">
        <v>16</v>
      </c>
      <c r="E2267" t="s">
        <v>61</v>
      </c>
      <c r="F2267">
        <v>1</v>
      </c>
      <c r="G2267">
        <v>181.01</v>
      </c>
      <c r="H2267">
        <v>15.02</v>
      </c>
      <c r="I2267" t="s">
        <v>44</v>
      </c>
      <c r="J2267">
        <v>11</v>
      </c>
      <c r="K2267" t="s">
        <v>51</v>
      </c>
      <c r="L2267">
        <v>5</v>
      </c>
      <c r="M2267" t="str">
        <f>VLOOKUP(D2267,State_Lookup!$A$2:$B$28,2,FALSE)</f>
        <v>Sao Paulo</v>
      </c>
    </row>
    <row r="2268" spans="1:13" x14ac:dyDescent="0.45">
      <c r="A2268" t="s">
        <v>2761</v>
      </c>
      <c r="B2268" t="s">
        <v>2760</v>
      </c>
      <c r="C2268" t="s">
        <v>2487</v>
      </c>
      <c r="D2268" t="s">
        <v>16</v>
      </c>
      <c r="E2268" t="s">
        <v>152</v>
      </c>
      <c r="F2268">
        <v>1</v>
      </c>
      <c r="G2268">
        <v>99.9</v>
      </c>
      <c r="H2268">
        <v>9.51</v>
      </c>
      <c r="I2268" t="s">
        <v>44</v>
      </c>
      <c r="J2268">
        <v>9</v>
      </c>
      <c r="K2268" t="s">
        <v>51</v>
      </c>
      <c r="L2268">
        <v>5</v>
      </c>
      <c r="M2268" t="str">
        <f>VLOOKUP(D2268,State_Lookup!$A$2:$B$28,2,FALSE)</f>
        <v>Sao Paulo</v>
      </c>
    </row>
    <row r="2269" spans="1:13" x14ac:dyDescent="0.45">
      <c r="A2269" t="s">
        <v>2762</v>
      </c>
      <c r="B2269" t="s">
        <v>2760</v>
      </c>
      <c r="C2269" t="s">
        <v>2487</v>
      </c>
      <c r="D2269" t="s">
        <v>17</v>
      </c>
      <c r="E2269" t="s">
        <v>69</v>
      </c>
      <c r="F2269">
        <v>1</v>
      </c>
      <c r="G2269">
        <v>89.99</v>
      </c>
      <c r="H2269">
        <v>45.09</v>
      </c>
      <c r="I2269" t="s">
        <v>44</v>
      </c>
      <c r="J2269">
        <v>24</v>
      </c>
      <c r="K2269" t="s">
        <v>51</v>
      </c>
      <c r="L2269">
        <v>5</v>
      </c>
      <c r="M2269" t="str">
        <f>VLOOKUP(D2269,State_Lookup!$A$2:$B$28,2,FALSE)</f>
        <v>Rio de Janeiro</v>
      </c>
    </row>
    <row r="2270" spans="1:13" x14ac:dyDescent="0.45">
      <c r="A2270" t="s">
        <v>2763</v>
      </c>
      <c r="B2270" t="s">
        <v>2760</v>
      </c>
      <c r="C2270" t="s">
        <v>2487</v>
      </c>
      <c r="D2270" t="s">
        <v>16</v>
      </c>
      <c r="E2270" t="s">
        <v>66</v>
      </c>
      <c r="F2270">
        <v>1</v>
      </c>
      <c r="G2270">
        <v>18</v>
      </c>
      <c r="H2270">
        <v>7.78</v>
      </c>
      <c r="I2270" t="s">
        <v>44</v>
      </c>
      <c r="J2270">
        <v>6</v>
      </c>
      <c r="K2270" t="s">
        <v>51</v>
      </c>
      <c r="L2270">
        <v>5</v>
      </c>
      <c r="M2270" t="str">
        <f>VLOOKUP(D2270,State_Lookup!$A$2:$B$28,2,FALSE)</f>
        <v>Sao Paulo</v>
      </c>
    </row>
    <row r="2271" spans="1:13" x14ac:dyDescent="0.45">
      <c r="A2271" t="s">
        <v>2764</v>
      </c>
      <c r="B2271" t="s">
        <v>2765</v>
      </c>
      <c r="C2271" t="s">
        <v>2487</v>
      </c>
      <c r="D2271" t="s">
        <v>16</v>
      </c>
      <c r="E2271" t="s">
        <v>58</v>
      </c>
      <c r="F2271">
        <v>1</v>
      </c>
      <c r="G2271">
        <v>24.5</v>
      </c>
      <c r="H2271">
        <v>11.85</v>
      </c>
      <c r="I2271" t="s">
        <v>44</v>
      </c>
      <c r="J2271">
        <v>7</v>
      </c>
      <c r="K2271" t="s">
        <v>51</v>
      </c>
      <c r="L2271">
        <v>2</v>
      </c>
      <c r="M2271" t="str">
        <f>VLOOKUP(D2271,State_Lookup!$A$2:$B$28,2,FALSE)</f>
        <v>Sao Paulo</v>
      </c>
    </row>
    <row r="2272" spans="1:13" x14ac:dyDescent="0.45">
      <c r="A2272" t="s">
        <v>2766</v>
      </c>
      <c r="B2272" t="s">
        <v>2765</v>
      </c>
      <c r="C2272" t="s">
        <v>2487</v>
      </c>
      <c r="D2272" t="s">
        <v>18</v>
      </c>
      <c r="E2272" t="s">
        <v>69</v>
      </c>
      <c r="F2272">
        <v>1</v>
      </c>
      <c r="G2272">
        <v>239.99</v>
      </c>
      <c r="H2272">
        <v>27.3</v>
      </c>
      <c r="I2272" t="s">
        <v>44</v>
      </c>
      <c r="J2272">
        <v>10</v>
      </c>
      <c r="K2272" t="s">
        <v>51</v>
      </c>
      <c r="L2272">
        <v>3</v>
      </c>
      <c r="M2272" t="str">
        <f>VLOOKUP(D2272,State_Lookup!$A$2:$B$28,2,FALSE)</f>
        <v>Minas Gerais</v>
      </c>
    </row>
    <row r="2273" spans="1:13" x14ac:dyDescent="0.45">
      <c r="A2273" t="s">
        <v>2767</v>
      </c>
      <c r="B2273" t="s">
        <v>2765</v>
      </c>
      <c r="C2273" t="s">
        <v>2487</v>
      </c>
      <c r="D2273" t="s">
        <v>17</v>
      </c>
      <c r="E2273" t="s">
        <v>79</v>
      </c>
      <c r="F2273">
        <v>1</v>
      </c>
      <c r="G2273">
        <v>129.9</v>
      </c>
      <c r="H2273">
        <v>12.86</v>
      </c>
      <c r="I2273" t="s">
        <v>44</v>
      </c>
      <c r="J2273">
        <v>5</v>
      </c>
      <c r="K2273" t="s">
        <v>51</v>
      </c>
      <c r="L2273">
        <v>5</v>
      </c>
      <c r="M2273" t="str">
        <f>VLOOKUP(D2273,State_Lookup!$A$2:$B$28,2,FALSE)</f>
        <v>Rio de Janeiro</v>
      </c>
    </row>
    <row r="2274" spans="1:13" x14ac:dyDescent="0.45">
      <c r="A2274" t="s">
        <v>2768</v>
      </c>
      <c r="B2274" t="s">
        <v>2765</v>
      </c>
      <c r="C2274" t="s">
        <v>2487</v>
      </c>
      <c r="D2274" t="s">
        <v>18</v>
      </c>
      <c r="E2274" t="s">
        <v>148</v>
      </c>
      <c r="F2274">
        <v>1</v>
      </c>
      <c r="G2274">
        <v>199</v>
      </c>
      <c r="H2274">
        <v>20.63</v>
      </c>
      <c r="I2274" t="s">
        <v>44</v>
      </c>
      <c r="J2274">
        <v>12</v>
      </c>
      <c r="K2274" t="s">
        <v>51</v>
      </c>
      <c r="L2274">
        <v>4</v>
      </c>
      <c r="M2274" t="str">
        <f>VLOOKUP(D2274,State_Lookup!$A$2:$B$28,2,FALSE)</f>
        <v>Minas Gerais</v>
      </c>
    </row>
    <row r="2275" spans="1:13" x14ac:dyDescent="0.45">
      <c r="A2275" t="s">
        <v>2769</v>
      </c>
      <c r="B2275" t="s">
        <v>2765</v>
      </c>
      <c r="C2275" t="s">
        <v>2487</v>
      </c>
      <c r="D2275" t="s">
        <v>22</v>
      </c>
      <c r="E2275" t="s">
        <v>61</v>
      </c>
      <c r="F2275">
        <v>1</v>
      </c>
      <c r="G2275">
        <v>235.92</v>
      </c>
      <c r="H2275">
        <v>19.22</v>
      </c>
      <c r="I2275" t="s">
        <v>44</v>
      </c>
      <c r="J2275">
        <v>16</v>
      </c>
      <c r="K2275" t="s">
        <v>51</v>
      </c>
      <c r="L2275">
        <v>5</v>
      </c>
      <c r="M2275" t="str">
        <f>VLOOKUP(D2275,State_Lookup!$A$2:$B$28,2,FALSE)</f>
        <v>Bahia</v>
      </c>
    </row>
    <row r="2276" spans="1:13" x14ac:dyDescent="0.45">
      <c r="A2276" t="s">
        <v>2770</v>
      </c>
      <c r="B2276" t="s">
        <v>2765</v>
      </c>
      <c r="C2276" t="s">
        <v>2487</v>
      </c>
      <c r="D2276" t="s">
        <v>16</v>
      </c>
      <c r="E2276" t="s">
        <v>53</v>
      </c>
      <c r="F2276">
        <v>1</v>
      </c>
      <c r="G2276">
        <v>89.9</v>
      </c>
      <c r="H2276">
        <v>12.13</v>
      </c>
      <c r="I2276" t="s">
        <v>44</v>
      </c>
      <c r="J2276">
        <v>11</v>
      </c>
      <c r="K2276" t="s">
        <v>51</v>
      </c>
      <c r="L2276">
        <v>5</v>
      </c>
      <c r="M2276" t="str">
        <f>VLOOKUP(D2276,State_Lookup!$A$2:$B$28,2,FALSE)</f>
        <v>Sao Paulo</v>
      </c>
    </row>
    <row r="2277" spans="1:13" x14ac:dyDescent="0.45">
      <c r="A2277" t="s">
        <v>2771</v>
      </c>
      <c r="B2277" t="s">
        <v>2772</v>
      </c>
      <c r="C2277" t="s">
        <v>2487</v>
      </c>
      <c r="D2277" t="s">
        <v>16</v>
      </c>
      <c r="E2277" t="s">
        <v>132</v>
      </c>
      <c r="F2277">
        <v>1</v>
      </c>
      <c r="G2277">
        <v>34.9</v>
      </c>
      <c r="H2277">
        <v>15.1</v>
      </c>
      <c r="I2277" t="s">
        <v>44</v>
      </c>
      <c r="J2277">
        <v>9</v>
      </c>
      <c r="K2277" t="s">
        <v>51</v>
      </c>
      <c r="L2277">
        <v>5</v>
      </c>
      <c r="M2277" t="str">
        <f>VLOOKUP(D2277,State_Lookup!$A$2:$B$28,2,FALSE)</f>
        <v>Sao Paulo</v>
      </c>
    </row>
    <row r="2278" spans="1:13" x14ac:dyDescent="0.45">
      <c r="A2278" t="s">
        <v>2773</v>
      </c>
      <c r="B2278" t="s">
        <v>2772</v>
      </c>
      <c r="C2278" t="s">
        <v>2487</v>
      </c>
      <c r="D2278" t="s">
        <v>16</v>
      </c>
      <c r="E2278" t="s">
        <v>199</v>
      </c>
      <c r="F2278">
        <v>1</v>
      </c>
      <c r="G2278">
        <v>122.99</v>
      </c>
      <c r="H2278">
        <v>12.36</v>
      </c>
      <c r="I2278" t="s">
        <v>44</v>
      </c>
      <c r="K2278" t="s">
        <v>45</v>
      </c>
      <c r="L2278">
        <v>1</v>
      </c>
      <c r="M2278" t="str">
        <f>VLOOKUP(D2278,State_Lookup!$A$2:$B$28,2,FALSE)</f>
        <v>Sao Paulo</v>
      </c>
    </row>
    <row r="2279" spans="1:13" x14ac:dyDescent="0.45">
      <c r="A2279" t="s">
        <v>2774</v>
      </c>
      <c r="B2279" t="s">
        <v>2772</v>
      </c>
      <c r="C2279" t="s">
        <v>2487</v>
      </c>
      <c r="D2279" t="s">
        <v>21</v>
      </c>
      <c r="E2279" t="s">
        <v>1903</v>
      </c>
      <c r="F2279">
        <v>1</v>
      </c>
      <c r="G2279">
        <v>57.49</v>
      </c>
      <c r="H2279">
        <v>16.16</v>
      </c>
      <c r="I2279" t="s">
        <v>44</v>
      </c>
      <c r="J2279">
        <v>26</v>
      </c>
      <c r="K2279" t="s">
        <v>51</v>
      </c>
      <c r="L2279">
        <v>5</v>
      </c>
      <c r="M2279" t="str">
        <f>VLOOKUP(D2279,State_Lookup!$A$2:$B$28,2,FALSE)</f>
        <v>Santa Catarina</v>
      </c>
    </row>
    <row r="2280" spans="1:13" x14ac:dyDescent="0.45">
      <c r="A2280" t="s">
        <v>2775</v>
      </c>
      <c r="B2280" t="s">
        <v>2776</v>
      </c>
      <c r="C2280" t="s">
        <v>2777</v>
      </c>
      <c r="D2280" t="s">
        <v>17</v>
      </c>
      <c r="E2280" t="s">
        <v>49</v>
      </c>
      <c r="F2280">
        <v>1</v>
      </c>
      <c r="G2280">
        <v>249.9</v>
      </c>
      <c r="H2280">
        <v>16.5</v>
      </c>
      <c r="I2280" t="s">
        <v>44</v>
      </c>
      <c r="J2280">
        <v>17</v>
      </c>
      <c r="K2280" t="s">
        <v>51</v>
      </c>
      <c r="L2280">
        <v>5</v>
      </c>
      <c r="M2280" t="str">
        <f>VLOOKUP(D2280,State_Lookup!$A$2:$B$28,2,FALSE)</f>
        <v>Rio de Janeiro</v>
      </c>
    </row>
    <row r="2281" spans="1:13" x14ac:dyDescent="0.45">
      <c r="A2281" t="s">
        <v>2778</v>
      </c>
      <c r="B2281" t="s">
        <v>2776</v>
      </c>
      <c r="C2281" t="s">
        <v>2777</v>
      </c>
      <c r="D2281" t="s">
        <v>20</v>
      </c>
      <c r="E2281" t="s">
        <v>142</v>
      </c>
      <c r="F2281">
        <v>1</v>
      </c>
      <c r="G2281">
        <v>72</v>
      </c>
      <c r="H2281">
        <v>15.25</v>
      </c>
      <c r="I2281" t="s">
        <v>108</v>
      </c>
      <c r="J2281">
        <v>8</v>
      </c>
      <c r="K2281" t="s">
        <v>51</v>
      </c>
      <c r="L2281">
        <v>4</v>
      </c>
      <c r="M2281" t="str">
        <f>VLOOKUP(D2281,State_Lookup!$A$2:$B$28,2,FALSE)</f>
        <v>Parana</v>
      </c>
    </row>
    <row r="2282" spans="1:13" x14ac:dyDescent="0.45">
      <c r="A2282" t="s">
        <v>2779</v>
      </c>
      <c r="B2282" t="s">
        <v>2776</v>
      </c>
      <c r="C2282" t="s">
        <v>2777</v>
      </c>
      <c r="D2282" t="s">
        <v>24</v>
      </c>
      <c r="E2282" t="s">
        <v>132</v>
      </c>
      <c r="F2282">
        <v>1</v>
      </c>
      <c r="G2282">
        <v>20.3</v>
      </c>
      <c r="H2282">
        <v>15.1</v>
      </c>
      <c r="I2282" t="s">
        <v>44</v>
      </c>
      <c r="J2282">
        <v>17</v>
      </c>
      <c r="K2282" t="s">
        <v>51</v>
      </c>
      <c r="L2282">
        <v>4</v>
      </c>
      <c r="M2282" t="str">
        <f>VLOOKUP(D2282,State_Lookup!$A$2:$B$28,2,FALSE)</f>
        <v>Distrito Federal</v>
      </c>
    </row>
    <row r="2283" spans="1:13" x14ac:dyDescent="0.45">
      <c r="A2283" t="s">
        <v>2780</v>
      </c>
      <c r="B2283" t="s">
        <v>2776</v>
      </c>
      <c r="C2283" t="s">
        <v>2777</v>
      </c>
      <c r="D2283" t="s">
        <v>16</v>
      </c>
      <c r="E2283" t="s">
        <v>157</v>
      </c>
      <c r="F2283">
        <v>1</v>
      </c>
      <c r="G2283">
        <v>49</v>
      </c>
      <c r="H2283">
        <v>7.78</v>
      </c>
      <c r="I2283" t="s">
        <v>44</v>
      </c>
      <c r="J2283">
        <v>7</v>
      </c>
      <c r="K2283" t="s">
        <v>51</v>
      </c>
      <c r="L2283">
        <v>5</v>
      </c>
      <c r="M2283" t="str">
        <f>VLOOKUP(D2283,State_Lookup!$A$2:$B$28,2,FALSE)</f>
        <v>Sao Paulo</v>
      </c>
    </row>
    <row r="2284" spans="1:13" x14ac:dyDescent="0.45">
      <c r="A2284" t="s">
        <v>2781</v>
      </c>
      <c r="B2284" t="s">
        <v>2776</v>
      </c>
      <c r="C2284" t="s">
        <v>2777</v>
      </c>
      <c r="D2284" t="s">
        <v>17</v>
      </c>
      <c r="E2284" t="s">
        <v>79</v>
      </c>
      <c r="F2284">
        <v>1</v>
      </c>
      <c r="G2284">
        <v>89.9</v>
      </c>
      <c r="H2284">
        <v>16.07</v>
      </c>
      <c r="I2284" t="s">
        <v>50</v>
      </c>
      <c r="J2284">
        <v>31</v>
      </c>
      <c r="K2284" t="s">
        <v>51</v>
      </c>
      <c r="L2284">
        <v>5</v>
      </c>
      <c r="M2284" t="str">
        <f>VLOOKUP(D2284,State_Lookup!$A$2:$B$28,2,FALSE)</f>
        <v>Rio de Janeiro</v>
      </c>
    </row>
    <row r="2285" spans="1:13" x14ac:dyDescent="0.45">
      <c r="A2285" t="s">
        <v>2782</v>
      </c>
      <c r="B2285" t="s">
        <v>2783</v>
      </c>
      <c r="C2285" t="s">
        <v>2777</v>
      </c>
      <c r="D2285" t="s">
        <v>16</v>
      </c>
      <c r="E2285" t="s">
        <v>69</v>
      </c>
      <c r="F2285">
        <v>1</v>
      </c>
      <c r="G2285">
        <v>248</v>
      </c>
      <c r="H2285">
        <v>16.489999999999998</v>
      </c>
      <c r="I2285" t="s">
        <v>50</v>
      </c>
      <c r="J2285">
        <v>14</v>
      </c>
      <c r="K2285" t="s">
        <v>51</v>
      </c>
      <c r="L2285">
        <v>5</v>
      </c>
      <c r="M2285" t="str">
        <f>VLOOKUP(D2285,State_Lookup!$A$2:$B$28,2,FALSE)</f>
        <v>Sao Paulo</v>
      </c>
    </row>
    <row r="2286" spans="1:13" x14ac:dyDescent="0.45">
      <c r="A2286" t="s">
        <v>2784</v>
      </c>
      <c r="B2286" t="s">
        <v>2783</v>
      </c>
      <c r="C2286" t="s">
        <v>2777</v>
      </c>
      <c r="D2286" t="s">
        <v>16</v>
      </c>
      <c r="E2286" t="s">
        <v>43</v>
      </c>
      <c r="F2286">
        <v>1</v>
      </c>
      <c r="G2286">
        <v>249.99</v>
      </c>
      <c r="H2286">
        <v>12.95</v>
      </c>
      <c r="I2286" t="s">
        <v>44</v>
      </c>
      <c r="J2286">
        <v>2</v>
      </c>
      <c r="K2286" t="s">
        <v>51</v>
      </c>
      <c r="L2286">
        <v>2</v>
      </c>
      <c r="M2286" t="str">
        <f>VLOOKUP(D2286,State_Lookup!$A$2:$B$28,2,FALSE)</f>
        <v>Sao Paulo</v>
      </c>
    </row>
    <row r="2287" spans="1:13" x14ac:dyDescent="0.45">
      <c r="A2287" t="s">
        <v>2785</v>
      </c>
      <c r="B2287" t="s">
        <v>2783</v>
      </c>
      <c r="C2287" t="s">
        <v>2777</v>
      </c>
      <c r="D2287" t="s">
        <v>20</v>
      </c>
      <c r="E2287" t="s">
        <v>125</v>
      </c>
      <c r="F2287">
        <v>1</v>
      </c>
      <c r="G2287">
        <v>12.25</v>
      </c>
      <c r="H2287">
        <v>14.1</v>
      </c>
      <c r="I2287" t="s">
        <v>44</v>
      </c>
      <c r="J2287">
        <v>7</v>
      </c>
      <c r="K2287" t="s">
        <v>51</v>
      </c>
      <c r="L2287">
        <v>5</v>
      </c>
      <c r="M2287" t="str">
        <f>VLOOKUP(D2287,State_Lookup!$A$2:$B$28,2,FALSE)</f>
        <v>Parana</v>
      </c>
    </row>
    <row r="2288" spans="1:13" x14ac:dyDescent="0.45">
      <c r="A2288" t="s">
        <v>2786</v>
      </c>
      <c r="B2288" t="s">
        <v>2783</v>
      </c>
      <c r="C2288" t="s">
        <v>2777</v>
      </c>
      <c r="D2288" t="s">
        <v>83</v>
      </c>
      <c r="E2288" t="s">
        <v>79</v>
      </c>
      <c r="F2288">
        <v>1</v>
      </c>
      <c r="G2288">
        <v>819.89</v>
      </c>
      <c r="H2288">
        <v>41.06</v>
      </c>
      <c r="I2288" t="s">
        <v>44</v>
      </c>
      <c r="J2288">
        <v>9</v>
      </c>
      <c r="K2288" t="s">
        <v>51</v>
      </c>
      <c r="L2288">
        <v>5</v>
      </c>
      <c r="M2288" t="str">
        <f>VLOOKUP(D2288,State_Lookup!$A$2:$B$28,2,FALSE)</f>
        <v>Sergipe</v>
      </c>
    </row>
    <row r="2289" spans="1:13" x14ac:dyDescent="0.45">
      <c r="A2289" t="s">
        <v>2787</v>
      </c>
      <c r="B2289" t="s">
        <v>2783</v>
      </c>
      <c r="C2289" t="s">
        <v>2777</v>
      </c>
      <c r="D2289" t="s">
        <v>16</v>
      </c>
      <c r="E2289" t="s">
        <v>79</v>
      </c>
      <c r="F2289">
        <v>1</v>
      </c>
      <c r="G2289">
        <v>119.9</v>
      </c>
      <c r="H2289">
        <v>14.59</v>
      </c>
      <c r="I2289" t="s">
        <v>44</v>
      </c>
      <c r="J2289">
        <v>9</v>
      </c>
      <c r="K2289" t="s">
        <v>51</v>
      </c>
      <c r="L2289">
        <v>1</v>
      </c>
      <c r="M2289" t="str">
        <f>VLOOKUP(D2289,State_Lookup!$A$2:$B$28,2,FALSE)</f>
        <v>Sao Paulo</v>
      </c>
    </row>
    <row r="2290" spans="1:13" x14ac:dyDescent="0.45">
      <c r="A2290" t="s">
        <v>2788</v>
      </c>
      <c r="B2290" t="s">
        <v>2783</v>
      </c>
      <c r="C2290" t="s">
        <v>2777</v>
      </c>
      <c r="D2290" t="s">
        <v>16</v>
      </c>
      <c r="E2290" t="s">
        <v>79</v>
      </c>
      <c r="F2290">
        <v>1</v>
      </c>
      <c r="G2290">
        <v>98</v>
      </c>
      <c r="H2290">
        <v>13.03</v>
      </c>
      <c r="I2290" t="s">
        <v>44</v>
      </c>
      <c r="J2290">
        <v>8</v>
      </c>
      <c r="K2290" t="s">
        <v>51</v>
      </c>
      <c r="L2290">
        <v>4</v>
      </c>
      <c r="M2290" t="str">
        <f>VLOOKUP(D2290,State_Lookup!$A$2:$B$28,2,FALSE)</f>
        <v>Sao Paulo</v>
      </c>
    </row>
    <row r="2291" spans="1:13" x14ac:dyDescent="0.45">
      <c r="A2291" t="s">
        <v>2789</v>
      </c>
      <c r="B2291" t="s">
        <v>2783</v>
      </c>
      <c r="C2291" t="s">
        <v>2777</v>
      </c>
      <c r="D2291" t="s">
        <v>16</v>
      </c>
      <c r="E2291" t="s">
        <v>100</v>
      </c>
      <c r="F2291">
        <v>1</v>
      </c>
      <c r="G2291">
        <v>179.9</v>
      </c>
      <c r="H2291">
        <v>10.07</v>
      </c>
      <c r="I2291" t="s">
        <v>50</v>
      </c>
      <c r="J2291">
        <v>3</v>
      </c>
      <c r="K2291" t="s">
        <v>51</v>
      </c>
      <c r="L2291">
        <v>5</v>
      </c>
      <c r="M2291" t="str">
        <f>VLOOKUP(D2291,State_Lookup!$A$2:$B$28,2,FALSE)</f>
        <v>Sao Paulo</v>
      </c>
    </row>
    <row r="2292" spans="1:13" x14ac:dyDescent="0.45">
      <c r="A2292" t="s">
        <v>2790</v>
      </c>
      <c r="B2292" t="s">
        <v>2783</v>
      </c>
      <c r="C2292" t="s">
        <v>2777</v>
      </c>
      <c r="D2292" t="s">
        <v>16</v>
      </c>
      <c r="E2292" t="s">
        <v>107</v>
      </c>
      <c r="F2292">
        <v>2</v>
      </c>
      <c r="G2292">
        <v>228.38</v>
      </c>
      <c r="H2292">
        <v>28.91</v>
      </c>
      <c r="I2292" t="s">
        <v>44</v>
      </c>
      <c r="J2292">
        <v>6</v>
      </c>
      <c r="K2292" t="s">
        <v>51</v>
      </c>
      <c r="L2292">
        <v>4</v>
      </c>
      <c r="M2292" t="str">
        <f>VLOOKUP(D2292,State_Lookup!$A$2:$B$28,2,FALSE)</f>
        <v>Sao Paulo</v>
      </c>
    </row>
    <row r="2293" spans="1:13" x14ac:dyDescent="0.45">
      <c r="A2293" t="s">
        <v>2791</v>
      </c>
      <c r="B2293" t="s">
        <v>2783</v>
      </c>
      <c r="C2293" t="s">
        <v>2777</v>
      </c>
      <c r="D2293" t="s">
        <v>17</v>
      </c>
      <c r="E2293" t="s">
        <v>110</v>
      </c>
      <c r="F2293">
        <v>1</v>
      </c>
      <c r="G2293">
        <v>179.9</v>
      </c>
      <c r="H2293">
        <v>21.75</v>
      </c>
      <c r="I2293" t="s">
        <v>133</v>
      </c>
      <c r="J2293">
        <v>13</v>
      </c>
      <c r="K2293" t="s">
        <v>51</v>
      </c>
      <c r="L2293">
        <v>5</v>
      </c>
      <c r="M2293" t="str">
        <f>VLOOKUP(D2293,State_Lookup!$A$2:$B$28,2,FALSE)</f>
        <v>Rio de Janeiro</v>
      </c>
    </row>
    <row r="2294" spans="1:13" x14ac:dyDescent="0.45">
      <c r="A2294" t="s">
        <v>2792</v>
      </c>
      <c r="B2294" t="s">
        <v>2783</v>
      </c>
      <c r="C2294" t="s">
        <v>2777</v>
      </c>
      <c r="D2294" t="s">
        <v>25</v>
      </c>
      <c r="E2294" t="s">
        <v>199</v>
      </c>
      <c r="F2294">
        <v>1</v>
      </c>
      <c r="G2294">
        <v>122.99</v>
      </c>
      <c r="H2294">
        <v>14.61</v>
      </c>
      <c r="I2294" t="s">
        <v>44</v>
      </c>
      <c r="J2294">
        <v>12</v>
      </c>
      <c r="K2294" t="s">
        <v>51</v>
      </c>
      <c r="L2294">
        <v>4</v>
      </c>
      <c r="M2294" t="str">
        <f>VLOOKUP(D2294,State_Lookup!$A$2:$B$28,2,FALSE)</f>
        <v>Goias</v>
      </c>
    </row>
    <row r="2295" spans="1:13" x14ac:dyDescent="0.45">
      <c r="A2295" t="s">
        <v>2793</v>
      </c>
      <c r="B2295" t="s">
        <v>2783</v>
      </c>
      <c r="C2295" t="s">
        <v>2777</v>
      </c>
      <c r="D2295" t="s">
        <v>219</v>
      </c>
      <c r="E2295" t="s">
        <v>148</v>
      </c>
      <c r="F2295">
        <v>1</v>
      </c>
      <c r="G2295">
        <v>199.98</v>
      </c>
      <c r="H2295">
        <v>35.200000000000003</v>
      </c>
      <c r="I2295" t="s">
        <v>44</v>
      </c>
      <c r="J2295">
        <v>27</v>
      </c>
      <c r="K2295" t="s">
        <v>51</v>
      </c>
      <c r="L2295">
        <v>5</v>
      </c>
      <c r="M2295" t="str">
        <f>VLOOKUP(D2295,State_Lookup!$A$2:$B$28,2,FALSE)</f>
        <v>Rondonia</v>
      </c>
    </row>
    <row r="2296" spans="1:13" x14ac:dyDescent="0.45">
      <c r="A2296" t="s">
        <v>2794</v>
      </c>
      <c r="B2296" t="s">
        <v>2783</v>
      </c>
      <c r="C2296" t="s">
        <v>2777</v>
      </c>
      <c r="D2296" t="s">
        <v>16</v>
      </c>
      <c r="E2296" t="s">
        <v>148</v>
      </c>
      <c r="F2296">
        <v>1</v>
      </c>
      <c r="G2296">
        <v>166.99</v>
      </c>
      <c r="H2296">
        <v>13.72</v>
      </c>
      <c r="I2296" t="s">
        <v>44</v>
      </c>
      <c r="J2296">
        <v>2</v>
      </c>
      <c r="K2296" t="s">
        <v>51</v>
      </c>
      <c r="L2296">
        <v>4</v>
      </c>
      <c r="M2296" t="str">
        <f>VLOOKUP(D2296,State_Lookup!$A$2:$B$28,2,FALSE)</f>
        <v>Sao Paulo</v>
      </c>
    </row>
    <row r="2297" spans="1:13" x14ac:dyDescent="0.45">
      <c r="A2297" t="s">
        <v>2795</v>
      </c>
      <c r="B2297" t="s">
        <v>2796</v>
      </c>
      <c r="C2297" t="s">
        <v>2777</v>
      </c>
      <c r="D2297" t="s">
        <v>20</v>
      </c>
      <c r="E2297" t="s">
        <v>43</v>
      </c>
      <c r="F2297">
        <v>1</v>
      </c>
      <c r="G2297">
        <v>230</v>
      </c>
      <c r="H2297">
        <v>22.1</v>
      </c>
      <c r="I2297" t="s">
        <v>50</v>
      </c>
      <c r="J2297">
        <v>8</v>
      </c>
      <c r="K2297" t="s">
        <v>51</v>
      </c>
      <c r="L2297">
        <v>5</v>
      </c>
      <c r="M2297" t="str">
        <f>VLOOKUP(D2297,State_Lookup!$A$2:$B$28,2,FALSE)</f>
        <v>Parana</v>
      </c>
    </row>
    <row r="2298" spans="1:13" x14ac:dyDescent="0.45">
      <c r="A2298" t="s">
        <v>2797</v>
      </c>
      <c r="B2298" t="s">
        <v>2796</v>
      </c>
      <c r="C2298" t="s">
        <v>2777</v>
      </c>
      <c r="D2298" t="s">
        <v>21</v>
      </c>
      <c r="E2298" t="s">
        <v>2798</v>
      </c>
      <c r="F2298">
        <v>1</v>
      </c>
      <c r="G2298">
        <v>59.9</v>
      </c>
      <c r="H2298">
        <v>15.17</v>
      </c>
      <c r="I2298" t="s">
        <v>50</v>
      </c>
      <c r="J2298">
        <v>13</v>
      </c>
      <c r="K2298" t="s">
        <v>51</v>
      </c>
      <c r="L2298">
        <v>5</v>
      </c>
      <c r="M2298" t="str">
        <f>VLOOKUP(D2298,State_Lookup!$A$2:$B$28,2,FALSE)</f>
        <v>Santa Catarina</v>
      </c>
    </row>
    <row r="2299" spans="1:13" x14ac:dyDescent="0.45">
      <c r="A2299" t="s">
        <v>2799</v>
      </c>
      <c r="B2299" t="s">
        <v>2796</v>
      </c>
      <c r="C2299" t="s">
        <v>2777</v>
      </c>
      <c r="D2299" t="s">
        <v>20</v>
      </c>
      <c r="E2299" t="s">
        <v>66</v>
      </c>
      <c r="F2299">
        <v>1</v>
      </c>
      <c r="G2299">
        <v>27.99</v>
      </c>
      <c r="H2299">
        <v>15.1</v>
      </c>
      <c r="I2299" t="s">
        <v>50</v>
      </c>
      <c r="J2299">
        <v>34</v>
      </c>
      <c r="K2299" t="s">
        <v>143</v>
      </c>
      <c r="L2299">
        <v>1</v>
      </c>
      <c r="M2299" t="str">
        <f>VLOOKUP(D2299,State_Lookup!$A$2:$B$28,2,FALSE)</f>
        <v>Parana</v>
      </c>
    </row>
    <row r="2300" spans="1:13" x14ac:dyDescent="0.45">
      <c r="A2300" t="s">
        <v>2800</v>
      </c>
      <c r="B2300" t="s">
        <v>2796</v>
      </c>
      <c r="C2300" t="s">
        <v>2777</v>
      </c>
      <c r="D2300" t="s">
        <v>16</v>
      </c>
      <c r="E2300" t="s">
        <v>110</v>
      </c>
      <c r="F2300">
        <v>1</v>
      </c>
      <c r="G2300">
        <v>75.5</v>
      </c>
      <c r="H2300">
        <v>11.73</v>
      </c>
      <c r="I2300" t="s">
        <v>44</v>
      </c>
      <c r="J2300">
        <v>8</v>
      </c>
      <c r="K2300" t="s">
        <v>51</v>
      </c>
      <c r="L2300">
        <v>3</v>
      </c>
      <c r="M2300" t="str">
        <f>VLOOKUP(D2300,State_Lookup!$A$2:$B$28,2,FALSE)</f>
        <v>Sao Paulo</v>
      </c>
    </row>
    <row r="2301" spans="1:13" x14ac:dyDescent="0.45">
      <c r="A2301" t="s">
        <v>2801</v>
      </c>
      <c r="B2301" t="s">
        <v>2796</v>
      </c>
      <c r="C2301" t="s">
        <v>2777</v>
      </c>
      <c r="D2301" t="s">
        <v>16</v>
      </c>
      <c r="E2301" t="s">
        <v>49</v>
      </c>
      <c r="F2301">
        <v>1</v>
      </c>
      <c r="G2301">
        <v>93.49</v>
      </c>
      <c r="H2301">
        <v>14.05</v>
      </c>
      <c r="I2301" t="s">
        <v>44</v>
      </c>
      <c r="J2301">
        <v>5</v>
      </c>
      <c r="K2301" t="s">
        <v>51</v>
      </c>
      <c r="L2301">
        <v>5</v>
      </c>
      <c r="M2301" t="str">
        <f>VLOOKUP(D2301,State_Lookup!$A$2:$B$28,2,FALSE)</f>
        <v>Sao Paulo</v>
      </c>
    </row>
    <row r="2302" spans="1:13" x14ac:dyDescent="0.45">
      <c r="A2302" t="s">
        <v>2802</v>
      </c>
      <c r="B2302" t="s">
        <v>2796</v>
      </c>
      <c r="C2302" t="s">
        <v>2777</v>
      </c>
      <c r="D2302" t="s">
        <v>16</v>
      </c>
      <c r="E2302" t="s">
        <v>66</v>
      </c>
      <c r="F2302">
        <v>1</v>
      </c>
      <c r="G2302">
        <v>18.989999999999998</v>
      </c>
      <c r="H2302">
        <v>7.78</v>
      </c>
      <c r="I2302" t="s">
        <v>133</v>
      </c>
      <c r="J2302">
        <v>5</v>
      </c>
      <c r="K2302" t="s">
        <v>51</v>
      </c>
      <c r="L2302">
        <v>4</v>
      </c>
      <c r="M2302" t="str">
        <f>VLOOKUP(D2302,State_Lookup!$A$2:$B$28,2,FALSE)</f>
        <v>Sao Paulo</v>
      </c>
    </row>
    <row r="2303" spans="1:13" x14ac:dyDescent="0.45">
      <c r="A2303" t="s">
        <v>2803</v>
      </c>
      <c r="B2303" t="s">
        <v>2796</v>
      </c>
      <c r="C2303" t="s">
        <v>2777</v>
      </c>
      <c r="D2303" t="s">
        <v>16</v>
      </c>
      <c r="E2303" t="s">
        <v>220</v>
      </c>
      <c r="F2303">
        <v>3</v>
      </c>
      <c r="G2303">
        <v>236.97</v>
      </c>
      <c r="H2303">
        <v>64.679999999999993</v>
      </c>
      <c r="I2303" t="s">
        <v>50</v>
      </c>
      <c r="J2303">
        <v>27</v>
      </c>
      <c r="K2303" t="s">
        <v>51</v>
      </c>
      <c r="L2303">
        <v>4</v>
      </c>
      <c r="M2303" t="str">
        <f>VLOOKUP(D2303,State_Lookup!$A$2:$B$28,2,FALSE)</f>
        <v>Sao Paulo</v>
      </c>
    </row>
    <row r="2304" spans="1:13" x14ac:dyDescent="0.45">
      <c r="A2304" t="s">
        <v>2804</v>
      </c>
      <c r="B2304" t="s">
        <v>2796</v>
      </c>
      <c r="C2304" t="s">
        <v>2777</v>
      </c>
      <c r="D2304" t="s">
        <v>16</v>
      </c>
      <c r="E2304" t="s">
        <v>125</v>
      </c>
      <c r="F2304">
        <v>1</v>
      </c>
      <c r="G2304">
        <v>109.9</v>
      </c>
      <c r="H2304">
        <v>8.02</v>
      </c>
      <c r="I2304" t="s">
        <v>44</v>
      </c>
      <c r="J2304">
        <v>15</v>
      </c>
      <c r="K2304" t="s">
        <v>51</v>
      </c>
      <c r="L2304">
        <v>3</v>
      </c>
      <c r="M2304" t="str">
        <f>VLOOKUP(D2304,State_Lookup!$A$2:$B$28,2,FALSE)</f>
        <v>Sao Paulo</v>
      </c>
    </row>
    <row r="2305" spans="1:13" x14ac:dyDescent="0.45">
      <c r="A2305" t="s">
        <v>2805</v>
      </c>
      <c r="B2305" t="s">
        <v>2796</v>
      </c>
      <c r="C2305" t="s">
        <v>2777</v>
      </c>
      <c r="D2305" t="s">
        <v>16</v>
      </c>
      <c r="E2305" t="s">
        <v>66</v>
      </c>
      <c r="F2305">
        <v>1</v>
      </c>
      <c r="G2305">
        <v>49</v>
      </c>
      <c r="H2305">
        <v>9.27</v>
      </c>
      <c r="I2305" t="s">
        <v>50</v>
      </c>
      <c r="J2305">
        <v>4</v>
      </c>
      <c r="K2305" t="s">
        <v>51</v>
      </c>
      <c r="L2305">
        <v>5</v>
      </c>
      <c r="M2305" t="str">
        <f>VLOOKUP(D2305,State_Lookup!$A$2:$B$28,2,FALSE)</f>
        <v>Sao Paulo</v>
      </c>
    </row>
    <row r="2306" spans="1:13" x14ac:dyDescent="0.45">
      <c r="A2306" t="s">
        <v>2806</v>
      </c>
      <c r="B2306" t="s">
        <v>2796</v>
      </c>
      <c r="C2306" t="s">
        <v>2777</v>
      </c>
      <c r="D2306" t="s">
        <v>208</v>
      </c>
      <c r="E2306" t="s">
        <v>66</v>
      </c>
      <c r="F2306">
        <v>1</v>
      </c>
      <c r="G2306">
        <v>29.99</v>
      </c>
      <c r="H2306">
        <v>16.79</v>
      </c>
      <c r="I2306" t="s">
        <v>50</v>
      </c>
      <c r="J2306">
        <v>12</v>
      </c>
      <c r="K2306" t="s">
        <v>51</v>
      </c>
      <c r="L2306">
        <v>4</v>
      </c>
      <c r="M2306" t="str">
        <f>VLOOKUP(D2306,State_Lookup!$A$2:$B$28,2,FALSE)</f>
        <v>Mato Grosso</v>
      </c>
    </row>
    <row r="2307" spans="1:13" x14ac:dyDescent="0.45">
      <c r="A2307" t="s">
        <v>2807</v>
      </c>
      <c r="B2307" t="s">
        <v>2796</v>
      </c>
      <c r="C2307" t="s">
        <v>2777</v>
      </c>
      <c r="D2307" t="s">
        <v>19</v>
      </c>
      <c r="E2307" t="s">
        <v>79</v>
      </c>
      <c r="F2307">
        <v>1</v>
      </c>
      <c r="G2307">
        <v>149.99</v>
      </c>
      <c r="H2307">
        <v>15.81</v>
      </c>
      <c r="I2307" t="s">
        <v>108</v>
      </c>
      <c r="J2307">
        <v>16</v>
      </c>
      <c r="K2307" t="s">
        <v>51</v>
      </c>
      <c r="L2307">
        <v>5</v>
      </c>
      <c r="M2307" t="str">
        <f>VLOOKUP(D2307,State_Lookup!$A$2:$B$28,2,FALSE)</f>
        <v>Rio Grande do Sul</v>
      </c>
    </row>
    <row r="2308" spans="1:13" x14ac:dyDescent="0.45">
      <c r="A2308" t="s">
        <v>2808</v>
      </c>
      <c r="B2308" t="s">
        <v>2796</v>
      </c>
      <c r="C2308" t="s">
        <v>2777</v>
      </c>
      <c r="D2308" t="s">
        <v>25</v>
      </c>
      <c r="E2308" t="s">
        <v>79</v>
      </c>
      <c r="F2308">
        <v>1</v>
      </c>
      <c r="G2308">
        <v>69.989999999999995</v>
      </c>
      <c r="H2308">
        <v>14.24</v>
      </c>
      <c r="I2308" t="s">
        <v>44</v>
      </c>
      <c r="J2308">
        <v>19</v>
      </c>
      <c r="K2308" t="s">
        <v>51</v>
      </c>
      <c r="L2308">
        <v>5</v>
      </c>
      <c r="M2308" t="str">
        <f>VLOOKUP(D2308,State_Lookup!$A$2:$B$28,2,FALSE)</f>
        <v>Goias</v>
      </c>
    </row>
    <row r="2309" spans="1:13" x14ac:dyDescent="0.45">
      <c r="A2309" t="s">
        <v>2809</v>
      </c>
      <c r="B2309" t="s">
        <v>2796</v>
      </c>
      <c r="C2309" t="s">
        <v>2777</v>
      </c>
      <c r="D2309" t="s">
        <v>21</v>
      </c>
      <c r="E2309" t="s">
        <v>79</v>
      </c>
      <c r="F2309">
        <v>1</v>
      </c>
      <c r="G2309">
        <v>84.99</v>
      </c>
      <c r="H2309">
        <v>16.350000000000001</v>
      </c>
      <c r="I2309" t="s">
        <v>44</v>
      </c>
      <c r="J2309">
        <v>7</v>
      </c>
      <c r="K2309" t="s">
        <v>51</v>
      </c>
      <c r="L2309">
        <v>5</v>
      </c>
      <c r="M2309" t="str">
        <f>VLOOKUP(D2309,State_Lookup!$A$2:$B$28,2,FALSE)</f>
        <v>Santa Catarina</v>
      </c>
    </row>
    <row r="2310" spans="1:13" x14ac:dyDescent="0.45">
      <c r="A2310" t="s">
        <v>2810</v>
      </c>
      <c r="B2310" t="s">
        <v>2796</v>
      </c>
      <c r="C2310" t="s">
        <v>2777</v>
      </c>
      <c r="D2310" t="s">
        <v>22</v>
      </c>
      <c r="E2310" t="s">
        <v>157</v>
      </c>
      <c r="F2310">
        <v>1</v>
      </c>
      <c r="G2310">
        <v>299.99</v>
      </c>
      <c r="H2310">
        <v>19.670000000000002</v>
      </c>
      <c r="I2310" t="s">
        <v>44</v>
      </c>
      <c r="J2310">
        <v>12</v>
      </c>
      <c r="K2310" t="s">
        <v>51</v>
      </c>
      <c r="L2310">
        <v>5</v>
      </c>
      <c r="M2310" t="str">
        <f>VLOOKUP(D2310,State_Lookup!$A$2:$B$28,2,FALSE)</f>
        <v>Bahia</v>
      </c>
    </row>
    <row r="2311" spans="1:13" x14ac:dyDescent="0.45">
      <c r="A2311" t="s">
        <v>2811</v>
      </c>
      <c r="B2311" t="s">
        <v>2796</v>
      </c>
      <c r="C2311" t="s">
        <v>2777</v>
      </c>
      <c r="D2311" t="s">
        <v>141</v>
      </c>
      <c r="E2311" t="s">
        <v>244</v>
      </c>
      <c r="F2311">
        <v>1</v>
      </c>
      <c r="G2311">
        <v>79</v>
      </c>
      <c r="H2311">
        <v>38.1</v>
      </c>
      <c r="I2311" t="s">
        <v>44</v>
      </c>
      <c r="J2311">
        <v>23</v>
      </c>
      <c r="K2311" t="s">
        <v>51</v>
      </c>
      <c r="L2311">
        <v>4</v>
      </c>
      <c r="M2311" t="str">
        <f>VLOOKUP(D2311,State_Lookup!$A$2:$B$28,2,FALSE)</f>
        <v>Maranhao</v>
      </c>
    </row>
    <row r="2312" spans="1:13" x14ac:dyDescent="0.45">
      <c r="A2312" t="s">
        <v>2812</v>
      </c>
      <c r="B2312" t="s">
        <v>2813</v>
      </c>
      <c r="C2312" t="s">
        <v>2777</v>
      </c>
      <c r="D2312" t="s">
        <v>16</v>
      </c>
      <c r="E2312" t="s">
        <v>157</v>
      </c>
      <c r="F2312">
        <v>1</v>
      </c>
      <c r="G2312">
        <v>199</v>
      </c>
      <c r="H2312">
        <v>12.89</v>
      </c>
      <c r="I2312" t="s">
        <v>44</v>
      </c>
      <c r="J2312">
        <v>11</v>
      </c>
      <c r="K2312" t="s">
        <v>51</v>
      </c>
      <c r="L2312">
        <v>5</v>
      </c>
      <c r="M2312" t="str">
        <f>VLOOKUP(D2312,State_Lookup!$A$2:$B$28,2,FALSE)</f>
        <v>Sao Paulo</v>
      </c>
    </row>
    <row r="2313" spans="1:13" x14ac:dyDescent="0.45">
      <c r="A2313" t="s">
        <v>2814</v>
      </c>
      <c r="B2313" t="s">
        <v>2813</v>
      </c>
      <c r="C2313" t="s">
        <v>2777</v>
      </c>
      <c r="D2313" t="s">
        <v>16</v>
      </c>
      <c r="E2313" t="s">
        <v>53</v>
      </c>
      <c r="F2313">
        <v>1</v>
      </c>
      <c r="G2313">
        <v>389.9</v>
      </c>
      <c r="H2313">
        <v>11.54</v>
      </c>
      <c r="I2313" t="s">
        <v>44</v>
      </c>
      <c r="J2313">
        <v>4</v>
      </c>
      <c r="K2313" t="s">
        <v>51</v>
      </c>
      <c r="L2313">
        <v>5</v>
      </c>
      <c r="M2313" t="str">
        <f>VLOOKUP(D2313,State_Lookup!$A$2:$B$28,2,FALSE)</f>
        <v>Sao Paulo</v>
      </c>
    </row>
    <row r="2314" spans="1:13" x14ac:dyDescent="0.45">
      <c r="A2314" t="s">
        <v>2815</v>
      </c>
      <c r="B2314" t="s">
        <v>2813</v>
      </c>
      <c r="C2314" t="s">
        <v>2777</v>
      </c>
      <c r="D2314" t="s">
        <v>16</v>
      </c>
      <c r="E2314" t="s">
        <v>43</v>
      </c>
      <c r="F2314">
        <v>1</v>
      </c>
      <c r="G2314">
        <v>14.9</v>
      </c>
      <c r="H2314">
        <v>15.1</v>
      </c>
      <c r="I2314" t="s">
        <v>44</v>
      </c>
      <c r="J2314">
        <v>14</v>
      </c>
      <c r="K2314" t="s">
        <v>51</v>
      </c>
      <c r="L2314">
        <v>5</v>
      </c>
      <c r="M2314" t="str">
        <f>VLOOKUP(D2314,State_Lookup!$A$2:$B$28,2,FALSE)</f>
        <v>Sao Paulo</v>
      </c>
    </row>
    <row r="2315" spans="1:13" x14ac:dyDescent="0.45">
      <c r="A2315" t="s">
        <v>2816</v>
      </c>
      <c r="B2315" t="s">
        <v>2813</v>
      </c>
      <c r="C2315" t="s">
        <v>2777</v>
      </c>
      <c r="D2315" t="s">
        <v>16</v>
      </c>
      <c r="E2315" t="s">
        <v>110</v>
      </c>
      <c r="F2315">
        <v>1</v>
      </c>
      <c r="G2315">
        <v>179.9</v>
      </c>
      <c r="H2315">
        <v>15.46</v>
      </c>
      <c r="I2315" t="s">
        <v>50</v>
      </c>
      <c r="J2315">
        <v>7</v>
      </c>
      <c r="K2315" t="s">
        <v>51</v>
      </c>
      <c r="L2315">
        <v>5</v>
      </c>
      <c r="M2315" t="str">
        <f>VLOOKUP(D2315,State_Lookup!$A$2:$B$28,2,FALSE)</f>
        <v>Sao Paulo</v>
      </c>
    </row>
    <row r="2316" spans="1:13" x14ac:dyDescent="0.45">
      <c r="A2316" t="s">
        <v>2817</v>
      </c>
      <c r="B2316" t="s">
        <v>2813</v>
      </c>
      <c r="C2316" t="s">
        <v>2777</v>
      </c>
      <c r="D2316" t="s">
        <v>18</v>
      </c>
      <c r="E2316" t="s">
        <v>157</v>
      </c>
      <c r="F2316">
        <v>1</v>
      </c>
      <c r="G2316">
        <v>129.9</v>
      </c>
      <c r="H2316">
        <v>15.66</v>
      </c>
      <c r="I2316" t="s">
        <v>50</v>
      </c>
      <c r="K2316" t="s">
        <v>45</v>
      </c>
      <c r="L2316">
        <v>1</v>
      </c>
      <c r="M2316" t="str">
        <f>VLOOKUP(D2316,State_Lookup!$A$2:$B$28,2,FALSE)</f>
        <v>Minas Gerais</v>
      </c>
    </row>
    <row r="2317" spans="1:13" x14ac:dyDescent="0.45">
      <c r="A2317" t="s">
        <v>2818</v>
      </c>
      <c r="B2317" t="s">
        <v>2813</v>
      </c>
      <c r="C2317" t="s">
        <v>2777</v>
      </c>
      <c r="D2317" t="s">
        <v>16</v>
      </c>
      <c r="E2317" t="s">
        <v>110</v>
      </c>
      <c r="F2317">
        <v>1</v>
      </c>
      <c r="G2317">
        <v>137.80000000000001</v>
      </c>
      <c r="H2317">
        <v>25.8</v>
      </c>
      <c r="I2317" t="s">
        <v>44</v>
      </c>
      <c r="J2317">
        <v>18</v>
      </c>
      <c r="K2317" t="s">
        <v>51</v>
      </c>
      <c r="L2317">
        <v>4</v>
      </c>
      <c r="M2317" t="str">
        <f>VLOOKUP(D2317,State_Lookup!$A$2:$B$28,2,FALSE)</f>
        <v>Sao Paulo</v>
      </c>
    </row>
    <row r="2318" spans="1:13" x14ac:dyDescent="0.45">
      <c r="A2318" t="s">
        <v>2819</v>
      </c>
      <c r="B2318" t="s">
        <v>2813</v>
      </c>
      <c r="C2318" t="s">
        <v>2777</v>
      </c>
      <c r="D2318" t="s">
        <v>16</v>
      </c>
      <c r="E2318" t="s">
        <v>66</v>
      </c>
      <c r="F2318">
        <v>1</v>
      </c>
      <c r="G2318">
        <v>49.99</v>
      </c>
      <c r="H2318">
        <v>7.78</v>
      </c>
      <c r="I2318" t="s">
        <v>44</v>
      </c>
      <c r="J2318">
        <v>6</v>
      </c>
      <c r="K2318" t="s">
        <v>51</v>
      </c>
      <c r="L2318">
        <v>5</v>
      </c>
      <c r="M2318" t="str">
        <f>VLOOKUP(D2318,State_Lookup!$A$2:$B$28,2,FALSE)</f>
        <v>Sao Paulo</v>
      </c>
    </row>
    <row r="2319" spans="1:13" x14ac:dyDescent="0.45">
      <c r="A2319" t="s">
        <v>2820</v>
      </c>
      <c r="B2319" t="s">
        <v>2813</v>
      </c>
      <c r="C2319" t="s">
        <v>2777</v>
      </c>
      <c r="D2319" t="s">
        <v>21</v>
      </c>
      <c r="E2319" t="s">
        <v>79</v>
      </c>
      <c r="F2319">
        <v>1</v>
      </c>
      <c r="G2319">
        <v>16.04</v>
      </c>
      <c r="H2319">
        <v>15.1</v>
      </c>
      <c r="I2319" t="s">
        <v>133</v>
      </c>
      <c r="J2319">
        <v>29</v>
      </c>
      <c r="K2319" t="s">
        <v>51</v>
      </c>
      <c r="L2319">
        <v>4</v>
      </c>
      <c r="M2319" t="str">
        <f>VLOOKUP(D2319,State_Lookup!$A$2:$B$28,2,FALSE)</f>
        <v>Santa Catarina</v>
      </c>
    </row>
    <row r="2320" spans="1:13" x14ac:dyDescent="0.45">
      <c r="A2320" t="s">
        <v>2821</v>
      </c>
      <c r="B2320" t="s">
        <v>2813</v>
      </c>
      <c r="C2320" t="s">
        <v>2777</v>
      </c>
      <c r="D2320" t="s">
        <v>122</v>
      </c>
      <c r="E2320" t="s">
        <v>107</v>
      </c>
      <c r="F2320">
        <v>1</v>
      </c>
      <c r="G2320">
        <v>59.47</v>
      </c>
      <c r="H2320">
        <v>26.96</v>
      </c>
      <c r="I2320" t="s">
        <v>50</v>
      </c>
      <c r="J2320">
        <v>53</v>
      </c>
      <c r="K2320" t="s">
        <v>143</v>
      </c>
      <c r="L2320">
        <v>1</v>
      </c>
      <c r="M2320" t="str">
        <f>VLOOKUP(D2320,State_Lookup!$A$2:$B$28,2,FALSE)</f>
        <v>Para</v>
      </c>
    </row>
    <row r="2321" spans="1:13" x14ac:dyDescent="0.45">
      <c r="A2321" t="s">
        <v>2822</v>
      </c>
      <c r="B2321" t="s">
        <v>2813</v>
      </c>
      <c r="C2321" t="s">
        <v>2777</v>
      </c>
      <c r="D2321" t="s">
        <v>16</v>
      </c>
      <c r="E2321" t="s">
        <v>110</v>
      </c>
      <c r="F2321">
        <v>1</v>
      </c>
      <c r="G2321">
        <v>99.9</v>
      </c>
      <c r="H2321">
        <v>12.4</v>
      </c>
      <c r="I2321" t="s">
        <v>44</v>
      </c>
      <c r="J2321">
        <v>4</v>
      </c>
      <c r="K2321" t="s">
        <v>51</v>
      </c>
      <c r="L2321">
        <v>5</v>
      </c>
      <c r="M2321" t="str">
        <f>VLOOKUP(D2321,State_Lookup!$A$2:$B$28,2,FALSE)</f>
        <v>Sao Paulo</v>
      </c>
    </row>
    <row r="2322" spans="1:13" x14ac:dyDescent="0.45">
      <c r="A2322" t="s">
        <v>2823</v>
      </c>
      <c r="B2322" t="s">
        <v>2813</v>
      </c>
      <c r="C2322" t="s">
        <v>2777</v>
      </c>
      <c r="D2322" t="s">
        <v>141</v>
      </c>
      <c r="E2322" t="s">
        <v>157</v>
      </c>
      <c r="F2322">
        <v>1</v>
      </c>
      <c r="G2322">
        <v>56</v>
      </c>
      <c r="H2322">
        <v>34.19</v>
      </c>
      <c r="I2322" t="s">
        <v>44</v>
      </c>
      <c r="J2322">
        <v>12</v>
      </c>
      <c r="K2322" t="s">
        <v>51</v>
      </c>
      <c r="L2322">
        <v>5</v>
      </c>
      <c r="M2322" t="str">
        <f>VLOOKUP(D2322,State_Lookup!$A$2:$B$28,2,FALSE)</f>
        <v>Maranhao</v>
      </c>
    </row>
    <row r="2323" spans="1:13" x14ac:dyDescent="0.45">
      <c r="A2323" t="s">
        <v>2824</v>
      </c>
      <c r="B2323" t="s">
        <v>2813</v>
      </c>
      <c r="C2323" t="s">
        <v>2777</v>
      </c>
      <c r="D2323" t="s">
        <v>194</v>
      </c>
      <c r="E2323" t="s">
        <v>125</v>
      </c>
      <c r="F2323">
        <v>1</v>
      </c>
      <c r="G2323">
        <v>129.9</v>
      </c>
      <c r="H2323">
        <v>34.270000000000003</v>
      </c>
      <c r="I2323" t="s">
        <v>50</v>
      </c>
      <c r="J2323">
        <v>17</v>
      </c>
      <c r="K2323" t="s">
        <v>51</v>
      </c>
      <c r="L2323">
        <v>5</v>
      </c>
      <c r="M2323" t="str">
        <f>VLOOKUP(D2323,State_Lookup!$A$2:$B$28,2,FALSE)</f>
        <v>Mato Grosso do Sul</v>
      </c>
    </row>
    <row r="2324" spans="1:13" x14ac:dyDescent="0.45">
      <c r="A2324" t="s">
        <v>2825</v>
      </c>
      <c r="B2324" t="s">
        <v>2813</v>
      </c>
      <c r="C2324" t="s">
        <v>2777</v>
      </c>
      <c r="D2324" t="s">
        <v>19</v>
      </c>
      <c r="E2324" t="s">
        <v>79</v>
      </c>
      <c r="F2324">
        <v>1</v>
      </c>
      <c r="G2324">
        <v>81.900000000000006</v>
      </c>
      <c r="H2324">
        <v>16.82</v>
      </c>
      <c r="I2324" t="s">
        <v>44</v>
      </c>
      <c r="J2324">
        <v>16</v>
      </c>
      <c r="K2324" t="s">
        <v>51</v>
      </c>
      <c r="L2324">
        <v>4</v>
      </c>
      <c r="M2324" t="str">
        <f>VLOOKUP(D2324,State_Lookup!$A$2:$B$28,2,FALSE)</f>
        <v>Rio Grande do Sul</v>
      </c>
    </row>
    <row r="2325" spans="1:13" x14ac:dyDescent="0.45">
      <c r="A2325" t="s">
        <v>2826</v>
      </c>
      <c r="B2325" t="s">
        <v>2827</v>
      </c>
      <c r="C2325" t="s">
        <v>2777</v>
      </c>
      <c r="D2325" t="s">
        <v>17</v>
      </c>
      <c r="E2325" t="s">
        <v>244</v>
      </c>
      <c r="F2325">
        <v>1</v>
      </c>
      <c r="G2325">
        <v>79</v>
      </c>
      <c r="H2325">
        <v>17.8</v>
      </c>
      <c r="I2325" t="s">
        <v>44</v>
      </c>
      <c r="J2325">
        <v>29</v>
      </c>
      <c r="K2325" t="s">
        <v>51</v>
      </c>
      <c r="L2325">
        <v>5</v>
      </c>
      <c r="M2325" t="str">
        <f>VLOOKUP(D2325,State_Lookup!$A$2:$B$28,2,FALSE)</f>
        <v>Rio de Janeiro</v>
      </c>
    </row>
    <row r="2326" spans="1:13" x14ac:dyDescent="0.45">
      <c r="A2326" t="s">
        <v>2828</v>
      </c>
      <c r="B2326" t="s">
        <v>2827</v>
      </c>
      <c r="C2326" t="s">
        <v>2777</v>
      </c>
      <c r="D2326" t="s">
        <v>22</v>
      </c>
      <c r="E2326" t="s">
        <v>110</v>
      </c>
      <c r="F2326">
        <v>2</v>
      </c>
      <c r="G2326">
        <v>79.98</v>
      </c>
      <c r="H2326">
        <v>33.58</v>
      </c>
      <c r="I2326" t="s">
        <v>44</v>
      </c>
      <c r="J2326">
        <v>15</v>
      </c>
      <c r="K2326" t="s">
        <v>51</v>
      </c>
      <c r="L2326">
        <v>3</v>
      </c>
      <c r="M2326" t="str">
        <f>VLOOKUP(D2326,State_Lookup!$A$2:$B$28,2,FALSE)</f>
        <v>Bahia</v>
      </c>
    </row>
    <row r="2327" spans="1:13" x14ac:dyDescent="0.45">
      <c r="A2327" t="s">
        <v>2829</v>
      </c>
      <c r="B2327" t="s">
        <v>2827</v>
      </c>
      <c r="C2327" t="s">
        <v>2777</v>
      </c>
      <c r="D2327" t="s">
        <v>20</v>
      </c>
      <c r="E2327" t="s">
        <v>148</v>
      </c>
      <c r="F2327">
        <v>1</v>
      </c>
      <c r="G2327">
        <v>238</v>
      </c>
      <c r="H2327">
        <v>17.920000000000002</v>
      </c>
      <c r="I2327" t="s">
        <v>44</v>
      </c>
      <c r="J2327">
        <v>17</v>
      </c>
      <c r="K2327" t="s">
        <v>51</v>
      </c>
      <c r="L2327">
        <v>5</v>
      </c>
      <c r="M2327" t="str">
        <f>VLOOKUP(D2327,State_Lookup!$A$2:$B$28,2,FALSE)</f>
        <v>Parana</v>
      </c>
    </row>
    <row r="2328" spans="1:13" x14ac:dyDescent="0.45">
      <c r="A2328" t="s">
        <v>2830</v>
      </c>
      <c r="B2328" t="s">
        <v>2827</v>
      </c>
      <c r="C2328" t="s">
        <v>2777</v>
      </c>
      <c r="D2328" t="s">
        <v>656</v>
      </c>
      <c r="E2328" t="s">
        <v>157</v>
      </c>
      <c r="F2328">
        <v>1</v>
      </c>
      <c r="G2328">
        <v>219</v>
      </c>
      <c r="H2328">
        <v>35.33</v>
      </c>
      <c r="I2328" t="s">
        <v>50</v>
      </c>
      <c r="J2328">
        <v>31</v>
      </c>
      <c r="K2328" t="s">
        <v>51</v>
      </c>
      <c r="L2328">
        <v>4</v>
      </c>
      <c r="M2328" t="str">
        <f>VLOOKUP(D2328,State_Lookup!$A$2:$B$28,2,FALSE)</f>
        <v>Amapa</v>
      </c>
    </row>
    <row r="2329" spans="1:13" x14ac:dyDescent="0.45">
      <c r="A2329" t="s">
        <v>2831</v>
      </c>
      <c r="B2329" t="s">
        <v>2827</v>
      </c>
      <c r="C2329" t="s">
        <v>2777</v>
      </c>
      <c r="D2329" t="s">
        <v>16</v>
      </c>
      <c r="E2329" t="s">
        <v>132</v>
      </c>
      <c r="F2329">
        <v>1</v>
      </c>
      <c r="G2329">
        <v>34.299999999999997</v>
      </c>
      <c r="H2329">
        <v>8.11</v>
      </c>
      <c r="I2329" t="s">
        <v>108</v>
      </c>
      <c r="J2329">
        <v>4</v>
      </c>
      <c r="K2329" t="s">
        <v>51</v>
      </c>
      <c r="L2329">
        <v>5</v>
      </c>
      <c r="M2329" t="str">
        <f>VLOOKUP(D2329,State_Lookup!$A$2:$B$28,2,FALSE)</f>
        <v>Sao Paulo</v>
      </c>
    </row>
    <row r="2330" spans="1:13" x14ac:dyDescent="0.45">
      <c r="A2330" t="s">
        <v>2832</v>
      </c>
      <c r="B2330" t="s">
        <v>2827</v>
      </c>
      <c r="C2330" t="s">
        <v>2777</v>
      </c>
      <c r="D2330" t="s">
        <v>19</v>
      </c>
      <c r="E2330" t="s">
        <v>66</v>
      </c>
      <c r="F2330">
        <v>1</v>
      </c>
      <c r="G2330">
        <v>24.99</v>
      </c>
      <c r="H2330">
        <v>15.1</v>
      </c>
      <c r="I2330" t="s">
        <v>44</v>
      </c>
      <c r="J2330">
        <v>14</v>
      </c>
      <c r="K2330" t="s">
        <v>51</v>
      </c>
      <c r="L2330">
        <v>4</v>
      </c>
      <c r="M2330" t="str">
        <f>VLOOKUP(D2330,State_Lookup!$A$2:$B$28,2,FALSE)</f>
        <v>Rio Grande do Sul</v>
      </c>
    </row>
    <row r="2331" spans="1:13" x14ac:dyDescent="0.45">
      <c r="A2331" t="s">
        <v>2833</v>
      </c>
      <c r="B2331" t="s">
        <v>2827</v>
      </c>
      <c r="C2331" t="s">
        <v>2777</v>
      </c>
      <c r="D2331" t="s">
        <v>20</v>
      </c>
      <c r="E2331" t="s">
        <v>49</v>
      </c>
      <c r="F2331">
        <v>2</v>
      </c>
      <c r="G2331">
        <v>90</v>
      </c>
      <c r="H2331">
        <v>32.22</v>
      </c>
      <c r="I2331" t="s">
        <v>44</v>
      </c>
      <c r="J2331">
        <v>12</v>
      </c>
      <c r="K2331" t="s">
        <v>51</v>
      </c>
      <c r="L2331">
        <v>2</v>
      </c>
      <c r="M2331" t="str">
        <f>VLOOKUP(D2331,State_Lookup!$A$2:$B$28,2,FALSE)</f>
        <v>Parana</v>
      </c>
    </row>
    <row r="2332" spans="1:13" x14ac:dyDescent="0.45">
      <c r="A2332" t="s">
        <v>2834</v>
      </c>
      <c r="B2332" t="s">
        <v>2827</v>
      </c>
      <c r="C2332" t="s">
        <v>2777</v>
      </c>
      <c r="D2332" t="s">
        <v>16</v>
      </c>
      <c r="E2332" t="s">
        <v>79</v>
      </c>
      <c r="F2332">
        <v>1</v>
      </c>
      <c r="G2332">
        <v>39.9</v>
      </c>
      <c r="H2332">
        <v>7.78</v>
      </c>
      <c r="I2332" t="s">
        <v>44</v>
      </c>
      <c r="J2332">
        <v>6</v>
      </c>
      <c r="K2332" t="s">
        <v>51</v>
      </c>
      <c r="L2332">
        <v>5</v>
      </c>
      <c r="M2332" t="str">
        <f>VLOOKUP(D2332,State_Lookup!$A$2:$B$28,2,FALSE)</f>
        <v>Sao Paulo</v>
      </c>
    </row>
    <row r="2333" spans="1:13" x14ac:dyDescent="0.45">
      <c r="A2333" t="s">
        <v>2835</v>
      </c>
      <c r="B2333" t="s">
        <v>2827</v>
      </c>
      <c r="C2333" t="s">
        <v>2777</v>
      </c>
      <c r="D2333" t="s">
        <v>17</v>
      </c>
      <c r="E2333" t="s">
        <v>79</v>
      </c>
      <c r="F2333">
        <v>1</v>
      </c>
      <c r="G2333">
        <v>259.89999999999998</v>
      </c>
      <c r="H2333">
        <v>17.260000000000002</v>
      </c>
      <c r="I2333" t="s">
        <v>44</v>
      </c>
      <c r="J2333">
        <v>28</v>
      </c>
      <c r="K2333" t="s">
        <v>51</v>
      </c>
      <c r="L2333">
        <v>5</v>
      </c>
      <c r="M2333" t="str">
        <f>VLOOKUP(D2333,State_Lookup!$A$2:$B$28,2,FALSE)</f>
        <v>Rio de Janeiro</v>
      </c>
    </row>
    <row r="2334" spans="1:13" x14ac:dyDescent="0.45">
      <c r="A2334" t="s">
        <v>2836</v>
      </c>
      <c r="B2334" t="s">
        <v>2827</v>
      </c>
      <c r="C2334" t="s">
        <v>2777</v>
      </c>
      <c r="D2334" t="s">
        <v>128</v>
      </c>
      <c r="E2334" t="s">
        <v>148</v>
      </c>
      <c r="F2334">
        <v>1</v>
      </c>
      <c r="G2334">
        <v>129.99</v>
      </c>
      <c r="H2334">
        <v>29.31</v>
      </c>
      <c r="I2334" t="s">
        <v>44</v>
      </c>
      <c r="J2334">
        <v>17</v>
      </c>
      <c r="K2334" t="s">
        <v>51</v>
      </c>
      <c r="L2334">
        <v>3</v>
      </c>
      <c r="M2334" t="str">
        <f>VLOOKUP(D2334,State_Lookup!$A$2:$B$28,2,FALSE)</f>
        <v>Ceara</v>
      </c>
    </row>
    <row r="2335" spans="1:13" x14ac:dyDescent="0.45">
      <c r="A2335" t="s">
        <v>2837</v>
      </c>
      <c r="B2335" t="s">
        <v>2838</v>
      </c>
      <c r="C2335" t="s">
        <v>2777</v>
      </c>
      <c r="D2335" t="s">
        <v>16</v>
      </c>
      <c r="E2335" t="s">
        <v>110</v>
      </c>
      <c r="F2335">
        <v>1</v>
      </c>
      <c r="G2335">
        <v>78</v>
      </c>
      <c r="H2335">
        <v>9.36</v>
      </c>
      <c r="I2335" t="s">
        <v>44</v>
      </c>
      <c r="J2335">
        <v>5</v>
      </c>
      <c r="K2335" t="s">
        <v>51</v>
      </c>
      <c r="L2335">
        <v>5</v>
      </c>
      <c r="M2335" t="str">
        <f>VLOOKUP(D2335,State_Lookup!$A$2:$B$28,2,FALSE)</f>
        <v>Sao Paulo</v>
      </c>
    </row>
    <row r="2336" spans="1:13" x14ac:dyDescent="0.45">
      <c r="A2336" t="s">
        <v>2839</v>
      </c>
      <c r="B2336" t="s">
        <v>2838</v>
      </c>
      <c r="C2336" t="s">
        <v>2777</v>
      </c>
      <c r="D2336" t="s">
        <v>18</v>
      </c>
      <c r="E2336" t="s">
        <v>220</v>
      </c>
      <c r="F2336">
        <v>1</v>
      </c>
      <c r="G2336">
        <v>139.99</v>
      </c>
      <c r="H2336">
        <v>17</v>
      </c>
      <c r="I2336" t="s">
        <v>44</v>
      </c>
      <c r="J2336">
        <v>42</v>
      </c>
      <c r="K2336" t="s">
        <v>51</v>
      </c>
      <c r="L2336">
        <v>1</v>
      </c>
      <c r="M2336" t="str">
        <f>VLOOKUP(D2336,State_Lookup!$A$2:$B$28,2,FALSE)</f>
        <v>Minas Gerais</v>
      </c>
    </row>
    <row r="2337" spans="1:13" x14ac:dyDescent="0.45">
      <c r="A2337" t="s">
        <v>2840</v>
      </c>
      <c r="B2337" t="s">
        <v>2838</v>
      </c>
      <c r="C2337" t="s">
        <v>2777</v>
      </c>
      <c r="D2337" t="s">
        <v>16</v>
      </c>
      <c r="E2337" t="s">
        <v>49</v>
      </c>
      <c r="F2337">
        <v>1</v>
      </c>
      <c r="G2337">
        <v>39.6</v>
      </c>
      <c r="H2337">
        <v>7.78</v>
      </c>
      <c r="I2337" t="s">
        <v>44</v>
      </c>
      <c r="J2337">
        <v>3</v>
      </c>
      <c r="K2337" t="s">
        <v>51</v>
      </c>
      <c r="L2337">
        <v>3</v>
      </c>
      <c r="M2337" t="str">
        <f>VLOOKUP(D2337,State_Lookup!$A$2:$B$28,2,FALSE)</f>
        <v>Sao Paulo</v>
      </c>
    </row>
    <row r="2338" spans="1:13" x14ac:dyDescent="0.45">
      <c r="A2338" t="s">
        <v>2841</v>
      </c>
      <c r="B2338" t="s">
        <v>2838</v>
      </c>
      <c r="C2338" t="s">
        <v>2777</v>
      </c>
      <c r="D2338" t="s">
        <v>18</v>
      </c>
      <c r="E2338" t="s">
        <v>43</v>
      </c>
      <c r="F2338">
        <v>1</v>
      </c>
      <c r="G2338">
        <v>69.900000000000006</v>
      </c>
      <c r="H2338">
        <v>26.11</v>
      </c>
      <c r="I2338" t="s">
        <v>50</v>
      </c>
      <c r="J2338">
        <v>9</v>
      </c>
      <c r="K2338" t="s">
        <v>51</v>
      </c>
      <c r="L2338">
        <v>5</v>
      </c>
      <c r="M2338" t="str">
        <f>VLOOKUP(D2338,State_Lookup!$A$2:$B$28,2,FALSE)</f>
        <v>Minas Gerais</v>
      </c>
    </row>
    <row r="2339" spans="1:13" x14ac:dyDescent="0.45">
      <c r="A2339" t="s">
        <v>2842</v>
      </c>
      <c r="B2339" t="s">
        <v>2838</v>
      </c>
      <c r="C2339" t="s">
        <v>2777</v>
      </c>
      <c r="D2339" t="s">
        <v>20</v>
      </c>
      <c r="E2339" t="s">
        <v>173</v>
      </c>
      <c r="F2339">
        <v>1</v>
      </c>
      <c r="G2339">
        <v>19.95</v>
      </c>
      <c r="H2339">
        <v>15.1</v>
      </c>
      <c r="I2339" t="s">
        <v>44</v>
      </c>
      <c r="J2339">
        <v>17</v>
      </c>
      <c r="K2339" t="s">
        <v>51</v>
      </c>
      <c r="L2339">
        <v>5</v>
      </c>
      <c r="M2339" t="str">
        <f>VLOOKUP(D2339,State_Lookup!$A$2:$B$28,2,FALSE)</f>
        <v>Parana</v>
      </c>
    </row>
    <row r="2340" spans="1:13" x14ac:dyDescent="0.45">
      <c r="A2340" t="s">
        <v>2843</v>
      </c>
      <c r="B2340" t="s">
        <v>2838</v>
      </c>
      <c r="C2340" t="s">
        <v>2777</v>
      </c>
      <c r="D2340" t="s">
        <v>22</v>
      </c>
      <c r="E2340" t="s">
        <v>49</v>
      </c>
      <c r="F2340">
        <v>1</v>
      </c>
      <c r="G2340">
        <v>17.899999999999999</v>
      </c>
      <c r="H2340">
        <v>16.79</v>
      </c>
      <c r="I2340" t="s">
        <v>50</v>
      </c>
      <c r="J2340">
        <v>12</v>
      </c>
      <c r="K2340" t="s">
        <v>51</v>
      </c>
      <c r="L2340">
        <v>5</v>
      </c>
      <c r="M2340" t="str">
        <f>VLOOKUP(D2340,State_Lookup!$A$2:$B$28,2,FALSE)</f>
        <v>Bahia</v>
      </c>
    </row>
    <row r="2341" spans="1:13" x14ac:dyDescent="0.45">
      <c r="A2341" t="s">
        <v>2844</v>
      </c>
      <c r="B2341" t="s">
        <v>2838</v>
      </c>
      <c r="C2341" t="s">
        <v>2777</v>
      </c>
      <c r="D2341" t="s">
        <v>21</v>
      </c>
      <c r="E2341" t="s">
        <v>53</v>
      </c>
      <c r="F2341">
        <v>1</v>
      </c>
      <c r="G2341">
        <v>149.9</v>
      </c>
      <c r="H2341">
        <v>18.350000000000001</v>
      </c>
      <c r="I2341" t="s">
        <v>44</v>
      </c>
      <c r="J2341">
        <v>27</v>
      </c>
      <c r="K2341" t="s">
        <v>51</v>
      </c>
      <c r="L2341">
        <v>1</v>
      </c>
      <c r="M2341" t="str">
        <f>VLOOKUP(D2341,State_Lookup!$A$2:$B$28,2,FALSE)</f>
        <v>Santa Catarina</v>
      </c>
    </row>
    <row r="2342" spans="1:13" x14ac:dyDescent="0.45">
      <c r="A2342" t="s">
        <v>2845</v>
      </c>
      <c r="B2342" t="s">
        <v>2838</v>
      </c>
      <c r="C2342" t="s">
        <v>2777</v>
      </c>
      <c r="D2342" t="s">
        <v>16</v>
      </c>
      <c r="E2342" t="s">
        <v>110</v>
      </c>
      <c r="F2342">
        <v>1</v>
      </c>
      <c r="G2342">
        <v>69.2</v>
      </c>
      <c r="H2342">
        <v>20.97</v>
      </c>
      <c r="I2342" t="s">
        <v>44</v>
      </c>
      <c r="J2342">
        <v>23</v>
      </c>
      <c r="K2342" t="s">
        <v>51</v>
      </c>
      <c r="L2342">
        <v>4</v>
      </c>
      <c r="M2342" t="str">
        <f>VLOOKUP(D2342,State_Lookup!$A$2:$B$28,2,FALSE)</f>
        <v>Sao Paulo</v>
      </c>
    </row>
    <row r="2343" spans="1:13" x14ac:dyDescent="0.45">
      <c r="A2343" t="s">
        <v>2846</v>
      </c>
      <c r="B2343" t="s">
        <v>2838</v>
      </c>
      <c r="C2343" t="s">
        <v>2777</v>
      </c>
      <c r="D2343" t="s">
        <v>18</v>
      </c>
      <c r="E2343" t="s">
        <v>53</v>
      </c>
      <c r="F2343">
        <v>1</v>
      </c>
      <c r="G2343">
        <v>64.900000000000006</v>
      </c>
      <c r="H2343">
        <v>16.89</v>
      </c>
      <c r="I2343" t="s">
        <v>50</v>
      </c>
      <c r="J2343">
        <v>20</v>
      </c>
      <c r="K2343" t="s">
        <v>51</v>
      </c>
      <c r="L2343">
        <v>3</v>
      </c>
      <c r="M2343" t="str">
        <f>VLOOKUP(D2343,State_Lookup!$A$2:$B$28,2,FALSE)</f>
        <v>Minas Gerais</v>
      </c>
    </row>
    <row r="2344" spans="1:13" x14ac:dyDescent="0.45">
      <c r="A2344" t="s">
        <v>2847</v>
      </c>
      <c r="B2344" t="s">
        <v>2838</v>
      </c>
      <c r="C2344" t="s">
        <v>2777</v>
      </c>
      <c r="D2344" t="s">
        <v>16</v>
      </c>
      <c r="E2344" t="s">
        <v>142</v>
      </c>
      <c r="F2344">
        <v>1</v>
      </c>
      <c r="G2344">
        <v>89.18</v>
      </c>
      <c r="H2344">
        <v>12.96</v>
      </c>
      <c r="I2344" t="s">
        <v>50</v>
      </c>
      <c r="J2344">
        <v>10</v>
      </c>
      <c r="K2344" t="s">
        <v>51</v>
      </c>
      <c r="L2344">
        <v>1</v>
      </c>
      <c r="M2344" t="str">
        <f>VLOOKUP(D2344,State_Lookup!$A$2:$B$28,2,FALSE)</f>
        <v>Sao Paulo</v>
      </c>
    </row>
    <row r="2345" spans="1:13" x14ac:dyDescent="0.45">
      <c r="A2345" t="s">
        <v>2848</v>
      </c>
      <c r="B2345" t="s">
        <v>2849</v>
      </c>
      <c r="C2345" t="s">
        <v>2777</v>
      </c>
      <c r="D2345" t="s">
        <v>17</v>
      </c>
      <c r="E2345" t="s">
        <v>125</v>
      </c>
      <c r="F2345">
        <v>1</v>
      </c>
      <c r="G2345">
        <v>18.899999999999999</v>
      </c>
      <c r="H2345">
        <v>16.79</v>
      </c>
      <c r="I2345" t="s">
        <v>44</v>
      </c>
      <c r="J2345">
        <v>15</v>
      </c>
      <c r="K2345" t="s">
        <v>51</v>
      </c>
      <c r="L2345">
        <v>5</v>
      </c>
      <c r="M2345" t="str">
        <f>VLOOKUP(D2345,State_Lookup!$A$2:$B$28,2,FALSE)</f>
        <v>Rio de Janeiro</v>
      </c>
    </row>
    <row r="2346" spans="1:13" x14ac:dyDescent="0.45">
      <c r="A2346" t="s">
        <v>2850</v>
      </c>
      <c r="B2346" t="s">
        <v>2849</v>
      </c>
      <c r="C2346" t="s">
        <v>2777</v>
      </c>
      <c r="D2346" t="s">
        <v>16</v>
      </c>
      <c r="E2346" t="s">
        <v>79</v>
      </c>
      <c r="F2346">
        <v>1</v>
      </c>
      <c r="G2346">
        <v>349.9</v>
      </c>
      <c r="H2346">
        <v>18.7</v>
      </c>
      <c r="I2346" t="s">
        <v>44</v>
      </c>
      <c r="J2346">
        <v>15</v>
      </c>
      <c r="K2346" t="s">
        <v>51</v>
      </c>
      <c r="L2346">
        <v>4</v>
      </c>
      <c r="M2346" t="str">
        <f>VLOOKUP(D2346,State_Lookup!$A$2:$B$28,2,FALSE)</f>
        <v>Sao Paulo</v>
      </c>
    </row>
    <row r="2347" spans="1:13" x14ac:dyDescent="0.45">
      <c r="A2347" t="s">
        <v>2851</v>
      </c>
      <c r="B2347" t="s">
        <v>2849</v>
      </c>
      <c r="C2347" t="s">
        <v>2777</v>
      </c>
      <c r="D2347" t="s">
        <v>17</v>
      </c>
      <c r="E2347" t="s">
        <v>64</v>
      </c>
      <c r="F2347">
        <v>1</v>
      </c>
      <c r="G2347">
        <v>98</v>
      </c>
      <c r="H2347">
        <v>36.01</v>
      </c>
      <c r="I2347" t="s">
        <v>44</v>
      </c>
      <c r="J2347">
        <v>16</v>
      </c>
      <c r="K2347" t="s">
        <v>51</v>
      </c>
      <c r="L2347">
        <v>5</v>
      </c>
      <c r="M2347" t="str">
        <f>VLOOKUP(D2347,State_Lookup!$A$2:$B$28,2,FALSE)</f>
        <v>Rio de Janeiro</v>
      </c>
    </row>
    <row r="2348" spans="1:13" x14ac:dyDescent="0.45">
      <c r="A2348" t="s">
        <v>2852</v>
      </c>
      <c r="B2348" t="s">
        <v>2849</v>
      </c>
      <c r="C2348" t="s">
        <v>2777</v>
      </c>
      <c r="D2348" t="s">
        <v>16</v>
      </c>
      <c r="E2348" t="s">
        <v>53</v>
      </c>
      <c r="F2348">
        <v>1</v>
      </c>
      <c r="G2348">
        <v>45</v>
      </c>
      <c r="H2348">
        <v>12.69</v>
      </c>
      <c r="I2348" t="s">
        <v>44</v>
      </c>
      <c r="J2348">
        <v>3</v>
      </c>
      <c r="K2348" t="s">
        <v>51</v>
      </c>
      <c r="L2348">
        <v>3</v>
      </c>
      <c r="M2348" t="str">
        <f>VLOOKUP(D2348,State_Lookup!$A$2:$B$28,2,FALSE)</f>
        <v>Sao Paulo</v>
      </c>
    </row>
    <row r="2349" spans="1:13" x14ac:dyDescent="0.45">
      <c r="A2349" t="s">
        <v>2853</v>
      </c>
      <c r="B2349" t="s">
        <v>2849</v>
      </c>
      <c r="C2349" t="s">
        <v>2777</v>
      </c>
      <c r="D2349" t="s">
        <v>24</v>
      </c>
      <c r="E2349" t="s">
        <v>107</v>
      </c>
      <c r="F2349">
        <v>1</v>
      </c>
      <c r="G2349">
        <v>110</v>
      </c>
      <c r="H2349">
        <v>20.260000000000002</v>
      </c>
      <c r="I2349" t="s">
        <v>44</v>
      </c>
      <c r="J2349">
        <v>6</v>
      </c>
      <c r="K2349" t="s">
        <v>51</v>
      </c>
      <c r="L2349">
        <v>5</v>
      </c>
      <c r="M2349" t="str">
        <f>VLOOKUP(D2349,State_Lookup!$A$2:$B$28,2,FALSE)</f>
        <v>Distrito Federal</v>
      </c>
    </row>
    <row r="2350" spans="1:13" x14ac:dyDescent="0.45">
      <c r="A2350" t="s">
        <v>2854</v>
      </c>
      <c r="B2350" t="s">
        <v>2849</v>
      </c>
      <c r="C2350" t="s">
        <v>2777</v>
      </c>
      <c r="D2350" t="s">
        <v>16</v>
      </c>
      <c r="E2350" t="s">
        <v>1903</v>
      </c>
      <c r="F2350">
        <v>1</v>
      </c>
      <c r="G2350">
        <v>55.49</v>
      </c>
      <c r="H2350">
        <v>9.94</v>
      </c>
      <c r="I2350" t="s">
        <v>44</v>
      </c>
      <c r="J2350">
        <v>5</v>
      </c>
      <c r="K2350" t="s">
        <v>51</v>
      </c>
      <c r="L2350">
        <v>5</v>
      </c>
      <c r="M2350" t="str">
        <f>VLOOKUP(D2350,State_Lookup!$A$2:$B$28,2,FALSE)</f>
        <v>Sao Paulo</v>
      </c>
    </row>
    <row r="2351" spans="1:13" x14ac:dyDescent="0.45">
      <c r="A2351" t="s">
        <v>2855</v>
      </c>
      <c r="B2351" t="s">
        <v>2849</v>
      </c>
      <c r="C2351" t="s">
        <v>2777</v>
      </c>
      <c r="D2351" t="s">
        <v>19</v>
      </c>
      <c r="E2351" t="s">
        <v>66</v>
      </c>
      <c r="F2351">
        <v>1</v>
      </c>
      <c r="G2351">
        <v>19.899999999999999</v>
      </c>
      <c r="H2351">
        <v>15.1</v>
      </c>
      <c r="I2351" t="s">
        <v>108</v>
      </c>
      <c r="J2351">
        <v>9</v>
      </c>
      <c r="K2351" t="s">
        <v>51</v>
      </c>
      <c r="L2351">
        <v>3</v>
      </c>
      <c r="M2351" t="str">
        <f>VLOOKUP(D2351,State_Lookup!$A$2:$B$28,2,FALSE)</f>
        <v>Rio Grande do Sul</v>
      </c>
    </row>
    <row r="2352" spans="1:13" x14ac:dyDescent="0.45">
      <c r="A2352" t="s">
        <v>2856</v>
      </c>
      <c r="B2352" t="s">
        <v>2849</v>
      </c>
      <c r="C2352" t="s">
        <v>2777</v>
      </c>
      <c r="D2352" t="s">
        <v>16</v>
      </c>
      <c r="E2352" t="s">
        <v>79</v>
      </c>
      <c r="F2352">
        <v>1</v>
      </c>
      <c r="G2352">
        <v>54.39</v>
      </c>
      <c r="H2352">
        <v>12.72</v>
      </c>
      <c r="I2352" t="s">
        <v>44</v>
      </c>
      <c r="J2352">
        <v>5</v>
      </c>
      <c r="K2352" t="s">
        <v>51</v>
      </c>
      <c r="L2352">
        <v>5</v>
      </c>
      <c r="M2352" t="str">
        <f>VLOOKUP(D2352,State_Lookup!$A$2:$B$28,2,FALSE)</f>
        <v>Sao Paulo</v>
      </c>
    </row>
    <row r="2353" spans="1:13" x14ac:dyDescent="0.45">
      <c r="A2353" t="s">
        <v>2857</v>
      </c>
      <c r="B2353" t="s">
        <v>2858</v>
      </c>
      <c r="C2353" t="s">
        <v>2777</v>
      </c>
      <c r="D2353" t="s">
        <v>19</v>
      </c>
      <c r="E2353" t="s">
        <v>110</v>
      </c>
      <c r="F2353">
        <v>1</v>
      </c>
      <c r="G2353">
        <v>86.9</v>
      </c>
      <c r="H2353">
        <v>21.1</v>
      </c>
      <c r="I2353" t="s">
        <v>44</v>
      </c>
      <c r="J2353">
        <v>23</v>
      </c>
      <c r="K2353" t="s">
        <v>51</v>
      </c>
      <c r="L2353">
        <v>5</v>
      </c>
      <c r="M2353" t="str">
        <f>VLOOKUP(D2353,State_Lookup!$A$2:$B$28,2,FALSE)</f>
        <v>Rio Grande do Sul</v>
      </c>
    </row>
    <row r="2354" spans="1:13" x14ac:dyDescent="0.45">
      <c r="A2354" t="s">
        <v>2859</v>
      </c>
      <c r="B2354" t="s">
        <v>2858</v>
      </c>
      <c r="C2354" t="s">
        <v>2777</v>
      </c>
      <c r="D2354" t="s">
        <v>25</v>
      </c>
      <c r="E2354" t="s">
        <v>220</v>
      </c>
      <c r="F2354">
        <v>1</v>
      </c>
      <c r="G2354">
        <v>114.6</v>
      </c>
      <c r="H2354">
        <v>30.64</v>
      </c>
      <c r="I2354" t="s">
        <v>50</v>
      </c>
      <c r="J2354">
        <v>23</v>
      </c>
      <c r="K2354" t="s">
        <v>51</v>
      </c>
      <c r="L2354">
        <v>4</v>
      </c>
      <c r="M2354" t="str">
        <f>VLOOKUP(D2354,State_Lookup!$A$2:$B$28,2,FALSE)</f>
        <v>Goias</v>
      </c>
    </row>
    <row r="2355" spans="1:13" x14ac:dyDescent="0.45">
      <c r="A2355" t="s">
        <v>2860</v>
      </c>
      <c r="B2355" t="s">
        <v>2858</v>
      </c>
      <c r="C2355" t="s">
        <v>2777</v>
      </c>
      <c r="D2355" t="s">
        <v>16</v>
      </c>
      <c r="E2355" t="s">
        <v>49</v>
      </c>
      <c r="F2355">
        <v>1</v>
      </c>
      <c r="G2355">
        <v>169.9</v>
      </c>
      <c r="H2355">
        <v>12.69</v>
      </c>
      <c r="I2355" t="s">
        <v>44</v>
      </c>
      <c r="J2355">
        <v>10</v>
      </c>
      <c r="K2355" t="s">
        <v>51</v>
      </c>
      <c r="L2355">
        <v>5</v>
      </c>
      <c r="M2355" t="str">
        <f>VLOOKUP(D2355,State_Lookup!$A$2:$B$28,2,FALSE)</f>
        <v>Sao Paulo</v>
      </c>
    </row>
    <row r="2356" spans="1:13" x14ac:dyDescent="0.45">
      <c r="A2356" t="s">
        <v>2861</v>
      </c>
      <c r="B2356" t="s">
        <v>2858</v>
      </c>
      <c r="C2356" t="s">
        <v>2777</v>
      </c>
      <c r="D2356" t="s">
        <v>17</v>
      </c>
      <c r="E2356" t="s">
        <v>87</v>
      </c>
      <c r="F2356">
        <v>1</v>
      </c>
      <c r="G2356">
        <v>24.97</v>
      </c>
      <c r="H2356">
        <v>15.1</v>
      </c>
      <c r="I2356" t="s">
        <v>50</v>
      </c>
      <c r="J2356">
        <v>8</v>
      </c>
      <c r="K2356" t="s">
        <v>51</v>
      </c>
      <c r="L2356">
        <v>5</v>
      </c>
      <c r="M2356" t="str">
        <f>VLOOKUP(D2356,State_Lookup!$A$2:$B$28,2,FALSE)</f>
        <v>Rio de Janeiro</v>
      </c>
    </row>
    <row r="2357" spans="1:13" x14ac:dyDescent="0.45">
      <c r="A2357" t="s">
        <v>2862</v>
      </c>
      <c r="B2357" t="s">
        <v>2858</v>
      </c>
      <c r="C2357" t="s">
        <v>2777</v>
      </c>
      <c r="D2357" t="s">
        <v>63</v>
      </c>
      <c r="E2357" t="s">
        <v>61</v>
      </c>
      <c r="F2357">
        <v>1</v>
      </c>
      <c r="G2357">
        <v>949.9</v>
      </c>
      <c r="H2357">
        <v>104.73</v>
      </c>
      <c r="I2357" t="s">
        <v>50</v>
      </c>
      <c r="J2357">
        <v>14</v>
      </c>
      <c r="K2357" t="s">
        <v>51</v>
      </c>
      <c r="L2357">
        <v>4</v>
      </c>
      <c r="M2357" t="str">
        <f>VLOOKUP(D2357,State_Lookup!$A$2:$B$28,2,FALSE)</f>
        <v>Pernambuco</v>
      </c>
    </row>
    <row r="2358" spans="1:13" x14ac:dyDescent="0.45">
      <c r="A2358" t="s">
        <v>2863</v>
      </c>
      <c r="B2358" t="s">
        <v>2858</v>
      </c>
      <c r="C2358" t="s">
        <v>2777</v>
      </c>
      <c r="D2358" t="s">
        <v>194</v>
      </c>
      <c r="E2358" t="s">
        <v>192</v>
      </c>
      <c r="F2358">
        <v>1</v>
      </c>
      <c r="G2358">
        <v>75.989999999999995</v>
      </c>
      <c r="H2358">
        <v>23</v>
      </c>
      <c r="I2358" t="s">
        <v>50</v>
      </c>
      <c r="J2358">
        <v>9</v>
      </c>
      <c r="K2358" t="s">
        <v>51</v>
      </c>
      <c r="L2358">
        <v>5</v>
      </c>
      <c r="M2358" t="str">
        <f>VLOOKUP(D2358,State_Lookup!$A$2:$B$28,2,FALSE)</f>
        <v>Mato Grosso do Sul</v>
      </c>
    </row>
    <row r="2359" spans="1:13" x14ac:dyDescent="0.45">
      <c r="A2359" t="s">
        <v>2864</v>
      </c>
      <c r="B2359" t="s">
        <v>2858</v>
      </c>
      <c r="C2359" t="s">
        <v>2777</v>
      </c>
      <c r="D2359" t="s">
        <v>16</v>
      </c>
      <c r="E2359" t="s">
        <v>220</v>
      </c>
      <c r="F2359">
        <v>1</v>
      </c>
      <c r="G2359">
        <v>289.89999999999998</v>
      </c>
      <c r="H2359">
        <v>33.630000000000003</v>
      </c>
      <c r="I2359" t="s">
        <v>50</v>
      </c>
      <c r="J2359">
        <v>3</v>
      </c>
      <c r="K2359" t="s">
        <v>51</v>
      </c>
      <c r="L2359">
        <v>5</v>
      </c>
      <c r="M2359" t="str">
        <f>VLOOKUP(D2359,State_Lookup!$A$2:$B$28,2,FALSE)</f>
        <v>Sao Paulo</v>
      </c>
    </row>
    <row r="2360" spans="1:13" x14ac:dyDescent="0.45">
      <c r="A2360" t="s">
        <v>2865</v>
      </c>
      <c r="B2360" t="s">
        <v>2858</v>
      </c>
      <c r="C2360" t="s">
        <v>2777</v>
      </c>
      <c r="D2360" t="s">
        <v>128</v>
      </c>
      <c r="E2360" t="s">
        <v>125</v>
      </c>
      <c r="F2360">
        <v>1</v>
      </c>
      <c r="G2360">
        <v>13.65</v>
      </c>
      <c r="H2360">
        <v>17.63</v>
      </c>
      <c r="I2360" t="s">
        <v>44</v>
      </c>
      <c r="J2360">
        <v>15</v>
      </c>
      <c r="K2360" t="s">
        <v>51</v>
      </c>
      <c r="L2360">
        <v>4</v>
      </c>
      <c r="M2360" t="str">
        <f>VLOOKUP(D2360,State_Lookup!$A$2:$B$28,2,FALSE)</f>
        <v>Ceara</v>
      </c>
    </row>
    <row r="2361" spans="1:13" x14ac:dyDescent="0.45">
      <c r="A2361" t="s">
        <v>2866</v>
      </c>
      <c r="B2361" t="s">
        <v>2858</v>
      </c>
      <c r="C2361" t="s">
        <v>2777</v>
      </c>
      <c r="D2361" t="s">
        <v>16</v>
      </c>
      <c r="E2361" t="s">
        <v>142</v>
      </c>
      <c r="F2361">
        <v>1</v>
      </c>
      <c r="G2361">
        <v>5.31</v>
      </c>
      <c r="H2361">
        <v>9.34</v>
      </c>
      <c r="I2361" t="s">
        <v>44</v>
      </c>
      <c r="J2361">
        <v>5</v>
      </c>
      <c r="K2361" t="s">
        <v>51</v>
      </c>
      <c r="L2361">
        <v>2</v>
      </c>
      <c r="M2361" t="str">
        <f>VLOOKUP(D2361,State_Lookup!$A$2:$B$28,2,FALSE)</f>
        <v>Sao Paulo</v>
      </c>
    </row>
    <row r="2362" spans="1:13" x14ac:dyDescent="0.45">
      <c r="A2362" t="s">
        <v>2867</v>
      </c>
      <c r="B2362" t="s">
        <v>2858</v>
      </c>
      <c r="C2362" t="s">
        <v>2777</v>
      </c>
      <c r="D2362" t="s">
        <v>24</v>
      </c>
      <c r="E2362" t="s">
        <v>110</v>
      </c>
      <c r="F2362">
        <v>1</v>
      </c>
      <c r="G2362">
        <v>25</v>
      </c>
      <c r="H2362">
        <v>14.1</v>
      </c>
      <c r="I2362" t="s">
        <v>133</v>
      </c>
      <c r="J2362">
        <v>11</v>
      </c>
      <c r="K2362" t="s">
        <v>51</v>
      </c>
      <c r="L2362">
        <v>5</v>
      </c>
      <c r="M2362" t="str">
        <f>VLOOKUP(D2362,State_Lookup!$A$2:$B$28,2,FALSE)</f>
        <v>Distrito Federal</v>
      </c>
    </row>
    <row r="2363" spans="1:13" x14ac:dyDescent="0.45">
      <c r="A2363" t="s">
        <v>2868</v>
      </c>
      <c r="B2363" t="s">
        <v>2858</v>
      </c>
      <c r="C2363" t="s">
        <v>2777</v>
      </c>
      <c r="D2363" t="s">
        <v>21</v>
      </c>
      <c r="E2363" t="s">
        <v>103</v>
      </c>
      <c r="F2363">
        <v>1</v>
      </c>
      <c r="G2363">
        <v>129.99</v>
      </c>
      <c r="H2363">
        <v>57.58</v>
      </c>
      <c r="I2363" t="s">
        <v>44</v>
      </c>
      <c r="J2363">
        <v>18</v>
      </c>
      <c r="K2363" t="s">
        <v>51</v>
      </c>
      <c r="L2363">
        <v>4</v>
      </c>
      <c r="M2363" t="str">
        <f>VLOOKUP(D2363,State_Lookup!$A$2:$B$28,2,FALSE)</f>
        <v>Santa Catarina</v>
      </c>
    </row>
    <row r="2364" spans="1:13" x14ac:dyDescent="0.45">
      <c r="A2364" t="s">
        <v>2869</v>
      </c>
      <c r="B2364" t="s">
        <v>2858</v>
      </c>
      <c r="C2364" t="s">
        <v>2777</v>
      </c>
      <c r="D2364" t="s">
        <v>672</v>
      </c>
      <c r="E2364" t="s">
        <v>53</v>
      </c>
      <c r="F2364">
        <v>1</v>
      </c>
      <c r="G2364">
        <v>89.9</v>
      </c>
      <c r="H2364">
        <v>21.43</v>
      </c>
      <c r="I2364" t="s">
        <v>50</v>
      </c>
      <c r="J2364">
        <v>12</v>
      </c>
      <c r="K2364" t="s">
        <v>51</v>
      </c>
      <c r="L2364">
        <v>5</v>
      </c>
      <c r="M2364" t="str">
        <f>VLOOKUP(D2364,State_Lookup!$A$2:$B$28,2,FALSE)</f>
        <v>Paraiba</v>
      </c>
    </row>
    <row r="2365" spans="1:13" x14ac:dyDescent="0.45">
      <c r="A2365" t="s">
        <v>2870</v>
      </c>
      <c r="B2365" t="s">
        <v>2871</v>
      </c>
      <c r="C2365" t="s">
        <v>2777</v>
      </c>
      <c r="D2365" t="s">
        <v>18</v>
      </c>
      <c r="E2365" t="s">
        <v>49</v>
      </c>
      <c r="F2365">
        <v>1</v>
      </c>
      <c r="G2365">
        <v>129.9</v>
      </c>
      <c r="H2365">
        <v>27.23</v>
      </c>
      <c r="I2365" t="s">
        <v>50</v>
      </c>
      <c r="J2365">
        <v>10</v>
      </c>
      <c r="K2365" t="s">
        <v>51</v>
      </c>
      <c r="L2365">
        <v>5</v>
      </c>
      <c r="M2365" t="str">
        <f>VLOOKUP(D2365,State_Lookup!$A$2:$B$28,2,FALSE)</f>
        <v>Minas Gerais</v>
      </c>
    </row>
    <row r="2366" spans="1:13" x14ac:dyDescent="0.45">
      <c r="A2366" t="s">
        <v>2872</v>
      </c>
      <c r="B2366" t="s">
        <v>2871</v>
      </c>
      <c r="C2366" t="s">
        <v>2777</v>
      </c>
      <c r="D2366" t="s">
        <v>22</v>
      </c>
      <c r="E2366" t="s">
        <v>192</v>
      </c>
      <c r="F2366">
        <v>1</v>
      </c>
      <c r="G2366">
        <v>89.7</v>
      </c>
      <c r="H2366">
        <v>17.07</v>
      </c>
      <c r="I2366" t="s">
        <v>50</v>
      </c>
      <c r="J2366">
        <v>13</v>
      </c>
      <c r="K2366" t="s">
        <v>51</v>
      </c>
      <c r="L2366">
        <v>5</v>
      </c>
      <c r="M2366" t="str">
        <f>VLOOKUP(D2366,State_Lookup!$A$2:$B$28,2,FALSE)</f>
        <v>Bahia</v>
      </c>
    </row>
    <row r="2367" spans="1:13" x14ac:dyDescent="0.45">
      <c r="A2367" t="s">
        <v>2873</v>
      </c>
      <c r="B2367" t="s">
        <v>2871</v>
      </c>
      <c r="C2367" t="s">
        <v>2777</v>
      </c>
      <c r="D2367" t="s">
        <v>16</v>
      </c>
      <c r="E2367" t="s">
        <v>49</v>
      </c>
      <c r="F2367">
        <v>1</v>
      </c>
      <c r="G2367">
        <v>23.8</v>
      </c>
      <c r="H2367">
        <v>15.1</v>
      </c>
      <c r="I2367" t="s">
        <v>44</v>
      </c>
      <c r="J2367">
        <v>15</v>
      </c>
      <c r="K2367" t="s">
        <v>51</v>
      </c>
      <c r="L2367">
        <v>3</v>
      </c>
      <c r="M2367" t="str">
        <f>VLOOKUP(D2367,State_Lookup!$A$2:$B$28,2,FALSE)</f>
        <v>Sao Paulo</v>
      </c>
    </row>
    <row r="2368" spans="1:13" x14ac:dyDescent="0.45">
      <c r="A2368" t="s">
        <v>2874</v>
      </c>
      <c r="B2368" t="s">
        <v>2871</v>
      </c>
      <c r="C2368" t="s">
        <v>2777</v>
      </c>
      <c r="D2368" t="s">
        <v>19</v>
      </c>
      <c r="E2368" t="s">
        <v>53</v>
      </c>
      <c r="F2368">
        <v>1</v>
      </c>
      <c r="G2368">
        <v>597.9</v>
      </c>
      <c r="H2368">
        <v>21.44</v>
      </c>
      <c r="I2368" t="s">
        <v>44</v>
      </c>
      <c r="J2368">
        <v>9</v>
      </c>
      <c r="K2368" t="s">
        <v>51</v>
      </c>
      <c r="L2368">
        <v>5</v>
      </c>
      <c r="M2368" t="str">
        <f>VLOOKUP(D2368,State_Lookup!$A$2:$B$28,2,FALSE)</f>
        <v>Rio Grande do Sul</v>
      </c>
    </row>
    <row r="2369" spans="1:13" x14ac:dyDescent="0.45">
      <c r="A2369" t="s">
        <v>2875</v>
      </c>
      <c r="B2369" t="s">
        <v>2871</v>
      </c>
      <c r="C2369" t="s">
        <v>2777</v>
      </c>
      <c r="D2369" t="s">
        <v>16</v>
      </c>
      <c r="E2369" t="s">
        <v>49</v>
      </c>
      <c r="F2369">
        <v>1</v>
      </c>
      <c r="G2369">
        <v>107</v>
      </c>
      <c r="H2369">
        <v>12.25</v>
      </c>
      <c r="I2369" t="s">
        <v>44</v>
      </c>
      <c r="J2369">
        <v>6</v>
      </c>
      <c r="K2369" t="s">
        <v>51</v>
      </c>
      <c r="L2369">
        <v>5</v>
      </c>
      <c r="M2369" t="str">
        <f>VLOOKUP(D2369,State_Lookup!$A$2:$B$28,2,FALSE)</f>
        <v>Sao Paulo</v>
      </c>
    </row>
    <row r="2370" spans="1:13" x14ac:dyDescent="0.45">
      <c r="A2370" t="s">
        <v>2876</v>
      </c>
      <c r="B2370" t="s">
        <v>2871</v>
      </c>
      <c r="C2370" t="s">
        <v>2777</v>
      </c>
      <c r="D2370" t="s">
        <v>18</v>
      </c>
      <c r="E2370" t="s">
        <v>107</v>
      </c>
      <c r="F2370">
        <v>1</v>
      </c>
      <c r="G2370">
        <v>135.99</v>
      </c>
      <c r="H2370">
        <v>23.27</v>
      </c>
      <c r="I2370" t="s">
        <v>133</v>
      </c>
      <c r="J2370">
        <v>7</v>
      </c>
      <c r="K2370" t="s">
        <v>51</v>
      </c>
      <c r="L2370">
        <v>4</v>
      </c>
      <c r="M2370" t="str">
        <f>VLOOKUP(D2370,State_Lookup!$A$2:$B$28,2,FALSE)</f>
        <v>Minas Gerais</v>
      </c>
    </row>
    <row r="2371" spans="1:13" x14ac:dyDescent="0.45">
      <c r="A2371" t="s">
        <v>2877</v>
      </c>
      <c r="B2371" t="s">
        <v>2871</v>
      </c>
      <c r="C2371" t="s">
        <v>2777</v>
      </c>
      <c r="D2371" t="s">
        <v>16</v>
      </c>
      <c r="E2371" t="s">
        <v>125</v>
      </c>
      <c r="F2371">
        <v>1</v>
      </c>
      <c r="G2371">
        <v>13.65</v>
      </c>
      <c r="H2371">
        <v>11.85</v>
      </c>
      <c r="I2371" t="s">
        <v>50</v>
      </c>
      <c r="J2371">
        <v>14</v>
      </c>
      <c r="K2371" t="s">
        <v>51</v>
      </c>
      <c r="L2371">
        <v>5</v>
      </c>
      <c r="M2371" t="str">
        <f>VLOOKUP(D2371,State_Lookup!$A$2:$B$28,2,FALSE)</f>
        <v>Sao Paulo</v>
      </c>
    </row>
    <row r="2372" spans="1:13" x14ac:dyDescent="0.45">
      <c r="A2372" t="s">
        <v>2878</v>
      </c>
      <c r="B2372" t="s">
        <v>2871</v>
      </c>
      <c r="C2372" t="s">
        <v>2777</v>
      </c>
      <c r="D2372" t="s">
        <v>16</v>
      </c>
      <c r="E2372" t="s">
        <v>110</v>
      </c>
      <c r="F2372">
        <v>1</v>
      </c>
      <c r="G2372">
        <v>54.9</v>
      </c>
      <c r="H2372">
        <v>16.010000000000002</v>
      </c>
      <c r="I2372" t="s">
        <v>44</v>
      </c>
      <c r="J2372">
        <v>12</v>
      </c>
      <c r="K2372" t="s">
        <v>51</v>
      </c>
      <c r="L2372">
        <v>4</v>
      </c>
      <c r="M2372" t="str">
        <f>VLOOKUP(D2372,State_Lookup!$A$2:$B$28,2,FALSE)</f>
        <v>Sao Paulo</v>
      </c>
    </row>
    <row r="2373" spans="1:13" x14ac:dyDescent="0.45">
      <c r="A2373" t="s">
        <v>2879</v>
      </c>
      <c r="B2373" t="s">
        <v>2871</v>
      </c>
      <c r="C2373" t="s">
        <v>2777</v>
      </c>
      <c r="D2373" t="s">
        <v>18</v>
      </c>
      <c r="E2373" t="s">
        <v>152</v>
      </c>
      <c r="F2373">
        <v>1</v>
      </c>
      <c r="G2373">
        <v>82.9</v>
      </c>
      <c r="H2373">
        <v>14.31</v>
      </c>
      <c r="I2373" t="s">
        <v>133</v>
      </c>
      <c r="J2373">
        <v>5</v>
      </c>
      <c r="K2373" t="s">
        <v>51</v>
      </c>
      <c r="L2373">
        <v>5</v>
      </c>
      <c r="M2373" t="str">
        <f>VLOOKUP(D2373,State_Lookup!$A$2:$B$28,2,FALSE)</f>
        <v>Minas Gerais</v>
      </c>
    </row>
    <row r="2374" spans="1:13" x14ac:dyDescent="0.45">
      <c r="A2374" t="s">
        <v>2880</v>
      </c>
      <c r="B2374" t="s">
        <v>2871</v>
      </c>
      <c r="C2374" t="s">
        <v>2777</v>
      </c>
      <c r="D2374" t="s">
        <v>25</v>
      </c>
      <c r="E2374" t="s">
        <v>66</v>
      </c>
      <c r="F2374">
        <v>1</v>
      </c>
      <c r="G2374">
        <v>39.99</v>
      </c>
      <c r="H2374">
        <v>14.1</v>
      </c>
      <c r="I2374" t="s">
        <v>44</v>
      </c>
      <c r="J2374">
        <v>13</v>
      </c>
      <c r="K2374" t="s">
        <v>51</v>
      </c>
      <c r="L2374">
        <v>5</v>
      </c>
      <c r="M2374" t="str">
        <f>VLOOKUP(D2374,State_Lookup!$A$2:$B$28,2,FALSE)</f>
        <v>Goias</v>
      </c>
    </row>
    <row r="2375" spans="1:13" x14ac:dyDescent="0.45">
      <c r="A2375" t="s">
        <v>2881</v>
      </c>
      <c r="B2375" t="s">
        <v>2871</v>
      </c>
      <c r="C2375" t="s">
        <v>2777</v>
      </c>
      <c r="D2375" t="s">
        <v>672</v>
      </c>
      <c r="E2375" t="s">
        <v>61</v>
      </c>
      <c r="F2375">
        <v>1</v>
      </c>
      <c r="G2375">
        <v>39.9</v>
      </c>
      <c r="H2375">
        <v>15.1</v>
      </c>
      <c r="I2375" t="s">
        <v>44</v>
      </c>
      <c r="J2375">
        <v>10</v>
      </c>
      <c r="K2375" t="s">
        <v>51</v>
      </c>
      <c r="L2375">
        <v>4</v>
      </c>
      <c r="M2375" t="str">
        <f>VLOOKUP(D2375,State_Lookup!$A$2:$B$28,2,FALSE)</f>
        <v>Paraiba</v>
      </c>
    </row>
    <row r="2376" spans="1:13" x14ac:dyDescent="0.45">
      <c r="A2376" t="s">
        <v>2882</v>
      </c>
      <c r="B2376" t="s">
        <v>2871</v>
      </c>
      <c r="C2376" t="s">
        <v>2777</v>
      </c>
      <c r="D2376" t="s">
        <v>16</v>
      </c>
      <c r="E2376" t="s">
        <v>61</v>
      </c>
      <c r="F2376">
        <v>2</v>
      </c>
      <c r="G2376">
        <v>394.99</v>
      </c>
      <c r="H2376">
        <v>21.6</v>
      </c>
      <c r="I2376" t="s">
        <v>44</v>
      </c>
      <c r="J2376">
        <v>8</v>
      </c>
      <c r="K2376" t="s">
        <v>51</v>
      </c>
      <c r="L2376">
        <v>3</v>
      </c>
      <c r="M2376" t="str">
        <f>VLOOKUP(D2376,State_Lookup!$A$2:$B$28,2,FALSE)</f>
        <v>Sao Paulo</v>
      </c>
    </row>
    <row r="2377" spans="1:13" x14ac:dyDescent="0.45">
      <c r="A2377" t="s">
        <v>2883</v>
      </c>
      <c r="B2377" t="s">
        <v>2871</v>
      </c>
      <c r="C2377" t="s">
        <v>2777</v>
      </c>
      <c r="D2377" t="s">
        <v>122</v>
      </c>
      <c r="E2377" t="s">
        <v>192</v>
      </c>
      <c r="F2377">
        <v>1</v>
      </c>
      <c r="G2377">
        <v>159.9</v>
      </c>
      <c r="H2377">
        <v>33.57</v>
      </c>
      <c r="I2377" t="s">
        <v>44</v>
      </c>
      <c r="J2377">
        <v>26</v>
      </c>
      <c r="K2377" t="s">
        <v>51</v>
      </c>
      <c r="L2377">
        <v>4</v>
      </c>
      <c r="M2377" t="str">
        <f>VLOOKUP(D2377,State_Lookup!$A$2:$B$28,2,FALSE)</f>
        <v>Para</v>
      </c>
    </row>
    <row r="2378" spans="1:13" x14ac:dyDescent="0.45">
      <c r="A2378" t="s">
        <v>2884</v>
      </c>
      <c r="B2378" t="s">
        <v>2871</v>
      </c>
      <c r="C2378" t="s">
        <v>2777</v>
      </c>
      <c r="D2378" t="s">
        <v>16</v>
      </c>
      <c r="E2378" t="s">
        <v>110</v>
      </c>
      <c r="F2378">
        <v>1</v>
      </c>
      <c r="G2378">
        <v>35</v>
      </c>
      <c r="H2378">
        <v>11.85</v>
      </c>
      <c r="I2378" t="s">
        <v>50</v>
      </c>
      <c r="J2378">
        <v>9</v>
      </c>
      <c r="K2378" t="s">
        <v>51</v>
      </c>
      <c r="L2378">
        <v>5</v>
      </c>
      <c r="M2378" t="str">
        <f>VLOOKUP(D2378,State_Lookup!$A$2:$B$28,2,FALSE)</f>
        <v>Sao Paulo</v>
      </c>
    </row>
    <row r="2379" spans="1:13" x14ac:dyDescent="0.45">
      <c r="A2379" t="s">
        <v>2885</v>
      </c>
      <c r="B2379" t="s">
        <v>2871</v>
      </c>
      <c r="C2379" t="s">
        <v>2777</v>
      </c>
      <c r="D2379" t="s">
        <v>21</v>
      </c>
      <c r="E2379" t="s">
        <v>142</v>
      </c>
      <c r="F2379">
        <v>2</v>
      </c>
      <c r="G2379">
        <v>138</v>
      </c>
      <c r="H2379">
        <v>51.02</v>
      </c>
      <c r="I2379" t="s">
        <v>44</v>
      </c>
      <c r="J2379">
        <v>29</v>
      </c>
      <c r="K2379" t="s">
        <v>51</v>
      </c>
      <c r="L2379">
        <v>5</v>
      </c>
      <c r="M2379" t="str">
        <f>VLOOKUP(D2379,State_Lookup!$A$2:$B$28,2,FALSE)</f>
        <v>Santa Catarina</v>
      </c>
    </row>
    <row r="2380" spans="1:13" x14ac:dyDescent="0.45">
      <c r="A2380" t="s">
        <v>2886</v>
      </c>
      <c r="B2380" t="s">
        <v>2871</v>
      </c>
      <c r="C2380" t="s">
        <v>2777</v>
      </c>
      <c r="D2380" t="s">
        <v>21</v>
      </c>
      <c r="E2380" t="s">
        <v>69</v>
      </c>
      <c r="F2380">
        <v>2</v>
      </c>
      <c r="G2380">
        <v>99.8</v>
      </c>
      <c r="H2380">
        <v>35.200000000000003</v>
      </c>
      <c r="I2380" t="s">
        <v>44</v>
      </c>
      <c r="J2380">
        <v>23</v>
      </c>
      <c r="K2380" t="s">
        <v>51</v>
      </c>
      <c r="L2380">
        <v>1</v>
      </c>
      <c r="M2380" t="str">
        <f>VLOOKUP(D2380,State_Lookup!$A$2:$B$28,2,FALSE)</f>
        <v>Santa Catarina</v>
      </c>
    </row>
    <row r="2381" spans="1:13" x14ac:dyDescent="0.45">
      <c r="A2381" t="s">
        <v>2887</v>
      </c>
      <c r="B2381" t="s">
        <v>2871</v>
      </c>
      <c r="C2381" t="s">
        <v>2777</v>
      </c>
      <c r="D2381" t="s">
        <v>16</v>
      </c>
      <c r="E2381" t="s">
        <v>79</v>
      </c>
      <c r="F2381">
        <v>1</v>
      </c>
      <c r="G2381">
        <v>69.900000000000006</v>
      </c>
      <c r="H2381">
        <v>19.98</v>
      </c>
      <c r="I2381" t="s">
        <v>44</v>
      </c>
      <c r="J2381">
        <v>6</v>
      </c>
      <c r="K2381" t="s">
        <v>51</v>
      </c>
      <c r="L2381">
        <v>5</v>
      </c>
      <c r="M2381" t="str">
        <f>VLOOKUP(D2381,State_Lookup!$A$2:$B$28,2,FALSE)</f>
        <v>Sao Paulo</v>
      </c>
    </row>
    <row r="2382" spans="1:13" x14ac:dyDescent="0.45">
      <c r="A2382" t="s">
        <v>2888</v>
      </c>
      <c r="B2382" t="s">
        <v>2871</v>
      </c>
      <c r="C2382" t="s">
        <v>2777</v>
      </c>
      <c r="D2382" t="s">
        <v>18</v>
      </c>
      <c r="E2382" t="s">
        <v>103</v>
      </c>
      <c r="F2382">
        <v>1</v>
      </c>
      <c r="G2382">
        <v>27.9</v>
      </c>
      <c r="H2382">
        <v>15.1</v>
      </c>
      <c r="I2382" t="s">
        <v>44</v>
      </c>
      <c r="J2382">
        <v>9</v>
      </c>
      <c r="K2382" t="s">
        <v>51</v>
      </c>
      <c r="L2382">
        <v>5</v>
      </c>
      <c r="M2382" t="str">
        <f>VLOOKUP(D2382,State_Lookup!$A$2:$B$28,2,FALSE)</f>
        <v>Minas Gerais</v>
      </c>
    </row>
    <row r="2383" spans="1:13" x14ac:dyDescent="0.45">
      <c r="A2383" t="s">
        <v>2889</v>
      </c>
      <c r="B2383" t="s">
        <v>2871</v>
      </c>
      <c r="C2383" t="s">
        <v>2777</v>
      </c>
      <c r="D2383" t="s">
        <v>16</v>
      </c>
      <c r="E2383" t="s">
        <v>61</v>
      </c>
      <c r="F2383">
        <v>2</v>
      </c>
      <c r="G2383">
        <v>327.45999999999998</v>
      </c>
      <c r="H2383">
        <v>26.56</v>
      </c>
      <c r="I2383" t="s">
        <v>44</v>
      </c>
      <c r="J2383">
        <v>8</v>
      </c>
      <c r="K2383" t="s">
        <v>51</v>
      </c>
      <c r="L2383">
        <v>5</v>
      </c>
      <c r="M2383" t="str">
        <f>VLOOKUP(D2383,State_Lookup!$A$2:$B$28,2,FALSE)</f>
        <v>Sao Paulo</v>
      </c>
    </row>
    <row r="2384" spans="1:13" x14ac:dyDescent="0.45">
      <c r="A2384" t="s">
        <v>2890</v>
      </c>
      <c r="B2384" t="s">
        <v>2871</v>
      </c>
      <c r="C2384" t="s">
        <v>2777</v>
      </c>
      <c r="D2384" t="s">
        <v>20</v>
      </c>
      <c r="E2384" t="s">
        <v>66</v>
      </c>
      <c r="F2384">
        <v>1</v>
      </c>
      <c r="G2384">
        <v>12.99</v>
      </c>
      <c r="H2384">
        <v>15.1</v>
      </c>
      <c r="I2384" t="s">
        <v>44</v>
      </c>
      <c r="J2384">
        <v>8</v>
      </c>
      <c r="K2384" t="s">
        <v>51</v>
      </c>
      <c r="L2384">
        <v>5</v>
      </c>
      <c r="M2384" t="str">
        <f>VLOOKUP(D2384,State_Lookup!$A$2:$B$28,2,FALSE)</f>
        <v>Parana</v>
      </c>
    </row>
    <row r="2385" spans="1:13" x14ac:dyDescent="0.45">
      <c r="A2385" t="s">
        <v>2891</v>
      </c>
      <c r="B2385" t="s">
        <v>2871</v>
      </c>
      <c r="C2385" t="s">
        <v>2777</v>
      </c>
      <c r="D2385" t="s">
        <v>16</v>
      </c>
      <c r="E2385" t="s">
        <v>110</v>
      </c>
      <c r="F2385">
        <v>1</v>
      </c>
      <c r="G2385">
        <v>150</v>
      </c>
      <c r="H2385">
        <v>9.86</v>
      </c>
      <c r="I2385" t="s">
        <v>44</v>
      </c>
      <c r="J2385">
        <v>1</v>
      </c>
      <c r="K2385" t="s">
        <v>51</v>
      </c>
      <c r="L2385">
        <v>5</v>
      </c>
      <c r="M2385" t="str">
        <f>VLOOKUP(D2385,State_Lookup!$A$2:$B$28,2,FALSE)</f>
        <v>Sao Paulo</v>
      </c>
    </row>
    <row r="2386" spans="1:13" x14ac:dyDescent="0.45">
      <c r="A2386" t="s">
        <v>2892</v>
      </c>
      <c r="B2386" t="s">
        <v>2871</v>
      </c>
      <c r="C2386" t="s">
        <v>2777</v>
      </c>
      <c r="D2386" t="s">
        <v>20</v>
      </c>
      <c r="E2386" t="s">
        <v>66</v>
      </c>
      <c r="F2386">
        <v>1</v>
      </c>
      <c r="G2386">
        <v>12.98</v>
      </c>
      <c r="H2386">
        <v>14.1</v>
      </c>
      <c r="I2386" t="s">
        <v>50</v>
      </c>
      <c r="J2386">
        <v>13</v>
      </c>
      <c r="K2386" t="s">
        <v>51</v>
      </c>
      <c r="L2386">
        <v>5</v>
      </c>
      <c r="M2386" t="str">
        <f>VLOOKUP(D2386,State_Lookup!$A$2:$B$28,2,FALSE)</f>
        <v>Parana</v>
      </c>
    </row>
    <row r="2387" spans="1:13" x14ac:dyDescent="0.45">
      <c r="A2387" t="s">
        <v>2893</v>
      </c>
      <c r="B2387" t="s">
        <v>2871</v>
      </c>
      <c r="C2387" t="s">
        <v>2777</v>
      </c>
      <c r="D2387" t="s">
        <v>16</v>
      </c>
      <c r="E2387" t="s">
        <v>220</v>
      </c>
      <c r="F2387">
        <v>1</v>
      </c>
      <c r="G2387">
        <v>149.99</v>
      </c>
      <c r="H2387">
        <v>17.78</v>
      </c>
      <c r="I2387" t="s">
        <v>50</v>
      </c>
      <c r="J2387">
        <v>17</v>
      </c>
      <c r="K2387" t="s">
        <v>51</v>
      </c>
      <c r="L2387">
        <v>3</v>
      </c>
      <c r="M2387" t="str">
        <f>VLOOKUP(D2387,State_Lookup!$A$2:$B$28,2,FALSE)</f>
        <v>Sao Paulo</v>
      </c>
    </row>
    <row r="2388" spans="1:13" x14ac:dyDescent="0.45">
      <c r="A2388" t="s">
        <v>2894</v>
      </c>
      <c r="B2388" t="s">
        <v>2871</v>
      </c>
      <c r="C2388" t="s">
        <v>2777</v>
      </c>
      <c r="D2388" t="s">
        <v>128</v>
      </c>
      <c r="E2388" t="s">
        <v>79</v>
      </c>
      <c r="F2388">
        <v>1</v>
      </c>
      <c r="G2388">
        <v>89.99</v>
      </c>
      <c r="H2388">
        <v>27.17</v>
      </c>
      <c r="I2388" t="s">
        <v>44</v>
      </c>
      <c r="J2388">
        <v>20</v>
      </c>
      <c r="K2388" t="s">
        <v>51</v>
      </c>
      <c r="L2388">
        <v>4</v>
      </c>
      <c r="M2388" t="str">
        <f>VLOOKUP(D2388,State_Lookup!$A$2:$B$28,2,FALSE)</f>
        <v>Ceara</v>
      </c>
    </row>
    <row r="2389" spans="1:13" x14ac:dyDescent="0.45">
      <c r="A2389" t="s">
        <v>2895</v>
      </c>
      <c r="B2389" t="s">
        <v>2871</v>
      </c>
      <c r="C2389" t="s">
        <v>2777</v>
      </c>
      <c r="D2389" t="s">
        <v>16</v>
      </c>
      <c r="E2389" t="s">
        <v>366</v>
      </c>
      <c r="F2389">
        <v>1</v>
      </c>
      <c r="G2389">
        <v>155</v>
      </c>
      <c r="H2389">
        <v>8.83</v>
      </c>
      <c r="I2389" t="s">
        <v>44</v>
      </c>
      <c r="J2389">
        <v>1</v>
      </c>
      <c r="K2389" t="s">
        <v>51</v>
      </c>
      <c r="L2389">
        <v>4</v>
      </c>
      <c r="M2389" t="str">
        <f>VLOOKUP(D2389,State_Lookup!$A$2:$B$28,2,FALSE)</f>
        <v>Sao Paulo</v>
      </c>
    </row>
    <row r="2390" spans="1:13" x14ac:dyDescent="0.45">
      <c r="A2390" t="s">
        <v>2896</v>
      </c>
      <c r="B2390" t="s">
        <v>2897</v>
      </c>
      <c r="C2390" t="s">
        <v>2777</v>
      </c>
      <c r="D2390" t="s">
        <v>16</v>
      </c>
      <c r="E2390" t="s">
        <v>61</v>
      </c>
      <c r="F2390">
        <v>2</v>
      </c>
      <c r="G2390">
        <v>705.14</v>
      </c>
      <c r="H2390">
        <v>80.040000000000006</v>
      </c>
      <c r="I2390" t="s">
        <v>44</v>
      </c>
      <c r="J2390">
        <v>13</v>
      </c>
      <c r="K2390" t="s">
        <v>51</v>
      </c>
      <c r="L2390">
        <v>4</v>
      </c>
      <c r="M2390" t="str">
        <f>VLOOKUP(D2390,State_Lookup!$A$2:$B$28,2,FALSE)</f>
        <v>Sao Paulo</v>
      </c>
    </row>
    <row r="2391" spans="1:13" x14ac:dyDescent="0.45">
      <c r="A2391" t="s">
        <v>2898</v>
      </c>
      <c r="B2391" t="s">
        <v>2897</v>
      </c>
      <c r="C2391" t="s">
        <v>2777</v>
      </c>
      <c r="D2391" t="s">
        <v>17</v>
      </c>
      <c r="E2391" t="s">
        <v>61</v>
      </c>
      <c r="F2391">
        <v>1</v>
      </c>
      <c r="G2391">
        <v>184.79</v>
      </c>
      <c r="H2391">
        <v>17.05</v>
      </c>
      <c r="I2391" t="s">
        <v>44</v>
      </c>
      <c r="J2391">
        <v>20</v>
      </c>
      <c r="K2391" t="s">
        <v>51</v>
      </c>
      <c r="L2391">
        <v>5</v>
      </c>
      <c r="M2391" t="str">
        <f>VLOOKUP(D2391,State_Lookup!$A$2:$B$28,2,FALSE)</f>
        <v>Rio de Janeiro</v>
      </c>
    </row>
    <row r="2392" spans="1:13" x14ac:dyDescent="0.45">
      <c r="A2392" t="s">
        <v>2899</v>
      </c>
      <c r="B2392" t="s">
        <v>2897</v>
      </c>
      <c r="C2392" t="s">
        <v>2777</v>
      </c>
      <c r="D2392" t="s">
        <v>17</v>
      </c>
      <c r="E2392" t="s">
        <v>61</v>
      </c>
      <c r="F2392">
        <v>1</v>
      </c>
      <c r="G2392">
        <v>28.9</v>
      </c>
      <c r="H2392">
        <v>15.1</v>
      </c>
      <c r="I2392" t="s">
        <v>44</v>
      </c>
      <c r="J2392">
        <v>18</v>
      </c>
      <c r="K2392" t="s">
        <v>51</v>
      </c>
      <c r="L2392">
        <v>5</v>
      </c>
      <c r="M2392" t="str">
        <f>VLOOKUP(D2392,State_Lookup!$A$2:$B$28,2,FALSE)</f>
        <v>Rio de Janeiro</v>
      </c>
    </row>
    <row r="2393" spans="1:13" x14ac:dyDescent="0.45">
      <c r="A2393" t="s">
        <v>2900</v>
      </c>
      <c r="B2393" t="s">
        <v>2897</v>
      </c>
      <c r="C2393" t="s">
        <v>2777</v>
      </c>
      <c r="D2393" t="s">
        <v>17</v>
      </c>
      <c r="E2393" t="s">
        <v>103</v>
      </c>
      <c r="F2393">
        <v>1</v>
      </c>
      <c r="G2393">
        <v>109.9</v>
      </c>
      <c r="H2393">
        <v>20.010000000000002</v>
      </c>
      <c r="I2393" t="s">
        <v>44</v>
      </c>
      <c r="J2393">
        <v>37</v>
      </c>
      <c r="K2393" t="s">
        <v>143</v>
      </c>
      <c r="L2393">
        <v>1</v>
      </c>
      <c r="M2393" t="str">
        <f>VLOOKUP(D2393,State_Lookup!$A$2:$B$28,2,FALSE)</f>
        <v>Rio de Janeiro</v>
      </c>
    </row>
    <row r="2394" spans="1:13" x14ac:dyDescent="0.45">
      <c r="A2394" t="s">
        <v>2901</v>
      </c>
      <c r="B2394" t="s">
        <v>2897</v>
      </c>
      <c r="C2394" t="s">
        <v>2777</v>
      </c>
      <c r="D2394" t="s">
        <v>22</v>
      </c>
      <c r="E2394" t="s">
        <v>49</v>
      </c>
      <c r="F2394">
        <v>2</v>
      </c>
      <c r="G2394">
        <v>71.8</v>
      </c>
      <c r="H2394">
        <v>33.58</v>
      </c>
      <c r="I2394" t="s">
        <v>44</v>
      </c>
      <c r="J2394">
        <v>13</v>
      </c>
      <c r="K2394" t="s">
        <v>51</v>
      </c>
      <c r="L2394">
        <v>5</v>
      </c>
      <c r="M2394" t="str">
        <f>VLOOKUP(D2394,State_Lookup!$A$2:$B$28,2,FALSE)</f>
        <v>Bahia</v>
      </c>
    </row>
    <row r="2395" spans="1:13" x14ac:dyDescent="0.45">
      <c r="A2395" t="s">
        <v>2902</v>
      </c>
      <c r="B2395" t="s">
        <v>2897</v>
      </c>
      <c r="C2395" t="s">
        <v>2777</v>
      </c>
      <c r="D2395" t="s">
        <v>18</v>
      </c>
      <c r="E2395" t="s">
        <v>125</v>
      </c>
      <c r="F2395">
        <v>1</v>
      </c>
      <c r="G2395">
        <v>30</v>
      </c>
      <c r="H2395">
        <v>11.85</v>
      </c>
      <c r="I2395" t="s">
        <v>44</v>
      </c>
      <c r="J2395">
        <v>29</v>
      </c>
      <c r="K2395" t="s">
        <v>143</v>
      </c>
      <c r="L2395">
        <v>1</v>
      </c>
      <c r="M2395" t="str">
        <f>VLOOKUP(D2395,State_Lookup!$A$2:$B$28,2,FALSE)</f>
        <v>Minas Gerais</v>
      </c>
    </row>
    <row r="2396" spans="1:13" x14ac:dyDescent="0.45">
      <c r="A2396" t="s">
        <v>2903</v>
      </c>
      <c r="B2396" t="s">
        <v>2897</v>
      </c>
      <c r="C2396" t="s">
        <v>2777</v>
      </c>
      <c r="D2396" t="s">
        <v>20</v>
      </c>
      <c r="E2396" t="s">
        <v>1839</v>
      </c>
      <c r="F2396">
        <v>1</v>
      </c>
      <c r="G2396">
        <v>78</v>
      </c>
      <c r="H2396">
        <v>15.3</v>
      </c>
      <c r="I2396" t="s">
        <v>44</v>
      </c>
      <c r="J2396">
        <v>13</v>
      </c>
      <c r="K2396" t="s">
        <v>51</v>
      </c>
      <c r="L2396">
        <v>5</v>
      </c>
      <c r="M2396" t="str">
        <f>VLOOKUP(D2396,State_Lookup!$A$2:$B$28,2,FALSE)</f>
        <v>Parana</v>
      </c>
    </row>
    <row r="2397" spans="1:13" x14ac:dyDescent="0.45">
      <c r="A2397" t="s">
        <v>2904</v>
      </c>
      <c r="B2397" t="s">
        <v>2897</v>
      </c>
      <c r="C2397" t="s">
        <v>2777</v>
      </c>
      <c r="D2397" t="s">
        <v>16</v>
      </c>
      <c r="E2397" t="s">
        <v>244</v>
      </c>
      <c r="F2397">
        <v>1</v>
      </c>
      <c r="G2397">
        <v>89</v>
      </c>
      <c r="H2397">
        <v>13.64</v>
      </c>
      <c r="I2397" t="s">
        <v>44</v>
      </c>
      <c r="J2397">
        <v>7</v>
      </c>
      <c r="K2397" t="s">
        <v>51</v>
      </c>
      <c r="L2397">
        <v>5</v>
      </c>
      <c r="M2397" t="str">
        <f>VLOOKUP(D2397,State_Lookup!$A$2:$B$28,2,FALSE)</f>
        <v>Sao Paulo</v>
      </c>
    </row>
    <row r="2398" spans="1:13" x14ac:dyDescent="0.45">
      <c r="A2398" t="s">
        <v>2905</v>
      </c>
      <c r="B2398" t="s">
        <v>2897</v>
      </c>
      <c r="C2398" t="s">
        <v>2777</v>
      </c>
      <c r="D2398" t="s">
        <v>23</v>
      </c>
      <c r="E2398" t="s">
        <v>125</v>
      </c>
      <c r="F2398">
        <v>1</v>
      </c>
      <c r="G2398">
        <v>18.899999999999999</v>
      </c>
      <c r="H2398">
        <v>25.63</v>
      </c>
      <c r="I2398" t="s">
        <v>44</v>
      </c>
      <c r="J2398">
        <v>20</v>
      </c>
      <c r="K2398" t="s">
        <v>51</v>
      </c>
      <c r="L2398">
        <v>5</v>
      </c>
      <c r="M2398" t="str">
        <f>VLOOKUP(D2398,State_Lookup!$A$2:$B$28,2,FALSE)</f>
        <v>Espirito Santo</v>
      </c>
    </row>
    <row r="2399" spans="1:13" x14ac:dyDescent="0.45">
      <c r="A2399" t="s">
        <v>2906</v>
      </c>
      <c r="B2399" t="s">
        <v>2897</v>
      </c>
      <c r="C2399" t="s">
        <v>2777</v>
      </c>
      <c r="D2399" t="s">
        <v>23</v>
      </c>
      <c r="E2399" t="s">
        <v>132</v>
      </c>
      <c r="F2399">
        <v>1</v>
      </c>
      <c r="G2399">
        <v>27.3</v>
      </c>
      <c r="H2399">
        <v>15.1</v>
      </c>
      <c r="I2399" t="s">
        <v>50</v>
      </c>
      <c r="J2399">
        <v>28</v>
      </c>
      <c r="K2399" t="s">
        <v>143</v>
      </c>
      <c r="L2399">
        <v>3</v>
      </c>
      <c r="M2399" t="str">
        <f>VLOOKUP(D2399,State_Lookup!$A$2:$B$28,2,FALSE)</f>
        <v>Espirito Santo</v>
      </c>
    </row>
    <row r="2400" spans="1:13" x14ac:dyDescent="0.45">
      <c r="A2400" t="s">
        <v>2907</v>
      </c>
      <c r="B2400" t="s">
        <v>2897</v>
      </c>
      <c r="C2400" t="s">
        <v>2777</v>
      </c>
      <c r="D2400" t="s">
        <v>16</v>
      </c>
      <c r="E2400" t="s">
        <v>79</v>
      </c>
      <c r="F2400">
        <v>1</v>
      </c>
      <c r="G2400">
        <v>29.9</v>
      </c>
      <c r="H2400">
        <v>8.27</v>
      </c>
      <c r="I2400" t="s">
        <v>50</v>
      </c>
      <c r="J2400">
        <v>2</v>
      </c>
      <c r="K2400" t="s">
        <v>51</v>
      </c>
      <c r="L2400">
        <v>5</v>
      </c>
      <c r="M2400" t="str">
        <f>VLOOKUP(D2400,State_Lookup!$A$2:$B$28,2,FALSE)</f>
        <v>Sao Paulo</v>
      </c>
    </row>
    <row r="2401" spans="1:13" x14ac:dyDescent="0.45">
      <c r="A2401" t="s">
        <v>2908</v>
      </c>
      <c r="B2401" t="s">
        <v>2897</v>
      </c>
      <c r="C2401" t="s">
        <v>2777</v>
      </c>
      <c r="D2401" t="s">
        <v>25</v>
      </c>
      <c r="E2401" t="s">
        <v>66</v>
      </c>
      <c r="F2401">
        <v>1</v>
      </c>
      <c r="G2401">
        <v>18.899999999999999</v>
      </c>
      <c r="H2401">
        <v>15.1</v>
      </c>
      <c r="I2401" t="s">
        <v>44</v>
      </c>
      <c r="J2401">
        <v>6</v>
      </c>
      <c r="K2401" t="s">
        <v>51</v>
      </c>
      <c r="L2401">
        <v>5</v>
      </c>
      <c r="M2401" t="str">
        <f>VLOOKUP(D2401,State_Lookup!$A$2:$B$28,2,FALSE)</f>
        <v>Goias</v>
      </c>
    </row>
    <row r="2402" spans="1:13" x14ac:dyDescent="0.45">
      <c r="A2402" t="s">
        <v>2909</v>
      </c>
      <c r="B2402" t="s">
        <v>2897</v>
      </c>
      <c r="C2402" t="s">
        <v>2777</v>
      </c>
      <c r="D2402" t="s">
        <v>16</v>
      </c>
      <c r="E2402" t="s">
        <v>173</v>
      </c>
      <c r="F2402">
        <v>1</v>
      </c>
      <c r="G2402">
        <v>44.9</v>
      </c>
      <c r="H2402">
        <v>12.69</v>
      </c>
      <c r="I2402" t="s">
        <v>44</v>
      </c>
      <c r="J2402">
        <v>5</v>
      </c>
      <c r="K2402" t="s">
        <v>51</v>
      </c>
      <c r="L2402">
        <v>5</v>
      </c>
      <c r="M2402" t="str">
        <f>VLOOKUP(D2402,State_Lookup!$A$2:$B$28,2,FALSE)</f>
        <v>Sao Paulo</v>
      </c>
    </row>
    <row r="2403" spans="1:13" x14ac:dyDescent="0.45">
      <c r="A2403" t="s">
        <v>2910</v>
      </c>
      <c r="B2403" t="s">
        <v>2897</v>
      </c>
      <c r="C2403" t="s">
        <v>2777</v>
      </c>
      <c r="D2403" t="s">
        <v>21</v>
      </c>
      <c r="E2403" t="s">
        <v>244</v>
      </c>
      <c r="F2403">
        <v>1</v>
      </c>
      <c r="G2403">
        <v>115.9</v>
      </c>
      <c r="H2403">
        <v>17.059999999999999</v>
      </c>
      <c r="I2403" t="s">
        <v>44</v>
      </c>
      <c r="J2403">
        <v>20</v>
      </c>
      <c r="K2403" t="s">
        <v>51</v>
      </c>
      <c r="L2403">
        <v>4</v>
      </c>
      <c r="M2403" t="str">
        <f>VLOOKUP(D2403,State_Lookup!$A$2:$B$28,2,FALSE)</f>
        <v>Santa Catarina</v>
      </c>
    </row>
    <row r="2404" spans="1:13" x14ac:dyDescent="0.45">
      <c r="A2404" t="s">
        <v>2911</v>
      </c>
      <c r="B2404" t="s">
        <v>2912</v>
      </c>
      <c r="C2404" t="s">
        <v>2777</v>
      </c>
      <c r="D2404" t="s">
        <v>16</v>
      </c>
      <c r="E2404" t="s">
        <v>49</v>
      </c>
      <c r="F2404">
        <v>1</v>
      </c>
      <c r="G2404">
        <v>499</v>
      </c>
      <c r="H2404">
        <v>18.239999999999998</v>
      </c>
      <c r="I2404" t="s">
        <v>44</v>
      </c>
      <c r="J2404">
        <v>11</v>
      </c>
      <c r="K2404" t="s">
        <v>51</v>
      </c>
      <c r="L2404">
        <v>4</v>
      </c>
      <c r="M2404" t="str">
        <f>VLOOKUP(D2404,State_Lookup!$A$2:$B$28,2,FALSE)</f>
        <v>Sao Paulo</v>
      </c>
    </row>
    <row r="2405" spans="1:13" x14ac:dyDescent="0.45">
      <c r="A2405" t="s">
        <v>2913</v>
      </c>
      <c r="B2405" t="s">
        <v>2912</v>
      </c>
      <c r="C2405" t="s">
        <v>2777</v>
      </c>
      <c r="D2405" t="s">
        <v>16</v>
      </c>
      <c r="E2405" t="s">
        <v>61</v>
      </c>
      <c r="F2405">
        <v>2</v>
      </c>
      <c r="G2405">
        <v>225.8</v>
      </c>
      <c r="H2405">
        <v>22.53</v>
      </c>
      <c r="I2405" t="s">
        <v>44</v>
      </c>
      <c r="J2405">
        <v>11</v>
      </c>
      <c r="K2405" t="s">
        <v>51</v>
      </c>
      <c r="L2405">
        <v>1</v>
      </c>
      <c r="M2405" t="str">
        <f>VLOOKUP(D2405,State_Lookup!$A$2:$B$28,2,FALSE)</f>
        <v>Sao Paulo</v>
      </c>
    </row>
    <row r="2406" spans="1:13" x14ac:dyDescent="0.45">
      <c r="A2406" t="s">
        <v>2914</v>
      </c>
      <c r="B2406" t="s">
        <v>2912</v>
      </c>
      <c r="C2406" t="s">
        <v>2777</v>
      </c>
      <c r="D2406" t="s">
        <v>24</v>
      </c>
      <c r="E2406" t="s">
        <v>142</v>
      </c>
      <c r="F2406">
        <v>1</v>
      </c>
      <c r="G2406">
        <v>79.900000000000006</v>
      </c>
      <c r="H2406">
        <v>17.809999999999999</v>
      </c>
      <c r="I2406" t="s">
        <v>44</v>
      </c>
      <c r="J2406">
        <v>11</v>
      </c>
      <c r="K2406" t="s">
        <v>51</v>
      </c>
      <c r="L2406">
        <v>1</v>
      </c>
      <c r="M2406" t="str">
        <f>VLOOKUP(D2406,State_Lookup!$A$2:$B$28,2,FALSE)</f>
        <v>Distrito Federal</v>
      </c>
    </row>
    <row r="2407" spans="1:13" x14ac:dyDescent="0.45">
      <c r="A2407" t="s">
        <v>2915</v>
      </c>
      <c r="B2407" t="s">
        <v>2912</v>
      </c>
      <c r="C2407" t="s">
        <v>2777</v>
      </c>
      <c r="D2407" t="s">
        <v>18</v>
      </c>
      <c r="E2407" t="s">
        <v>125</v>
      </c>
      <c r="F2407">
        <v>1</v>
      </c>
      <c r="G2407">
        <v>13.65</v>
      </c>
      <c r="H2407">
        <v>11.85</v>
      </c>
      <c r="I2407" t="s">
        <v>50</v>
      </c>
      <c r="J2407">
        <v>7</v>
      </c>
      <c r="K2407" t="s">
        <v>51</v>
      </c>
      <c r="L2407">
        <v>4</v>
      </c>
      <c r="M2407" t="str">
        <f>VLOOKUP(D2407,State_Lookup!$A$2:$B$28,2,FALSE)</f>
        <v>Minas Gerais</v>
      </c>
    </row>
    <row r="2408" spans="1:13" x14ac:dyDescent="0.45">
      <c r="A2408" t="s">
        <v>2916</v>
      </c>
      <c r="B2408" t="s">
        <v>2912</v>
      </c>
      <c r="C2408" t="s">
        <v>2777</v>
      </c>
      <c r="D2408" t="s">
        <v>16</v>
      </c>
      <c r="E2408" t="s">
        <v>110</v>
      </c>
      <c r="F2408">
        <v>1</v>
      </c>
      <c r="G2408">
        <v>159.9</v>
      </c>
      <c r="H2408">
        <v>16.75</v>
      </c>
      <c r="I2408" t="s">
        <v>44</v>
      </c>
      <c r="J2408">
        <v>7</v>
      </c>
      <c r="K2408" t="s">
        <v>51</v>
      </c>
      <c r="L2408">
        <v>5</v>
      </c>
      <c r="M2408" t="str">
        <f>VLOOKUP(D2408,State_Lookup!$A$2:$B$28,2,FALSE)</f>
        <v>Sao Paulo</v>
      </c>
    </row>
    <row r="2409" spans="1:13" x14ac:dyDescent="0.45">
      <c r="A2409" t="s">
        <v>2917</v>
      </c>
      <c r="B2409" t="s">
        <v>2912</v>
      </c>
      <c r="C2409" t="s">
        <v>2777</v>
      </c>
      <c r="D2409" t="s">
        <v>19</v>
      </c>
      <c r="E2409" t="s">
        <v>61</v>
      </c>
      <c r="F2409">
        <v>1</v>
      </c>
      <c r="G2409">
        <v>104.9</v>
      </c>
      <c r="H2409">
        <v>34.53</v>
      </c>
      <c r="I2409" t="s">
        <v>50</v>
      </c>
      <c r="J2409">
        <v>12</v>
      </c>
      <c r="K2409" t="s">
        <v>51</v>
      </c>
      <c r="L2409">
        <v>5</v>
      </c>
      <c r="M2409" t="str">
        <f>VLOOKUP(D2409,State_Lookup!$A$2:$B$28,2,FALSE)</f>
        <v>Rio Grande do Sul</v>
      </c>
    </row>
    <row r="2410" spans="1:13" x14ac:dyDescent="0.45">
      <c r="A2410" t="s">
        <v>2918</v>
      </c>
      <c r="B2410" t="s">
        <v>2912</v>
      </c>
      <c r="C2410" t="s">
        <v>2777</v>
      </c>
      <c r="D2410" t="s">
        <v>23</v>
      </c>
      <c r="E2410" t="s">
        <v>49</v>
      </c>
      <c r="F2410">
        <v>1</v>
      </c>
      <c r="G2410">
        <v>229.9</v>
      </c>
      <c r="H2410">
        <v>26.45</v>
      </c>
      <c r="I2410" t="s">
        <v>44</v>
      </c>
      <c r="J2410">
        <v>17</v>
      </c>
      <c r="K2410" t="s">
        <v>51</v>
      </c>
      <c r="L2410">
        <v>5</v>
      </c>
      <c r="M2410" t="str">
        <f>VLOOKUP(D2410,State_Lookup!$A$2:$B$28,2,FALSE)</f>
        <v>Espirito Santo</v>
      </c>
    </row>
    <row r="2411" spans="1:13" x14ac:dyDescent="0.45">
      <c r="A2411" t="s">
        <v>2919</v>
      </c>
      <c r="B2411" t="s">
        <v>2912</v>
      </c>
      <c r="C2411" t="s">
        <v>2777</v>
      </c>
      <c r="D2411" t="s">
        <v>18</v>
      </c>
      <c r="E2411" t="s">
        <v>148</v>
      </c>
      <c r="F2411">
        <v>1</v>
      </c>
      <c r="G2411">
        <v>29.5</v>
      </c>
      <c r="H2411">
        <v>19.84</v>
      </c>
      <c r="I2411" t="s">
        <v>44</v>
      </c>
      <c r="J2411">
        <v>8</v>
      </c>
      <c r="K2411" t="s">
        <v>51</v>
      </c>
      <c r="L2411">
        <v>4</v>
      </c>
      <c r="M2411" t="str">
        <f>VLOOKUP(D2411,State_Lookup!$A$2:$B$28,2,FALSE)</f>
        <v>Minas Gerais</v>
      </c>
    </row>
    <row r="2412" spans="1:13" x14ac:dyDescent="0.45">
      <c r="A2412" t="s">
        <v>2920</v>
      </c>
      <c r="B2412" t="s">
        <v>2912</v>
      </c>
      <c r="C2412" t="s">
        <v>2777</v>
      </c>
      <c r="D2412" t="s">
        <v>16</v>
      </c>
      <c r="E2412" t="s">
        <v>302</v>
      </c>
      <c r="F2412">
        <v>1</v>
      </c>
      <c r="G2412">
        <v>102.9</v>
      </c>
      <c r="H2412">
        <v>13.74</v>
      </c>
      <c r="I2412" t="s">
        <v>50</v>
      </c>
      <c r="J2412">
        <v>18</v>
      </c>
      <c r="K2412" t="s">
        <v>51</v>
      </c>
      <c r="L2412">
        <v>4</v>
      </c>
      <c r="M2412" t="str">
        <f>VLOOKUP(D2412,State_Lookup!$A$2:$B$28,2,FALSE)</f>
        <v>Sao Paulo</v>
      </c>
    </row>
    <row r="2413" spans="1:13" x14ac:dyDescent="0.45">
      <c r="A2413" t="s">
        <v>2921</v>
      </c>
      <c r="B2413" t="s">
        <v>2912</v>
      </c>
      <c r="C2413" t="s">
        <v>2777</v>
      </c>
      <c r="D2413" t="s">
        <v>249</v>
      </c>
      <c r="E2413" t="s">
        <v>157</v>
      </c>
      <c r="F2413">
        <v>1</v>
      </c>
      <c r="G2413">
        <v>129</v>
      </c>
      <c r="H2413">
        <v>33.35</v>
      </c>
      <c r="I2413" t="s">
        <v>44</v>
      </c>
      <c r="J2413">
        <v>18</v>
      </c>
      <c r="K2413" t="s">
        <v>51</v>
      </c>
      <c r="L2413">
        <v>5</v>
      </c>
      <c r="M2413" t="str">
        <f>VLOOKUP(D2413,State_Lookup!$A$2:$B$28,2,FALSE)</f>
        <v>Tocantins</v>
      </c>
    </row>
    <row r="2414" spans="1:13" x14ac:dyDescent="0.45">
      <c r="A2414" t="s">
        <v>2922</v>
      </c>
      <c r="B2414" t="s">
        <v>2912</v>
      </c>
      <c r="C2414" t="s">
        <v>2777</v>
      </c>
      <c r="D2414" t="s">
        <v>16</v>
      </c>
      <c r="E2414" t="s">
        <v>66</v>
      </c>
      <c r="F2414">
        <v>2</v>
      </c>
      <c r="G2414">
        <v>49.98</v>
      </c>
      <c r="H2414">
        <v>15.56</v>
      </c>
      <c r="I2414" t="s">
        <v>44</v>
      </c>
      <c r="J2414">
        <v>7</v>
      </c>
      <c r="K2414" t="s">
        <v>51</v>
      </c>
      <c r="L2414">
        <v>5</v>
      </c>
      <c r="M2414" t="str">
        <f>VLOOKUP(D2414,State_Lookup!$A$2:$B$28,2,FALSE)</f>
        <v>Sao Paulo</v>
      </c>
    </row>
    <row r="2415" spans="1:13" x14ac:dyDescent="0.45">
      <c r="A2415" t="s">
        <v>2923</v>
      </c>
      <c r="B2415" t="s">
        <v>2912</v>
      </c>
      <c r="C2415" t="s">
        <v>2777</v>
      </c>
      <c r="D2415" t="s">
        <v>20</v>
      </c>
      <c r="E2415" t="s">
        <v>157</v>
      </c>
      <c r="F2415">
        <v>12</v>
      </c>
      <c r="G2415">
        <v>1296</v>
      </c>
      <c r="H2415">
        <v>186.24</v>
      </c>
      <c r="I2415" t="s">
        <v>50</v>
      </c>
      <c r="J2415">
        <v>11</v>
      </c>
      <c r="K2415" t="s">
        <v>51</v>
      </c>
      <c r="L2415">
        <v>1</v>
      </c>
      <c r="M2415" t="str">
        <f>VLOOKUP(D2415,State_Lookup!$A$2:$B$28,2,FALSE)</f>
        <v>Parana</v>
      </c>
    </row>
    <row r="2416" spans="1:13" x14ac:dyDescent="0.45">
      <c r="A2416" t="s">
        <v>2924</v>
      </c>
      <c r="B2416" t="s">
        <v>2912</v>
      </c>
      <c r="C2416" t="s">
        <v>2777</v>
      </c>
      <c r="D2416" t="s">
        <v>17</v>
      </c>
      <c r="E2416" t="s">
        <v>110</v>
      </c>
      <c r="F2416">
        <v>2</v>
      </c>
      <c r="G2416">
        <v>279.8</v>
      </c>
      <c r="H2416">
        <v>36.46</v>
      </c>
      <c r="I2416" t="s">
        <v>50</v>
      </c>
      <c r="J2416">
        <v>14</v>
      </c>
      <c r="K2416" t="s">
        <v>51</v>
      </c>
      <c r="L2416">
        <v>5</v>
      </c>
      <c r="M2416" t="str">
        <f>VLOOKUP(D2416,State_Lookup!$A$2:$B$28,2,FALSE)</f>
        <v>Rio de Janeiro</v>
      </c>
    </row>
    <row r="2417" spans="1:13" x14ac:dyDescent="0.45">
      <c r="A2417" t="s">
        <v>2925</v>
      </c>
      <c r="B2417" t="s">
        <v>2912</v>
      </c>
      <c r="C2417" t="s">
        <v>2777</v>
      </c>
      <c r="D2417" t="s">
        <v>16</v>
      </c>
      <c r="E2417" t="s">
        <v>2926</v>
      </c>
      <c r="F2417">
        <v>1</v>
      </c>
      <c r="G2417">
        <v>75</v>
      </c>
      <c r="H2417">
        <v>36.619999999999997</v>
      </c>
      <c r="I2417" t="s">
        <v>44</v>
      </c>
      <c r="J2417">
        <v>4</v>
      </c>
      <c r="K2417" t="s">
        <v>51</v>
      </c>
      <c r="L2417">
        <v>5</v>
      </c>
      <c r="M2417" t="str">
        <f>VLOOKUP(D2417,State_Lookup!$A$2:$B$28,2,FALSE)</f>
        <v>Sao Paulo</v>
      </c>
    </row>
    <row r="2418" spans="1:13" x14ac:dyDescent="0.45">
      <c r="A2418" t="s">
        <v>2927</v>
      </c>
      <c r="B2418" t="s">
        <v>2912</v>
      </c>
      <c r="C2418" t="s">
        <v>2777</v>
      </c>
      <c r="D2418" t="s">
        <v>16</v>
      </c>
      <c r="E2418" t="s">
        <v>100</v>
      </c>
      <c r="F2418">
        <v>1</v>
      </c>
      <c r="G2418">
        <v>48</v>
      </c>
      <c r="H2418">
        <v>13.37</v>
      </c>
      <c r="I2418" t="s">
        <v>50</v>
      </c>
      <c r="J2418">
        <v>7</v>
      </c>
      <c r="K2418" t="s">
        <v>51</v>
      </c>
      <c r="L2418">
        <v>5</v>
      </c>
      <c r="M2418" t="str">
        <f>VLOOKUP(D2418,State_Lookup!$A$2:$B$28,2,FALSE)</f>
        <v>Sao Paulo</v>
      </c>
    </row>
    <row r="2419" spans="1:13" x14ac:dyDescent="0.45">
      <c r="A2419" t="s">
        <v>2928</v>
      </c>
      <c r="B2419" t="s">
        <v>2912</v>
      </c>
      <c r="C2419" t="s">
        <v>2777</v>
      </c>
      <c r="D2419" t="s">
        <v>16</v>
      </c>
      <c r="E2419" t="s">
        <v>79</v>
      </c>
      <c r="F2419">
        <v>1</v>
      </c>
      <c r="G2419">
        <v>59.99</v>
      </c>
      <c r="H2419">
        <v>9.34</v>
      </c>
      <c r="I2419" t="s">
        <v>44</v>
      </c>
      <c r="J2419">
        <v>8</v>
      </c>
      <c r="K2419" t="s">
        <v>51</v>
      </c>
      <c r="L2419">
        <v>5</v>
      </c>
      <c r="M2419" t="str">
        <f>VLOOKUP(D2419,State_Lookup!$A$2:$B$28,2,FALSE)</f>
        <v>Sao Paulo</v>
      </c>
    </row>
    <row r="2420" spans="1:13" x14ac:dyDescent="0.45">
      <c r="A2420" t="s">
        <v>2929</v>
      </c>
      <c r="B2420" t="s">
        <v>2930</v>
      </c>
      <c r="C2420" t="s">
        <v>2777</v>
      </c>
      <c r="D2420" t="s">
        <v>17</v>
      </c>
      <c r="E2420" t="s">
        <v>79</v>
      </c>
      <c r="F2420">
        <v>1</v>
      </c>
      <c r="G2420">
        <v>89.99</v>
      </c>
      <c r="H2420">
        <v>15.39</v>
      </c>
      <c r="I2420" t="s">
        <v>44</v>
      </c>
      <c r="J2420">
        <v>5</v>
      </c>
      <c r="K2420" t="s">
        <v>51</v>
      </c>
      <c r="L2420">
        <v>3</v>
      </c>
      <c r="M2420" t="str">
        <f>VLOOKUP(D2420,State_Lookup!$A$2:$B$28,2,FALSE)</f>
        <v>Rio de Janeiro</v>
      </c>
    </row>
    <row r="2421" spans="1:13" x14ac:dyDescent="0.45">
      <c r="A2421" t="s">
        <v>2931</v>
      </c>
      <c r="B2421" t="s">
        <v>2930</v>
      </c>
      <c r="C2421" t="s">
        <v>2777</v>
      </c>
      <c r="D2421" t="s">
        <v>16</v>
      </c>
      <c r="E2421" t="s">
        <v>64</v>
      </c>
      <c r="F2421">
        <v>1</v>
      </c>
      <c r="G2421">
        <v>349.9</v>
      </c>
      <c r="H2421">
        <v>18.21</v>
      </c>
      <c r="I2421" t="s">
        <v>44</v>
      </c>
      <c r="J2421">
        <v>20</v>
      </c>
      <c r="K2421" t="s">
        <v>51</v>
      </c>
      <c r="L2421">
        <v>5</v>
      </c>
      <c r="M2421" t="str">
        <f>VLOOKUP(D2421,State_Lookup!$A$2:$B$28,2,FALSE)</f>
        <v>Sao Paulo</v>
      </c>
    </row>
    <row r="2422" spans="1:13" x14ac:dyDescent="0.45">
      <c r="A2422" t="s">
        <v>2932</v>
      </c>
      <c r="B2422" t="s">
        <v>2930</v>
      </c>
      <c r="C2422" t="s">
        <v>2777</v>
      </c>
      <c r="D2422" t="s">
        <v>63</v>
      </c>
      <c r="E2422" t="s">
        <v>66</v>
      </c>
      <c r="F2422">
        <v>1</v>
      </c>
      <c r="G2422">
        <v>39.99</v>
      </c>
      <c r="H2422">
        <v>17.63</v>
      </c>
      <c r="I2422" t="s">
        <v>44</v>
      </c>
      <c r="J2422">
        <v>17</v>
      </c>
      <c r="K2422" t="s">
        <v>51</v>
      </c>
      <c r="L2422">
        <v>5</v>
      </c>
      <c r="M2422" t="str">
        <f>VLOOKUP(D2422,State_Lookup!$A$2:$B$28,2,FALSE)</f>
        <v>Pernambuco</v>
      </c>
    </row>
    <row r="2423" spans="1:13" x14ac:dyDescent="0.45">
      <c r="A2423" t="s">
        <v>2933</v>
      </c>
      <c r="B2423" t="s">
        <v>2930</v>
      </c>
      <c r="C2423" t="s">
        <v>2777</v>
      </c>
      <c r="D2423" t="s">
        <v>22</v>
      </c>
      <c r="E2423" t="s">
        <v>103</v>
      </c>
      <c r="F2423">
        <v>1</v>
      </c>
      <c r="G2423">
        <v>110</v>
      </c>
      <c r="H2423">
        <v>36.090000000000003</v>
      </c>
      <c r="I2423" t="s">
        <v>50</v>
      </c>
      <c r="J2423">
        <v>19</v>
      </c>
      <c r="K2423" t="s">
        <v>51</v>
      </c>
      <c r="L2423">
        <v>5</v>
      </c>
      <c r="M2423" t="str">
        <f>VLOOKUP(D2423,State_Lookup!$A$2:$B$28,2,FALSE)</f>
        <v>Bahia</v>
      </c>
    </row>
    <row r="2424" spans="1:13" x14ac:dyDescent="0.45">
      <c r="A2424" t="s">
        <v>2934</v>
      </c>
      <c r="B2424" t="s">
        <v>2930</v>
      </c>
      <c r="C2424" t="s">
        <v>2777</v>
      </c>
      <c r="D2424" t="s">
        <v>18</v>
      </c>
      <c r="E2424" t="s">
        <v>244</v>
      </c>
      <c r="F2424">
        <v>1</v>
      </c>
      <c r="G2424">
        <v>89</v>
      </c>
      <c r="H2424">
        <v>17.87</v>
      </c>
      <c r="I2424" t="s">
        <v>44</v>
      </c>
      <c r="J2424">
        <v>18</v>
      </c>
      <c r="K2424" t="s">
        <v>51</v>
      </c>
      <c r="L2424">
        <v>4</v>
      </c>
      <c r="M2424" t="str">
        <f>VLOOKUP(D2424,State_Lookup!$A$2:$B$28,2,FALSE)</f>
        <v>Minas Gerais</v>
      </c>
    </row>
    <row r="2425" spans="1:13" x14ac:dyDescent="0.45">
      <c r="A2425" t="s">
        <v>2935</v>
      </c>
      <c r="B2425" t="s">
        <v>2930</v>
      </c>
      <c r="C2425" t="s">
        <v>2777</v>
      </c>
      <c r="D2425" t="s">
        <v>16</v>
      </c>
      <c r="E2425" t="s">
        <v>107</v>
      </c>
      <c r="F2425">
        <v>1</v>
      </c>
      <c r="G2425">
        <v>35.9</v>
      </c>
      <c r="H2425">
        <v>12.69</v>
      </c>
      <c r="I2425" t="s">
        <v>44</v>
      </c>
      <c r="J2425">
        <v>9</v>
      </c>
      <c r="K2425" t="s">
        <v>51</v>
      </c>
      <c r="L2425">
        <v>3</v>
      </c>
      <c r="M2425" t="str">
        <f>VLOOKUP(D2425,State_Lookup!$A$2:$B$28,2,FALSE)</f>
        <v>Sao Paulo</v>
      </c>
    </row>
    <row r="2426" spans="1:13" x14ac:dyDescent="0.45">
      <c r="A2426" t="s">
        <v>2936</v>
      </c>
      <c r="B2426" t="s">
        <v>2930</v>
      </c>
      <c r="C2426" t="s">
        <v>2777</v>
      </c>
      <c r="D2426" t="s">
        <v>17</v>
      </c>
      <c r="E2426" t="s">
        <v>69</v>
      </c>
      <c r="F2426">
        <v>1</v>
      </c>
      <c r="G2426">
        <v>49.9</v>
      </c>
      <c r="H2426">
        <v>17.600000000000001</v>
      </c>
      <c r="I2426" t="s">
        <v>50</v>
      </c>
      <c r="J2426">
        <v>14</v>
      </c>
      <c r="K2426" t="s">
        <v>51</v>
      </c>
      <c r="L2426">
        <v>5</v>
      </c>
      <c r="M2426" t="str">
        <f>VLOOKUP(D2426,State_Lookup!$A$2:$B$28,2,FALSE)</f>
        <v>Rio de Janeiro</v>
      </c>
    </row>
    <row r="2427" spans="1:13" x14ac:dyDescent="0.45">
      <c r="A2427" t="s">
        <v>2937</v>
      </c>
      <c r="B2427" t="s">
        <v>2930</v>
      </c>
      <c r="C2427" t="s">
        <v>2777</v>
      </c>
      <c r="D2427" t="s">
        <v>16</v>
      </c>
      <c r="E2427" t="s">
        <v>157</v>
      </c>
      <c r="F2427">
        <v>1</v>
      </c>
      <c r="G2427">
        <v>59.99</v>
      </c>
      <c r="H2427">
        <v>14.17</v>
      </c>
      <c r="I2427" t="s">
        <v>50</v>
      </c>
      <c r="J2427">
        <v>24</v>
      </c>
      <c r="K2427" t="s">
        <v>143</v>
      </c>
      <c r="L2427">
        <v>4</v>
      </c>
      <c r="M2427" t="str">
        <f>VLOOKUP(D2427,State_Lookup!$A$2:$B$28,2,FALSE)</f>
        <v>Sao Paulo</v>
      </c>
    </row>
    <row r="2428" spans="1:13" x14ac:dyDescent="0.45">
      <c r="A2428" t="s">
        <v>2938</v>
      </c>
      <c r="B2428" t="s">
        <v>2930</v>
      </c>
      <c r="C2428" t="s">
        <v>2777</v>
      </c>
      <c r="D2428" t="s">
        <v>20</v>
      </c>
      <c r="E2428" t="s">
        <v>49</v>
      </c>
      <c r="F2428">
        <v>1</v>
      </c>
      <c r="G2428">
        <v>79</v>
      </c>
      <c r="H2428">
        <v>12.05</v>
      </c>
      <c r="I2428" t="s">
        <v>50</v>
      </c>
      <c r="J2428">
        <v>9</v>
      </c>
      <c r="K2428" t="s">
        <v>51</v>
      </c>
      <c r="L2428">
        <v>5</v>
      </c>
      <c r="M2428" t="str">
        <f>VLOOKUP(D2428,State_Lookup!$A$2:$B$28,2,FALSE)</f>
        <v>Parana</v>
      </c>
    </row>
    <row r="2429" spans="1:13" x14ac:dyDescent="0.45">
      <c r="A2429" t="s">
        <v>2939</v>
      </c>
      <c r="B2429" t="s">
        <v>2930</v>
      </c>
      <c r="C2429" t="s">
        <v>2777</v>
      </c>
      <c r="D2429" t="s">
        <v>249</v>
      </c>
      <c r="E2429" t="s">
        <v>110</v>
      </c>
      <c r="F2429">
        <v>1</v>
      </c>
      <c r="G2429">
        <v>153</v>
      </c>
      <c r="H2429">
        <v>33.520000000000003</v>
      </c>
      <c r="I2429" t="s">
        <v>44</v>
      </c>
      <c r="J2429">
        <v>12</v>
      </c>
      <c r="K2429" t="s">
        <v>51</v>
      </c>
      <c r="L2429">
        <v>4</v>
      </c>
      <c r="M2429" t="str">
        <f>VLOOKUP(D2429,State_Lookup!$A$2:$B$28,2,FALSE)</f>
        <v>Tocantins</v>
      </c>
    </row>
    <row r="2430" spans="1:13" x14ac:dyDescent="0.45">
      <c r="A2430" t="s">
        <v>2940</v>
      </c>
      <c r="B2430" t="s">
        <v>2930</v>
      </c>
      <c r="C2430" t="s">
        <v>2777</v>
      </c>
      <c r="D2430" t="s">
        <v>16</v>
      </c>
      <c r="E2430" t="s">
        <v>43</v>
      </c>
      <c r="F2430">
        <v>2</v>
      </c>
      <c r="G2430">
        <v>158.9</v>
      </c>
      <c r="H2430">
        <v>34.119999999999997</v>
      </c>
      <c r="I2430" t="s">
        <v>50</v>
      </c>
      <c r="J2430">
        <v>18</v>
      </c>
      <c r="K2430" t="s">
        <v>51</v>
      </c>
      <c r="L2430">
        <v>5</v>
      </c>
      <c r="M2430" t="str">
        <f>VLOOKUP(D2430,State_Lookup!$A$2:$B$28,2,FALSE)</f>
        <v>Sao Paulo</v>
      </c>
    </row>
    <row r="2431" spans="1:13" x14ac:dyDescent="0.45">
      <c r="A2431" t="s">
        <v>2941</v>
      </c>
      <c r="B2431" t="s">
        <v>2930</v>
      </c>
      <c r="C2431" t="s">
        <v>2777</v>
      </c>
      <c r="D2431" t="s">
        <v>16</v>
      </c>
      <c r="E2431" t="s">
        <v>220</v>
      </c>
      <c r="F2431">
        <v>1</v>
      </c>
      <c r="G2431">
        <v>136.99</v>
      </c>
      <c r="H2431">
        <v>43.19</v>
      </c>
      <c r="I2431" t="s">
        <v>44</v>
      </c>
      <c r="J2431">
        <v>19</v>
      </c>
      <c r="K2431" t="s">
        <v>51</v>
      </c>
      <c r="L2431">
        <v>3</v>
      </c>
      <c r="M2431" t="str">
        <f>VLOOKUP(D2431,State_Lookup!$A$2:$B$28,2,FALSE)</f>
        <v>Sao Paulo</v>
      </c>
    </row>
    <row r="2432" spans="1:13" x14ac:dyDescent="0.45">
      <c r="A2432" t="s">
        <v>2942</v>
      </c>
      <c r="B2432" t="s">
        <v>2930</v>
      </c>
      <c r="C2432" t="s">
        <v>2777</v>
      </c>
      <c r="D2432" t="s">
        <v>20</v>
      </c>
      <c r="E2432" t="s">
        <v>79</v>
      </c>
      <c r="F2432">
        <v>1</v>
      </c>
      <c r="G2432">
        <v>49.99</v>
      </c>
      <c r="H2432">
        <v>17.600000000000001</v>
      </c>
      <c r="I2432" t="s">
        <v>44</v>
      </c>
      <c r="J2432">
        <v>9</v>
      </c>
      <c r="K2432" t="s">
        <v>51</v>
      </c>
      <c r="L2432">
        <v>5</v>
      </c>
      <c r="M2432" t="str">
        <f>VLOOKUP(D2432,State_Lookup!$A$2:$B$28,2,FALSE)</f>
        <v>Parana</v>
      </c>
    </row>
    <row r="2433" spans="1:13" x14ac:dyDescent="0.45">
      <c r="A2433" t="s">
        <v>2943</v>
      </c>
      <c r="B2433" t="s">
        <v>2930</v>
      </c>
      <c r="C2433" t="s">
        <v>2777</v>
      </c>
      <c r="D2433" t="s">
        <v>16</v>
      </c>
      <c r="E2433" t="s">
        <v>43</v>
      </c>
      <c r="F2433">
        <v>1</v>
      </c>
      <c r="G2433">
        <v>69.900000000000006</v>
      </c>
      <c r="H2433">
        <v>13.08</v>
      </c>
      <c r="I2433" t="s">
        <v>44</v>
      </c>
      <c r="J2433">
        <v>6</v>
      </c>
      <c r="K2433" t="s">
        <v>51</v>
      </c>
      <c r="L2433">
        <v>5</v>
      </c>
      <c r="M2433" t="str">
        <f>VLOOKUP(D2433,State_Lookup!$A$2:$B$28,2,FALSE)</f>
        <v>Sao Paulo</v>
      </c>
    </row>
    <row r="2434" spans="1:13" x14ac:dyDescent="0.45">
      <c r="A2434" t="s">
        <v>2944</v>
      </c>
      <c r="B2434" t="s">
        <v>2945</v>
      </c>
      <c r="C2434" t="s">
        <v>2777</v>
      </c>
      <c r="D2434" t="s">
        <v>18</v>
      </c>
      <c r="E2434" t="s">
        <v>49</v>
      </c>
      <c r="F2434">
        <v>1</v>
      </c>
      <c r="G2434">
        <v>219</v>
      </c>
      <c r="H2434">
        <v>17.97</v>
      </c>
      <c r="I2434" t="s">
        <v>44</v>
      </c>
      <c r="J2434">
        <v>15</v>
      </c>
      <c r="K2434" t="s">
        <v>51</v>
      </c>
      <c r="L2434">
        <v>5</v>
      </c>
      <c r="M2434" t="str">
        <f>VLOOKUP(D2434,State_Lookup!$A$2:$B$28,2,FALSE)</f>
        <v>Minas Gerais</v>
      </c>
    </row>
    <row r="2435" spans="1:13" x14ac:dyDescent="0.45">
      <c r="A2435" t="s">
        <v>2946</v>
      </c>
      <c r="B2435" t="s">
        <v>2945</v>
      </c>
      <c r="C2435" t="s">
        <v>2777</v>
      </c>
      <c r="D2435" t="s">
        <v>16</v>
      </c>
      <c r="E2435" t="s">
        <v>152</v>
      </c>
      <c r="F2435">
        <v>1</v>
      </c>
      <c r="G2435">
        <v>99.9</v>
      </c>
      <c r="H2435">
        <v>36.21</v>
      </c>
      <c r="I2435" t="s">
        <v>133</v>
      </c>
      <c r="J2435">
        <v>11</v>
      </c>
      <c r="K2435" t="s">
        <v>51</v>
      </c>
      <c r="L2435">
        <v>5</v>
      </c>
      <c r="M2435" t="str">
        <f>VLOOKUP(D2435,State_Lookup!$A$2:$B$28,2,FALSE)</f>
        <v>Sao Paulo</v>
      </c>
    </row>
    <row r="2436" spans="1:13" x14ac:dyDescent="0.45">
      <c r="A2436" t="s">
        <v>2947</v>
      </c>
      <c r="B2436" t="s">
        <v>2945</v>
      </c>
      <c r="C2436" t="s">
        <v>2777</v>
      </c>
      <c r="D2436" t="s">
        <v>16</v>
      </c>
      <c r="E2436" t="s">
        <v>107</v>
      </c>
      <c r="F2436">
        <v>1</v>
      </c>
      <c r="G2436">
        <v>189</v>
      </c>
      <c r="H2436">
        <v>9.89</v>
      </c>
      <c r="I2436" t="s">
        <v>108</v>
      </c>
      <c r="J2436">
        <v>3</v>
      </c>
      <c r="K2436" t="s">
        <v>51</v>
      </c>
      <c r="L2436">
        <v>5</v>
      </c>
      <c r="M2436" t="str">
        <f>VLOOKUP(D2436,State_Lookup!$A$2:$B$28,2,FALSE)</f>
        <v>Sao Paulo</v>
      </c>
    </row>
    <row r="2437" spans="1:13" x14ac:dyDescent="0.45">
      <c r="A2437" t="s">
        <v>2948</v>
      </c>
      <c r="B2437" t="s">
        <v>2945</v>
      </c>
      <c r="C2437" t="s">
        <v>2777</v>
      </c>
      <c r="D2437" t="s">
        <v>17</v>
      </c>
      <c r="E2437" t="s">
        <v>66</v>
      </c>
      <c r="F2437">
        <v>1</v>
      </c>
      <c r="G2437">
        <v>39.99</v>
      </c>
      <c r="H2437">
        <v>14.1</v>
      </c>
      <c r="I2437" t="s">
        <v>44</v>
      </c>
      <c r="J2437">
        <v>11</v>
      </c>
      <c r="K2437" t="s">
        <v>51</v>
      </c>
      <c r="L2437">
        <v>5</v>
      </c>
      <c r="M2437" t="str">
        <f>VLOOKUP(D2437,State_Lookup!$A$2:$B$28,2,FALSE)</f>
        <v>Rio de Janeiro</v>
      </c>
    </row>
    <row r="2438" spans="1:13" x14ac:dyDescent="0.45">
      <c r="A2438" t="s">
        <v>2949</v>
      </c>
      <c r="B2438" t="s">
        <v>2945</v>
      </c>
      <c r="C2438" t="s">
        <v>2777</v>
      </c>
      <c r="D2438" t="s">
        <v>16</v>
      </c>
      <c r="E2438" t="s">
        <v>204</v>
      </c>
      <c r="F2438">
        <v>1</v>
      </c>
      <c r="G2438">
        <v>29.5</v>
      </c>
      <c r="H2438">
        <v>9.94</v>
      </c>
      <c r="I2438" t="s">
        <v>44</v>
      </c>
      <c r="J2438">
        <v>12</v>
      </c>
      <c r="K2438" t="s">
        <v>51</v>
      </c>
      <c r="L2438">
        <v>5</v>
      </c>
      <c r="M2438" t="str">
        <f>VLOOKUP(D2438,State_Lookup!$A$2:$B$28,2,FALSE)</f>
        <v>Sao Paulo</v>
      </c>
    </row>
    <row r="2439" spans="1:13" x14ac:dyDescent="0.45">
      <c r="A2439" t="s">
        <v>2950</v>
      </c>
      <c r="B2439" t="s">
        <v>2945</v>
      </c>
      <c r="C2439" t="s">
        <v>2777</v>
      </c>
      <c r="D2439" t="s">
        <v>17</v>
      </c>
      <c r="E2439" t="s">
        <v>107</v>
      </c>
      <c r="F2439">
        <v>2</v>
      </c>
      <c r="G2439">
        <v>79.8</v>
      </c>
      <c r="H2439">
        <v>30.2</v>
      </c>
      <c r="I2439" t="s">
        <v>44</v>
      </c>
      <c r="J2439">
        <v>17</v>
      </c>
      <c r="K2439" t="s">
        <v>51</v>
      </c>
      <c r="L2439">
        <v>4</v>
      </c>
      <c r="M2439" t="str">
        <f>VLOOKUP(D2439,State_Lookup!$A$2:$B$28,2,FALSE)</f>
        <v>Rio de Janeiro</v>
      </c>
    </row>
    <row r="2440" spans="1:13" x14ac:dyDescent="0.45">
      <c r="A2440" t="s">
        <v>2951</v>
      </c>
      <c r="B2440" t="s">
        <v>2945</v>
      </c>
      <c r="C2440" t="s">
        <v>2777</v>
      </c>
      <c r="D2440" t="s">
        <v>16</v>
      </c>
      <c r="E2440" t="s">
        <v>2467</v>
      </c>
      <c r="F2440">
        <v>1</v>
      </c>
      <c r="G2440">
        <v>140.99</v>
      </c>
      <c r="H2440">
        <v>14.01</v>
      </c>
      <c r="I2440" t="s">
        <v>44</v>
      </c>
      <c r="J2440">
        <v>9</v>
      </c>
      <c r="K2440" t="s">
        <v>51</v>
      </c>
      <c r="L2440">
        <v>4</v>
      </c>
      <c r="M2440" t="str">
        <f>VLOOKUP(D2440,State_Lookup!$A$2:$B$28,2,FALSE)</f>
        <v>Sao Paulo</v>
      </c>
    </row>
    <row r="2441" spans="1:13" x14ac:dyDescent="0.45">
      <c r="A2441" t="s">
        <v>2952</v>
      </c>
      <c r="B2441" t="s">
        <v>2945</v>
      </c>
      <c r="C2441" t="s">
        <v>2777</v>
      </c>
      <c r="D2441" t="s">
        <v>16</v>
      </c>
      <c r="E2441" t="s">
        <v>199</v>
      </c>
      <c r="F2441">
        <v>1</v>
      </c>
      <c r="G2441">
        <v>21.1</v>
      </c>
      <c r="H2441">
        <v>9.34</v>
      </c>
      <c r="I2441" t="s">
        <v>44</v>
      </c>
      <c r="J2441">
        <v>5</v>
      </c>
      <c r="K2441" t="s">
        <v>51</v>
      </c>
      <c r="L2441">
        <v>5</v>
      </c>
      <c r="M2441" t="str">
        <f>VLOOKUP(D2441,State_Lookup!$A$2:$B$28,2,FALSE)</f>
        <v>Sao Paulo</v>
      </c>
    </row>
    <row r="2442" spans="1:13" x14ac:dyDescent="0.45">
      <c r="A2442" t="s">
        <v>2953</v>
      </c>
      <c r="B2442" t="s">
        <v>2945</v>
      </c>
      <c r="C2442" t="s">
        <v>2777</v>
      </c>
      <c r="D2442" t="s">
        <v>23</v>
      </c>
      <c r="E2442" t="s">
        <v>49</v>
      </c>
      <c r="F2442">
        <v>1</v>
      </c>
      <c r="G2442">
        <v>81</v>
      </c>
      <c r="H2442">
        <v>16.329999999999998</v>
      </c>
      <c r="I2442" t="s">
        <v>44</v>
      </c>
      <c r="J2442">
        <v>10</v>
      </c>
      <c r="K2442" t="s">
        <v>51</v>
      </c>
      <c r="L2442">
        <v>4</v>
      </c>
      <c r="M2442" t="str">
        <f>VLOOKUP(D2442,State_Lookup!$A$2:$B$28,2,FALSE)</f>
        <v>Espirito Santo</v>
      </c>
    </row>
    <row r="2443" spans="1:13" x14ac:dyDescent="0.45">
      <c r="A2443" t="s">
        <v>2954</v>
      </c>
      <c r="B2443" t="s">
        <v>2945</v>
      </c>
      <c r="C2443" t="s">
        <v>2777</v>
      </c>
      <c r="D2443" t="s">
        <v>16</v>
      </c>
      <c r="E2443" t="s">
        <v>49</v>
      </c>
      <c r="F2443">
        <v>1</v>
      </c>
      <c r="G2443">
        <v>22.5</v>
      </c>
      <c r="H2443">
        <v>17.059999999999999</v>
      </c>
      <c r="I2443" t="s">
        <v>44</v>
      </c>
      <c r="J2443">
        <v>11</v>
      </c>
      <c r="K2443" t="s">
        <v>51</v>
      </c>
      <c r="L2443">
        <v>3</v>
      </c>
      <c r="M2443" t="str">
        <f>VLOOKUP(D2443,State_Lookup!$A$2:$B$28,2,FALSE)</f>
        <v>Sao Paulo</v>
      </c>
    </row>
    <row r="2444" spans="1:13" x14ac:dyDescent="0.45">
      <c r="A2444" t="s">
        <v>2955</v>
      </c>
      <c r="B2444" t="s">
        <v>2945</v>
      </c>
      <c r="C2444" t="s">
        <v>2777</v>
      </c>
      <c r="D2444" t="s">
        <v>17</v>
      </c>
      <c r="E2444" t="s">
        <v>61</v>
      </c>
      <c r="F2444">
        <v>1</v>
      </c>
      <c r="G2444">
        <v>39.9</v>
      </c>
      <c r="H2444">
        <v>17.63</v>
      </c>
      <c r="I2444" t="s">
        <v>44</v>
      </c>
      <c r="J2444">
        <v>16</v>
      </c>
      <c r="K2444" t="s">
        <v>51</v>
      </c>
      <c r="L2444">
        <v>4</v>
      </c>
      <c r="M2444" t="str">
        <f>VLOOKUP(D2444,State_Lookup!$A$2:$B$28,2,FALSE)</f>
        <v>Rio de Janeiro</v>
      </c>
    </row>
    <row r="2445" spans="1:13" x14ac:dyDescent="0.45">
      <c r="A2445" t="s">
        <v>2956</v>
      </c>
      <c r="B2445" t="s">
        <v>2945</v>
      </c>
      <c r="C2445" t="s">
        <v>2777</v>
      </c>
      <c r="D2445" t="s">
        <v>16</v>
      </c>
      <c r="E2445" t="s">
        <v>61</v>
      </c>
      <c r="F2445">
        <v>1</v>
      </c>
      <c r="G2445">
        <v>56</v>
      </c>
      <c r="H2445">
        <v>12.73</v>
      </c>
      <c r="I2445" t="s">
        <v>50</v>
      </c>
      <c r="J2445">
        <v>6</v>
      </c>
      <c r="K2445" t="s">
        <v>51</v>
      </c>
      <c r="L2445">
        <v>5</v>
      </c>
      <c r="M2445" t="str">
        <f>VLOOKUP(D2445,State_Lookup!$A$2:$B$28,2,FALSE)</f>
        <v>Sao Paulo</v>
      </c>
    </row>
    <row r="2446" spans="1:13" x14ac:dyDescent="0.45">
      <c r="A2446" t="s">
        <v>2957</v>
      </c>
      <c r="B2446" t="s">
        <v>2945</v>
      </c>
      <c r="C2446" t="s">
        <v>2777</v>
      </c>
      <c r="D2446" t="s">
        <v>19</v>
      </c>
      <c r="E2446" t="s">
        <v>49</v>
      </c>
      <c r="F2446">
        <v>1</v>
      </c>
      <c r="G2446">
        <v>194.99</v>
      </c>
      <c r="H2446">
        <v>27.68</v>
      </c>
      <c r="I2446" t="s">
        <v>50</v>
      </c>
      <c r="J2446">
        <v>11</v>
      </c>
      <c r="K2446" t="s">
        <v>51</v>
      </c>
      <c r="L2446">
        <v>5</v>
      </c>
      <c r="M2446" t="str">
        <f>VLOOKUP(D2446,State_Lookup!$A$2:$B$28,2,FALSE)</f>
        <v>Rio Grande do Sul</v>
      </c>
    </row>
    <row r="2447" spans="1:13" x14ac:dyDescent="0.45">
      <c r="A2447" t="s">
        <v>2958</v>
      </c>
      <c r="B2447" t="s">
        <v>2945</v>
      </c>
      <c r="C2447" t="s">
        <v>2777</v>
      </c>
      <c r="D2447" t="s">
        <v>16</v>
      </c>
      <c r="E2447" t="s">
        <v>61</v>
      </c>
      <c r="F2447">
        <v>1</v>
      </c>
      <c r="G2447">
        <v>29</v>
      </c>
      <c r="H2447">
        <v>12.69</v>
      </c>
      <c r="I2447" t="s">
        <v>50</v>
      </c>
      <c r="J2447">
        <v>10</v>
      </c>
      <c r="K2447" t="s">
        <v>51</v>
      </c>
      <c r="L2447">
        <v>5</v>
      </c>
      <c r="M2447" t="str">
        <f>VLOOKUP(D2447,State_Lookup!$A$2:$B$28,2,FALSE)</f>
        <v>Sao Paulo</v>
      </c>
    </row>
    <row r="2448" spans="1:13" x14ac:dyDescent="0.45">
      <c r="A2448" t="s">
        <v>2959</v>
      </c>
      <c r="B2448" t="s">
        <v>2960</v>
      </c>
      <c r="C2448" t="s">
        <v>2777</v>
      </c>
      <c r="D2448" t="s">
        <v>16</v>
      </c>
      <c r="E2448" t="s">
        <v>142</v>
      </c>
      <c r="F2448">
        <v>1</v>
      </c>
      <c r="G2448">
        <v>189.9</v>
      </c>
      <c r="H2448">
        <v>14.35</v>
      </c>
      <c r="I2448" t="s">
        <v>44</v>
      </c>
      <c r="J2448">
        <v>10</v>
      </c>
      <c r="K2448" t="s">
        <v>51</v>
      </c>
      <c r="L2448">
        <v>5</v>
      </c>
      <c r="M2448" t="str">
        <f>VLOOKUP(D2448,State_Lookup!$A$2:$B$28,2,FALSE)</f>
        <v>Sao Paulo</v>
      </c>
    </row>
    <row r="2449" spans="1:13" x14ac:dyDescent="0.45">
      <c r="A2449" t="s">
        <v>2961</v>
      </c>
      <c r="B2449" t="s">
        <v>2960</v>
      </c>
      <c r="C2449" t="s">
        <v>2777</v>
      </c>
      <c r="D2449" t="s">
        <v>17</v>
      </c>
      <c r="E2449" t="s">
        <v>107</v>
      </c>
      <c r="F2449">
        <v>1</v>
      </c>
      <c r="G2449">
        <v>179.49</v>
      </c>
      <c r="H2449">
        <v>15.01</v>
      </c>
      <c r="I2449" t="s">
        <v>50</v>
      </c>
      <c r="J2449">
        <v>12</v>
      </c>
      <c r="K2449" t="s">
        <v>51</v>
      </c>
      <c r="L2449">
        <v>3</v>
      </c>
      <c r="M2449" t="str">
        <f>VLOOKUP(D2449,State_Lookup!$A$2:$B$28,2,FALSE)</f>
        <v>Rio de Janeiro</v>
      </c>
    </row>
    <row r="2450" spans="1:13" x14ac:dyDescent="0.45">
      <c r="A2450" t="s">
        <v>2962</v>
      </c>
      <c r="B2450" t="s">
        <v>2960</v>
      </c>
      <c r="C2450" t="s">
        <v>2777</v>
      </c>
      <c r="D2450" t="s">
        <v>16</v>
      </c>
      <c r="E2450" t="s">
        <v>61</v>
      </c>
      <c r="F2450">
        <v>1</v>
      </c>
      <c r="G2450">
        <v>31.9</v>
      </c>
      <c r="H2450">
        <v>15.1</v>
      </c>
      <c r="I2450" t="s">
        <v>44</v>
      </c>
      <c r="J2450">
        <v>14</v>
      </c>
      <c r="K2450" t="s">
        <v>51</v>
      </c>
      <c r="L2450">
        <v>5</v>
      </c>
      <c r="M2450" t="str">
        <f>VLOOKUP(D2450,State_Lookup!$A$2:$B$28,2,FALSE)</f>
        <v>Sao Paulo</v>
      </c>
    </row>
    <row r="2451" spans="1:13" x14ac:dyDescent="0.45">
      <c r="A2451" t="s">
        <v>2963</v>
      </c>
      <c r="B2451" t="s">
        <v>2960</v>
      </c>
      <c r="C2451" t="s">
        <v>2777</v>
      </c>
      <c r="D2451" t="s">
        <v>25</v>
      </c>
      <c r="E2451" t="s">
        <v>103</v>
      </c>
      <c r="F2451">
        <v>1</v>
      </c>
      <c r="G2451">
        <v>59.9</v>
      </c>
      <c r="H2451">
        <v>15.86</v>
      </c>
      <c r="I2451" t="s">
        <v>44</v>
      </c>
      <c r="J2451">
        <v>15</v>
      </c>
      <c r="K2451" t="s">
        <v>51</v>
      </c>
      <c r="L2451">
        <v>3.5</v>
      </c>
      <c r="M2451" t="str">
        <f>VLOOKUP(D2451,State_Lookup!$A$2:$B$28,2,FALSE)</f>
        <v>Goias</v>
      </c>
    </row>
    <row r="2452" spans="1:13" x14ac:dyDescent="0.45">
      <c r="A2452" t="s">
        <v>2964</v>
      </c>
      <c r="B2452" t="s">
        <v>2960</v>
      </c>
      <c r="C2452" t="s">
        <v>2777</v>
      </c>
      <c r="D2452" t="s">
        <v>20</v>
      </c>
      <c r="E2452" t="s">
        <v>79</v>
      </c>
      <c r="F2452">
        <v>1</v>
      </c>
      <c r="G2452">
        <v>33.799999999999997</v>
      </c>
      <c r="H2452">
        <v>15.1</v>
      </c>
      <c r="I2452" t="s">
        <v>44</v>
      </c>
      <c r="J2452">
        <v>16</v>
      </c>
      <c r="K2452" t="s">
        <v>51</v>
      </c>
      <c r="L2452">
        <v>3</v>
      </c>
      <c r="M2452" t="str">
        <f>VLOOKUP(D2452,State_Lookup!$A$2:$B$28,2,FALSE)</f>
        <v>Parana</v>
      </c>
    </row>
    <row r="2453" spans="1:13" x14ac:dyDescent="0.45">
      <c r="A2453" t="s">
        <v>2965</v>
      </c>
      <c r="B2453" t="s">
        <v>2960</v>
      </c>
      <c r="C2453" t="s">
        <v>2777</v>
      </c>
      <c r="D2453" t="s">
        <v>19</v>
      </c>
      <c r="E2453" t="s">
        <v>142</v>
      </c>
      <c r="F2453">
        <v>1</v>
      </c>
      <c r="G2453">
        <v>97</v>
      </c>
      <c r="H2453">
        <v>13.7</v>
      </c>
      <c r="I2453" t="s">
        <v>44</v>
      </c>
      <c r="K2453" t="s">
        <v>45</v>
      </c>
      <c r="L2453">
        <v>1</v>
      </c>
      <c r="M2453" t="str">
        <f>VLOOKUP(D2453,State_Lookup!$A$2:$B$28,2,FALSE)</f>
        <v>Rio Grande do Sul</v>
      </c>
    </row>
    <row r="2454" spans="1:13" x14ac:dyDescent="0.45">
      <c r="A2454" t="s">
        <v>2966</v>
      </c>
      <c r="B2454" t="s">
        <v>2960</v>
      </c>
      <c r="C2454" t="s">
        <v>2777</v>
      </c>
      <c r="D2454" t="s">
        <v>18</v>
      </c>
      <c r="E2454" t="s">
        <v>110</v>
      </c>
      <c r="F2454">
        <v>2</v>
      </c>
      <c r="G2454">
        <v>95.01</v>
      </c>
      <c r="H2454">
        <v>29.21</v>
      </c>
      <c r="I2454" t="s">
        <v>44</v>
      </c>
      <c r="J2454">
        <v>10</v>
      </c>
      <c r="K2454" t="s">
        <v>51</v>
      </c>
      <c r="L2454">
        <v>1</v>
      </c>
      <c r="M2454" t="str">
        <f>VLOOKUP(D2454,State_Lookup!$A$2:$B$28,2,FALSE)</f>
        <v>Minas Gerais</v>
      </c>
    </row>
    <row r="2455" spans="1:13" x14ac:dyDescent="0.45">
      <c r="A2455" t="s">
        <v>2967</v>
      </c>
      <c r="B2455" t="s">
        <v>2960</v>
      </c>
      <c r="C2455" t="s">
        <v>2777</v>
      </c>
      <c r="D2455" t="s">
        <v>17</v>
      </c>
      <c r="E2455" t="s">
        <v>61</v>
      </c>
      <c r="F2455">
        <v>1</v>
      </c>
      <c r="G2455">
        <v>89.9</v>
      </c>
      <c r="H2455">
        <v>17.07</v>
      </c>
      <c r="I2455" t="s">
        <v>50</v>
      </c>
      <c r="J2455">
        <v>16</v>
      </c>
      <c r="K2455" t="s">
        <v>51</v>
      </c>
      <c r="L2455">
        <v>5</v>
      </c>
      <c r="M2455" t="str">
        <f>VLOOKUP(D2455,State_Lookup!$A$2:$B$28,2,FALSE)</f>
        <v>Rio de Janeiro</v>
      </c>
    </row>
    <row r="2456" spans="1:13" x14ac:dyDescent="0.45">
      <c r="A2456" t="s">
        <v>2968</v>
      </c>
      <c r="B2456" t="s">
        <v>2960</v>
      </c>
      <c r="C2456" t="s">
        <v>2777</v>
      </c>
      <c r="D2456" t="s">
        <v>18</v>
      </c>
      <c r="E2456" t="s">
        <v>244</v>
      </c>
      <c r="F2456">
        <v>1</v>
      </c>
      <c r="G2456">
        <v>46.9</v>
      </c>
      <c r="H2456">
        <v>16.11</v>
      </c>
      <c r="I2456" t="s">
        <v>44</v>
      </c>
      <c r="J2456">
        <v>11</v>
      </c>
      <c r="K2456" t="s">
        <v>51</v>
      </c>
      <c r="L2456">
        <v>1</v>
      </c>
      <c r="M2456" t="str">
        <f>VLOOKUP(D2456,State_Lookup!$A$2:$B$28,2,FALSE)</f>
        <v>Minas Gerais</v>
      </c>
    </row>
    <row r="2457" spans="1:13" x14ac:dyDescent="0.45">
      <c r="A2457" t="s">
        <v>2969</v>
      </c>
      <c r="B2457" t="s">
        <v>2960</v>
      </c>
      <c r="C2457" t="s">
        <v>2777</v>
      </c>
      <c r="D2457" t="s">
        <v>16</v>
      </c>
      <c r="E2457" t="s">
        <v>43</v>
      </c>
      <c r="F2457">
        <v>1</v>
      </c>
      <c r="G2457">
        <v>69.900000000000006</v>
      </c>
      <c r="H2457">
        <v>13.08</v>
      </c>
      <c r="I2457" t="s">
        <v>44</v>
      </c>
      <c r="J2457">
        <v>2</v>
      </c>
      <c r="K2457" t="s">
        <v>51</v>
      </c>
      <c r="L2457">
        <v>4</v>
      </c>
      <c r="M2457" t="str">
        <f>VLOOKUP(D2457,State_Lookup!$A$2:$B$28,2,FALSE)</f>
        <v>Sao Paulo</v>
      </c>
    </row>
    <row r="2458" spans="1:13" x14ac:dyDescent="0.45">
      <c r="A2458" t="s">
        <v>2970</v>
      </c>
      <c r="B2458" t="s">
        <v>2960</v>
      </c>
      <c r="C2458" t="s">
        <v>2777</v>
      </c>
      <c r="D2458" t="s">
        <v>16</v>
      </c>
      <c r="E2458" t="s">
        <v>110</v>
      </c>
      <c r="F2458">
        <v>2</v>
      </c>
      <c r="G2458">
        <v>164.79</v>
      </c>
      <c r="H2458">
        <v>24.14</v>
      </c>
      <c r="I2458" t="s">
        <v>44</v>
      </c>
      <c r="J2458">
        <v>8</v>
      </c>
      <c r="K2458" t="s">
        <v>51</v>
      </c>
      <c r="L2458">
        <v>3</v>
      </c>
      <c r="M2458" t="str">
        <f>VLOOKUP(D2458,State_Lookup!$A$2:$B$28,2,FALSE)</f>
        <v>Sao Paulo</v>
      </c>
    </row>
    <row r="2459" spans="1:13" x14ac:dyDescent="0.45">
      <c r="A2459" t="s">
        <v>2971</v>
      </c>
      <c r="B2459" t="s">
        <v>2972</v>
      </c>
      <c r="C2459" t="s">
        <v>2777</v>
      </c>
      <c r="D2459" t="s">
        <v>18</v>
      </c>
      <c r="E2459" t="s">
        <v>244</v>
      </c>
      <c r="F2459">
        <v>1</v>
      </c>
      <c r="G2459">
        <v>59.9</v>
      </c>
      <c r="H2459">
        <v>8.11</v>
      </c>
      <c r="I2459" t="s">
        <v>44</v>
      </c>
      <c r="J2459">
        <v>4</v>
      </c>
      <c r="K2459" t="s">
        <v>51</v>
      </c>
      <c r="L2459">
        <v>5</v>
      </c>
      <c r="M2459" t="str">
        <f>VLOOKUP(D2459,State_Lookup!$A$2:$B$28,2,FALSE)</f>
        <v>Minas Gerais</v>
      </c>
    </row>
    <row r="2460" spans="1:13" x14ac:dyDescent="0.45">
      <c r="A2460" t="s">
        <v>2973</v>
      </c>
      <c r="B2460" t="s">
        <v>2972</v>
      </c>
      <c r="C2460" t="s">
        <v>2777</v>
      </c>
      <c r="D2460" t="s">
        <v>16</v>
      </c>
      <c r="E2460" t="s">
        <v>598</v>
      </c>
      <c r="F2460">
        <v>1</v>
      </c>
      <c r="G2460">
        <v>32.299999999999997</v>
      </c>
      <c r="H2460">
        <v>15.1</v>
      </c>
      <c r="I2460" t="s">
        <v>44</v>
      </c>
      <c r="J2460">
        <v>7</v>
      </c>
      <c r="K2460" t="s">
        <v>51</v>
      </c>
      <c r="L2460">
        <v>5</v>
      </c>
      <c r="M2460" t="str">
        <f>VLOOKUP(D2460,State_Lookup!$A$2:$B$28,2,FALSE)</f>
        <v>Sao Paulo</v>
      </c>
    </row>
    <row r="2461" spans="1:13" x14ac:dyDescent="0.45">
      <c r="A2461" t="s">
        <v>2974</v>
      </c>
      <c r="B2461" t="s">
        <v>2972</v>
      </c>
      <c r="C2461" t="s">
        <v>2777</v>
      </c>
      <c r="D2461" t="s">
        <v>20</v>
      </c>
      <c r="E2461" t="s">
        <v>61</v>
      </c>
      <c r="F2461">
        <v>1</v>
      </c>
      <c r="G2461">
        <v>89.9</v>
      </c>
      <c r="H2461">
        <v>8.3699999999999992</v>
      </c>
      <c r="I2461" t="s">
        <v>50</v>
      </c>
      <c r="J2461">
        <v>3</v>
      </c>
      <c r="K2461" t="s">
        <v>51</v>
      </c>
      <c r="L2461">
        <v>3</v>
      </c>
      <c r="M2461" t="str">
        <f>VLOOKUP(D2461,State_Lookup!$A$2:$B$28,2,FALSE)</f>
        <v>Parana</v>
      </c>
    </row>
    <row r="2462" spans="1:13" x14ac:dyDescent="0.45">
      <c r="A2462" t="s">
        <v>2975</v>
      </c>
      <c r="B2462" t="s">
        <v>2972</v>
      </c>
      <c r="C2462" t="s">
        <v>2777</v>
      </c>
      <c r="D2462" t="s">
        <v>23</v>
      </c>
      <c r="E2462" t="s">
        <v>79</v>
      </c>
      <c r="F2462">
        <v>1</v>
      </c>
      <c r="G2462">
        <v>118</v>
      </c>
      <c r="H2462">
        <v>18.079999999999998</v>
      </c>
      <c r="I2462" t="s">
        <v>44</v>
      </c>
      <c r="J2462">
        <v>10</v>
      </c>
      <c r="K2462" t="s">
        <v>51</v>
      </c>
      <c r="L2462">
        <v>5</v>
      </c>
      <c r="M2462" t="str">
        <f>VLOOKUP(D2462,State_Lookup!$A$2:$B$28,2,FALSE)</f>
        <v>Espirito Santo</v>
      </c>
    </row>
    <row r="2463" spans="1:13" x14ac:dyDescent="0.45">
      <c r="A2463" t="s">
        <v>2976</v>
      </c>
      <c r="B2463" t="s">
        <v>2972</v>
      </c>
      <c r="C2463" t="s">
        <v>2777</v>
      </c>
      <c r="D2463" t="s">
        <v>21</v>
      </c>
      <c r="E2463" t="s">
        <v>142</v>
      </c>
      <c r="F2463">
        <v>1</v>
      </c>
      <c r="G2463">
        <v>470</v>
      </c>
      <c r="H2463">
        <v>161.71</v>
      </c>
      <c r="I2463" t="s">
        <v>50</v>
      </c>
      <c r="J2463">
        <v>37</v>
      </c>
      <c r="K2463" t="s">
        <v>143</v>
      </c>
      <c r="L2463">
        <v>3</v>
      </c>
      <c r="M2463" t="str">
        <f>VLOOKUP(D2463,State_Lookup!$A$2:$B$28,2,FALSE)</f>
        <v>Santa Catarina</v>
      </c>
    </row>
    <row r="2464" spans="1:13" x14ac:dyDescent="0.45">
      <c r="A2464" t="s">
        <v>2977</v>
      </c>
      <c r="B2464" t="s">
        <v>2972</v>
      </c>
      <c r="C2464" t="s">
        <v>2777</v>
      </c>
      <c r="D2464" t="s">
        <v>16</v>
      </c>
      <c r="E2464" t="s">
        <v>79</v>
      </c>
      <c r="F2464">
        <v>1</v>
      </c>
      <c r="G2464">
        <v>199.9</v>
      </c>
      <c r="H2464">
        <v>18.649999999999999</v>
      </c>
      <c r="I2464" t="s">
        <v>44</v>
      </c>
      <c r="J2464">
        <v>15</v>
      </c>
      <c r="K2464" t="s">
        <v>51</v>
      </c>
      <c r="L2464">
        <v>4</v>
      </c>
      <c r="M2464" t="str">
        <f>VLOOKUP(D2464,State_Lookup!$A$2:$B$28,2,FALSE)</f>
        <v>Sao Paulo</v>
      </c>
    </row>
    <row r="2465" spans="1:13" x14ac:dyDescent="0.45">
      <c r="A2465" t="s">
        <v>2978</v>
      </c>
      <c r="B2465" t="s">
        <v>2972</v>
      </c>
      <c r="C2465" t="s">
        <v>2777</v>
      </c>
      <c r="D2465" t="s">
        <v>16</v>
      </c>
      <c r="E2465" t="s">
        <v>43</v>
      </c>
      <c r="F2465">
        <v>1</v>
      </c>
      <c r="G2465">
        <v>99.9</v>
      </c>
      <c r="H2465">
        <v>16.46</v>
      </c>
      <c r="I2465" t="s">
        <v>44</v>
      </c>
      <c r="J2465">
        <v>13</v>
      </c>
      <c r="K2465" t="s">
        <v>51</v>
      </c>
      <c r="L2465">
        <v>5</v>
      </c>
      <c r="M2465" t="str">
        <f>VLOOKUP(D2465,State_Lookup!$A$2:$B$28,2,FALSE)</f>
        <v>Sao Paulo</v>
      </c>
    </row>
    <row r="2466" spans="1:13" x14ac:dyDescent="0.45">
      <c r="A2466" t="s">
        <v>2979</v>
      </c>
      <c r="B2466" t="s">
        <v>2972</v>
      </c>
      <c r="C2466" t="s">
        <v>2777</v>
      </c>
      <c r="D2466" t="s">
        <v>17</v>
      </c>
      <c r="E2466" t="s">
        <v>49</v>
      </c>
      <c r="F2466">
        <v>1</v>
      </c>
      <c r="G2466">
        <v>189</v>
      </c>
      <c r="H2466">
        <v>20.81</v>
      </c>
      <c r="I2466" t="s">
        <v>44</v>
      </c>
      <c r="J2466">
        <v>8</v>
      </c>
      <c r="K2466" t="s">
        <v>51</v>
      </c>
      <c r="L2466">
        <v>5</v>
      </c>
      <c r="M2466" t="str">
        <f>VLOOKUP(D2466,State_Lookup!$A$2:$B$28,2,FALSE)</f>
        <v>Rio de Janeiro</v>
      </c>
    </row>
    <row r="2467" spans="1:13" x14ac:dyDescent="0.45">
      <c r="A2467" t="s">
        <v>2980</v>
      </c>
      <c r="B2467" t="s">
        <v>2972</v>
      </c>
      <c r="C2467" t="s">
        <v>2777</v>
      </c>
      <c r="D2467" t="s">
        <v>487</v>
      </c>
      <c r="E2467" t="s">
        <v>110</v>
      </c>
      <c r="F2467">
        <v>1</v>
      </c>
      <c r="G2467">
        <v>39.99</v>
      </c>
      <c r="H2467">
        <v>34.15</v>
      </c>
      <c r="I2467" t="s">
        <v>44</v>
      </c>
      <c r="J2467">
        <v>21</v>
      </c>
      <c r="K2467" t="s">
        <v>51</v>
      </c>
      <c r="L2467">
        <v>4</v>
      </c>
      <c r="M2467" t="str">
        <f>VLOOKUP(D2467,State_Lookup!$A$2:$B$28,2,FALSE)</f>
        <v>Rio Grande do Norte</v>
      </c>
    </row>
    <row r="2468" spans="1:13" x14ac:dyDescent="0.45">
      <c r="A2468" t="s">
        <v>2981</v>
      </c>
      <c r="B2468" t="s">
        <v>2972</v>
      </c>
      <c r="C2468" t="s">
        <v>2777</v>
      </c>
      <c r="D2468" t="s">
        <v>18</v>
      </c>
      <c r="E2468" t="s">
        <v>49</v>
      </c>
      <c r="F2468">
        <v>1</v>
      </c>
      <c r="G2468">
        <v>69.900000000000006</v>
      </c>
      <c r="H2468">
        <v>15.24</v>
      </c>
      <c r="I2468" t="s">
        <v>44</v>
      </c>
      <c r="J2468">
        <v>8</v>
      </c>
      <c r="K2468" t="s">
        <v>51</v>
      </c>
      <c r="L2468">
        <v>4</v>
      </c>
      <c r="M2468" t="str">
        <f>VLOOKUP(D2468,State_Lookup!$A$2:$B$28,2,FALSE)</f>
        <v>Minas Gerais</v>
      </c>
    </row>
    <row r="2469" spans="1:13" x14ac:dyDescent="0.45">
      <c r="A2469" t="s">
        <v>2982</v>
      </c>
      <c r="B2469" t="s">
        <v>2972</v>
      </c>
      <c r="C2469" t="s">
        <v>2777</v>
      </c>
      <c r="D2469" t="s">
        <v>16</v>
      </c>
      <c r="E2469" t="s">
        <v>66</v>
      </c>
      <c r="F2469">
        <v>1</v>
      </c>
      <c r="G2469">
        <v>688</v>
      </c>
      <c r="H2469">
        <v>16.32</v>
      </c>
      <c r="I2469" t="s">
        <v>44</v>
      </c>
      <c r="J2469">
        <v>7</v>
      </c>
      <c r="K2469" t="s">
        <v>51</v>
      </c>
      <c r="L2469">
        <v>5</v>
      </c>
      <c r="M2469" t="str">
        <f>VLOOKUP(D2469,State_Lookup!$A$2:$B$28,2,FALSE)</f>
        <v>Sao Paulo</v>
      </c>
    </row>
    <row r="2470" spans="1:13" x14ac:dyDescent="0.45">
      <c r="A2470" t="s">
        <v>2983</v>
      </c>
      <c r="B2470" t="s">
        <v>2972</v>
      </c>
      <c r="C2470" t="s">
        <v>2777</v>
      </c>
      <c r="D2470" t="s">
        <v>24</v>
      </c>
      <c r="E2470" t="s">
        <v>64</v>
      </c>
      <c r="F2470">
        <v>1</v>
      </c>
      <c r="G2470">
        <v>49.9</v>
      </c>
      <c r="H2470">
        <v>15.1</v>
      </c>
      <c r="I2470" t="s">
        <v>50</v>
      </c>
      <c r="J2470">
        <v>9</v>
      </c>
      <c r="K2470" t="s">
        <v>51</v>
      </c>
      <c r="L2470">
        <v>5</v>
      </c>
      <c r="M2470" t="str">
        <f>VLOOKUP(D2470,State_Lookup!$A$2:$B$28,2,FALSE)</f>
        <v>Distrito Federal</v>
      </c>
    </row>
    <row r="2471" spans="1:13" x14ac:dyDescent="0.45">
      <c r="A2471" t="s">
        <v>2984</v>
      </c>
      <c r="B2471" t="s">
        <v>2972</v>
      </c>
      <c r="C2471" t="s">
        <v>2777</v>
      </c>
      <c r="D2471" t="s">
        <v>16</v>
      </c>
      <c r="E2471" t="s">
        <v>49</v>
      </c>
      <c r="F2471">
        <v>1</v>
      </c>
      <c r="G2471">
        <v>21.05</v>
      </c>
      <c r="H2471">
        <v>11.85</v>
      </c>
      <c r="I2471" t="s">
        <v>44</v>
      </c>
      <c r="J2471">
        <v>7</v>
      </c>
      <c r="K2471" t="s">
        <v>51</v>
      </c>
      <c r="L2471">
        <v>5</v>
      </c>
      <c r="M2471" t="str">
        <f>VLOOKUP(D2471,State_Lookup!$A$2:$B$28,2,FALSE)</f>
        <v>Sao Paulo</v>
      </c>
    </row>
    <row r="2472" spans="1:13" x14ac:dyDescent="0.45">
      <c r="A2472" t="s">
        <v>2985</v>
      </c>
      <c r="B2472" t="s">
        <v>2972</v>
      </c>
      <c r="C2472" t="s">
        <v>2777</v>
      </c>
      <c r="D2472" t="s">
        <v>25</v>
      </c>
      <c r="E2472" t="s">
        <v>49</v>
      </c>
      <c r="F2472">
        <v>1</v>
      </c>
      <c r="G2472">
        <v>120</v>
      </c>
      <c r="H2472">
        <v>16.600000000000001</v>
      </c>
      <c r="I2472" t="s">
        <v>50</v>
      </c>
      <c r="J2472">
        <v>14</v>
      </c>
      <c r="K2472" t="s">
        <v>51</v>
      </c>
      <c r="L2472">
        <v>4</v>
      </c>
      <c r="M2472" t="str">
        <f>VLOOKUP(D2472,State_Lookup!$A$2:$B$28,2,FALSE)</f>
        <v>Goias</v>
      </c>
    </row>
    <row r="2473" spans="1:13" x14ac:dyDescent="0.45">
      <c r="A2473" t="s">
        <v>2986</v>
      </c>
      <c r="B2473" t="s">
        <v>2972</v>
      </c>
      <c r="C2473" t="s">
        <v>2777</v>
      </c>
      <c r="D2473" t="s">
        <v>22</v>
      </c>
      <c r="E2473" t="s">
        <v>125</v>
      </c>
      <c r="F2473">
        <v>1</v>
      </c>
      <c r="G2473">
        <v>38.99</v>
      </c>
      <c r="H2473">
        <v>16.79</v>
      </c>
      <c r="I2473" t="s">
        <v>44</v>
      </c>
      <c r="J2473">
        <v>21</v>
      </c>
      <c r="K2473" t="s">
        <v>51</v>
      </c>
      <c r="L2473">
        <v>5</v>
      </c>
      <c r="M2473" t="str">
        <f>VLOOKUP(D2473,State_Lookup!$A$2:$B$28,2,FALSE)</f>
        <v>Bahia</v>
      </c>
    </row>
    <row r="2474" spans="1:13" x14ac:dyDescent="0.45">
      <c r="A2474" t="s">
        <v>2987</v>
      </c>
      <c r="B2474" t="s">
        <v>2972</v>
      </c>
      <c r="C2474" t="s">
        <v>2777</v>
      </c>
      <c r="D2474" t="s">
        <v>16</v>
      </c>
      <c r="E2474" t="s">
        <v>49</v>
      </c>
      <c r="F2474">
        <v>1</v>
      </c>
      <c r="G2474">
        <v>99.9</v>
      </c>
      <c r="H2474">
        <v>16.46</v>
      </c>
      <c r="I2474" t="s">
        <v>50</v>
      </c>
      <c r="J2474">
        <v>16</v>
      </c>
      <c r="K2474" t="s">
        <v>51</v>
      </c>
      <c r="L2474">
        <v>5</v>
      </c>
      <c r="M2474" t="str">
        <f>VLOOKUP(D2474,State_Lookup!$A$2:$B$28,2,FALSE)</f>
        <v>Sao Paulo</v>
      </c>
    </row>
    <row r="2475" spans="1:13" x14ac:dyDescent="0.45">
      <c r="A2475" t="s">
        <v>2988</v>
      </c>
      <c r="B2475" t="s">
        <v>2972</v>
      </c>
      <c r="C2475" t="s">
        <v>2777</v>
      </c>
      <c r="D2475" t="s">
        <v>128</v>
      </c>
      <c r="E2475" t="s">
        <v>157</v>
      </c>
      <c r="F2475">
        <v>1</v>
      </c>
      <c r="G2475">
        <v>179.99</v>
      </c>
      <c r="H2475">
        <v>26.54</v>
      </c>
      <c r="I2475" t="s">
        <v>44</v>
      </c>
      <c r="J2475">
        <v>22</v>
      </c>
      <c r="K2475" t="s">
        <v>51</v>
      </c>
      <c r="L2475">
        <v>5</v>
      </c>
      <c r="M2475" t="str">
        <f>VLOOKUP(D2475,State_Lookup!$A$2:$B$28,2,FALSE)</f>
        <v>Ceara</v>
      </c>
    </row>
    <row r="2476" spans="1:13" x14ac:dyDescent="0.45">
      <c r="A2476" t="s">
        <v>2989</v>
      </c>
      <c r="B2476" t="s">
        <v>2972</v>
      </c>
      <c r="C2476" t="s">
        <v>2777</v>
      </c>
      <c r="D2476" t="s">
        <v>24</v>
      </c>
      <c r="E2476" t="s">
        <v>157</v>
      </c>
      <c r="F2476">
        <v>1</v>
      </c>
      <c r="G2476">
        <v>200</v>
      </c>
      <c r="H2476">
        <v>16.149999999999999</v>
      </c>
      <c r="I2476" t="s">
        <v>44</v>
      </c>
      <c r="J2476">
        <v>7</v>
      </c>
      <c r="K2476" t="s">
        <v>51</v>
      </c>
      <c r="L2476">
        <v>5</v>
      </c>
      <c r="M2476" t="str">
        <f>VLOOKUP(D2476,State_Lookup!$A$2:$B$28,2,FALSE)</f>
        <v>Distrito Federal</v>
      </c>
    </row>
    <row r="2477" spans="1:13" x14ac:dyDescent="0.45">
      <c r="A2477" t="s">
        <v>2990</v>
      </c>
      <c r="B2477" t="s">
        <v>2972</v>
      </c>
      <c r="C2477" t="s">
        <v>2777</v>
      </c>
      <c r="D2477" t="s">
        <v>19</v>
      </c>
      <c r="E2477" t="s">
        <v>244</v>
      </c>
      <c r="F2477">
        <v>1</v>
      </c>
      <c r="G2477">
        <v>139</v>
      </c>
      <c r="H2477">
        <v>18.22</v>
      </c>
      <c r="I2477" t="s">
        <v>44</v>
      </c>
      <c r="J2477">
        <v>46</v>
      </c>
      <c r="K2477" t="s">
        <v>143</v>
      </c>
      <c r="L2477">
        <v>4</v>
      </c>
      <c r="M2477" t="str">
        <f>VLOOKUP(D2477,State_Lookup!$A$2:$B$28,2,FALSE)</f>
        <v>Rio Grande do Sul</v>
      </c>
    </row>
    <row r="2478" spans="1:13" x14ac:dyDescent="0.45">
      <c r="A2478" t="s">
        <v>2991</v>
      </c>
      <c r="B2478" t="s">
        <v>2972</v>
      </c>
      <c r="C2478" t="s">
        <v>2777</v>
      </c>
      <c r="D2478" t="s">
        <v>18</v>
      </c>
      <c r="E2478" t="s">
        <v>61</v>
      </c>
      <c r="F2478">
        <v>1</v>
      </c>
      <c r="G2478">
        <v>79.900000000000006</v>
      </c>
      <c r="H2478">
        <v>17</v>
      </c>
      <c r="I2478" t="s">
        <v>44</v>
      </c>
      <c r="J2478">
        <v>14</v>
      </c>
      <c r="K2478" t="s">
        <v>51</v>
      </c>
      <c r="L2478">
        <v>5</v>
      </c>
      <c r="M2478" t="str">
        <f>VLOOKUP(D2478,State_Lookup!$A$2:$B$28,2,FALSE)</f>
        <v>Minas Gerais</v>
      </c>
    </row>
    <row r="2479" spans="1:13" x14ac:dyDescent="0.45">
      <c r="A2479" t="s">
        <v>2992</v>
      </c>
      <c r="B2479" t="s">
        <v>2972</v>
      </c>
      <c r="C2479" t="s">
        <v>2777</v>
      </c>
      <c r="D2479" t="s">
        <v>18</v>
      </c>
      <c r="E2479" t="s">
        <v>125</v>
      </c>
      <c r="F2479">
        <v>1</v>
      </c>
      <c r="G2479">
        <v>18.899999999999999</v>
      </c>
      <c r="H2479">
        <v>16.79</v>
      </c>
      <c r="I2479" t="s">
        <v>44</v>
      </c>
      <c r="J2479">
        <v>15</v>
      </c>
      <c r="K2479" t="s">
        <v>51</v>
      </c>
      <c r="L2479">
        <v>4</v>
      </c>
      <c r="M2479" t="str">
        <f>VLOOKUP(D2479,State_Lookup!$A$2:$B$28,2,FALSE)</f>
        <v>Minas Gerais</v>
      </c>
    </row>
    <row r="2480" spans="1:13" x14ac:dyDescent="0.45">
      <c r="A2480" t="s">
        <v>2993</v>
      </c>
      <c r="B2480" t="s">
        <v>2994</v>
      </c>
      <c r="C2480" t="s">
        <v>2777</v>
      </c>
      <c r="D2480" t="s">
        <v>63</v>
      </c>
      <c r="E2480" t="s">
        <v>79</v>
      </c>
      <c r="F2480">
        <v>1</v>
      </c>
      <c r="G2480">
        <v>29.9</v>
      </c>
      <c r="H2480">
        <v>25.63</v>
      </c>
      <c r="I2480" t="s">
        <v>50</v>
      </c>
      <c r="J2480">
        <v>24</v>
      </c>
      <c r="K2480" t="s">
        <v>51</v>
      </c>
      <c r="L2480">
        <v>5</v>
      </c>
      <c r="M2480" t="str">
        <f>VLOOKUP(D2480,State_Lookup!$A$2:$B$28,2,FALSE)</f>
        <v>Pernambuco</v>
      </c>
    </row>
    <row r="2481" spans="1:13" x14ac:dyDescent="0.45">
      <c r="A2481" t="s">
        <v>2995</v>
      </c>
      <c r="B2481" t="s">
        <v>2994</v>
      </c>
      <c r="C2481" t="s">
        <v>2777</v>
      </c>
      <c r="D2481" t="s">
        <v>16</v>
      </c>
      <c r="E2481" t="s">
        <v>366</v>
      </c>
      <c r="F2481">
        <v>1</v>
      </c>
      <c r="G2481">
        <v>50.4</v>
      </c>
      <c r="H2481">
        <v>11.85</v>
      </c>
      <c r="I2481" t="s">
        <v>44</v>
      </c>
      <c r="J2481">
        <v>21</v>
      </c>
      <c r="K2481" t="s">
        <v>51</v>
      </c>
      <c r="L2481">
        <v>5</v>
      </c>
      <c r="M2481" t="str">
        <f>VLOOKUP(D2481,State_Lookup!$A$2:$B$28,2,FALSE)</f>
        <v>Sao Paulo</v>
      </c>
    </row>
    <row r="2482" spans="1:13" x14ac:dyDescent="0.45">
      <c r="A2482" t="s">
        <v>2996</v>
      </c>
      <c r="B2482" t="s">
        <v>2994</v>
      </c>
      <c r="C2482" t="s">
        <v>2777</v>
      </c>
      <c r="D2482" t="s">
        <v>17</v>
      </c>
      <c r="E2482" t="s">
        <v>110</v>
      </c>
      <c r="F2482">
        <v>1</v>
      </c>
      <c r="G2482">
        <v>39.9</v>
      </c>
      <c r="H2482">
        <v>16.600000000000001</v>
      </c>
      <c r="I2482" t="s">
        <v>44</v>
      </c>
      <c r="J2482">
        <v>13</v>
      </c>
      <c r="K2482" t="s">
        <v>51</v>
      </c>
      <c r="L2482">
        <v>5</v>
      </c>
      <c r="M2482" t="str">
        <f>VLOOKUP(D2482,State_Lookup!$A$2:$B$28,2,FALSE)</f>
        <v>Rio de Janeiro</v>
      </c>
    </row>
    <row r="2483" spans="1:13" x14ac:dyDescent="0.45">
      <c r="A2483" t="s">
        <v>2997</v>
      </c>
      <c r="B2483" t="s">
        <v>2994</v>
      </c>
      <c r="C2483" t="s">
        <v>2777</v>
      </c>
      <c r="D2483" t="s">
        <v>219</v>
      </c>
      <c r="E2483" t="s">
        <v>220</v>
      </c>
      <c r="F2483">
        <v>1</v>
      </c>
      <c r="G2483">
        <v>189.99</v>
      </c>
      <c r="H2483">
        <v>70.14</v>
      </c>
      <c r="I2483" t="s">
        <v>44</v>
      </c>
      <c r="J2483">
        <v>50</v>
      </c>
      <c r="K2483" t="s">
        <v>51</v>
      </c>
      <c r="L2483">
        <v>4</v>
      </c>
      <c r="M2483" t="str">
        <f>VLOOKUP(D2483,State_Lookup!$A$2:$B$28,2,FALSE)</f>
        <v>Rondonia</v>
      </c>
    </row>
    <row r="2484" spans="1:13" x14ac:dyDescent="0.45">
      <c r="A2484" t="s">
        <v>2998</v>
      </c>
      <c r="B2484" t="s">
        <v>2994</v>
      </c>
      <c r="C2484" t="s">
        <v>2777</v>
      </c>
      <c r="D2484" t="s">
        <v>18</v>
      </c>
      <c r="E2484" t="s">
        <v>53</v>
      </c>
      <c r="F2484">
        <v>1</v>
      </c>
      <c r="G2484">
        <v>259.89999999999998</v>
      </c>
      <c r="H2484">
        <v>17.260000000000002</v>
      </c>
      <c r="I2484" t="s">
        <v>44</v>
      </c>
      <c r="J2484">
        <v>7</v>
      </c>
      <c r="K2484" t="s">
        <v>51</v>
      </c>
      <c r="L2484">
        <v>1</v>
      </c>
      <c r="M2484" t="str">
        <f>VLOOKUP(D2484,State_Lookup!$A$2:$B$28,2,FALSE)</f>
        <v>Minas Gerais</v>
      </c>
    </row>
    <row r="2485" spans="1:13" x14ac:dyDescent="0.45">
      <c r="A2485" t="s">
        <v>2999</v>
      </c>
      <c r="B2485" t="s">
        <v>2994</v>
      </c>
      <c r="C2485" t="s">
        <v>2777</v>
      </c>
      <c r="D2485" t="s">
        <v>24</v>
      </c>
      <c r="E2485" t="s">
        <v>49</v>
      </c>
      <c r="F2485">
        <v>1</v>
      </c>
      <c r="G2485">
        <v>229.99</v>
      </c>
      <c r="H2485">
        <v>17.86</v>
      </c>
      <c r="I2485" t="s">
        <v>44</v>
      </c>
      <c r="J2485">
        <v>8</v>
      </c>
      <c r="K2485" t="s">
        <v>51</v>
      </c>
      <c r="L2485">
        <v>5</v>
      </c>
      <c r="M2485" t="str">
        <f>VLOOKUP(D2485,State_Lookup!$A$2:$B$28,2,FALSE)</f>
        <v>Distrito Federal</v>
      </c>
    </row>
    <row r="2486" spans="1:13" x14ac:dyDescent="0.45">
      <c r="A2486" t="s">
        <v>3000</v>
      </c>
      <c r="B2486" t="s">
        <v>2994</v>
      </c>
      <c r="C2486" t="s">
        <v>2777</v>
      </c>
      <c r="D2486" t="s">
        <v>16</v>
      </c>
      <c r="E2486" t="s">
        <v>58</v>
      </c>
      <c r="F2486">
        <v>1</v>
      </c>
      <c r="G2486">
        <v>200</v>
      </c>
      <c r="H2486">
        <v>16.149999999999999</v>
      </c>
      <c r="I2486" t="s">
        <v>108</v>
      </c>
      <c r="J2486">
        <v>5</v>
      </c>
      <c r="K2486" t="s">
        <v>51</v>
      </c>
      <c r="L2486">
        <v>5</v>
      </c>
      <c r="M2486" t="str">
        <f>VLOOKUP(D2486,State_Lookup!$A$2:$B$28,2,FALSE)</f>
        <v>Sao Paulo</v>
      </c>
    </row>
    <row r="2487" spans="1:13" x14ac:dyDescent="0.45">
      <c r="A2487" t="s">
        <v>3001</v>
      </c>
      <c r="B2487" t="s">
        <v>2994</v>
      </c>
      <c r="C2487" t="s">
        <v>2777</v>
      </c>
      <c r="D2487" t="s">
        <v>17</v>
      </c>
      <c r="E2487" t="s">
        <v>49</v>
      </c>
      <c r="F2487">
        <v>1</v>
      </c>
      <c r="G2487">
        <v>39</v>
      </c>
      <c r="H2487">
        <v>15.1</v>
      </c>
      <c r="I2487" t="s">
        <v>44</v>
      </c>
      <c r="J2487">
        <v>11</v>
      </c>
      <c r="K2487" t="s">
        <v>51</v>
      </c>
      <c r="L2487">
        <v>5</v>
      </c>
      <c r="M2487" t="str">
        <f>VLOOKUP(D2487,State_Lookup!$A$2:$B$28,2,FALSE)</f>
        <v>Rio de Janeiro</v>
      </c>
    </row>
    <row r="2488" spans="1:13" x14ac:dyDescent="0.45">
      <c r="A2488" t="s">
        <v>3002</v>
      </c>
      <c r="B2488" t="s">
        <v>2994</v>
      </c>
      <c r="C2488" t="s">
        <v>2777</v>
      </c>
      <c r="D2488" t="s">
        <v>16</v>
      </c>
      <c r="E2488" t="s">
        <v>43</v>
      </c>
      <c r="F2488">
        <v>4</v>
      </c>
      <c r="G2488">
        <v>286.89999999999998</v>
      </c>
      <c r="H2488">
        <v>54.62</v>
      </c>
      <c r="I2488" t="s">
        <v>44</v>
      </c>
      <c r="J2488">
        <v>1</v>
      </c>
      <c r="K2488" t="s">
        <v>51</v>
      </c>
      <c r="L2488">
        <v>2</v>
      </c>
      <c r="M2488" t="str">
        <f>VLOOKUP(D2488,State_Lookup!$A$2:$B$28,2,FALSE)</f>
        <v>Sao Paulo</v>
      </c>
    </row>
    <row r="2489" spans="1:13" x14ac:dyDescent="0.45">
      <c r="A2489" t="s">
        <v>3003</v>
      </c>
      <c r="B2489" t="s">
        <v>2994</v>
      </c>
      <c r="C2489" t="s">
        <v>2777</v>
      </c>
      <c r="D2489" t="s">
        <v>18</v>
      </c>
      <c r="E2489" t="s">
        <v>49</v>
      </c>
      <c r="F2489">
        <v>1</v>
      </c>
      <c r="G2489">
        <v>168.99</v>
      </c>
      <c r="H2489">
        <v>15.93</v>
      </c>
      <c r="I2489" t="s">
        <v>44</v>
      </c>
      <c r="J2489">
        <v>8</v>
      </c>
      <c r="K2489" t="s">
        <v>51</v>
      </c>
      <c r="L2489">
        <v>5</v>
      </c>
      <c r="M2489" t="str">
        <f>VLOOKUP(D2489,State_Lookup!$A$2:$B$28,2,FALSE)</f>
        <v>Minas Gerais</v>
      </c>
    </row>
    <row r="2490" spans="1:13" x14ac:dyDescent="0.45">
      <c r="A2490" t="s">
        <v>3004</v>
      </c>
      <c r="B2490" t="s">
        <v>2994</v>
      </c>
      <c r="C2490" t="s">
        <v>2777</v>
      </c>
      <c r="D2490" t="s">
        <v>21</v>
      </c>
      <c r="E2490" t="s">
        <v>125</v>
      </c>
      <c r="F2490">
        <v>1</v>
      </c>
      <c r="G2490">
        <v>18.899999999999999</v>
      </c>
      <c r="H2490">
        <v>15.1</v>
      </c>
      <c r="I2490" t="s">
        <v>44</v>
      </c>
      <c r="J2490">
        <v>19</v>
      </c>
      <c r="K2490" t="s">
        <v>51</v>
      </c>
      <c r="L2490">
        <v>2</v>
      </c>
      <c r="M2490" t="str">
        <f>VLOOKUP(D2490,State_Lookup!$A$2:$B$28,2,FALSE)</f>
        <v>Santa Catarina</v>
      </c>
    </row>
    <row r="2491" spans="1:13" x14ac:dyDescent="0.45">
      <c r="A2491" t="s">
        <v>3005</v>
      </c>
      <c r="B2491" t="s">
        <v>2994</v>
      </c>
      <c r="C2491" t="s">
        <v>2777</v>
      </c>
      <c r="D2491" t="s">
        <v>16</v>
      </c>
      <c r="E2491" t="s">
        <v>43</v>
      </c>
      <c r="F2491">
        <v>1</v>
      </c>
      <c r="G2491">
        <v>69.900000000000006</v>
      </c>
      <c r="H2491">
        <v>16.12</v>
      </c>
      <c r="I2491" t="s">
        <v>44</v>
      </c>
      <c r="J2491">
        <v>9</v>
      </c>
      <c r="K2491" t="s">
        <v>51</v>
      </c>
      <c r="L2491">
        <v>3</v>
      </c>
      <c r="M2491" t="str">
        <f>VLOOKUP(D2491,State_Lookup!$A$2:$B$28,2,FALSE)</f>
        <v>Sao Paulo</v>
      </c>
    </row>
    <row r="2492" spans="1:13" x14ac:dyDescent="0.45">
      <c r="A2492" t="s">
        <v>3006</v>
      </c>
      <c r="B2492" t="s">
        <v>2994</v>
      </c>
      <c r="C2492" t="s">
        <v>2777</v>
      </c>
      <c r="D2492" t="s">
        <v>17</v>
      </c>
      <c r="E2492" t="s">
        <v>61</v>
      </c>
      <c r="F2492">
        <v>1</v>
      </c>
      <c r="G2492">
        <v>159</v>
      </c>
      <c r="H2492">
        <v>40.44</v>
      </c>
      <c r="I2492" t="s">
        <v>44</v>
      </c>
      <c r="J2492">
        <v>17</v>
      </c>
      <c r="K2492" t="s">
        <v>51</v>
      </c>
      <c r="L2492">
        <v>3</v>
      </c>
      <c r="M2492" t="str">
        <f>VLOOKUP(D2492,State_Lookup!$A$2:$B$28,2,FALSE)</f>
        <v>Rio de Janeiro</v>
      </c>
    </row>
    <row r="2493" spans="1:13" x14ac:dyDescent="0.45">
      <c r="A2493" t="s">
        <v>3007</v>
      </c>
      <c r="B2493" t="s">
        <v>2994</v>
      </c>
      <c r="C2493" t="s">
        <v>2777</v>
      </c>
      <c r="D2493" t="s">
        <v>16</v>
      </c>
      <c r="E2493" t="s">
        <v>43</v>
      </c>
      <c r="F2493">
        <v>1</v>
      </c>
      <c r="G2493">
        <v>99.9</v>
      </c>
      <c r="H2493">
        <v>16.46</v>
      </c>
      <c r="I2493" t="s">
        <v>44</v>
      </c>
      <c r="J2493">
        <v>20</v>
      </c>
      <c r="K2493" t="s">
        <v>51</v>
      </c>
      <c r="L2493">
        <v>4</v>
      </c>
      <c r="M2493" t="str">
        <f>VLOOKUP(D2493,State_Lookup!$A$2:$B$28,2,FALSE)</f>
        <v>Sao Paulo</v>
      </c>
    </row>
    <row r="2494" spans="1:13" x14ac:dyDescent="0.45">
      <c r="A2494" t="s">
        <v>3008</v>
      </c>
      <c r="B2494" t="s">
        <v>2994</v>
      </c>
      <c r="C2494" t="s">
        <v>2777</v>
      </c>
      <c r="D2494" t="s">
        <v>16</v>
      </c>
      <c r="E2494" t="s">
        <v>148</v>
      </c>
      <c r="F2494">
        <v>1</v>
      </c>
      <c r="G2494">
        <v>29.5</v>
      </c>
      <c r="H2494">
        <v>13.08</v>
      </c>
      <c r="I2494" t="s">
        <v>50</v>
      </c>
      <c r="J2494">
        <v>3</v>
      </c>
      <c r="K2494" t="s">
        <v>51</v>
      </c>
      <c r="L2494">
        <v>4</v>
      </c>
      <c r="M2494" t="str">
        <f>VLOOKUP(D2494,State_Lookup!$A$2:$B$28,2,FALSE)</f>
        <v>Sao Paulo</v>
      </c>
    </row>
    <row r="2495" spans="1:13" x14ac:dyDescent="0.45">
      <c r="A2495" t="s">
        <v>3009</v>
      </c>
      <c r="B2495" t="s">
        <v>2994</v>
      </c>
      <c r="C2495" t="s">
        <v>2777</v>
      </c>
      <c r="D2495" t="s">
        <v>16</v>
      </c>
      <c r="E2495" t="s">
        <v>49</v>
      </c>
      <c r="F2495">
        <v>1</v>
      </c>
      <c r="G2495">
        <v>252</v>
      </c>
      <c r="H2495">
        <v>15.51</v>
      </c>
      <c r="I2495" t="s">
        <v>44</v>
      </c>
      <c r="J2495">
        <v>22</v>
      </c>
      <c r="K2495" t="s">
        <v>143</v>
      </c>
      <c r="L2495">
        <v>2</v>
      </c>
      <c r="M2495" t="str">
        <f>VLOOKUP(D2495,State_Lookup!$A$2:$B$28,2,FALSE)</f>
        <v>Sao Paulo</v>
      </c>
    </row>
    <row r="2496" spans="1:13" x14ac:dyDescent="0.45">
      <c r="A2496" t="s">
        <v>3010</v>
      </c>
      <c r="B2496" t="s">
        <v>2994</v>
      </c>
      <c r="C2496" t="s">
        <v>2777</v>
      </c>
      <c r="D2496" t="s">
        <v>16</v>
      </c>
      <c r="E2496" t="s">
        <v>110</v>
      </c>
      <c r="F2496">
        <v>1</v>
      </c>
      <c r="G2496">
        <v>80</v>
      </c>
      <c r="H2496">
        <v>12.9</v>
      </c>
      <c r="I2496" t="s">
        <v>50</v>
      </c>
      <c r="J2496">
        <v>8</v>
      </c>
      <c r="K2496" t="s">
        <v>51</v>
      </c>
      <c r="L2496">
        <v>1</v>
      </c>
      <c r="M2496" t="str">
        <f>VLOOKUP(D2496,State_Lookup!$A$2:$B$28,2,FALSE)</f>
        <v>Sao Paulo</v>
      </c>
    </row>
    <row r="2497" spans="1:13" x14ac:dyDescent="0.45">
      <c r="A2497" t="s">
        <v>3011</v>
      </c>
      <c r="B2497" t="s">
        <v>3012</v>
      </c>
      <c r="C2497" t="s">
        <v>2777</v>
      </c>
      <c r="D2497" t="s">
        <v>19</v>
      </c>
      <c r="E2497" t="s">
        <v>76</v>
      </c>
      <c r="F2497">
        <v>1</v>
      </c>
      <c r="G2497">
        <v>104</v>
      </c>
      <c r="H2497">
        <v>27.05</v>
      </c>
      <c r="I2497" t="s">
        <v>44</v>
      </c>
      <c r="J2497">
        <v>12</v>
      </c>
      <c r="K2497" t="s">
        <v>51</v>
      </c>
      <c r="L2497">
        <v>5</v>
      </c>
      <c r="M2497" t="str">
        <f>VLOOKUP(D2497,State_Lookup!$A$2:$B$28,2,FALSE)</f>
        <v>Rio Grande do Sul</v>
      </c>
    </row>
    <row r="2498" spans="1:13" x14ac:dyDescent="0.45">
      <c r="A2498" t="s">
        <v>3013</v>
      </c>
      <c r="B2498" t="s">
        <v>3012</v>
      </c>
      <c r="C2498" t="s">
        <v>2777</v>
      </c>
      <c r="D2498" t="s">
        <v>25</v>
      </c>
      <c r="E2498" t="s">
        <v>64</v>
      </c>
      <c r="F2498">
        <v>1</v>
      </c>
      <c r="G2498">
        <v>155</v>
      </c>
      <c r="H2498">
        <v>20.329999999999998</v>
      </c>
      <c r="I2498" t="s">
        <v>44</v>
      </c>
      <c r="J2498">
        <v>11</v>
      </c>
      <c r="K2498" t="s">
        <v>51</v>
      </c>
      <c r="L2498">
        <v>3</v>
      </c>
      <c r="M2498" t="str">
        <f>VLOOKUP(D2498,State_Lookup!$A$2:$B$28,2,FALSE)</f>
        <v>Goias</v>
      </c>
    </row>
    <row r="2499" spans="1:13" x14ac:dyDescent="0.45">
      <c r="A2499" t="s">
        <v>3014</v>
      </c>
      <c r="B2499" t="s">
        <v>3012</v>
      </c>
      <c r="C2499" t="s">
        <v>2777</v>
      </c>
      <c r="D2499" t="s">
        <v>19</v>
      </c>
      <c r="E2499" t="s">
        <v>103</v>
      </c>
      <c r="F2499">
        <v>1</v>
      </c>
      <c r="G2499">
        <v>887</v>
      </c>
      <c r="H2499">
        <v>26.7</v>
      </c>
      <c r="I2499" t="s">
        <v>50</v>
      </c>
      <c r="J2499">
        <v>6</v>
      </c>
      <c r="K2499" t="s">
        <v>51</v>
      </c>
      <c r="L2499">
        <v>3</v>
      </c>
      <c r="M2499" t="str">
        <f>VLOOKUP(D2499,State_Lookup!$A$2:$B$28,2,FALSE)</f>
        <v>Rio Grande do Sul</v>
      </c>
    </row>
    <row r="2500" spans="1:13" x14ac:dyDescent="0.45">
      <c r="A2500" t="s">
        <v>3015</v>
      </c>
      <c r="B2500" t="s">
        <v>3012</v>
      </c>
      <c r="C2500" t="s">
        <v>2777</v>
      </c>
      <c r="D2500" t="s">
        <v>18</v>
      </c>
      <c r="E2500" t="s">
        <v>142</v>
      </c>
      <c r="F2500">
        <v>1</v>
      </c>
      <c r="G2500">
        <v>49.8</v>
      </c>
      <c r="H2500">
        <v>13.37</v>
      </c>
      <c r="I2500" t="s">
        <v>133</v>
      </c>
      <c r="J2500">
        <v>8</v>
      </c>
      <c r="K2500" t="s">
        <v>51</v>
      </c>
      <c r="L2500">
        <v>5</v>
      </c>
      <c r="M2500" t="str">
        <f>VLOOKUP(D2500,State_Lookup!$A$2:$B$28,2,FALSE)</f>
        <v>Minas Gerais</v>
      </c>
    </row>
    <row r="2501" spans="1:13" x14ac:dyDescent="0.45">
      <c r="A2501" t="s">
        <v>3016</v>
      </c>
      <c r="B2501" t="s">
        <v>3012</v>
      </c>
      <c r="C2501" t="s">
        <v>2777</v>
      </c>
      <c r="D2501" t="s">
        <v>16</v>
      </c>
      <c r="E2501" t="s">
        <v>64</v>
      </c>
      <c r="F2501">
        <v>1</v>
      </c>
      <c r="G2501">
        <v>7</v>
      </c>
      <c r="H2501">
        <v>14.1</v>
      </c>
      <c r="I2501" t="s">
        <v>44</v>
      </c>
      <c r="J2501">
        <v>8</v>
      </c>
      <c r="K2501" t="s">
        <v>51</v>
      </c>
      <c r="L2501">
        <v>5</v>
      </c>
      <c r="M2501" t="str">
        <f>VLOOKUP(D2501,State_Lookup!$A$2:$B$28,2,FALSE)</f>
        <v>Sao Paulo</v>
      </c>
    </row>
    <row r="2502" spans="1:13" x14ac:dyDescent="0.45">
      <c r="A2502" t="s">
        <v>3017</v>
      </c>
      <c r="B2502" t="s">
        <v>3012</v>
      </c>
      <c r="C2502" t="s">
        <v>2777</v>
      </c>
      <c r="D2502" t="s">
        <v>24</v>
      </c>
      <c r="E2502" t="s">
        <v>61</v>
      </c>
      <c r="F2502">
        <v>1</v>
      </c>
      <c r="G2502">
        <v>49.99</v>
      </c>
      <c r="H2502">
        <v>14.1</v>
      </c>
      <c r="I2502" t="s">
        <v>44</v>
      </c>
      <c r="J2502">
        <v>8</v>
      </c>
      <c r="K2502" t="s">
        <v>51</v>
      </c>
      <c r="L2502">
        <v>4</v>
      </c>
      <c r="M2502" t="str">
        <f>VLOOKUP(D2502,State_Lookup!$A$2:$B$28,2,FALSE)</f>
        <v>Distrito Federal</v>
      </c>
    </row>
    <row r="2503" spans="1:13" x14ac:dyDescent="0.45">
      <c r="A2503" t="s">
        <v>3018</v>
      </c>
      <c r="B2503" t="s">
        <v>3012</v>
      </c>
      <c r="C2503" t="s">
        <v>2777</v>
      </c>
      <c r="D2503" t="s">
        <v>16</v>
      </c>
      <c r="E2503" t="s">
        <v>61</v>
      </c>
      <c r="F2503">
        <v>2</v>
      </c>
      <c r="G2503">
        <v>29.98</v>
      </c>
      <c r="H2503">
        <v>15.56</v>
      </c>
      <c r="I2503" t="s">
        <v>44</v>
      </c>
      <c r="J2503">
        <v>1</v>
      </c>
      <c r="K2503" t="s">
        <v>51</v>
      </c>
      <c r="L2503">
        <v>5</v>
      </c>
      <c r="M2503" t="str">
        <f>VLOOKUP(D2503,State_Lookup!$A$2:$B$28,2,FALSE)</f>
        <v>Sao Paulo</v>
      </c>
    </row>
    <row r="2504" spans="1:13" x14ac:dyDescent="0.45">
      <c r="A2504" t="s">
        <v>3019</v>
      </c>
      <c r="B2504" t="s">
        <v>3012</v>
      </c>
      <c r="C2504" t="s">
        <v>2777</v>
      </c>
      <c r="D2504" t="s">
        <v>16</v>
      </c>
      <c r="E2504" t="s">
        <v>148</v>
      </c>
      <c r="F2504">
        <v>1</v>
      </c>
      <c r="G2504">
        <v>29.5</v>
      </c>
      <c r="H2504">
        <v>13.08</v>
      </c>
      <c r="I2504" t="s">
        <v>44</v>
      </c>
      <c r="J2504">
        <v>2</v>
      </c>
      <c r="K2504" t="s">
        <v>51</v>
      </c>
      <c r="L2504">
        <v>5</v>
      </c>
      <c r="M2504" t="str">
        <f>VLOOKUP(D2504,State_Lookup!$A$2:$B$28,2,FALSE)</f>
        <v>Sao Paulo</v>
      </c>
    </row>
    <row r="2505" spans="1:13" x14ac:dyDescent="0.45">
      <c r="A2505" t="s">
        <v>3020</v>
      </c>
      <c r="B2505" t="s">
        <v>3012</v>
      </c>
      <c r="C2505" t="s">
        <v>2777</v>
      </c>
      <c r="D2505" t="s">
        <v>16</v>
      </c>
      <c r="E2505" t="s">
        <v>3021</v>
      </c>
      <c r="F2505">
        <v>1</v>
      </c>
      <c r="G2505">
        <v>139.99</v>
      </c>
      <c r="H2505">
        <v>14.37</v>
      </c>
      <c r="I2505" t="s">
        <v>108</v>
      </c>
      <c r="J2505">
        <v>10</v>
      </c>
      <c r="K2505" t="s">
        <v>51</v>
      </c>
      <c r="L2505">
        <v>5</v>
      </c>
      <c r="M2505" t="str">
        <f>VLOOKUP(D2505,State_Lookup!$A$2:$B$28,2,FALSE)</f>
        <v>Sao Paulo</v>
      </c>
    </row>
    <row r="2506" spans="1:13" x14ac:dyDescent="0.45">
      <c r="A2506" t="s">
        <v>3022</v>
      </c>
      <c r="B2506" t="s">
        <v>3012</v>
      </c>
      <c r="C2506" t="s">
        <v>2777</v>
      </c>
      <c r="D2506" t="s">
        <v>24</v>
      </c>
      <c r="E2506" t="s">
        <v>125</v>
      </c>
      <c r="F2506">
        <v>1</v>
      </c>
      <c r="G2506">
        <v>19.899999999999999</v>
      </c>
      <c r="H2506">
        <v>25.63</v>
      </c>
      <c r="I2506" t="s">
        <v>44</v>
      </c>
      <c r="J2506">
        <v>10</v>
      </c>
      <c r="K2506" t="s">
        <v>51</v>
      </c>
      <c r="L2506">
        <v>5</v>
      </c>
      <c r="M2506" t="str">
        <f>VLOOKUP(D2506,State_Lookup!$A$2:$B$28,2,FALSE)</f>
        <v>Distrito Federal</v>
      </c>
    </row>
    <row r="2507" spans="1:13" x14ac:dyDescent="0.45">
      <c r="A2507" t="s">
        <v>3023</v>
      </c>
      <c r="B2507" t="s">
        <v>3024</v>
      </c>
      <c r="C2507" t="s">
        <v>2777</v>
      </c>
      <c r="D2507" t="s">
        <v>16</v>
      </c>
      <c r="E2507" t="s">
        <v>43</v>
      </c>
      <c r="F2507">
        <v>2</v>
      </c>
      <c r="G2507">
        <v>179.9</v>
      </c>
      <c r="H2507">
        <v>40.14</v>
      </c>
      <c r="I2507" t="s">
        <v>44</v>
      </c>
      <c r="J2507">
        <v>7</v>
      </c>
      <c r="K2507" t="s">
        <v>51</v>
      </c>
      <c r="L2507">
        <v>5</v>
      </c>
      <c r="M2507" t="str">
        <f>VLOOKUP(D2507,State_Lookup!$A$2:$B$28,2,FALSE)</f>
        <v>Sao Paulo</v>
      </c>
    </row>
    <row r="2508" spans="1:13" x14ac:dyDescent="0.45">
      <c r="A2508" t="s">
        <v>3025</v>
      </c>
      <c r="B2508" t="s">
        <v>3024</v>
      </c>
      <c r="C2508" t="s">
        <v>2777</v>
      </c>
      <c r="D2508" t="s">
        <v>25</v>
      </c>
      <c r="E2508" t="s">
        <v>66</v>
      </c>
      <c r="F2508">
        <v>1</v>
      </c>
      <c r="G2508">
        <v>17.989999999999998</v>
      </c>
      <c r="H2508">
        <v>15.1</v>
      </c>
      <c r="I2508" t="s">
        <v>50</v>
      </c>
      <c r="J2508">
        <v>18</v>
      </c>
      <c r="K2508" t="s">
        <v>51</v>
      </c>
      <c r="L2508">
        <v>5</v>
      </c>
      <c r="M2508" t="str">
        <f>VLOOKUP(D2508,State_Lookup!$A$2:$B$28,2,FALSE)</f>
        <v>Goias</v>
      </c>
    </row>
    <row r="2509" spans="1:13" x14ac:dyDescent="0.45">
      <c r="A2509" t="s">
        <v>3026</v>
      </c>
      <c r="B2509" t="s">
        <v>3024</v>
      </c>
      <c r="C2509" t="s">
        <v>2777</v>
      </c>
      <c r="D2509" t="s">
        <v>16</v>
      </c>
      <c r="E2509" t="s">
        <v>125</v>
      </c>
      <c r="F2509">
        <v>1</v>
      </c>
      <c r="G2509">
        <v>13.65</v>
      </c>
      <c r="H2509">
        <v>7.78</v>
      </c>
      <c r="I2509" t="s">
        <v>44</v>
      </c>
      <c r="J2509">
        <v>4</v>
      </c>
      <c r="K2509" t="s">
        <v>51</v>
      </c>
      <c r="L2509">
        <v>1</v>
      </c>
      <c r="M2509" t="str">
        <f>VLOOKUP(D2509,State_Lookup!$A$2:$B$28,2,FALSE)</f>
        <v>Sao Paulo</v>
      </c>
    </row>
    <row r="2510" spans="1:13" x14ac:dyDescent="0.45">
      <c r="A2510" t="s">
        <v>3027</v>
      </c>
      <c r="B2510" t="s">
        <v>3024</v>
      </c>
      <c r="C2510" t="s">
        <v>2777</v>
      </c>
      <c r="D2510" t="s">
        <v>16</v>
      </c>
      <c r="E2510" t="s">
        <v>2926</v>
      </c>
      <c r="F2510">
        <v>1</v>
      </c>
      <c r="G2510">
        <v>249</v>
      </c>
      <c r="H2510">
        <v>17.18</v>
      </c>
      <c r="I2510" t="s">
        <v>44</v>
      </c>
      <c r="J2510">
        <v>11</v>
      </c>
      <c r="K2510" t="s">
        <v>51</v>
      </c>
      <c r="L2510">
        <v>1</v>
      </c>
      <c r="M2510" t="str">
        <f>VLOOKUP(D2510,State_Lookup!$A$2:$B$28,2,FALSE)</f>
        <v>Sao Paulo</v>
      </c>
    </row>
    <row r="2511" spans="1:13" x14ac:dyDescent="0.45">
      <c r="A2511" t="s">
        <v>3028</v>
      </c>
      <c r="B2511" t="s">
        <v>3024</v>
      </c>
      <c r="C2511" t="s">
        <v>2777</v>
      </c>
      <c r="D2511" t="s">
        <v>122</v>
      </c>
      <c r="E2511" t="s">
        <v>199</v>
      </c>
      <c r="F2511">
        <v>1</v>
      </c>
      <c r="G2511">
        <v>20.3</v>
      </c>
      <c r="H2511">
        <v>25.63</v>
      </c>
      <c r="I2511" t="s">
        <v>44</v>
      </c>
      <c r="J2511">
        <v>29</v>
      </c>
      <c r="K2511" t="s">
        <v>51</v>
      </c>
      <c r="L2511">
        <v>5</v>
      </c>
      <c r="M2511" t="str">
        <f>VLOOKUP(D2511,State_Lookup!$A$2:$B$28,2,FALSE)</f>
        <v>Para</v>
      </c>
    </row>
    <row r="2512" spans="1:13" x14ac:dyDescent="0.45">
      <c r="A2512" t="s">
        <v>3029</v>
      </c>
      <c r="B2512" t="s">
        <v>3024</v>
      </c>
      <c r="C2512" t="s">
        <v>2777</v>
      </c>
      <c r="D2512" t="s">
        <v>17</v>
      </c>
      <c r="E2512" t="s">
        <v>204</v>
      </c>
      <c r="F2512">
        <v>4</v>
      </c>
      <c r="G2512">
        <v>92</v>
      </c>
      <c r="H2512">
        <v>63.16</v>
      </c>
      <c r="I2512" t="s">
        <v>44</v>
      </c>
      <c r="J2512">
        <v>7</v>
      </c>
      <c r="K2512" t="s">
        <v>51</v>
      </c>
      <c r="L2512">
        <v>5</v>
      </c>
      <c r="M2512" t="str">
        <f>VLOOKUP(D2512,State_Lookup!$A$2:$B$28,2,FALSE)</f>
        <v>Rio de Janeiro</v>
      </c>
    </row>
    <row r="2513" spans="1:13" x14ac:dyDescent="0.45">
      <c r="A2513" t="s">
        <v>3030</v>
      </c>
      <c r="B2513" t="s">
        <v>3024</v>
      </c>
      <c r="C2513" t="s">
        <v>2777</v>
      </c>
      <c r="D2513" t="s">
        <v>16</v>
      </c>
      <c r="E2513" t="s">
        <v>66</v>
      </c>
      <c r="F2513">
        <v>1</v>
      </c>
      <c r="G2513">
        <v>49.99</v>
      </c>
      <c r="H2513">
        <v>7.78</v>
      </c>
      <c r="I2513" t="s">
        <v>50</v>
      </c>
      <c r="J2513">
        <v>11</v>
      </c>
      <c r="K2513" t="s">
        <v>51</v>
      </c>
      <c r="L2513">
        <v>2</v>
      </c>
      <c r="M2513" t="str">
        <f>VLOOKUP(D2513,State_Lookup!$A$2:$B$28,2,FALSE)</f>
        <v>Sao Paulo</v>
      </c>
    </row>
    <row r="2514" spans="1:13" x14ac:dyDescent="0.45">
      <c r="A2514" t="s">
        <v>3031</v>
      </c>
      <c r="B2514" t="s">
        <v>3024</v>
      </c>
      <c r="C2514" t="s">
        <v>2777</v>
      </c>
      <c r="D2514" t="s">
        <v>17</v>
      </c>
      <c r="E2514" t="s">
        <v>53</v>
      </c>
      <c r="F2514">
        <v>1</v>
      </c>
      <c r="G2514">
        <v>49.99</v>
      </c>
      <c r="H2514">
        <v>15.79</v>
      </c>
      <c r="I2514" t="s">
        <v>133</v>
      </c>
      <c r="J2514">
        <v>11</v>
      </c>
      <c r="K2514" t="s">
        <v>51</v>
      </c>
      <c r="L2514">
        <v>5</v>
      </c>
      <c r="M2514" t="str">
        <f>VLOOKUP(D2514,State_Lookup!$A$2:$B$28,2,FALSE)</f>
        <v>Rio de Janeiro</v>
      </c>
    </row>
    <row r="2515" spans="1:13" x14ac:dyDescent="0.45">
      <c r="A2515" t="s">
        <v>3032</v>
      </c>
      <c r="B2515" t="s">
        <v>3033</v>
      </c>
      <c r="C2515" t="s">
        <v>2777</v>
      </c>
      <c r="D2515" t="s">
        <v>16</v>
      </c>
      <c r="E2515" t="s">
        <v>79</v>
      </c>
      <c r="F2515">
        <v>1</v>
      </c>
      <c r="G2515">
        <v>97.49</v>
      </c>
      <c r="H2515">
        <v>12.64</v>
      </c>
      <c r="I2515" t="s">
        <v>50</v>
      </c>
      <c r="J2515">
        <v>13</v>
      </c>
      <c r="K2515" t="s">
        <v>51</v>
      </c>
      <c r="L2515">
        <v>5</v>
      </c>
      <c r="M2515" t="str">
        <f>VLOOKUP(D2515,State_Lookup!$A$2:$B$28,2,FALSE)</f>
        <v>Sao Paulo</v>
      </c>
    </row>
    <row r="2516" spans="1:13" x14ac:dyDescent="0.45">
      <c r="A2516" t="s">
        <v>3034</v>
      </c>
      <c r="B2516" t="s">
        <v>3033</v>
      </c>
      <c r="C2516" t="s">
        <v>2777</v>
      </c>
      <c r="D2516" t="s">
        <v>24</v>
      </c>
      <c r="E2516" t="s">
        <v>43</v>
      </c>
      <c r="F2516">
        <v>1</v>
      </c>
      <c r="G2516">
        <v>89.18</v>
      </c>
      <c r="H2516">
        <v>15.38</v>
      </c>
      <c r="I2516" t="s">
        <v>44</v>
      </c>
      <c r="J2516">
        <v>17</v>
      </c>
      <c r="K2516" t="s">
        <v>51</v>
      </c>
      <c r="L2516">
        <v>4</v>
      </c>
      <c r="M2516" t="str">
        <f>VLOOKUP(D2516,State_Lookup!$A$2:$B$28,2,FALSE)</f>
        <v>Distrito Federal</v>
      </c>
    </row>
    <row r="2517" spans="1:13" x14ac:dyDescent="0.45">
      <c r="A2517" t="s">
        <v>3035</v>
      </c>
      <c r="B2517" t="s">
        <v>3033</v>
      </c>
      <c r="C2517" t="s">
        <v>2777</v>
      </c>
      <c r="D2517" t="s">
        <v>16</v>
      </c>
      <c r="E2517" t="s">
        <v>107</v>
      </c>
      <c r="F2517">
        <v>1</v>
      </c>
      <c r="G2517">
        <v>45.49</v>
      </c>
      <c r="H2517">
        <v>8.27</v>
      </c>
      <c r="I2517" t="s">
        <v>44</v>
      </c>
      <c r="J2517">
        <v>4</v>
      </c>
      <c r="K2517" t="s">
        <v>51</v>
      </c>
      <c r="L2517">
        <v>5</v>
      </c>
      <c r="M2517" t="str">
        <f>VLOOKUP(D2517,State_Lookup!$A$2:$B$28,2,FALSE)</f>
        <v>Sao Paulo</v>
      </c>
    </row>
    <row r="2518" spans="1:13" x14ac:dyDescent="0.45">
      <c r="A2518" t="s">
        <v>3036</v>
      </c>
      <c r="B2518" t="s">
        <v>3033</v>
      </c>
      <c r="C2518" t="s">
        <v>2777</v>
      </c>
      <c r="D2518" t="s">
        <v>24</v>
      </c>
      <c r="E2518" t="s">
        <v>64</v>
      </c>
      <c r="F2518">
        <v>1</v>
      </c>
      <c r="G2518">
        <v>179</v>
      </c>
      <c r="H2518">
        <v>16.010000000000002</v>
      </c>
      <c r="I2518" t="s">
        <v>44</v>
      </c>
      <c r="J2518">
        <v>11</v>
      </c>
      <c r="K2518" t="s">
        <v>51</v>
      </c>
      <c r="L2518">
        <v>3</v>
      </c>
      <c r="M2518" t="str">
        <f>VLOOKUP(D2518,State_Lookup!$A$2:$B$28,2,FALSE)</f>
        <v>Distrito Federal</v>
      </c>
    </row>
    <row r="2519" spans="1:13" x14ac:dyDescent="0.45">
      <c r="A2519" t="s">
        <v>3037</v>
      </c>
      <c r="B2519" t="s">
        <v>3033</v>
      </c>
      <c r="C2519" t="s">
        <v>2777</v>
      </c>
      <c r="D2519" t="s">
        <v>16</v>
      </c>
      <c r="E2519" t="s">
        <v>199</v>
      </c>
      <c r="F2519">
        <v>1</v>
      </c>
      <c r="G2519">
        <v>149</v>
      </c>
      <c r="H2519">
        <v>8.3000000000000007</v>
      </c>
      <c r="I2519" t="s">
        <v>44</v>
      </c>
      <c r="J2519">
        <v>3</v>
      </c>
      <c r="K2519" t="s">
        <v>51</v>
      </c>
      <c r="L2519">
        <v>1</v>
      </c>
      <c r="M2519" t="str">
        <f>VLOOKUP(D2519,State_Lookup!$A$2:$B$28,2,FALSE)</f>
        <v>Sao Paulo</v>
      </c>
    </row>
    <row r="2520" spans="1:13" x14ac:dyDescent="0.45">
      <c r="A2520" t="s">
        <v>3038</v>
      </c>
      <c r="B2520" t="s">
        <v>3033</v>
      </c>
      <c r="C2520" t="s">
        <v>2777</v>
      </c>
      <c r="D2520" t="s">
        <v>16</v>
      </c>
      <c r="E2520" t="s">
        <v>157</v>
      </c>
      <c r="F2520">
        <v>1</v>
      </c>
      <c r="G2520">
        <v>78</v>
      </c>
      <c r="H2520">
        <v>7.8</v>
      </c>
      <c r="I2520" t="s">
        <v>50</v>
      </c>
      <c r="J2520">
        <v>10</v>
      </c>
      <c r="K2520" t="s">
        <v>51</v>
      </c>
      <c r="L2520">
        <v>5</v>
      </c>
      <c r="M2520" t="str">
        <f>VLOOKUP(D2520,State_Lookup!$A$2:$B$28,2,FALSE)</f>
        <v>Sao Paulo</v>
      </c>
    </row>
    <row r="2521" spans="1:13" x14ac:dyDescent="0.45">
      <c r="A2521" t="s">
        <v>3039</v>
      </c>
      <c r="B2521" t="s">
        <v>3033</v>
      </c>
      <c r="C2521" t="s">
        <v>2777</v>
      </c>
      <c r="D2521" t="s">
        <v>632</v>
      </c>
      <c r="E2521" t="s">
        <v>58</v>
      </c>
      <c r="F2521">
        <v>1</v>
      </c>
      <c r="G2521">
        <v>689.89</v>
      </c>
      <c r="H2521">
        <v>48.68</v>
      </c>
      <c r="I2521" t="s">
        <v>44</v>
      </c>
      <c r="J2521">
        <v>34</v>
      </c>
      <c r="K2521" t="s">
        <v>51</v>
      </c>
      <c r="L2521">
        <v>1</v>
      </c>
      <c r="M2521" t="str">
        <f>VLOOKUP(D2521,State_Lookup!$A$2:$B$28,2,FALSE)</f>
        <v>Alagoas</v>
      </c>
    </row>
    <row r="2522" spans="1:13" x14ac:dyDescent="0.45">
      <c r="A2522" t="s">
        <v>3040</v>
      </c>
      <c r="B2522" t="s">
        <v>3033</v>
      </c>
      <c r="C2522" t="s">
        <v>2777</v>
      </c>
      <c r="D2522" t="s">
        <v>16</v>
      </c>
      <c r="E2522" t="s">
        <v>199</v>
      </c>
      <c r="F2522">
        <v>3</v>
      </c>
      <c r="G2522">
        <v>261.3</v>
      </c>
      <c r="H2522">
        <v>38.85</v>
      </c>
      <c r="I2522" t="s">
        <v>50</v>
      </c>
      <c r="J2522">
        <v>12</v>
      </c>
      <c r="K2522" t="s">
        <v>51</v>
      </c>
      <c r="L2522">
        <v>1</v>
      </c>
      <c r="M2522" t="str">
        <f>VLOOKUP(D2522,State_Lookup!$A$2:$B$28,2,FALSE)</f>
        <v>Sao Paulo</v>
      </c>
    </row>
    <row r="2523" spans="1:13" x14ac:dyDescent="0.45">
      <c r="A2523" t="s">
        <v>3041</v>
      </c>
      <c r="B2523" t="s">
        <v>3033</v>
      </c>
      <c r="C2523" t="s">
        <v>2777</v>
      </c>
      <c r="D2523" t="s">
        <v>17</v>
      </c>
      <c r="E2523" t="s">
        <v>49</v>
      </c>
      <c r="F2523">
        <v>1</v>
      </c>
      <c r="G2523">
        <v>899</v>
      </c>
      <c r="H2523">
        <v>104.08</v>
      </c>
      <c r="I2523" t="s">
        <v>44</v>
      </c>
      <c r="J2523">
        <v>47</v>
      </c>
      <c r="K2523" t="s">
        <v>143</v>
      </c>
      <c r="L2523">
        <v>1</v>
      </c>
      <c r="M2523" t="str">
        <f>VLOOKUP(D2523,State_Lookup!$A$2:$B$28,2,FALSE)</f>
        <v>Rio de Janeiro</v>
      </c>
    </row>
    <row r="2524" spans="1:13" x14ac:dyDescent="0.45">
      <c r="A2524" t="s">
        <v>3042</v>
      </c>
      <c r="B2524" t="s">
        <v>3033</v>
      </c>
      <c r="C2524" t="s">
        <v>2777</v>
      </c>
      <c r="D2524" t="s">
        <v>16</v>
      </c>
      <c r="E2524" t="s">
        <v>148</v>
      </c>
      <c r="F2524">
        <v>1</v>
      </c>
      <c r="G2524">
        <v>62.99</v>
      </c>
      <c r="H2524">
        <v>11.73</v>
      </c>
      <c r="I2524" t="s">
        <v>44</v>
      </c>
      <c r="J2524">
        <v>4</v>
      </c>
      <c r="K2524" t="s">
        <v>51</v>
      </c>
      <c r="L2524">
        <v>4</v>
      </c>
      <c r="M2524" t="str">
        <f>VLOOKUP(D2524,State_Lookup!$A$2:$B$28,2,FALSE)</f>
        <v>Sao Paulo</v>
      </c>
    </row>
    <row r="2525" spans="1:13" x14ac:dyDescent="0.45">
      <c r="A2525" t="s">
        <v>3043</v>
      </c>
      <c r="B2525" t="s">
        <v>3033</v>
      </c>
      <c r="C2525" t="s">
        <v>2777</v>
      </c>
      <c r="D2525" t="s">
        <v>16</v>
      </c>
      <c r="E2525" t="s">
        <v>64</v>
      </c>
      <c r="F2525">
        <v>1</v>
      </c>
      <c r="G2525">
        <v>52.9</v>
      </c>
      <c r="H2525">
        <v>15.12</v>
      </c>
      <c r="I2525" t="s">
        <v>44</v>
      </c>
      <c r="J2525">
        <v>12</v>
      </c>
      <c r="K2525" t="s">
        <v>51</v>
      </c>
      <c r="L2525">
        <v>1</v>
      </c>
      <c r="M2525" t="str">
        <f>VLOOKUP(D2525,State_Lookup!$A$2:$B$28,2,FALSE)</f>
        <v>Sao Paulo</v>
      </c>
    </row>
    <row r="2526" spans="1:13" x14ac:dyDescent="0.45">
      <c r="A2526" t="s">
        <v>3044</v>
      </c>
      <c r="B2526" t="s">
        <v>3033</v>
      </c>
      <c r="C2526" t="s">
        <v>2777</v>
      </c>
      <c r="D2526" t="s">
        <v>16</v>
      </c>
      <c r="E2526" t="s">
        <v>110</v>
      </c>
      <c r="F2526">
        <v>1</v>
      </c>
      <c r="G2526">
        <v>75.5</v>
      </c>
      <c r="H2526">
        <v>11.73</v>
      </c>
      <c r="I2526" t="s">
        <v>44</v>
      </c>
      <c r="J2526">
        <v>5</v>
      </c>
      <c r="K2526" t="s">
        <v>51</v>
      </c>
      <c r="L2526">
        <v>5</v>
      </c>
      <c r="M2526" t="str">
        <f>VLOOKUP(D2526,State_Lookup!$A$2:$B$28,2,FALSE)</f>
        <v>Sao Paulo</v>
      </c>
    </row>
    <row r="2527" spans="1:13" x14ac:dyDescent="0.45">
      <c r="A2527" t="s">
        <v>3045</v>
      </c>
      <c r="B2527" t="s">
        <v>3033</v>
      </c>
      <c r="C2527" t="s">
        <v>2777</v>
      </c>
      <c r="D2527" t="s">
        <v>16</v>
      </c>
      <c r="E2527" t="s">
        <v>100</v>
      </c>
      <c r="F2527">
        <v>1</v>
      </c>
      <c r="G2527">
        <v>429.9</v>
      </c>
      <c r="H2527">
        <v>41.94</v>
      </c>
      <c r="I2527" t="s">
        <v>44</v>
      </c>
      <c r="K2527" t="s">
        <v>45</v>
      </c>
      <c r="L2527">
        <v>1</v>
      </c>
      <c r="M2527" t="str">
        <f>VLOOKUP(D2527,State_Lookup!$A$2:$B$28,2,FALSE)</f>
        <v>Sao Paulo</v>
      </c>
    </row>
    <row r="2528" spans="1:13" x14ac:dyDescent="0.45">
      <c r="A2528" t="s">
        <v>3046</v>
      </c>
      <c r="B2528" t="s">
        <v>3047</v>
      </c>
      <c r="C2528" t="s">
        <v>2777</v>
      </c>
      <c r="D2528" t="s">
        <v>16</v>
      </c>
      <c r="E2528" t="s">
        <v>58</v>
      </c>
      <c r="F2528">
        <v>1</v>
      </c>
      <c r="G2528">
        <v>89</v>
      </c>
      <c r="H2528">
        <v>15.37</v>
      </c>
      <c r="I2528" t="s">
        <v>44</v>
      </c>
      <c r="J2528">
        <v>12</v>
      </c>
      <c r="K2528" t="s">
        <v>51</v>
      </c>
      <c r="L2528">
        <v>1</v>
      </c>
      <c r="M2528" t="str">
        <f>VLOOKUP(D2528,State_Lookup!$A$2:$B$28,2,FALSE)</f>
        <v>Sao Paulo</v>
      </c>
    </row>
    <row r="2529" spans="1:13" x14ac:dyDescent="0.45">
      <c r="A2529" t="s">
        <v>3048</v>
      </c>
      <c r="B2529" t="s">
        <v>3047</v>
      </c>
      <c r="C2529" t="s">
        <v>2777</v>
      </c>
      <c r="D2529" t="s">
        <v>16</v>
      </c>
      <c r="E2529" t="s">
        <v>103</v>
      </c>
      <c r="F2529">
        <v>1</v>
      </c>
      <c r="G2529">
        <v>124.99</v>
      </c>
      <c r="H2529">
        <v>14.62</v>
      </c>
      <c r="I2529" t="s">
        <v>50</v>
      </c>
      <c r="J2529">
        <v>12</v>
      </c>
      <c r="K2529" t="s">
        <v>51</v>
      </c>
      <c r="L2529">
        <v>5</v>
      </c>
      <c r="M2529" t="str">
        <f>VLOOKUP(D2529,State_Lookup!$A$2:$B$28,2,FALSE)</f>
        <v>Sao Paulo</v>
      </c>
    </row>
    <row r="2530" spans="1:13" x14ac:dyDescent="0.45">
      <c r="A2530" t="s">
        <v>3049</v>
      </c>
      <c r="B2530" t="s">
        <v>3047</v>
      </c>
      <c r="C2530" t="s">
        <v>2777</v>
      </c>
      <c r="D2530" t="s">
        <v>20</v>
      </c>
      <c r="E2530" t="s">
        <v>152</v>
      </c>
      <c r="F2530">
        <v>1</v>
      </c>
      <c r="G2530">
        <v>289</v>
      </c>
      <c r="H2530">
        <v>46.48</v>
      </c>
      <c r="I2530" t="s">
        <v>44</v>
      </c>
      <c r="J2530">
        <v>15</v>
      </c>
      <c r="K2530" t="s">
        <v>51</v>
      </c>
      <c r="L2530">
        <v>5</v>
      </c>
      <c r="M2530" t="str">
        <f>VLOOKUP(D2530,State_Lookup!$A$2:$B$28,2,FALSE)</f>
        <v>Parana</v>
      </c>
    </row>
    <row r="2531" spans="1:13" x14ac:dyDescent="0.45">
      <c r="A2531" t="s">
        <v>3050</v>
      </c>
      <c r="B2531" t="s">
        <v>3047</v>
      </c>
      <c r="C2531" t="s">
        <v>2777</v>
      </c>
      <c r="D2531" t="s">
        <v>21</v>
      </c>
      <c r="E2531" t="s">
        <v>186</v>
      </c>
      <c r="F2531">
        <v>1</v>
      </c>
      <c r="G2531">
        <v>59.99</v>
      </c>
      <c r="H2531">
        <v>22.74</v>
      </c>
      <c r="I2531" t="s">
        <v>44</v>
      </c>
      <c r="J2531">
        <v>9</v>
      </c>
      <c r="K2531" t="s">
        <v>51</v>
      </c>
      <c r="L2531">
        <v>5</v>
      </c>
      <c r="M2531" t="str">
        <f>VLOOKUP(D2531,State_Lookup!$A$2:$B$28,2,FALSE)</f>
        <v>Santa Catarina</v>
      </c>
    </row>
    <row r="2532" spans="1:13" x14ac:dyDescent="0.45">
      <c r="A2532" t="s">
        <v>3051</v>
      </c>
      <c r="B2532" t="s">
        <v>3047</v>
      </c>
      <c r="C2532" t="s">
        <v>2777</v>
      </c>
      <c r="D2532" t="s">
        <v>17</v>
      </c>
      <c r="E2532" t="s">
        <v>132</v>
      </c>
      <c r="F2532">
        <v>1</v>
      </c>
      <c r="G2532">
        <v>270</v>
      </c>
      <c r="H2532">
        <v>16.64</v>
      </c>
      <c r="I2532" t="s">
        <v>44</v>
      </c>
      <c r="J2532">
        <v>25</v>
      </c>
      <c r="K2532" t="s">
        <v>51</v>
      </c>
      <c r="L2532">
        <v>5</v>
      </c>
      <c r="M2532" t="str">
        <f>VLOOKUP(D2532,State_Lookup!$A$2:$B$28,2,FALSE)</f>
        <v>Rio de Janeiro</v>
      </c>
    </row>
    <row r="2533" spans="1:13" x14ac:dyDescent="0.45">
      <c r="A2533" t="s">
        <v>3052</v>
      </c>
      <c r="B2533" t="s">
        <v>3047</v>
      </c>
      <c r="C2533" t="s">
        <v>2777</v>
      </c>
      <c r="D2533" t="s">
        <v>18</v>
      </c>
      <c r="E2533" t="s">
        <v>220</v>
      </c>
      <c r="F2533">
        <v>1</v>
      </c>
      <c r="G2533">
        <v>106.94</v>
      </c>
      <c r="H2533">
        <v>28.11</v>
      </c>
      <c r="I2533" t="s">
        <v>44</v>
      </c>
      <c r="J2533">
        <v>27</v>
      </c>
      <c r="K2533" t="s">
        <v>51</v>
      </c>
      <c r="L2533">
        <v>5</v>
      </c>
      <c r="M2533" t="str">
        <f>VLOOKUP(D2533,State_Lookup!$A$2:$B$28,2,FALSE)</f>
        <v>Minas Gerais</v>
      </c>
    </row>
    <row r="2534" spans="1:13" x14ac:dyDescent="0.45">
      <c r="A2534" t="s">
        <v>3053</v>
      </c>
      <c r="B2534" t="s">
        <v>3054</v>
      </c>
      <c r="C2534" t="s">
        <v>2777</v>
      </c>
      <c r="D2534" t="s">
        <v>16</v>
      </c>
      <c r="E2534" t="s">
        <v>132</v>
      </c>
      <c r="F2534">
        <v>1</v>
      </c>
      <c r="G2534">
        <v>34.9</v>
      </c>
      <c r="H2534">
        <v>14.1</v>
      </c>
      <c r="I2534" t="s">
        <v>44</v>
      </c>
      <c r="J2534">
        <v>15</v>
      </c>
      <c r="K2534" t="s">
        <v>51</v>
      </c>
      <c r="L2534">
        <v>5</v>
      </c>
      <c r="M2534" t="str">
        <f>VLOOKUP(D2534,State_Lookup!$A$2:$B$28,2,FALSE)</f>
        <v>Sao Paulo</v>
      </c>
    </row>
    <row r="2535" spans="1:13" x14ac:dyDescent="0.45">
      <c r="A2535" t="s">
        <v>3055</v>
      </c>
      <c r="B2535" t="s">
        <v>3054</v>
      </c>
      <c r="C2535" t="s">
        <v>2777</v>
      </c>
      <c r="D2535" t="s">
        <v>16</v>
      </c>
      <c r="E2535" t="s">
        <v>1900</v>
      </c>
      <c r="F2535">
        <v>1</v>
      </c>
      <c r="G2535">
        <v>122.9</v>
      </c>
      <c r="H2535">
        <v>14.47</v>
      </c>
      <c r="I2535" t="s">
        <v>44</v>
      </c>
      <c r="J2535">
        <v>9</v>
      </c>
      <c r="K2535" t="s">
        <v>51</v>
      </c>
      <c r="L2535">
        <v>5</v>
      </c>
      <c r="M2535" t="str">
        <f>VLOOKUP(D2535,State_Lookup!$A$2:$B$28,2,FALSE)</f>
        <v>Sao Paulo</v>
      </c>
    </row>
    <row r="2536" spans="1:13" x14ac:dyDescent="0.45">
      <c r="A2536" t="s">
        <v>3056</v>
      </c>
      <c r="B2536" t="s">
        <v>3054</v>
      </c>
      <c r="C2536" t="s">
        <v>2777</v>
      </c>
      <c r="D2536" t="s">
        <v>17</v>
      </c>
      <c r="E2536" t="s">
        <v>267</v>
      </c>
      <c r="F2536">
        <v>1</v>
      </c>
      <c r="G2536">
        <v>89</v>
      </c>
      <c r="H2536">
        <v>13.46</v>
      </c>
      <c r="I2536" t="s">
        <v>44</v>
      </c>
      <c r="J2536">
        <v>4</v>
      </c>
      <c r="K2536" t="s">
        <v>51</v>
      </c>
      <c r="L2536">
        <v>5</v>
      </c>
      <c r="M2536" t="str">
        <f>VLOOKUP(D2536,State_Lookup!$A$2:$B$28,2,FALSE)</f>
        <v>Rio de Janeiro</v>
      </c>
    </row>
    <row r="2537" spans="1:13" x14ac:dyDescent="0.45">
      <c r="A2537" t="s">
        <v>3057</v>
      </c>
      <c r="B2537" t="s">
        <v>3054</v>
      </c>
      <c r="C2537" t="s">
        <v>2777</v>
      </c>
      <c r="D2537" t="s">
        <v>19</v>
      </c>
      <c r="E2537" t="s">
        <v>64</v>
      </c>
      <c r="F2537">
        <v>1</v>
      </c>
      <c r="G2537">
        <v>49.9</v>
      </c>
      <c r="H2537">
        <v>16.79</v>
      </c>
      <c r="I2537" t="s">
        <v>44</v>
      </c>
      <c r="J2537">
        <v>9</v>
      </c>
      <c r="K2537" t="s">
        <v>51</v>
      </c>
      <c r="L2537">
        <v>5</v>
      </c>
      <c r="M2537" t="str">
        <f>VLOOKUP(D2537,State_Lookup!$A$2:$B$28,2,FALSE)</f>
        <v>Rio Grande do Sul</v>
      </c>
    </row>
    <row r="2538" spans="1:13" x14ac:dyDescent="0.45">
      <c r="A2538" t="s">
        <v>3058</v>
      </c>
      <c r="B2538" t="s">
        <v>3054</v>
      </c>
      <c r="C2538" t="s">
        <v>2777</v>
      </c>
      <c r="D2538" t="s">
        <v>21</v>
      </c>
      <c r="E2538" t="s">
        <v>79</v>
      </c>
      <c r="F2538">
        <v>1</v>
      </c>
      <c r="G2538">
        <v>199.9</v>
      </c>
      <c r="H2538">
        <v>20.64</v>
      </c>
      <c r="I2538" t="s">
        <v>133</v>
      </c>
      <c r="J2538">
        <v>38</v>
      </c>
      <c r="K2538" t="s">
        <v>143</v>
      </c>
      <c r="L2538">
        <v>1</v>
      </c>
      <c r="M2538" t="str">
        <f>VLOOKUP(D2538,State_Lookup!$A$2:$B$28,2,FALSE)</f>
        <v>Santa Catarina</v>
      </c>
    </row>
    <row r="2539" spans="1:13" x14ac:dyDescent="0.45">
      <c r="A2539" t="s">
        <v>3059</v>
      </c>
      <c r="B2539" t="s">
        <v>3054</v>
      </c>
      <c r="C2539" t="s">
        <v>2777</v>
      </c>
      <c r="D2539" t="s">
        <v>16</v>
      </c>
      <c r="E2539" t="s">
        <v>148</v>
      </c>
      <c r="F2539">
        <v>1</v>
      </c>
      <c r="G2539">
        <v>144.99</v>
      </c>
      <c r="H2539">
        <v>12.22</v>
      </c>
      <c r="I2539" t="s">
        <v>50</v>
      </c>
      <c r="J2539">
        <v>9</v>
      </c>
      <c r="K2539" t="s">
        <v>51</v>
      </c>
      <c r="L2539">
        <v>5</v>
      </c>
      <c r="M2539" t="str">
        <f>VLOOKUP(D2539,State_Lookup!$A$2:$B$28,2,FALSE)</f>
        <v>Sao Paulo</v>
      </c>
    </row>
    <row r="2540" spans="1:13" x14ac:dyDescent="0.45">
      <c r="A2540" t="s">
        <v>3060</v>
      </c>
      <c r="B2540" t="s">
        <v>3054</v>
      </c>
      <c r="C2540" t="s">
        <v>2777</v>
      </c>
      <c r="D2540" t="s">
        <v>17</v>
      </c>
      <c r="E2540" t="s">
        <v>125</v>
      </c>
      <c r="F2540">
        <v>1</v>
      </c>
      <c r="G2540">
        <v>18.899999999999999</v>
      </c>
      <c r="H2540">
        <v>16.79</v>
      </c>
      <c r="I2540" t="s">
        <v>50</v>
      </c>
      <c r="J2540">
        <v>38</v>
      </c>
      <c r="K2540" t="s">
        <v>143</v>
      </c>
      <c r="L2540">
        <v>1</v>
      </c>
      <c r="M2540" t="str">
        <f>VLOOKUP(D2540,State_Lookup!$A$2:$B$28,2,FALSE)</f>
        <v>Rio de Janeiro</v>
      </c>
    </row>
    <row r="2541" spans="1:13" x14ac:dyDescent="0.45">
      <c r="A2541" t="s">
        <v>3061</v>
      </c>
      <c r="B2541" t="s">
        <v>3054</v>
      </c>
      <c r="C2541" t="s">
        <v>2777</v>
      </c>
      <c r="D2541" t="s">
        <v>16</v>
      </c>
      <c r="E2541" t="s">
        <v>43</v>
      </c>
      <c r="F2541">
        <v>1</v>
      </c>
      <c r="G2541">
        <v>159</v>
      </c>
      <c r="H2541">
        <v>19</v>
      </c>
      <c r="I2541" t="s">
        <v>50</v>
      </c>
      <c r="J2541">
        <v>9</v>
      </c>
      <c r="K2541" t="s">
        <v>51</v>
      </c>
      <c r="L2541">
        <v>5</v>
      </c>
      <c r="M2541" t="str">
        <f>VLOOKUP(D2541,State_Lookup!$A$2:$B$28,2,FALSE)</f>
        <v>Sao Paulo</v>
      </c>
    </row>
    <row r="2542" spans="1:13" x14ac:dyDescent="0.45">
      <c r="A2542" t="s">
        <v>3062</v>
      </c>
      <c r="B2542" t="s">
        <v>3054</v>
      </c>
      <c r="C2542" t="s">
        <v>2777</v>
      </c>
      <c r="D2542" t="s">
        <v>194</v>
      </c>
      <c r="E2542" t="s">
        <v>69</v>
      </c>
      <c r="F2542">
        <v>1</v>
      </c>
      <c r="G2542">
        <v>99.9</v>
      </c>
      <c r="H2542">
        <v>19.940000000000001</v>
      </c>
      <c r="I2542" t="s">
        <v>44</v>
      </c>
      <c r="J2542">
        <v>11</v>
      </c>
      <c r="K2542" t="s">
        <v>51</v>
      </c>
      <c r="L2542">
        <v>5</v>
      </c>
      <c r="M2542" t="str">
        <f>VLOOKUP(D2542,State_Lookup!$A$2:$B$28,2,FALSE)</f>
        <v>Mato Grosso do Sul</v>
      </c>
    </row>
    <row r="2543" spans="1:13" x14ac:dyDescent="0.45">
      <c r="A2543" t="s">
        <v>3063</v>
      </c>
      <c r="B2543" t="s">
        <v>3054</v>
      </c>
      <c r="C2543" t="s">
        <v>2777</v>
      </c>
      <c r="D2543" t="s">
        <v>128</v>
      </c>
      <c r="E2543" t="s">
        <v>110</v>
      </c>
      <c r="F2543">
        <v>2</v>
      </c>
      <c r="G2543">
        <v>165.9</v>
      </c>
      <c r="H2543">
        <v>54.24</v>
      </c>
      <c r="I2543" t="s">
        <v>44</v>
      </c>
      <c r="J2543">
        <v>18</v>
      </c>
      <c r="K2543" t="s">
        <v>51</v>
      </c>
      <c r="L2543">
        <v>4</v>
      </c>
      <c r="M2543" t="str">
        <f>VLOOKUP(D2543,State_Lookup!$A$2:$B$28,2,FALSE)</f>
        <v>Ceara</v>
      </c>
    </row>
    <row r="2544" spans="1:13" x14ac:dyDescent="0.45">
      <c r="A2544" t="s">
        <v>3064</v>
      </c>
      <c r="B2544" t="s">
        <v>3054</v>
      </c>
      <c r="C2544" t="s">
        <v>2777</v>
      </c>
      <c r="D2544" t="s">
        <v>16</v>
      </c>
      <c r="E2544" t="s">
        <v>125</v>
      </c>
      <c r="F2544">
        <v>1</v>
      </c>
      <c r="G2544">
        <v>12.25</v>
      </c>
      <c r="H2544">
        <v>7.78</v>
      </c>
      <c r="I2544" t="s">
        <v>44</v>
      </c>
      <c r="J2544">
        <v>4</v>
      </c>
      <c r="K2544" t="s">
        <v>51</v>
      </c>
      <c r="L2544">
        <v>2</v>
      </c>
      <c r="M2544" t="str">
        <f>VLOOKUP(D2544,State_Lookup!$A$2:$B$28,2,FALSE)</f>
        <v>Sao Paulo</v>
      </c>
    </row>
    <row r="2545" spans="1:13" x14ac:dyDescent="0.45">
      <c r="A2545" t="s">
        <v>3065</v>
      </c>
      <c r="B2545" t="s">
        <v>3054</v>
      </c>
      <c r="C2545" t="s">
        <v>2777</v>
      </c>
      <c r="D2545" t="s">
        <v>22</v>
      </c>
      <c r="E2545" t="s">
        <v>148</v>
      </c>
      <c r="F2545">
        <v>1</v>
      </c>
      <c r="G2545">
        <v>29.5</v>
      </c>
      <c r="H2545">
        <v>23.22</v>
      </c>
      <c r="I2545" t="s">
        <v>44</v>
      </c>
      <c r="J2545">
        <v>11</v>
      </c>
      <c r="K2545" t="s">
        <v>51</v>
      </c>
      <c r="L2545">
        <v>1</v>
      </c>
      <c r="M2545" t="str">
        <f>VLOOKUP(D2545,State_Lookup!$A$2:$B$28,2,FALSE)</f>
        <v>Bahia</v>
      </c>
    </row>
    <row r="2546" spans="1:13" x14ac:dyDescent="0.45">
      <c r="A2546" t="s">
        <v>3066</v>
      </c>
      <c r="B2546" t="s">
        <v>3054</v>
      </c>
      <c r="C2546" t="s">
        <v>2777</v>
      </c>
      <c r="D2546" t="s">
        <v>16</v>
      </c>
      <c r="E2546" t="s">
        <v>199</v>
      </c>
      <c r="F2546">
        <v>1</v>
      </c>
      <c r="G2546">
        <v>150</v>
      </c>
      <c r="H2546">
        <v>8.3000000000000007</v>
      </c>
      <c r="I2546" t="s">
        <v>44</v>
      </c>
      <c r="J2546">
        <v>12</v>
      </c>
      <c r="K2546" t="s">
        <v>51</v>
      </c>
      <c r="L2546">
        <v>3</v>
      </c>
      <c r="M2546" t="str">
        <f>VLOOKUP(D2546,State_Lookup!$A$2:$B$28,2,FALSE)</f>
        <v>Sao Paulo</v>
      </c>
    </row>
    <row r="2547" spans="1:13" x14ac:dyDescent="0.45">
      <c r="A2547" t="s">
        <v>3067</v>
      </c>
      <c r="B2547" t="s">
        <v>3054</v>
      </c>
      <c r="C2547" t="s">
        <v>2777</v>
      </c>
      <c r="D2547" t="s">
        <v>18</v>
      </c>
      <c r="E2547" t="s">
        <v>61</v>
      </c>
      <c r="F2547">
        <v>1</v>
      </c>
      <c r="G2547">
        <v>25.9</v>
      </c>
      <c r="H2547">
        <v>15.1</v>
      </c>
      <c r="I2547" t="s">
        <v>50</v>
      </c>
      <c r="J2547">
        <v>7</v>
      </c>
      <c r="K2547" t="s">
        <v>51</v>
      </c>
      <c r="L2547">
        <v>4</v>
      </c>
      <c r="M2547" t="str">
        <f>VLOOKUP(D2547,State_Lookup!$A$2:$B$28,2,FALSE)</f>
        <v>Minas Gerais</v>
      </c>
    </row>
    <row r="2548" spans="1:13" x14ac:dyDescent="0.45">
      <c r="A2548" t="s">
        <v>3068</v>
      </c>
      <c r="B2548" t="s">
        <v>3054</v>
      </c>
      <c r="C2548" t="s">
        <v>2777</v>
      </c>
      <c r="D2548" t="s">
        <v>16</v>
      </c>
      <c r="E2548" t="s">
        <v>132</v>
      </c>
      <c r="F2548">
        <v>1</v>
      </c>
      <c r="G2548">
        <v>89</v>
      </c>
      <c r="H2548">
        <v>14.37</v>
      </c>
      <c r="I2548" t="s">
        <v>44</v>
      </c>
      <c r="J2548">
        <v>24</v>
      </c>
      <c r="K2548" t="s">
        <v>51</v>
      </c>
      <c r="L2548">
        <v>4</v>
      </c>
      <c r="M2548" t="str">
        <f>VLOOKUP(D2548,State_Lookup!$A$2:$B$28,2,FALSE)</f>
        <v>Sao Paulo</v>
      </c>
    </row>
    <row r="2549" spans="1:13" x14ac:dyDescent="0.45">
      <c r="A2549" t="s">
        <v>3069</v>
      </c>
      <c r="B2549" t="s">
        <v>3054</v>
      </c>
      <c r="C2549" t="s">
        <v>2777</v>
      </c>
      <c r="D2549" t="s">
        <v>18</v>
      </c>
      <c r="E2549" t="s">
        <v>43</v>
      </c>
      <c r="F2549">
        <v>1</v>
      </c>
      <c r="G2549">
        <v>99.9</v>
      </c>
      <c r="H2549">
        <v>17.95</v>
      </c>
      <c r="I2549" t="s">
        <v>44</v>
      </c>
      <c r="J2549">
        <v>11</v>
      </c>
      <c r="K2549" t="s">
        <v>51</v>
      </c>
      <c r="L2549">
        <v>5</v>
      </c>
      <c r="M2549" t="str">
        <f>VLOOKUP(D2549,State_Lookup!$A$2:$B$28,2,FALSE)</f>
        <v>Minas Gerais</v>
      </c>
    </row>
    <row r="2550" spans="1:13" x14ac:dyDescent="0.45">
      <c r="A2550" t="s">
        <v>3070</v>
      </c>
      <c r="B2550" t="s">
        <v>3071</v>
      </c>
      <c r="C2550" t="s">
        <v>2777</v>
      </c>
      <c r="D2550" t="s">
        <v>18</v>
      </c>
      <c r="E2550" t="s">
        <v>49</v>
      </c>
      <c r="F2550">
        <v>1</v>
      </c>
      <c r="G2550">
        <v>39.9</v>
      </c>
      <c r="H2550">
        <v>16.79</v>
      </c>
      <c r="I2550" t="s">
        <v>44</v>
      </c>
      <c r="K2550" t="s">
        <v>45</v>
      </c>
      <c r="L2550">
        <v>1</v>
      </c>
      <c r="M2550" t="str">
        <f>VLOOKUP(D2550,State_Lookup!$A$2:$B$28,2,FALSE)</f>
        <v>Minas Gerais</v>
      </c>
    </row>
    <row r="2551" spans="1:13" x14ac:dyDescent="0.45">
      <c r="A2551" t="s">
        <v>3072</v>
      </c>
      <c r="B2551" t="s">
        <v>3071</v>
      </c>
      <c r="C2551" t="s">
        <v>2777</v>
      </c>
      <c r="D2551" t="s">
        <v>16</v>
      </c>
      <c r="E2551" t="s">
        <v>186</v>
      </c>
      <c r="F2551">
        <v>1</v>
      </c>
      <c r="G2551">
        <v>59.99</v>
      </c>
      <c r="H2551">
        <v>15.28</v>
      </c>
      <c r="I2551" t="s">
        <v>133</v>
      </c>
      <c r="J2551">
        <v>37</v>
      </c>
      <c r="K2551" t="s">
        <v>51</v>
      </c>
      <c r="L2551">
        <v>2</v>
      </c>
      <c r="M2551" t="str">
        <f>VLOOKUP(D2551,State_Lookup!$A$2:$B$28,2,FALSE)</f>
        <v>Sao Paulo</v>
      </c>
    </row>
    <row r="2552" spans="1:13" x14ac:dyDescent="0.45">
      <c r="A2552" t="s">
        <v>3073</v>
      </c>
      <c r="B2552" t="s">
        <v>3071</v>
      </c>
      <c r="C2552" t="s">
        <v>2777</v>
      </c>
      <c r="D2552" t="s">
        <v>17</v>
      </c>
      <c r="E2552" t="s">
        <v>49</v>
      </c>
      <c r="F2552">
        <v>1</v>
      </c>
      <c r="G2552">
        <v>135</v>
      </c>
      <c r="H2552">
        <v>18.2</v>
      </c>
      <c r="I2552" t="s">
        <v>50</v>
      </c>
      <c r="J2552">
        <v>12</v>
      </c>
      <c r="K2552" t="s">
        <v>51</v>
      </c>
      <c r="L2552">
        <v>1</v>
      </c>
      <c r="M2552" t="str">
        <f>VLOOKUP(D2552,State_Lookup!$A$2:$B$28,2,FALSE)</f>
        <v>Rio de Janeiro</v>
      </c>
    </row>
    <row r="2553" spans="1:13" x14ac:dyDescent="0.45">
      <c r="A2553" t="s">
        <v>3074</v>
      </c>
      <c r="B2553" t="s">
        <v>3071</v>
      </c>
      <c r="C2553" t="s">
        <v>2777</v>
      </c>
      <c r="D2553" t="s">
        <v>219</v>
      </c>
      <c r="E2553" t="s">
        <v>125</v>
      </c>
      <c r="F2553">
        <v>1</v>
      </c>
      <c r="G2553">
        <v>13.65</v>
      </c>
      <c r="H2553">
        <v>34.15</v>
      </c>
      <c r="I2553" t="s">
        <v>50</v>
      </c>
      <c r="J2553">
        <v>24</v>
      </c>
      <c r="K2553" t="s">
        <v>51</v>
      </c>
      <c r="L2553">
        <v>5</v>
      </c>
      <c r="M2553" t="str">
        <f>VLOOKUP(D2553,State_Lookup!$A$2:$B$28,2,FALSE)</f>
        <v>Rondonia</v>
      </c>
    </row>
    <row r="2554" spans="1:13" x14ac:dyDescent="0.45">
      <c r="A2554" t="s">
        <v>3075</v>
      </c>
      <c r="B2554" t="s">
        <v>3071</v>
      </c>
      <c r="C2554" t="s">
        <v>2777</v>
      </c>
      <c r="D2554" t="s">
        <v>656</v>
      </c>
      <c r="E2554" t="s">
        <v>61</v>
      </c>
      <c r="F2554">
        <v>1</v>
      </c>
      <c r="G2554">
        <v>14.99</v>
      </c>
      <c r="H2554">
        <v>21.15</v>
      </c>
      <c r="I2554" t="s">
        <v>50</v>
      </c>
      <c r="J2554">
        <v>30</v>
      </c>
      <c r="K2554" t="s">
        <v>51</v>
      </c>
      <c r="L2554">
        <v>1</v>
      </c>
      <c r="M2554" t="str">
        <f>VLOOKUP(D2554,State_Lookup!$A$2:$B$28,2,FALSE)</f>
        <v>Amapa</v>
      </c>
    </row>
    <row r="2555" spans="1:13" x14ac:dyDescent="0.45">
      <c r="A2555" t="s">
        <v>3076</v>
      </c>
      <c r="B2555" t="s">
        <v>3071</v>
      </c>
      <c r="C2555" t="s">
        <v>2777</v>
      </c>
      <c r="D2555" t="s">
        <v>16</v>
      </c>
      <c r="E2555" t="s">
        <v>110</v>
      </c>
      <c r="F2555">
        <v>1</v>
      </c>
      <c r="G2555">
        <v>56.99</v>
      </c>
      <c r="H2555">
        <v>12.74</v>
      </c>
      <c r="I2555" t="s">
        <v>44</v>
      </c>
      <c r="J2555">
        <v>6</v>
      </c>
      <c r="K2555" t="s">
        <v>51</v>
      </c>
      <c r="L2555">
        <v>5</v>
      </c>
      <c r="M2555" t="str">
        <f>VLOOKUP(D2555,State_Lookup!$A$2:$B$28,2,FALSE)</f>
        <v>Sao Paulo</v>
      </c>
    </row>
    <row r="2556" spans="1:13" x14ac:dyDescent="0.45">
      <c r="A2556" t="s">
        <v>3077</v>
      </c>
      <c r="B2556" t="s">
        <v>3071</v>
      </c>
      <c r="C2556" t="s">
        <v>2777</v>
      </c>
      <c r="D2556" t="s">
        <v>194</v>
      </c>
      <c r="E2556" t="s">
        <v>61</v>
      </c>
      <c r="F2556">
        <v>2</v>
      </c>
      <c r="G2556">
        <v>179.6</v>
      </c>
      <c r="H2556">
        <v>34.14</v>
      </c>
      <c r="I2556" t="s">
        <v>50</v>
      </c>
      <c r="J2556">
        <v>13</v>
      </c>
      <c r="K2556" t="s">
        <v>51</v>
      </c>
      <c r="L2556">
        <v>5</v>
      </c>
      <c r="M2556" t="str">
        <f>VLOOKUP(D2556,State_Lookup!$A$2:$B$28,2,FALSE)</f>
        <v>Mato Grosso do Sul</v>
      </c>
    </row>
    <row r="2557" spans="1:13" x14ac:dyDescent="0.45">
      <c r="A2557" t="s">
        <v>3078</v>
      </c>
      <c r="B2557" t="s">
        <v>3071</v>
      </c>
      <c r="C2557" t="s">
        <v>2777</v>
      </c>
      <c r="D2557" t="s">
        <v>17</v>
      </c>
      <c r="E2557" t="s">
        <v>110</v>
      </c>
      <c r="F2557">
        <v>1</v>
      </c>
      <c r="G2557">
        <v>39.9</v>
      </c>
      <c r="H2557">
        <v>16.600000000000001</v>
      </c>
      <c r="I2557" t="s">
        <v>50</v>
      </c>
      <c r="J2557">
        <v>25</v>
      </c>
      <c r="K2557" t="s">
        <v>143</v>
      </c>
      <c r="L2557">
        <v>5</v>
      </c>
      <c r="M2557" t="str">
        <f>VLOOKUP(D2557,State_Lookup!$A$2:$B$28,2,FALSE)</f>
        <v>Rio de Janeiro</v>
      </c>
    </row>
    <row r="2558" spans="1:13" x14ac:dyDescent="0.45">
      <c r="A2558" t="s">
        <v>3079</v>
      </c>
      <c r="B2558" t="s">
        <v>3071</v>
      </c>
      <c r="C2558" t="s">
        <v>2777</v>
      </c>
      <c r="D2558" t="s">
        <v>208</v>
      </c>
      <c r="E2558" t="s">
        <v>125</v>
      </c>
      <c r="F2558">
        <v>1</v>
      </c>
      <c r="G2558">
        <v>21.9</v>
      </c>
      <c r="H2558">
        <v>15.79</v>
      </c>
      <c r="I2558" t="s">
        <v>50</v>
      </c>
      <c r="J2558">
        <v>16</v>
      </c>
      <c r="K2558" t="s">
        <v>51</v>
      </c>
      <c r="L2558">
        <v>1</v>
      </c>
      <c r="M2558" t="str">
        <f>VLOOKUP(D2558,State_Lookup!$A$2:$B$28,2,FALSE)</f>
        <v>Mato Grosso</v>
      </c>
    </row>
    <row r="2559" spans="1:13" x14ac:dyDescent="0.45">
      <c r="A2559" t="s">
        <v>3080</v>
      </c>
      <c r="B2559" t="s">
        <v>3071</v>
      </c>
      <c r="C2559" t="s">
        <v>2777</v>
      </c>
      <c r="D2559" t="s">
        <v>21</v>
      </c>
      <c r="E2559" t="s">
        <v>103</v>
      </c>
      <c r="F2559">
        <v>2</v>
      </c>
      <c r="G2559">
        <v>152.88999999999999</v>
      </c>
      <c r="H2559">
        <v>32.4</v>
      </c>
      <c r="I2559" t="s">
        <v>44</v>
      </c>
      <c r="J2559">
        <v>16</v>
      </c>
      <c r="K2559" t="s">
        <v>51</v>
      </c>
      <c r="L2559">
        <v>1</v>
      </c>
      <c r="M2559" t="str">
        <f>VLOOKUP(D2559,State_Lookup!$A$2:$B$28,2,FALSE)</f>
        <v>Santa Catarina</v>
      </c>
    </row>
    <row r="2560" spans="1:13" x14ac:dyDescent="0.45">
      <c r="A2560" t="s">
        <v>3081</v>
      </c>
      <c r="B2560" t="s">
        <v>3071</v>
      </c>
      <c r="C2560" t="s">
        <v>2777</v>
      </c>
      <c r="D2560" t="s">
        <v>16</v>
      </c>
      <c r="E2560" t="s">
        <v>142</v>
      </c>
      <c r="F2560">
        <v>1</v>
      </c>
      <c r="G2560">
        <v>69.8</v>
      </c>
      <c r="H2560">
        <v>9.94</v>
      </c>
      <c r="I2560" t="s">
        <v>44</v>
      </c>
      <c r="J2560">
        <v>3</v>
      </c>
      <c r="K2560" t="s">
        <v>51</v>
      </c>
      <c r="L2560">
        <v>5</v>
      </c>
      <c r="M2560" t="str">
        <f>VLOOKUP(D2560,State_Lookup!$A$2:$B$28,2,FALSE)</f>
        <v>Sao Paulo</v>
      </c>
    </row>
    <row r="2561" spans="1:13" x14ac:dyDescent="0.45">
      <c r="A2561" t="s">
        <v>3082</v>
      </c>
      <c r="B2561" t="s">
        <v>3071</v>
      </c>
      <c r="C2561" t="s">
        <v>2777</v>
      </c>
      <c r="D2561" t="s">
        <v>16</v>
      </c>
      <c r="E2561" t="s">
        <v>199</v>
      </c>
      <c r="F2561">
        <v>1</v>
      </c>
      <c r="G2561">
        <v>150</v>
      </c>
      <c r="H2561">
        <v>8.3000000000000007</v>
      </c>
      <c r="I2561" t="s">
        <v>44</v>
      </c>
      <c r="J2561">
        <v>16</v>
      </c>
      <c r="K2561" t="s">
        <v>143</v>
      </c>
      <c r="L2561">
        <v>3</v>
      </c>
      <c r="M2561" t="str">
        <f>VLOOKUP(D2561,State_Lookup!$A$2:$B$28,2,FALSE)</f>
        <v>Sao Paulo</v>
      </c>
    </row>
    <row r="2562" spans="1:13" x14ac:dyDescent="0.45">
      <c r="A2562" t="s">
        <v>3083</v>
      </c>
      <c r="B2562" t="s">
        <v>3071</v>
      </c>
      <c r="C2562" t="s">
        <v>2777</v>
      </c>
      <c r="D2562" t="s">
        <v>18</v>
      </c>
      <c r="E2562" t="s">
        <v>61</v>
      </c>
      <c r="F2562">
        <v>1</v>
      </c>
      <c r="G2562">
        <v>89.8</v>
      </c>
      <c r="H2562">
        <v>15.38</v>
      </c>
      <c r="I2562" t="s">
        <v>44</v>
      </c>
      <c r="J2562">
        <v>15</v>
      </c>
      <c r="K2562" t="s">
        <v>51</v>
      </c>
      <c r="L2562">
        <v>5</v>
      </c>
      <c r="M2562" t="str">
        <f>VLOOKUP(D2562,State_Lookup!$A$2:$B$28,2,FALSE)</f>
        <v>Minas Gerais</v>
      </c>
    </row>
    <row r="2563" spans="1:13" x14ac:dyDescent="0.45">
      <c r="A2563" t="s">
        <v>3084</v>
      </c>
      <c r="B2563" t="s">
        <v>3071</v>
      </c>
      <c r="C2563" t="s">
        <v>2777</v>
      </c>
      <c r="D2563" t="s">
        <v>16</v>
      </c>
      <c r="E2563" t="s">
        <v>244</v>
      </c>
      <c r="F2563">
        <v>1</v>
      </c>
      <c r="G2563">
        <v>79</v>
      </c>
      <c r="H2563">
        <v>13.57</v>
      </c>
      <c r="I2563" t="s">
        <v>44</v>
      </c>
      <c r="J2563">
        <v>10</v>
      </c>
      <c r="K2563" t="s">
        <v>51</v>
      </c>
      <c r="L2563">
        <v>5</v>
      </c>
      <c r="M2563" t="str">
        <f>VLOOKUP(D2563,State_Lookup!$A$2:$B$28,2,FALSE)</f>
        <v>Sao Paulo</v>
      </c>
    </row>
    <row r="2564" spans="1:13" x14ac:dyDescent="0.45">
      <c r="A2564" t="s">
        <v>3085</v>
      </c>
      <c r="B2564" t="s">
        <v>3071</v>
      </c>
      <c r="C2564" t="s">
        <v>2777</v>
      </c>
      <c r="D2564" t="s">
        <v>21</v>
      </c>
      <c r="E2564" t="s">
        <v>61</v>
      </c>
      <c r="F2564">
        <v>1</v>
      </c>
      <c r="G2564">
        <v>89.8</v>
      </c>
      <c r="H2564">
        <v>15.38</v>
      </c>
      <c r="I2564" t="s">
        <v>44</v>
      </c>
      <c r="J2564">
        <v>16</v>
      </c>
      <c r="K2564" t="s">
        <v>51</v>
      </c>
      <c r="L2564">
        <v>5</v>
      </c>
      <c r="M2564" t="str">
        <f>VLOOKUP(D2564,State_Lookup!$A$2:$B$28,2,FALSE)</f>
        <v>Santa Catarina</v>
      </c>
    </row>
    <row r="2565" spans="1:13" x14ac:dyDescent="0.45">
      <c r="A2565" t="s">
        <v>3086</v>
      </c>
      <c r="B2565" t="s">
        <v>3071</v>
      </c>
      <c r="C2565" t="s">
        <v>2777</v>
      </c>
      <c r="D2565" t="s">
        <v>17</v>
      </c>
      <c r="E2565" t="s">
        <v>61</v>
      </c>
      <c r="F2565">
        <v>1</v>
      </c>
      <c r="G2565">
        <v>149</v>
      </c>
      <c r="H2565">
        <v>40.369999999999997</v>
      </c>
      <c r="I2565" t="s">
        <v>44</v>
      </c>
      <c r="J2565">
        <v>54</v>
      </c>
      <c r="K2565" t="s">
        <v>143</v>
      </c>
      <c r="L2565">
        <v>1</v>
      </c>
      <c r="M2565" t="str">
        <f>VLOOKUP(D2565,State_Lookup!$A$2:$B$28,2,FALSE)</f>
        <v>Rio de Janeiro</v>
      </c>
    </row>
    <row r="2566" spans="1:13" x14ac:dyDescent="0.45">
      <c r="A2566" t="s">
        <v>3087</v>
      </c>
      <c r="B2566" t="s">
        <v>3071</v>
      </c>
      <c r="C2566" t="s">
        <v>2777</v>
      </c>
      <c r="D2566" t="s">
        <v>16</v>
      </c>
      <c r="E2566" t="s">
        <v>61</v>
      </c>
      <c r="F2566">
        <v>1</v>
      </c>
      <c r="G2566">
        <v>84.9</v>
      </c>
      <c r="H2566">
        <v>12.72</v>
      </c>
      <c r="I2566" t="s">
        <v>44</v>
      </c>
      <c r="J2566">
        <v>11</v>
      </c>
      <c r="K2566" t="s">
        <v>51</v>
      </c>
      <c r="L2566">
        <v>4</v>
      </c>
      <c r="M2566" t="str">
        <f>VLOOKUP(D2566,State_Lookup!$A$2:$B$28,2,FALSE)</f>
        <v>Sao Paulo</v>
      </c>
    </row>
    <row r="2567" spans="1:13" x14ac:dyDescent="0.45">
      <c r="A2567" t="s">
        <v>3088</v>
      </c>
      <c r="B2567" t="s">
        <v>3071</v>
      </c>
      <c r="C2567" t="s">
        <v>2777</v>
      </c>
      <c r="D2567" t="s">
        <v>18</v>
      </c>
      <c r="E2567" t="s">
        <v>132</v>
      </c>
      <c r="F2567">
        <v>1</v>
      </c>
      <c r="G2567">
        <v>69.900000000000006</v>
      </c>
      <c r="H2567">
        <v>14.24</v>
      </c>
      <c r="I2567" t="s">
        <v>44</v>
      </c>
      <c r="J2567">
        <v>9</v>
      </c>
      <c r="K2567" t="s">
        <v>51</v>
      </c>
      <c r="L2567">
        <v>5</v>
      </c>
      <c r="M2567" t="str">
        <f>VLOOKUP(D2567,State_Lookup!$A$2:$B$28,2,FALSE)</f>
        <v>Minas Gerais</v>
      </c>
    </row>
    <row r="2568" spans="1:13" x14ac:dyDescent="0.45">
      <c r="A2568" t="s">
        <v>3089</v>
      </c>
      <c r="B2568" t="s">
        <v>3071</v>
      </c>
      <c r="C2568" t="s">
        <v>2777</v>
      </c>
      <c r="D2568" t="s">
        <v>20</v>
      </c>
      <c r="E2568" t="s">
        <v>173</v>
      </c>
      <c r="F2568">
        <v>1</v>
      </c>
      <c r="G2568">
        <v>149</v>
      </c>
      <c r="H2568">
        <v>14.77</v>
      </c>
      <c r="I2568" t="s">
        <v>44</v>
      </c>
      <c r="J2568">
        <v>10</v>
      </c>
      <c r="K2568" t="s">
        <v>51</v>
      </c>
      <c r="L2568">
        <v>5</v>
      </c>
      <c r="M2568" t="str">
        <f>VLOOKUP(D2568,State_Lookup!$A$2:$B$28,2,FALSE)</f>
        <v>Parana</v>
      </c>
    </row>
    <row r="2569" spans="1:13" x14ac:dyDescent="0.45">
      <c r="A2569" t="s">
        <v>3090</v>
      </c>
      <c r="B2569" t="s">
        <v>3091</v>
      </c>
      <c r="C2569" t="s">
        <v>2777</v>
      </c>
      <c r="D2569" t="s">
        <v>16</v>
      </c>
      <c r="E2569" t="s">
        <v>103</v>
      </c>
      <c r="F2569">
        <v>1</v>
      </c>
      <c r="G2569">
        <v>1269</v>
      </c>
      <c r="H2569">
        <v>37.26</v>
      </c>
      <c r="I2569" t="s">
        <v>44</v>
      </c>
      <c r="J2569">
        <v>3</v>
      </c>
      <c r="K2569" t="s">
        <v>51</v>
      </c>
      <c r="L2569">
        <v>5</v>
      </c>
      <c r="M2569" t="str">
        <f>VLOOKUP(D2569,State_Lookup!$A$2:$B$28,2,FALSE)</f>
        <v>Sao Paulo</v>
      </c>
    </row>
    <row r="2570" spans="1:13" x14ac:dyDescent="0.45">
      <c r="A2570" t="s">
        <v>3092</v>
      </c>
      <c r="B2570" t="s">
        <v>3091</v>
      </c>
      <c r="C2570" t="s">
        <v>2777</v>
      </c>
      <c r="D2570" t="s">
        <v>20</v>
      </c>
      <c r="E2570" t="s">
        <v>49</v>
      </c>
      <c r="F2570">
        <v>1</v>
      </c>
      <c r="G2570">
        <v>27.61</v>
      </c>
      <c r="H2570">
        <v>14.1</v>
      </c>
      <c r="I2570" t="s">
        <v>44</v>
      </c>
      <c r="J2570">
        <v>13</v>
      </c>
      <c r="K2570" t="s">
        <v>51</v>
      </c>
      <c r="L2570">
        <v>5</v>
      </c>
      <c r="M2570" t="str">
        <f>VLOOKUP(D2570,State_Lookup!$A$2:$B$28,2,FALSE)</f>
        <v>Parana</v>
      </c>
    </row>
    <row r="2571" spans="1:13" x14ac:dyDescent="0.45">
      <c r="A2571" t="s">
        <v>3093</v>
      </c>
      <c r="B2571" t="s">
        <v>3091</v>
      </c>
      <c r="C2571" t="s">
        <v>2777</v>
      </c>
      <c r="D2571" t="s">
        <v>18</v>
      </c>
      <c r="E2571" t="s">
        <v>244</v>
      </c>
      <c r="F2571">
        <v>1</v>
      </c>
      <c r="G2571">
        <v>64.900000000000006</v>
      </c>
      <c r="H2571">
        <v>15.2</v>
      </c>
      <c r="I2571" t="s">
        <v>50</v>
      </c>
      <c r="J2571">
        <v>23</v>
      </c>
      <c r="K2571" t="s">
        <v>51</v>
      </c>
      <c r="L2571">
        <v>5</v>
      </c>
      <c r="M2571" t="str">
        <f>VLOOKUP(D2571,State_Lookup!$A$2:$B$28,2,FALSE)</f>
        <v>Minas Gerais</v>
      </c>
    </row>
    <row r="2572" spans="1:13" x14ac:dyDescent="0.45">
      <c r="A2572" t="s">
        <v>3094</v>
      </c>
      <c r="B2572" t="s">
        <v>3091</v>
      </c>
      <c r="C2572" t="s">
        <v>2777</v>
      </c>
      <c r="D2572" t="s">
        <v>17</v>
      </c>
      <c r="E2572" t="s">
        <v>107</v>
      </c>
      <c r="F2572">
        <v>1</v>
      </c>
      <c r="G2572">
        <v>20</v>
      </c>
      <c r="H2572">
        <v>16.11</v>
      </c>
      <c r="I2572" t="s">
        <v>44</v>
      </c>
      <c r="J2572">
        <v>13</v>
      </c>
      <c r="K2572" t="s">
        <v>51</v>
      </c>
      <c r="L2572">
        <v>5</v>
      </c>
      <c r="M2572" t="str">
        <f>VLOOKUP(D2572,State_Lookup!$A$2:$B$28,2,FALSE)</f>
        <v>Rio de Janeiro</v>
      </c>
    </row>
    <row r="2573" spans="1:13" x14ac:dyDescent="0.45">
      <c r="A2573" t="s">
        <v>3095</v>
      </c>
      <c r="B2573" t="s">
        <v>3091</v>
      </c>
      <c r="C2573" t="s">
        <v>2777</v>
      </c>
      <c r="D2573" t="s">
        <v>113</v>
      </c>
      <c r="E2573" t="s">
        <v>110</v>
      </c>
      <c r="F2573">
        <v>3</v>
      </c>
      <c r="G2573">
        <v>159</v>
      </c>
      <c r="H2573">
        <v>104.03</v>
      </c>
      <c r="I2573" t="s">
        <v>44</v>
      </c>
      <c r="J2573">
        <v>10</v>
      </c>
      <c r="K2573" t="s">
        <v>51</v>
      </c>
      <c r="L2573">
        <v>5</v>
      </c>
      <c r="M2573" t="str">
        <f>VLOOKUP(D2573,State_Lookup!$A$2:$B$28,2,FALSE)</f>
        <v>Piaui</v>
      </c>
    </row>
    <row r="2574" spans="1:13" x14ac:dyDescent="0.45">
      <c r="A2574" t="s">
        <v>3096</v>
      </c>
      <c r="B2574" t="s">
        <v>3091</v>
      </c>
      <c r="C2574" t="s">
        <v>2777</v>
      </c>
      <c r="D2574" t="s">
        <v>21</v>
      </c>
      <c r="E2574" t="s">
        <v>662</v>
      </c>
      <c r="F2574">
        <v>1</v>
      </c>
      <c r="G2574">
        <v>28.9</v>
      </c>
      <c r="H2574">
        <v>12.6</v>
      </c>
      <c r="I2574" t="s">
        <v>50</v>
      </c>
      <c r="J2574">
        <v>13</v>
      </c>
      <c r="K2574" t="s">
        <v>51</v>
      </c>
      <c r="L2574">
        <v>4</v>
      </c>
      <c r="M2574" t="str">
        <f>VLOOKUP(D2574,State_Lookup!$A$2:$B$28,2,FALSE)</f>
        <v>Santa Catarina</v>
      </c>
    </row>
    <row r="2575" spans="1:13" x14ac:dyDescent="0.45">
      <c r="A2575" t="s">
        <v>3097</v>
      </c>
      <c r="B2575" t="s">
        <v>3091</v>
      </c>
      <c r="C2575" t="s">
        <v>2777</v>
      </c>
      <c r="D2575" t="s">
        <v>18</v>
      </c>
      <c r="E2575" t="s">
        <v>110</v>
      </c>
      <c r="F2575">
        <v>1</v>
      </c>
      <c r="G2575">
        <v>219.9</v>
      </c>
      <c r="H2575">
        <v>22.03</v>
      </c>
      <c r="I2575" t="s">
        <v>44</v>
      </c>
      <c r="J2575">
        <v>14</v>
      </c>
      <c r="K2575" t="s">
        <v>51</v>
      </c>
      <c r="L2575">
        <v>1</v>
      </c>
      <c r="M2575" t="str">
        <f>VLOOKUP(D2575,State_Lookup!$A$2:$B$28,2,FALSE)</f>
        <v>Minas Gerais</v>
      </c>
    </row>
    <row r="2576" spans="1:13" x14ac:dyDescent="0.45">
      <c r="A2576" t="s">
        <v>3098</v>
      </c>
      <c r="B2576" t="s">
        <v>3091</v>
      </c>
      <c r="C2576" t="s">
        <v>2777</v>
      </c>
      <c r="D2576" t="s">
        <v>18</v>
      </c>
      <c r="E2576" t="s">
        <v>79</v>
      </c>
      <c r="F2576">
        <v>1</v>
      </c>
      <c r="G2576">
        <v>326.16000000000003</v>
      </c>
      <c r="H2576">
        <v>33.03</v>
      </c>
      <c r="I2576" t="s">
        <v>50</v>
      </c>
      <c r="J2576">
        <v>16</v>
      </c>
      <c r="K2576" t="s">
        <v>51</v>
      </c>
      <c r="L2576">
        <v>5</v>
      </c>
      <c r="M2576" t="str">
        <f>VLOOKUP(D2576,State_Lookup!$A$2:$B$28,2,FALSE)</f>
        <v>Minas Gerais</v>
      </c>
    </row>
    <row r="2577" spans="1:13" x14ac:dyDescent="0.45">
      <c r="A2577" t="s">
        <v>3099</v>
      </c>
      <c r="B2577" t="s">
        <v>3091</v>
      </c>
      <c r="C2577" t="s">
        <v>2777</v>
      </c>
      <c r="D2577" t="s">
        <v>16</v>
      </c>
      <c r="E2577" t="s">
        <v>79</v>
      </c>
      <c r="F2577">
        <v>1</v>
      </c>
      <c r="G2577">
        <v>78</v>
      </c>
      <c r="H2577">
        <v>12.05</v>
      </c>
      <c r="I2577" t="s">
        <v>50</v>
      </c>
      <c r="J2577">
        <v>6</v>
      </c>
      <c r="K2577" t="s">
        <v>51</v>
      </c>
      <c r="L2577">
        <v>5</v>
      </c>
      <c r="M2577" t="str">
        <f>VLOOKUP(D2577,State_Lookup!$A$2:$B$28,2,FALSE)</f>
        <v>Sao Paulo</v>
      </c>
    </row>
    <row r="2578" spans="1:13" x14ac:dyDescent="0.45">
      <c r="A2578" t="s">
        <v>3100</v>
      </c>
      <c r="B2578" t="s">
        <v>3091</v>
      </c>
      <c r="C2578" t="s">
        <v>2777</v>
      </c>
      <c r="D2578" t="s">
        <v>16</v>
      </c>
      <c r="E2578" t="s">
        <v>61</v>
      </c>
      <c r="F2578">
        <v>1</v>
      </c>
      <c r="G2578">
        <v>84.9</v>
      </c>
      <c r="H2578">
        <v>12.72</v>
      </c>
      <c r="I2578" t="s">
        <v>133</v>
      </c>
      <c r="J2578">
        <v>12</v>
      </c>
      <c r="K2578" t="s">
        <v>51</v>
      </c>
      <c r="L2578">
        <v>5</v>
      </c>
      <c r="M2578" t="str">
        <f>VLOOKUP(D2578,State_Lookup!$A$2:$B$28,2,FALSE)</f>
        <v>Sao Paulo</v>
      </c>
    </row>
    <row r="2579" spans="1:13" x14ac:dyDescent="0.45">
      <c r="A2579" t="s">
        <v>3101</v>
      </c>
      <c r="B2579" t="s">
        <v>3091</v>
      </c>
      <c r="C2579" t="s">
        <v>2777</v>
      </c>
      <c r="D2579" t="s">
        <v>16</v>
      </c>
      <c r="E2579" t="s">
        <v>148</v>
      </c>
      <c r="F2579">
        <v>1</v>
      </c>
      <c r="G2579">
        <v>139.99</v>
      </c>
      <c r="H2579">
        <v>12.18</v>
      </c>
      <c r="I2579" t="s">
        <v>50</v>
      </c>
      <c r="J2579">
        <v>2</v>
      </c>
      <c r="K2579" t="s">
        <v>51</v>
      </c>
      <c r="L2579">
        <v>4</v>
      </c>
      <c r="M2579" t="str">
        <f>VLOOKUP(D2579,State_Lookup!$A$2:$B$28,2,FALSE)</f>
        <v>Sao Paulo</v>
      </c>
    </row>
    <row r="2580" spans="1:13" x14ac:dyDescent="0.45">
      <c r="A2580" t="s">
        <v>3102</v>
      </c>
      <c r="B2580" t="s">
        <v>3091</v>
      </c>
      <c r="C2580" t="s">
        <v>2777</v>
      </c>
      <c r="D2580" t="s">
        <v>16</v>
      </c>
      <c r="E2580" t="s">
        <v>103</v>
      </c>
      <c r="F2580">
        <v>1</v>
      </c>
      <c r="G2580">
        <v>124.99</v>
      </c>
      <c r="H2580">
        <v>14.62</v>
      </c>
      <c r="I2580" t="s">
        <v>50</v>
      </c>
      <c r="J2580">
        <v>6</v>
      </c>
      <c r="K2580" t="s">
        <v>51</v>
      </c>
      <c r="L2580">
        <v>5</v>
      </c>
      <c r="M2580" t="str">
        <f>VLOOKUP(D2580,State_Lookup!$A$2:$B$28,2,FALSE)</f>
        <v>Sao Paulo</v>
      </c>
    </row>
    <row r="2581" spans="1:13" x14ac:dyDescent="0.45">
      <c r="A2581" t="s">
        <v>3103</v>
      </c>
      <c r="B2581" t="s">
        <v>3091</v>
      </c>
      <c r="C2581" t="s">
        <v>2777</v>
      </c>
      <c r="D2581" t="s">
        <v>18</v>
      </c>
      <c r="E2581" t="s">
        <v>69</v>
      </c>
      <c r="F2581">
        <v>1</v>
      </c>
      <c r="G2581">
        <v>49.9</v>
      </c>
      <c r="H2581">
        <v>17.600000000000001</v>
      </c>
      <c r="I2581" t="s">
        <v>50</v>
      </c>
      <c r="J2581">
        <v>16</v>
      </c>
      <c r="K2581" t="s">
        <v>51</v>
      </c>
      <c r="L2581">
        <v>5</v>
      </c>
      <c r="M2581" t="str">
        <f>VLOOKUP(D2581,State_Lookup!$A$2:$B$28,2,FALSE)</f>
        <v>Minas Gerais</v>
      </c>
    </row>
    <row r="2582" spans="1:13" x14ac:dyDescent="0.45">
      <c r="A2582" t="s">
        <v>3104</v>
      </c>
      <c r="B2582" t="s">
        <v>3091</v>
      </c>
      <c r="C2582" t="s">
        <v>2777</v>
      </c>
      <c r="D2582" t="s">
        <v>19</v>
      </c>
      <c r="E2582" t="s">
        <v>43</v>
      </c>
      <c r="F2582">
        <v>1</v>
      </c>
      <c r="G2582">
        <v>96.36</v>
      </c>
      <c r="H2582">
        <v>16.43</v>
      </c>
      <c r="I2582" t="s">
        <v>50</v>
      </c>
      <c r="J2582">
        <v>10</v>
      </c>
      <c r="K2582" t="s">
        <v>51</v>
      </c>
      <c r="L2582">
        <v>5</v>
      </c>
      <c r="M2582" t="str">
        <f>VLOOKUP(D2582,State_Lookup!$A$2:$B$28,2,FALSE)</f>
        <v>Rio Grande do Sul</v>
      </c>
    </row>
    <row r="2583" spans="1:13" x14ac:dyDescent="0.45">
      <c r="A2583" t="s">
        <v>3105</v>
      </c>
      <c r="B2583" t="s">
        <v>3091</v>
      </c>
      <c r="C2583" t="s">
        <v>2777</v>
      </c>
      <c r="D2583" t="s">
        <v>16</v>
      </c>
      <c r="E2583" t="s">
        <v>79</v>
      </c>
      <c r="F2583">
        <v>1</v>
      </c>
      <c r="G2583">
        <v>89.99</v>
      </c>
      <c r="H2583">
        <v>9.44</v>
      </c>
      <c r="I2583" t="s">
        <v>44</v>
      </c>
      <c r="J2583">
        <v>2</v>
      </c>
      <c r="K2583" t="s">
        <v>51</v>
      </c>
      <c r="L2583">
        <v>1</v>
      </c>
      <c r="M2583" t="str">
        <f>VLOOKUP(D2583,State_Lookup!$A$2:$B$28,2,FALSE)</f>
        <v>Sao Paulo</v>
      </c>
    </row>
    <row r="2584" spans="1:13" x14ac:dyDescent="0.45">
      <c r="A2584" t="s">
        <v>3106</v>
      </c>
      <c r="B2584" t="s">
        <v>3107</v>
      </c>
      <c r="C2584" t="s">
        <v>2777</v>
      </c>
      <c r="D2584" t="s">
        <v>17</v>
      </c>
      <c r="E2584" t="s">
        <v>53</v>
      </c>
      <c r="F2584">
        <v>1</v>
      </c>
      <c r="G2584">
        <v>46.9</v>
      </c>
      <c r="H2584">
        <v>14.1</v>
      </c>
      <c r="I2584" t="s">
        <v>50</v>
      </c>
      <c r="J2584">
        <v>30</v>
      </c>
      <c r="K2584" t="s">
        <v>143</v>
      </c>
      <c r="L2584">
        <v>1</v>
      </c>
      <c r="M2584" t="str">
        <f>VLOOKUP(D2584,State_Lookup!$A$2:$B$28,2,FALSE)</f>
        <v>Rio de Janeiro</v>
      </c>
    </row>
    <row r="2585" spans="1:13" x14ac:dyDescent="0.45">
      <c r="A2585" t="s">
        <v>3108</v>
      </c>
      <c r="B2585" t="s">
        <v>3107</v>
      </c>
      <c r="C2585" t="s">
        <v>2777</v>
      </c>
      <c r="D2585" t="s">
        <v>194</v>
      </c>
      <c r="E2585" t="s">
        <v>49</v>
      </c>
      <c r="F2585">
        <v>1</v>
      </c>
      <c r="G2585">
        <v>109</v>
      </c>
      <c r="H2585">
        <v>98.02</v>
      </c>
      <c r="I2585" t="s">
        <v>44</v>
      </c>
      <c r="J2585">
        <v>22</v>
      </c>
      <c r="K2585" t="s">
        <v>51</v>
      </c>
      <c r="L2585">
        <v>4</v>
      </c>
      <c r="M2585" t="str">
        <f>VLOOKUP(D2585,State_Lookup!$A$2:$B$28,2,FALSE)</f>
        <v>Mato Grosso do Sul</v>
      </c>
    </row>
    <row r="2586" spans="1:13" x14ac:dyDescent="0.45">
      <c r="A2586" t="s">
        <v>3109</v>
      </c>
      <c r="B2586" t="s">
        <v>3107</v>
      </c>
      <c r="C2586" t="s">
        <v>2777</v>
      </c>
      <c r="D2586" t="s">
        <v>17</v>
      </c>
      <c r="E2586" t="s">
        <v>157</v>
      </c>
      <c r="F2586">
        <v>1</v>
      </c>
      <c r="G2586">
        <v>1849.9</v>
      </c>
      <c r="H2586">
        <v>22.36</v>
      </c>
      <c r="I2586" t="s">
        <v>44</v>
      </c>
      <c r="J2586">
        <v>6</v>
      </c>
      <c r="K2586" t="s">
        <v>51</v>
      </c>
      <c r="L2586">
        <v>5</v>
      </c>
      <c r="M2586" t="str">
        <f>VLOOKUP(D2586,State_Lookup!$A$2:$B$28,2,FALSE)</f>
        <v>Rio de Janeiro</v>
      </c>
    </row>
    <row r="2587" spans="1:13" x14ac:dyDescent="0.45">
      <c r="A2587" t="s">
        <v>3110</v>
      </c>
      <c r="B2587" t="s">
        <v>3107</v>
      </c>
      <c r="C2587" t="s">
        <v>2777</v>
      </c>
      <c r="D2587" t="s">
        <v>16</v>
      </c>
      <c r="E2587" t="s">
        <v>61</v>
      </c>
      <c r="F2587">
        <v>1</v>
      </c>
      <c r="G2587">
        <v>75</v>
      </c>
      <c r="H2587">
        <v>12.03</v>
      </c>
      <c r="I2587" t="s">
        <v>44</v>
      </c>
      <c r="J2587">
        <v>20</v>
      </c>
      <c r="K2587" t="s">
        <v>51</v>
      </c>
      <c r="L2587">
        <v>3</v>
      </c>
      <c r="M2587" t="str">
        <f>VLOOKUP(D2587,State_Lookup!$A$2:$B$28,2,FALSE)</f>
        <v>Sao Paulo</v>
      </c>
    </row>
    <row r="2588" spans="1:13" x14ac:dyDescent="0.45">
      <c r="A2588" t="s">
        <v>3111</v>
      </c>
      <c r="B2588" t="s">
        <v>3107</v>
      </c>
      <c r="C2588" t="s">
        <v>2777</v>
      </c>
      <c r="D2588" t="s">
        <v>16</v>
      </c>
      <c r="E2588" t="s">
        <v>481</v>
      </c>
      <c r="F2588">
        <v>1</v>
      </c>
      <c r="G2588">
        <v>52</v>
      </c>
      <c r="H2588">
        <v>8.7200000000000006</v>
      </c>
      <c r="I2588" t="s">
        <v>50</v>
      </c>
      <c r="J2588">
        <v>36</v>
      </c>
      <c r="K2588" t="s">
        <v>143</v>
      </c>
      <c r="L2588">
        <v>4</v>
      </c>
      <c r="M2588" t="str">
        <f>VLOOKUP(D2588,State_Lookup!$A$2:$B$28,2,FALSE)</f>
        <v>Sao Paulo</v>
      </c>
    </row>
    <row r="2589" spans="1:13" x14ac:dyDescent="0.45">
      <c r="A2589" t="s">
        <v>3112</v>
      </c>
      <c r="B2589" t="s">
        <v>3107</v>
      </c>
      <c r="C2589" t="s">
        <v>2777</v>
      </c>
      <c r="D2589" t="s">
        <v>16</v>
      </c>
      <c r="E2589" t="s">
        <v>142</v>
      </c>
      <c r="F2589">
        <v>1</v>
      </c>
      <c r="G2589">
        <v>194</v>
      </c>
      <c r="H2589">
        <v>34.630000000000003</v>
      </c>
      <c r="I2589" t="s">
        <v>44</v>
      </c>
      <c r="J2589">
        <v>13</v>
      </c>
      <c r="K2589" t="s">
        <v>51</v>
      </c>
      <c r="L2589">
        <v>5</v>
      </c>
      <c r="M2589" t="str">
        <f>VLOOKUP(D2589,State_Lookup!$A$2:$B$28,2,FALSE)</f>
        <v>Sao Paulo</v>
      </c>
    </row>
    <row r="2590" spans="1:13" x14ac:dyDescent="0.45">
      <c r="A2590" t="s">
        <v>3113</v>
      </c>
      <c r="B2590" t="s">
        <v>3107</v>
      </c>
      <c r="C2590" t="s">
        <v>2777</v>
      </c>
      <c r="D2590" t="s">
        <v>18</v>
      </c>
      <c r="E2590" t="s">
        <v>69</v>
      </c>
      <c r="F2590">
        <v>1</v>
      </c>
      <c r="G2590">
        <v>39.9</v>
      </c>
      <c r="H2590">
        <v>15.1</v>
      </c>
      <c r="I2590" t="s">
        <v>44</v>
      </c>
      <c r="J2590">
        <v>11</v>
      </c>
      <c r="K2590" t="s">
        <v>51</v>
      </c>
      <c r="L2590">
        <v>5</v>
      </c>
      <c r="M2590" t="str">
        <f>VLOOKUP(D2590,State_Lookup!$A$2:$B$28,2,FALSE)</f>
        <v>Minas Gerais</v>
      </c>
    </row>
    <row r="2591" spans="1:13" x14ac:dyDescent="0.45">
      <c r="A2591" t="s">
        <v>3114</v>
      </c>
      <c r="B2591" t="s">
        <v>3107</v>
      </c>
      <c r="C2591" t="s">
        <v>2777</v>
      </c>
      <c r="D2591" t="s">
        <v>21</v>
      </c>
      <c r="E2591" t="s">
        <v>142</v>
      </c>
      <c r="F2591">
        <v>4</v>
      </c>
      <c r="G2591">
        <v>247.6</v>
      </c>
      <c r="H2591">
        <v>70.72</v>
      </c>
      <c r="I2591" t="s">
        <v>44</v>
      </c>
      <c r="J2591">
        <v>35</v>
      </c>
      <c r="K2591" t="s">
        <v>143</v>
      </c>
      <c r="L2591">
        <v>1</v>
      </c>
      <c r="M2591" t="str">
        <f>VLOOKUP(D2591,State_Lookup!$A$2:$B$28,2,FALSE)</f>
        <v>Santa Catarina</v>
      </c>
    </row>
    <row r="2592" spans="1:13" x14ac:dyDescent="0.45">
      <c r="A2592" t="s">
        <v>3115</v>
      </c>
      <c r="B2592" t="s">
        <v>3107</v>
      </c>
      <c r="C2592" t="s">
        <v>2777</v>
      </c>
      <c r="D2592" t="s">
        <v>17</v>
      </c>
      <c r="E2592" t="s">
        <v>49</v>
      </c>
      <c r="F2592">
        <v>1</v>
      </c>
      <c r="G2592">
        <v>160</v>
      </c>
      <c r="H2592">
        <v>17.37</v>
      </c>
      <c r="I2592" t="s">
        <v>44</v>
      </c>
      <c r="J2592">
        <v>12</v>
      </c>
      <c r="K2592" t="s">
        <v>51</v>
      </c>
      <c r="L2592">
        <v>5</v>
      </c>
      <c r="M2592" t="str">
        <f>VLOOKUP(D2592,State_Lookup!$A$2:$B$28,2,FALSE)</f>
        <v>Rio de Janeiro</v>
      </c>
    </row>
    <row r="2593" spans="1:13" x14ac:dyDescent="0.45">
      <c r="A2593" t="s">
        <v>3116</v>
      </c>
      <c r="B2593" t="s">
        <v>3107</v>
      </c>
      <c r="C2593" t="s">
        <v>2777</v>
      </c>
      <c r="D2593" t="s">
        <v>19</v>
      </c>
      <c r="E2593" t="s">
        <v>1903</v>
      </c>
      <c r="F2593">
        <v>1</v>
      </c>
      <c r="G2593">
        <v>47.49</v>
      </c>
      <c r="H2593">
        <v>16.11</v>
      </c>
      <c r="I2593" t="s">
        <v>44</v>
      </c>
      <c r="J2593">
        <v>28</v>
      </c>
      <c r="K2593" t="s">
        <v>51</v>
      </c>
      <c r="L2593">
        <v>3</v>
      </c>
      <c r="M2593" t="str">
        <f>VLOOKUP(D2593,State_Lookup!$A$2:$B$28,2,FALSE)</f>
        <v>Rio Grande do Sul</v>
      </c>
    </row>
    <row r="2594" spans="1:13" x14ac:dyDescent="0.45">
      <c r="A2594" t="s">
        <v>3117</v>
      </c>
      <c r="B2594" t="s">
        <v>3107</v>
      </c>
      <c r="C2594" t="s">
        <v>2777</v>
      </c>
      <c r="D2594" t="s">
        <v>18</v>
      </c>
      <c r="E2594" t="s">
        <v>110</v>
      </c>
      <c r="F2594">
        <v>1</v>
      </c>
      <c r="G2594">
        <v>54.9</v>
      </c>
      <c r="H2594">
        <v>19.87</v>
      </c>
      <c r="I2594" t="s">
        <v>44</v>
      </c>
      <c r="J2594">
        <v>3</v>
      </c>
      <c r="K2594" t="s">
        <v>51</v>
      </c>
      <c r="L2594">
        <v>4</v>
      </c>
      <c r="M2594" t="str">
        <f>VLOOKUP(D2594,State_Lookup!$A$2:$B$28,2,FALSE)</f>
        <v>Minas Gerais</v>
      </c>
    </row>
    <row r="2595" spans="1:13" x14ac:dyDescent="0.45">
      <c r="A2595" t="s">
        <v>3118</v>
      </c>
      <c r="B2595" t="s">
        <v>3107</v>
      </c>
      <c r="C2595" t="s">
        <v>2777</v>
      </c>
      <c r="D2595" t="s">
        <v>122</v>
      </c>
      <c r="E2595" t="s">
        <v>43</v>
      </c>
      <c r="F2595">
        <v>1</v>
      </c>
      <c r="G2595">
        <v>126.69</v>
      </c>
      <c r="H2595">
        <v>39.880000000000003</v>
      </c>
      <c r="I2595" t="s">
        <v>44</v>
      </c>
      <c r="K2595" t="s">
        <v>45</v>
      </c>
      <c r="L2595">
        <v>1</v>
      </c>
      <c r="M2595" t="str">
        <f>VLOOKUP(D2595,State_Lookup!$A$2:$B$28,2,FALSE)</f>
        <v>Para</v>
      </c>
    </row>
    <row r="2596" spans="1:13" x14ac:dyDescent="0.45">
      <c r="A2596" t="s">
        <v>3119</v>
      </c>
      <c r="B2596" t="s">
        <v>3107</v>
      </c>
      <c r="C2596" t="s">
        <v>2777</v>
      </c>
      <c r="D2596" t="s">
        <v>16</v>
      </c>
      <c r="E2596" t="s">
        <v>53</v>
      </c>
      <c r="F2596">
        <v>1</v>
      </c>
      <c r="G2596">
        <v>129.99</v>
      </c>
      <c r="H2596">
        <v>14.51</v>
      </c>
      <c r="I2596" t="s">
        <v>44</v>
      </c>
      <c r="J2596">
        <v>7</v>
      </c>
      <c r="K2596" t="s">
        <v>51</v>
      </c>
      <c r="L2596">
        <v>5</v>
      </c>
      <c r="M2596" t="str">
        <f>VLOOKUP(D2596,State_Lookup!$A$2:$B$28,2,FALSE)</f>
        <v>Sao Paulo</v>
      </c>
    </row>
    <row r="2597" spans="1:13" x14ac:dyDescent="0.45">
      <c r="A2597" t="s">
        <v>3120</v>
      </c>
      <c r="B2597" t="s">
        <v>3107</v>
      </c>
      <c r="C2597" t="s">
        <v>2777</v>
      </c>
      <c r="D2597" t="s">
        <v>24</v>
      </c>
      <c r="E2597" t="s">
        <v>125</v>
      </c>
      <c r="F2597">
        <v>2</v>
      </c>
      <c r="G2597">
        <v>158</v>
      </c>
      <c r="H2597">
        <v>32.619999999999997</v>
      </c>
      <c r="I2597" t="s">
        <v>50</v>
      </c>
      <c r="J2597">
        <v>35</v>
      </c>
      <c r="K2597" t="s">
        <v>143</v>
      </c>
      <c r="L2597">
        <v>1</v>
      </c>
      <c r="M2597" t="str">
        <f>VLOOKUP(D2597,State_Lookup!$A$2:$B$28,2,FALSE)</f>
        <v>Distrito Federal</v>
      </c>
    </row>
    <row r="2598" spans="1:13" x14ac:dyDescent="0.45">
      <c r="A2598" t="s">
        <v>3121</v>
      </c>
      <c r="B2598" t="s">
        <v>3107</v>
      </c>
      <c r="C2598" t="s">
        <v>2777</v>
      </c>
      <c r="D2598" t="s">
        <v>656</v>
      </c>
      <c r="E2598" t="s">
        <v>125</v>
      </c>
      <c r="F2598">
        <v>1</v>
      </c>
      <c r="G2598">
        <v>13.65</v>
      </c>
      <c r="H2598">
        <v>21.15</v>
      </c>
      <c r="I2598" t="s">
        <v>50</v>
      </c>
      <c r="J2598">
        <v>29</v>
      </c>
      <c r="K2598" t="s">
        <v>51</v>
      </c>
      <c r="L2598">
        <v>4</v>
      </c>
      <c r="M2598" t="str">
        <f>VLOOKUP(D2598,State_Lookup!$A$2:$B$28,2,FALSE)</f>
        <v>Amapa</v>
      </c>
    </row>
    <row r="2599" spans="1:13" x14ac:dyDescent="0.45">
      <c r="A2599" t="s">
        <v>3122</v>
      </c>
      <c r="B2599" t="s">
        <v>3123</v>
      </c>
      <c r="C2599" t="s">
        <v>2777</v>
      </c>
      <c r="D2599" t="s">
        <v>16</v>
      </c>
      <c r="E2599" t="s">
        <v>142</v>
      </c>
      <c r="F2599">
        <v>2</v>
      </c>
      <c r="G2599">
        <v>178</v>
      </c>
      <c r="H2599">
        <v>33.74</v>
      </c>
      <c r="I2599" t="s">
        <v>44</v>
      </c>
      <c r="J2599">
        <v>29</v>
      </c>
      <c r="K2599" t="s">
        <v>51</v>
      </c>
      <c r="L2599">
        <v>1</v>
      </c>
      <c r="M2599" t="str">
        <f>VLOOKUP(D2599,State_Lookup!$A$2:$B$28,2,FALSE)</f>
        <v>Sao Paulo</v>
      </c>
    </row>
    <row r="2600" spans="1:13" x14ac:dyDescent="0.45">
      <c r="A2600" t="s">
        <v>3124</v>
      </c>
      <c r="B2600" t="s">
        <v>3123</v>
      </c>
      <c r="C2600" t="s">
        <v>2777</v>
      </c>
      <c r="D2600" t="s">
        <v>18</v>
      </c>
      <c r="E2600" t="s">
        <v>220</v>
      </c>
      <c r="F2600">
        <v>3</v>
      </c>
      <c r="G2600">
        <v>239.97</v>
      </c>
      <c r="H2600">
        <v>80.64</v>
      </c>
      <c r="I2600" t="s">
        <v>44</v>
      </c>
      <c r="J2600">
        <v>26</v>
      </c>
      <c r="K2600" t="s">
        <v>51</v>
      </c>
      <c r="L2600">
        <v>4</v>
      </c>
      <c r="M2600" t="str">
        <f>VLOOKUP(D2600,State_Lookup!$A$2:$B$28,2,FALSE)</f>
        <v>Minas Gerais</v>
      </c>
    </row>
    <row r="2601" spans="1:13" x14ac:dyDescent="0.45">
      <c r="A2601" t="s">
        <v>3125</v>
      </c>
      <c r="B2601" t="s">
        <v>3123</v>
      </c>
      <c r="C2601" t="s">
        <v>2777</v>
      </c>
      <c r="D2601" t="s">
        <v>16</v>
      </c>
      <c r="E2601" t="s">
        <v>662</v>
      </c>
      <c r="F2601">
        <v>1</v>
      </c>
      <c r="G2601">
        <v>219</v>
      </c>
      <c r="H2601">
        <v>17.16</v>
      </c>
      <c r="I2601" t="s">
        <v>44</v>
      </c>
      <c r="J2601">
        <v>13</v>
      </c>
      <c r="K2601" t="s">
        <v>51</v>
      </c>
      <c r="L2601">
        <v>5</v>
      </c>
      <c r="M2601" t="str">
        <f>VLOOKUP(D2601,State_Lookup!$A$2:$B$28,2,FALSE)</f>
        <v>Sao Paulo</v>
      </c>
    </row>
    <row r="2602" spans="1:13" x14ac:dyDescent="0.45">
      <c r="A2602" t="s">
        <v>3126</v>
      </c>
      <c r="B2602" t="s">
        <v>3123</v>
      </c>
      <c r="C2602" t="s">
        <v>2777</v>
      </c>
      <c r="D2602" t="s">
        <v>24</v>
      </c>
      <c r="E2602" t="s">
        <v>66</v>
      </c>
      <c r="F2602">
        <v>1</v>
      </c>
      <c r="G2602">
        <v>29.99</v>
      </c>
      <c r="H2602">
        <v>14.1</v>
      </c>
      <c r="I2602" t="s">
        <v>50</v>
      </c>
      <c r="J2602">
        <v>12</v>
      </c>
      <c r="K2602" t="s">
        <v>51</v>
      </c>
      <c r="L2602">
        <v>1</v>
      </c>
      <c r="M2602" t="str">
        <f>VLOOKUP(D2602,State_Lookup!$A$2:$B$28,2,FALSE)</f>
        <v>Distrito Federal</v>
      </c>
    </row>
    <row r="2603" spans="1:13" x14ac:dyDescent="0.45">
      <c r="A2603" t="s">
        <v>3127</v>
      </c>
      <c r="B2603" t="s">
        <v>3123</v>
      </c>
      <c r="C2603" t="s">
        <v>2777</v>
      </c>
      <c r="D2603" t="s">
        <v>16</v>
      </c>
      <c r="E2603" t="s">
        <v>79</v>
      </c>
      <c r="F2603">
        <v>1</v>
      </c>
      <c r="G2603">
        <v>89.99</v>
      </c>
      <c r="H2603">
        <v>9.44</v>
      </c>
      <c r="I2603" t="s">
        <v>44</v>
      </c>
      <c r="J2603">
        <v>4</v>
      </c>
      <c r="K2603" t="s">
        <v>51</v>
      </c>
      <c r="L2603">
        <v>5</v>
      </c>
      <c r="M2603" t="str">
        <f>VLOOKUP(D2603,State_Lookup!$A$2:$B$28,2,FALSE)</f>
        <v>Sao Paulo</v>
      </c>
    </row>
    <row r="2604" spans="1:13" x14ac:dyDescent="0.45">
      <c r="A2604" t="s">
        <v>3128</v>
      </c>
      <c r="B2604" t="s">
        <v>3123</v>
      </c>
      <c r="C2604" t="s">
        <v>2777</v>
      </c>
      <c r="D2604" t="s">
        <v>21</v>
      </c>
      <c r="E2604" t="s">
        <v>64</v>
      </c>
      <c r="F2604">
        <v>1</v>
      </c>
      <c r="G2604">
        <v>37.9</v>
      </c>
      <c r="H2604">
        <v>15.11</v>
      </c>
      <c r="I2604" t="s">
        <v>44</v>
      </c>
      <c r="J2604">
        <v>19</v>
      </c>
      <c r="K2604" t="s">
        <v>51</v>
      </c>
      <c r="L2604">
        <v>4</v>
      </c>
      <c r="M2604" t="str">
        <f>VLOOKUP(D2604,State_Lookup!$A$2:$B$28,2,FALSE)</f>
        <v>Santa Catarina</v>
      </c>
    </row>
    <row r="2605" spans="1:13" x14ac:dyDescent="0.45">
      <c r="A2605" t="s">
        <v>3129</v>
      </c>
      <c r="B2605" t="s">
        <v>3123</v>
      </c>
      <c r="C2605" t="s">
        <v>2777</v>
      </c>
      <c r="D2605" t="s">
        <v>18</v>
      </c>
      <c r="E2605" t="s">
        <v>142</v>
      </c>
      <c r="F2605">
        <v>1</v>
      </c>
      <c r="G2605">
        <v>36.9</v>
      </c>
      <c r="H2605">
        <v>17.600000000000001</v>
      </c>
      <c r="I2605" t="s">
        <v>44</v>
      </c>
      <c r="J2605">
        <v>6</v>
      </c>
      <c r="K2605" t="s">
        <v>51</v>
      </c>
      <c r="L2605">
        <v>5</v>
      </c>
      <c r="M2605" t="str">
        <f>VLOOKUP(D2605,State_Lookup!$A$2:$B$28,2,FALSE)</f>
        <v>Minas Gerais</v>
      </c>
    </row>
    <row r="2606" spans="1:13" x14ac:dyDescent="0.45">
      <c r="A2606" t="s">
        <v>3130</v>
      </c>
      <c r="B2606" t="s">
        <v>3123</v>
      </c>
      <c r="C2606" t="s">
        <v>2777</v>
      </c>
      <c r="D2606" t="s">
        <v>17</v>
      </c>
      <c r="E2606" t="s">
        <v>186</v>
      </c>
      <c r="F2606">
        <v>1</v>
      </c>
      <c r="G2606">
        <v>179.99</v>
      </c>
      <c r="H2606">
        <v>27.58</v>
      </c>
      <c r="I2606" t="s">
        <v>44</v>
      </c>
      <c r="J2606">
        <v>9</v>
      </c>
      <c r="K2606" t="s">
        <v>51</v>
      </c>
      <c r="L2606">
        <v>5</v>
      </c>
      <c r="M2606" t="str">
        <f>VLOOKUP(D2606,State_Lookup!$A$2:$B$28,2,FALSE)</f>
        <v>Rio de Janeiro</v>
      </c>
    </row>
    <row r="2607" spans="1:13" x14ac:dyDescent="0.45">
      <c r="A2607" t="s">
        <v>3131</v>
      </c>
      <c r="B2607" t="s">
        <v>3123</v>
      </c>
      <c r="C2607" t="s">
        <v>2777</v>
      </c>
      <c r="D2607" t="s">
        <v>20</v>
      </c>
      <c r="E2607" t="s">
        <v>49</v>
      </c>
      <c r="F2607">
        <v>1</v>
      </c>
      <c r="G2607">
        <v>35.9</v>
      </c>
      <c r="H2607">
        <v>15.1</v>
      </c>
      <c r="I2607" t="s">
        <v>133</v>
      </c>
      <c r="K2607" t="s">
        <v>45</v>
      </c>
      <c r="L2607">
        <v>1</v>
      </c>
      <c r="M2607" t="str">
        <f>VLOOKUP(D2607,State_Lookup!$A$2:$B$28,2,FALSE)</f>
        <v>Parana</v>
      </c>
    </row>
    <row r="2608" spans="1:13" x14ac:dyDescent="0.45">
      <c r="A2608" t="s">
        <v>3132</v>
      </c>
      <c r="B2608" t="s">
        <v>3123</v>
      </c>
      <c r="C2608" t="s">
        <v>2777</v>
      </c>
      <c r="D2608" t="s">
        <v>16</v>
      </c>
      <c r="E2608" t="s">
        <v>79</v>
      </c>
      <c r="F2608">
        <v>3</v>
      </c>
      <c r="G2608">
        <v>44.97</v>
      </c>
      <c r="H2608">
        <v>23.34</v>
      </c>
      <c r="I2608" t="s">
        <v>44</v>
      </c>
      <c r="J2608">
        <v>7</v>
      </c>
      <c r="K2608" t="s">
        <v>51</v>
      </c>
      <c r="L2608">
        <v>5</v>
      </c>
      <c r="M2608" t="str">
        <f>VLOOKUP(D2608,State_Lookup!$A$2:$B$28,2,FALSE)</f>
        <v>Sao Paulo</v>
      </c>
    </row>
    <row r="2609" spans="1:13" x14ac:dyDescent="0.45">
      <c r="A2609" t="s">
        <v>3133</v>
      </c>
      <c r="B2609" t="s">
        <v>3134</v>
      </c>
      <c r="C2609" t="s">
        <v>2777</v>
      </c>
      <c r="D2609" t="s">
        <v>16</v>
      </c>
      <c r="E2609" t="s">
        <v>110</v>
      </c>
      <c r="F2609">
        <v>1</v>
      </c>
      <c r="G2609">
        <v>31.9</v>
      </c>
      <c r="H2609">
        <v>12.69</v>
      </c>
      <c r="I2609" t="s">
        <v>44</v>
      </c>
      <c r="J2609">
        <v>6</v>
      </c>
      <c r="K2609" t="s">
        <v>51</v>
      </c>
      <c r="L2609">
        <v>4</v>
      </c>
      <c r="M2609" t="str">
        <f>VLOOKUP(D2609,State_Lookup!$A$2:$B$28,2,FALSE)</f>
        <v>Sao Paulo</v>
      </c>
    </row>
    <row r="2610" spans="1:13" x14ac:dyDescent="0.45">
      <c r="A2610" t="s">
        <v>3135</v>
      </c>
      <c r="B2610" t="s">
        <v>3134</v>
      </c>
      <c r="C2610" t="s">
        <v>2777</v>
      </c>
      <c r="D2610" t="s">
        <v>16</v>
      </c>
      <c r="E2610" t="s">
        <v>43</v>
      </c>
      <c r="F2610">
        <v>1</v>
      </c>
      <c r="G2610">
        <v>169</v>
      </c>
      <c r="H2610">
        <v>12.39</v>
      </c>
      <c r="I2610" t="s">
        <v>44</v>
      </c>
      <c r="J2610">
        <v>6</v>
      </c>
      <c r="K2610" t="s">
        <v>51</v>
      </c>
      <c r="L2610">
        <v>5</v>
      </c>
      <c r="M2610" t="str">
        <f>VLOOKUP(D2610,State_Lookup!$A$2:$B$28,2,FALSE)</f>
        <v>Sao Paulo</v>
      </c>
    </row>
    <row r="2611" spans="1:13" x14ac:dyDescent="0.45">
      <c r="A2611" t="s">
        <v>3136</v>
      </c>
      <c r="B2611" t="s">
        <v>3134</v>
      </c>
      <c r="C2611" t="s">
        <v>2777</v>
      </c>
      <c r="D2611" t="s">
        <v>23</v>
      </c>
      <c r="E2611" t="s">
        <v>302</v>
      </c>
      <c r="F2611">
        <v>1</v>
      </c>
      <c r="G2611">
        <v>478.7</v>
      </c>
      <c r="H2611">
        <v>21.59</v>
      </c>
      <c r="I2611" t="s">
        <v>50</v>
      </c>
      <c r="J2611">
        <v>26</v>
      </c>
      <c r="K2611" t="s">
        <v>51</v>
      </c>
      <c r="L2611">
        <v>3</v>
      </c>
      <c r="M2611" t="str">
        <f>VLOOKUP(D2611,State_Lookup!$A$2:$B$28,2,FALSE)</f>
        <v>Espirito Santo</v>
      </c>
    </row>
    <row r="2612" spans="1:13" x14ac:dyDescent="0.45">
      <c r="A2612" t="s">
        <v>3137</v>
      </c>
      <c r="B2612" t="s">
        <v>3134</v>
      </c>
      <c r="C2612" t="s">
        <v>2777</v>
      </c>
      <c r="D2612" t="s">
        <v>16</v>
      </c>
      <c r="E2612" t="s">
        <v>76</v>
      </c>
      <c r="F2612">
        <v>1</v>
      </c>
      <c r="G2612">
        <v>104</v>
      </c>
      <c r="H2612">
        <v>15.48</v>
      </c>
      <c r="I2612" t="s">
        <v>44</v>
      </c>
      <c r="J2612">
        <v>4</v>
      </c>
      <c r="K2612" t="s">
        <v>51</v>
      </c>
      <c r="L2612">
        <v>5</v>
      </c>
      <c r="M2612" t="str">
        <f>VLOOKUP(D2612,State_Lookup!$A$2:$B$28,2,FALSE)</f>
        <v>Sao Paulo</v>
      </c>
    </row>
    <row r="2613" spans="1:13" x14ac:dyDescent="0.45">
      <c r="A2613" t="s">
        <v>3138</v>
      </c>
      <c r="B2613" t="s">
        <v>3134</v>
      </c>
      <c r="C2613" t="s">
        <v>2777</v>
      </c>
      <c r="D2613" t="s">
        <v>21</v>
      </c>
      <c r="E2613" t="s">
        <v>110</v>
      </c>
      <c r="F2613">
        <v>4</v>
      </c>
      <c r="G2613">
        <v>35.96</v>
      </c>
      <c r="H2613">
        <v>67.16</v>
      </c>
      <c r="I2613" t="s">
        <v>50</v>
      </c>
      <c r="J2613">
        <v>32</v>
      </c>
      <c r="K2613" t="s">
        <v>51</v>
      </c>
      <c r="L2613">
        <v>1</v>
      </c>
      <c r="M2613" t="str">
        <f>VLOOKUP(D2613,State_Lookup!$A$2:$B$28,2,FALSE)</f>
        <v>Santa Catarina</v>
      </c>
    </row>
    <row r="2614" spans="1:13" x14ac:dyDescent="0.45">
      <c r="A2614" t="s">
        <v>3139</v>
      </c>
      <c r="B2614" t="s">
        <v>3134</v>
      </c>
      <c r="C2614" t="s">
        <v>2777</v>
      </c>
      <c r="D2614" t="s">
        <v>16</v>
      </c>
      <c r="E2614" t="s">
        <v>157</v>
      </c>
      <c r="F2614">
        <v>1</v>
      </c>
      <c r="G2614">
        <v>215</v>
      </c>
      <c r="H2614">
        <v>13.01</v>
      </c>
      <c r="I2614" t="s">
        <v>44</v>
      </c>
      <c r="J2614">
        <v>7</v>
      </c>
      <c r="K2614" t="s">
        <v>51</v>
      </c>
      <c r="L2614">
        <v>5</v>
      </c>
      <c r="M2614" t="str">
        <f>VLOOKUP(D2614,State_Lookup!$A$2:$B$28,2,FALSE)</f>
        <v>Sao Paulo</v>
      </c>
    </row>
    <row r="2615" spans="1:13" x14ac:dyDescent="0.45">
      <c r="A2615" t="s">
        <v>3140</v>
      </c>
      <c r="B2615" t="s">
        <v>3134</v>
      </c>
      <c r="C2615" t="s">
        <v>2777</v>
      </c>
      <c r="D2615" t="s">
        <v>17</v>
      </c>
      <c r="E2615" t="s">
        <v>79</v>
      </c>
      <c r="F2615">
        <v>1</v>
      </c>
      <c r="G2615">
        <v>150</v>
      </c>
      <c r="H2615">
        <v>15.8</v>
      </c>
      <c r="I2615" t="s">
        <v>44</v>
      </c>
      <c r="J2615">
        <v>24</v>
      </c>
      <c r="K2615" t="s">
        <v>51</v>
      </c>
      <c r="L2615">
        <v>3</v>
      </c>
      <c r="M2615" t="str">
        <f>VLOOKUP(D2615,State_Lookup!$A$2:$B$28,2,FALSE)</f>
        <v>Rio de Janeiro</v>
      </c>
    </row>
    <row r="2616" spans="1:13" x14ac:dyDescent="0.45">
      <c r="A2616" t="s">
        <v>3141</v>
      </c>
      <c r="B2616" t="s">
        <v>3134</v>
      </c>
      <c r="C2616" t="s">
        <v>2777</v>
      </c>
      <c r="D2616" t="s">
        <v>63</v>
      </c>
      <c r="E2616" t="s">
        <v>1935</v>
      </c>
      <c r="F2616">
        <v>1</v>
      </c>
      <c r="G2616">
        <v>65</v>
      </c>
      <c r="H2616">
        <v>26.99</v>
      </c>
      <c r="I2616" t="s">
        <v>44</v>
      </c>
      <c r="J2616">
        <v>13</v>
      </c>
      <c r="K2616" t="s">
        <v>51</v>
      </c>
      <c r="L2616">
        <v>5</v>
      </c>
      <c r="M2616" t="str">
        <f>VLOOKUP(D2616,State_Lookup!$A$2:$B$28,2,FALSE)</f>
        <v>Pernambuco</v>
      </c>
    </row>
    <row r="2617" spans="1:13" x14ac:dyDescent="0.45">
      <c r="A2617" t="s">
        <v>3142</v>
      </c>
      <c r="B2617" t="s">
        <v>3134</v>
      </c>
      <c r="C2617" t="s">
        <v>2777</v>
      </c>
      <c r="D2617" t="s">
        <v>23</v>
      </c>
      <c r="E2617" t="s">
        <v>107</v>
      </c>
      <c r="F2617">
        <v>1</v>
      </c>
      <c r="G2617">
        <v>53</v>
      </c>
      <c r="H2617">
        <v>14.12</v>
      </c>
      <c r="I2617" t="s">
        <v>50</v>
      </c>
      <c r="J2617">
        <v>19</v>
      </c>
      <c r="K2617" t="s">
        <v>51</v>
      </c>
      <c r="L2617">
        <v>5</v>
      </c>
      <c r="M2617" t="str">
        <f>VLOOKUP(D2617,State_Lookup!$A$2:$B$28,2,FALSE)</f>
        <v>Espirito Santo</v>
      </c>
    </row>
    <row r="2618" spans="1:13" x14ac:dyDescent="0.45">
      <c r="A2618" t="s">
        <v>3143</v>
      </c>
      <c r="B2618" t="s">
        <v>3144</v>
      </c>
      <c r="C2618" t="s">
        <v>2777</v>
      </c>
      <c r="D2618" t="s">
        <v>16</v>
      </c>
      <c r="E2618" t="s">
        <v>79</v>
      </c>
      <c r="F2618">
        <v>1</v>
      </c>
      <c r="G2618">
        <v>199.9</v>
      </c>
      <c r="H2618">
        <v>17.16</v>
      </c>
      <c r="I2618" t="s">
        <v>44</v>
      </c>
      <c r="J2618">
        <v>30</v>
      </c>
      <c r="K2618" t="s">
        <v>51</v>
      </c>
      <c r="L2618">
        <v>4</v>
      </c>
      <c r="M2618" t="str">
        <f>VLOOKUP(D2618,State_Lookup!$A$2:$B$28,2,FALSE)</f>
        <v>Sao Paulo</v>
      </c>
    </row>
    <row r="2619" spans="1:13" x14ac:dyDescent="0.45">
      <c r="A2619" t="s">
        <v>3145</v>
      </c>
      <c r="B2619" t="s">
        <v>3144</v>
      </c>
      <c r="C2619" t="s">
        <v>2777</v>
      </c>
      <c r="D2619" t="s">
        <v>22</v>
      </c>
      <c r="E2619" t="s">
        <v>244</v>
      </c>
      <c r="F2619">
        <v>1</v>
      </c>
      <c r="G2619">
        <v>99.9</v>
      </c>
      <c r="H2619">
        <v>17.14</v>
      </c>
      <c r="I2619" t="s">
        <v>44</v>
      </c>
      <c r="K2619" t="s">
        <v>45</v>
      </c>
      <c r="L2619">
        <v>1</v>
      </c>
      <c r="M2619" t="str">
        <f>VLOOKUP(D2619,State_Lookup!$A$2:$B$28,2,FALSE)</f>
        <v>Bahia</v>
      </c>
    </row>
    <row r="2620" spans="1:13" x14ac:dyDescent="0.45">
      <c r="A2620" t="s">
        <v>3146</v>
      </c>
      <c r="B2620" t="s">
        <v>3144</v>
      </c>
      <c r="C2620" t="s">
        <v>2777</v>
      </c>
      <c r="D2620" t="s">
        <v>20</v>
      </c>
      <c r="E2620" t="s">
        <v>66</v>
      </c>
      <c r="F2620">
        <v>1</v>
      </c>
      <c r="G2620">
        <v>49.99</v>
      </c>
      <c r="H2620">
        <v>14.1</v>
      </c>
      <c r="I2620" t="s">
        <v>44</v>
      </c>
      <c r="J2620">
        <v>5</v>
      </c>
      <c r="K2620" t="s">
        <v>51</v>
      </c>
      <c r="L2620">
        <v>5</v>
      </c>
      <c r="M2620" t="str">
        <f>VLOOKUP(D2620,State_Lookup!$A$2:$B$28,2,FALSE)</f>
        <v>Parana</v>
      </c>
    </row>
    <row r="2621" spans="1:13" x14ac:dyDescent="0.45">
      <c r="A2621" t="s">
        <v>3147</v>
      </c>
      <c r="B2621" t="s">
        <v>3144</v>
      </c>
      <c r="C2621" t="s">
        <v>2777</v>
      </c>
      <c r="D2621" t="s">
        <v>16</v>
      </c>
      <c r="E2621" t="s">
        <v>220</v>
      </c>
      <c r="F2621">
        <v>1</v>
      </c>
      <c r="G2621">
        <v>106.94</v>
      </c>
      <c r="H2621">
        <v>18.46</v>
      </c>
      <c r="I2621" t="s">
        <v>44</v>
      </c>
      <c r="J2621">
        <v>18</v>
      </c>
      <c r="K2621" t="s">
        <v>51</v>
      </c>
      <c r="L2621">
        <v>4</v>
      </c>
      <c r="M2621" t="str">
        <f>VLOOKUP(D2621,State_Lookup!$A$2:$B$28,2,FALSE)</f>
        <v>Sao Paulo</v>
      </c>
    </row>
    <row r="2622" spans="1:13" x14ac:dyDescent="0.45">
      <c r="A2622" t="s">
        <v>3148</v>
      </c>
      <c r="B2622" t="s">
        <v>3149</v>
      </c>
      <c r="C2622" t="s">
        <v>2777</v>
      </c>
      <c r="D2622" t="s">
        <v>16</v>
      </c>
      <c r="E2622" t="s">
        <v>79</v>
      </c>
      <c r="F2622">
        <v>1</v>
      </c>
      <c r="G2622">
        <v>359</v>
      </c>
      <c r="H2622">
        <v>16.260000000000002</v>
      </c>
      <c r="I2622" t="s">
        <v>44</v>
      </c>
      <c r="J2622">
        <v>9</v>
      </c>
      <c r="K2622" t="s">
        <v>51</v>
      </c>
      <c r="L2622">
        <v>5</v>
      </c>
      <c r="M2622" t="str">
        <f>VLOOKUP(D2622,State_Lookup!$A$2:$B$28,2,FALSE)</f>
        <v>Sao Paulo</v>
      </c>
    </row>
    <row r="2623" spans="1:13" x14ac:dyDescent="0.45">
      <c r="A2623" t="s">
        <v>3150</v>
      </c>
      <c r="B2623" t="s">
        <v>3149</v>
      </c>
      <c r="C2623" t="s">
        <v>2777</v>
      </c>
      <c r="D2623" t="s">
        <v>16</v>
      </c>
      <c r="E2623" t="s">
        <v>49</v>
      </c>
      <c r="F2623">
        <v>1</v>
      </c>
      <c r="G2623">
        <v>90</v>
      </c>
      <c r="H2623">
        <v>13.65</v>
      </c>
      <c r="I2623" t="s">
        <v>44</v>
      </c>
      <c r="J2623">
        <v>5</v>
      </c>
      <c r="K2623" t="s">
        <v>51</v>
      </c>
      <c r="L2623">
        <v>4</v>
      </c>
      <c r="M2623" t="str">
        <f>VLOOKUP(D2623,State_Lookup!$A$2:$B$28,2,FALSE)</f>
        <v>Sao Paulo</v>
      </c>
    </row>
    <row r="2624" spans="1:13" x14ac:dyDescent="0.45">
      <c r="A2624" t="s">
        <v>3151</v>
      </c>
      <c r="B2624" t="s">
        <v>3149</v>
      </c>
      <c r="C2624" t="s">
        <v>2777</v>
      </c>
      <c r="D2624" t="s">
        <v>18</v>
      </c>
      <c r="E2624" t="s">
        <v>302</v>
      </c>
      <c r="F2624">
        <v>1</v>
      </c>
      <c r="G2624">
        <v>269</v>
      </c>
      <c r="H2624">
        <v>26.72</v>
      </c>
      <c r="I2624" t="s">
        <v>44</v>
      </c>
      <c r="J2624">
        <v>5</v>
      </c>
      <c r="K2624" t="s">
        <v>51</v>
      </c>
      <c r="L2624">
        <v>5</v>
      </c>
      <c r="M2624" t="str">
        <f>VLOOKUP(D2624,State_Lookup!$A$2:$B$28,2,FALSE)</f>
        <v>Minas Gerais</v>
      </c>
    </row>
    <row r="2625" spans="1:13" x14ac:dyDescent="0.45">
      <c r="A2625" t="s">
        <v>3152</v>
      </c>
      <c r="B2625" t="s">
        <v>3149</v>
      </c>
      <c r="C2625" t="s">
        <v>2777</v>
      </c>
      <c r="D2625" t="s">
        <v>16</v>
      </c>
      <c r="E2625" t="s">
        <v>43</v>
      </c>
      <c r="F2625">
        <v>1</v>
      </c>
      <c r="G2625">
        <v>97</v>
      </c>
      <c r="H2625">
        <v>14.41</v>
      </c>
      <c r="I2625" t="s">
        <v>50</v>
      </c>
      <c r="J2625">
        <v>22</v>
      </c>
      <c r="K2625" t="s">
        <v>51</v>
      </c>
      <c r="L2625">
        <v>4</v>
      </c>
      <c r="M2625" t="str">
        <f>VLOOKUP(D2625,State_Lookup!$A$2:$B$28,2,FALSE)</f>
        <v>Sao Paulo</v>
      </c>
    </row>
    <row r="2626" spans="1:13" x14ac:dyDescent="0.45">
      <c r="A2626" t="s">
        <v>3153</v>
      </c>
      <c r="B2626" t="s">
        <v>3149</v>
      </c>
      <c r="C2626" t="s">
        <v>2777</v>
      </c>
      <c r="D2626" t="s">
        <v>16</v>
      </c>
      <c r="E2626" t="s">
        <v>142</v>
      </c>
      <c r="F2626">
        <v>1</v>
      </c>
      <c r="G2626">
        <v>64.959999999999994</v>
      </c>
      <c r="H2626">
        <v>26.97</v>
      </c>
      <c r="I2626" t="s">
        <v>44</v>
      </c>
      <c r="J2626">
        <v>9</v>
      </c>
      <c r="K2626" t="s">
        <v>51</v>
      </c>
      <c r="L2626">
        <v>3</v>
      </c>
      <c r="M2626" t="str">
        <f>VLOOKUP(D2626,State_Lookup!$A$2:$B$28,2,FALSE)</f>
        <v>Sao Paulo</v>
      </c>
    </row>
    <row r="2627" spans="1:13" x14ac:dyDescent="0.45">
      <c r="A2627" t="s">
        <v>3154</v>
      </c>
      <c r="B2627" t="s">
        <v>3149</v>
      </c>
      <c r="C2627" t="s">
        <v>2777</v>
      </c>
      <c r="D2627" t="s">
        <v>16</v>
      </c>
      <c r="E2627" t="s">
        <v>2926</v>
      </c>
      <c r="F2627">
        <v>1</v>
      </c>
      <c r="G2627">
        <v>75</v>
      </c>
      <c r="H2627">
        <v>36.619999999999997</v>
      </c>
      <c r="I2627" t="s">
        <v>44</v>
      </c>
      <c r="J2627">
        <v>9</v>
      </c>
      <c r="K2627" t="s">
        <v>51</v>
      </c>
      <c r="L2627">
        <v>4</v>
      </c>
      <c r="M2627" t="str">
        <f>VLOOKUP(D2627,State_Lookup!$A$2:$B$28,2,FALSE)</f>
        <v>Sao Paulo</v>
      </c>
    </row>
    <row r="2628" spans="1:13" x14ac:dyDescent="0.45">
      <c r="A2628" t="s">
        <v>3155</v>
      </c>
      <c r="B2628" t="s">
        <v>3149</v>
      </c>
      <c r="C2628" t="s">
        <v>2777</v>
      </c>
      <c r="D2628" t="s">
        <v>18</v>
      </c>
      <c r="E2628" t="s">
        <v>157</v>
      </c>
      <c r="F2628">
        <v>1</v>
      </c>
      <c r="G2628">
        <v>229.9</v>
      </c>
      <c r="H2628">
        <v>16.36</v>
      </c>
      <c r="I2628" t="s">
        <v>44</v>
      </c>
      <c r="J2628">
        <v>17</v>
      </c>
      <c r="K2628" t="s">
        <v>51</v>
      </c>
      <c r="L2628">
        <v>5</v>
      </c>
      <c r="M2628" t="str">
        <f>VLOOKUP(D2628,State_Lookup!$A$2:$B$28,2,FALSE)</f>
        <v>Minas Gerais</v>
      </c>
    </row>
    <row r="2629" spans="1:13" x14ac:dyDescent="0.45">
      <c r="A2629" t="s">
        <v>3156</v>
      </c>
      <c r="B2629" t="s">
        <v>3149</v>
      </c>
      <c r="C2629" t="s">
        <v>2777</v>
      </c>
      <c r="D2629" t="s">
        <v>18</v>
      </c>
      <c r="E2629" t="s">
        <v>76</v>
      </c>
      <c r="F2629">
        <v>1</v>
      </c>
      <c r="G2629">
        <v>187.9</v>
      </c>
      <c r="H2629">
        <v>24.19</v>
      </c>
      <c r="I2629" t="s">
        <v>44</v>
      </c>
      <c r="J2629">
        <v>10</v>
      </c>
      <c r="K2629" t="s">
        <v>51</v>
      </c>
      <c r="L2629">
        <v>5</v>
      </c>
      <c r="M2629" t="str">
        <f>VLOOKUP(D2629,State_Lookup!$A$2:$B$28,2,FALSE)</f>
        <v>Minas Gerais</v>
      </c>
    </row>
    <row r="2630" spans="1:13" x14ac:dyDescent="0.45">
      <c r="A2630" t="s">
        <v>3157</v>
      </c>
      <c r="B2630" t="s">
        <v>3149</v>
      </c>
      <c r="C2630" t="s">
        <v>2777</v>
      </c>
      <c r="D2630" t="s">
        <v>16</v>
      </c>
      <c r="E2630" t="s">
        <v>79</v>
      </c>
      <c r="F2630">
        <v>1</v>
      </c>
      <c r="G2630">
        <v>99.9</v>
      </c>
      <c r="H2630">
        <v>14.43</v>
      </c>
      <c r="I2630" t="s">
        <v>108</v>
      </c>
      <c r="J2630">
        <v>9</v>
      </c>
      <c r="K2630" t="s">
        <v>51</v>
      </c>
      <c r="L2630">
        <v>5</v>
      </c>
      <c r="M2630" t="str">
        <f>VLOOKUP(D2630,State_Lookup!$A$2:$B$28,2,FALSE)</f>
        <v>Sao Paulo</v>
      </c>
    </row>
    <row r="2631" spans="1:13" x14ac:dyDescent="0.45">
      <c r="A2631" t="s">
        <v>3158</v>
      </c>
      <c r="B2631" t="s">
        <v>3149</v>
      </c>
      <c r="C2631" t="s">
        <v>2777</v>
      </c>
      <c r="D2631" t="s">
        <v>19</v>
      </c>
      <c r="E2631" t="s">
        <v>110</v>
      </c>
      <c r="F2631">
        <v>1</v>
      </c>
      <c r="G2631">
        <v>42.99</v>
      </c>
      <c r="H2631">
        <v>17.600000000000001</v>
      </c>
      <c r="I2631" t="s">
        <v>44</v>
      </c>
      <c r="J2631">
        <v>21</v>
      </c>
      <c r="K2631" t="s">
        <v>51</v>
      </c>
      <c r="M2631" t="str">
        <f>VLOOKUP(D2631,State_Lookup!$A$2:$B$28,2,FALSE)</f>
        <v>Rio Grande do Sul</v>
      </c>
    </row>
    <row r="2632" spans="1:13" x14ac:dyDescent="0.45">
      <c r="A2632" t="s">
        <v>3159</v>
      </c>
      <c r="B2632" t="s">
        <v>3160</v>
      </c>
      <c r="C2632" t="s">
        <v>2777</v>
      </c>
      <c r="D2632" t="s">
        <v>21</v>
      </c>
      <c r="E2632" t="s">
        <v>49</v>
      </c>
      <c r="F2632">
        <v>1</v>
      </c>
      <c r="G2632">
        <v>479.9</v>
      </c>
      <c r="H2632">
        <v>26.23</v>
      </c>
      <c r="I2632" t="s">
        <v>44</v>
      </c>
      <c r="J2632">
        <v>16</v>
      </c>
      <c r="K2632" t="s">
        <v>51</v>
      </c>
      <c r="L2632">
        <v>5</v>
      </c>
      <c r="M2632" t="str">
        <f>VLOOKUP(D2632,State_Lookup!$A$2:$B$28,2,FALSE)</f>
        <v>Santa Catarina</v>
      </c>
    </row>
    <row r="2633" spans="1:13" x14ac:dyDescent="0.45">
      <c r="A2633" t="s">
        <v>3161</v>
      </c>
      <c r="B2633" t="s">
        <v>3160</v>
      </c>
      <c r="C2633" t="s">
        <v>2777</v>
      </c>
      <c r="D2633" t="s">
        <v>16</v>
      </c>
      <c r="E2633" t="s">
        <v>1448</v>
      </c>
      <c r="F2633">
        <v>1</v>
      </c>
      <c r="G2633">
        <v>125</v>
      </c>
      <c r="H2633">
        <v>10.09</v>
      </c>
      <c r="I2633" t="s">
        <v>44</v>
      </c>
      <c r="J2633">
        <v>7</v>
      </c>
      <c r="K2633" t="s">
        <v>51</v>
      </c>
      <c r="L2633">
        <v>5</v>
      </c>
      <c r="M2633" t="str">
        <f>VLOOKUP(D2633,State_Lookup!$A$2:$B$28,2,FALSE)</f>
        <v>Sao Paulo</v>
      </c>
    </row>
    <row r="2634" spans="1:13" x14ac:dyDescent="0.45">
      <c r="A2634" t="s">
        <v>3162</v>
      </c>
      <c r="B2634" t="s">
        <v>3160</v>
      </c>
      <c r="C2634" t="s">
        <v>2777</v>
      </c>
      <c r="D2634" t="s">
        <v>16</v>
      </c>
      <c r="E2634" t="s">
        <v>110</v>
      </c>
      <c r="F2634">
        <v>1</v>
      </c>
      <c r="G2634">
        <v>178</v>
      </c>
      <c r="H2634">
        <v>45.72</v>
      </c>
      <c r="I2634" t="s">
        <v>50</v>
      </c>
      <c r="J2634">
        <v>7</v>
      </c>
      <c r="K2634" t="s">
        <v>51</v>
      </c>
      <c r="L2634">
        <v>1</v>
      </c>
      <c r="M2634" t="str">
        <f>VLOOKUP(D2634,State_Lookup!$A$2:$B$28,2,FALSE)</f>
        <v>Sao Paulo</v>
      </c>
    </row>
    <row r="2635" spans="1:13" x14ac:dyDescent="0.45">
      <c r="A2635" t="s">
        <v>3163</v>
      </c>
      <c r="B2635" t="s">
        <v>3160</v>
      </c>
      <c r="C2635" t="s">
        <v>2777</v>
      </c>
      <c r="D2635" t="s">
        <v>17</v>
      </c>
      <c r="E2635" t="s">
        <v>110</v>
      </c>
      <c r="F2635">
        <v>1</v>
      </c>
      <c r="G2635">
        <v>99.9</v>
      </c>
      <c r="H2635">
        <v>17.95</v>
      </c>
      <c r="I2635" t="s">
        <v>44</v>
      </c>
      <c r="J2635">
        <v>8</v>
      </c>
      <c r="K2635" t="s">
        <v>51</v>
      </c>
      <c r="L2635">
        <v>5</v>
      </c>
      <c r="M2635" t="str">
        <f>VLOOKUP(D2635,State_Lookup!$A$2:$B$28,2,FALSE)</f>
        <v>Rio de Janeiro</v>
      </c>
    </row>
    <row r="2636" spans="1:13" x14ac:dyDescent="0.45">
      <c r="A2636" t="s">
        <v>3164</v>
      </c>
      <c r="B2636" t="s">
        <v>3160</v>
      </c>
      <c r="C2636" t="s">
        <v>2777</v>
      </c>
      <c r="D2636" t="s">
        <v>18</v>
      </c>
      <c r="E2636" t="s">
        <v>107</v>
      </c>
      <c r="F2636">
        <v>1</v>
      </c>
      <c r="G2636">
        <v>28.5</v>
      </c>
      <c r="H2636">
        <v>15.1</v>
      </c>
      <c r="I2636" t="s">
        <v>50</v>
      </c>
      <c r="J2636">
        <v>22</v>
      </c>
      <c r="K2636" t="s">
        <v>51</v>
      </c>
      <c r="L2636">
        <v>4</v>
      </c>
      <c r="M2636" t="str">
        <f>VLOOKUP(D2636,State_Lookup!$A$2:$B$28,2,FALSE)</f>
        <v>Minas Gerais</v>
      </c>
    </row>
    <row r="2637" spans="1:13" x14ac:dyDescent="0.45">
      <c r="A2637" t="s">
        <v>3165</v>
      </c>
      <c r="B2637" t="s">
        <v>3160</v>
      </c>
      <c r="C2637" t="s">
        <v>2777</v>
      </c>
      <c r="D2637" t="s">
        <v>16</v>
      </c>
      <c r="E2637" t="s">
        <v>79</v>
      </c>
      <c r="F2637">
        <v>1</v>
      </c>
      <c r="G2637">
        <v>30</v>
      </c>
      <c r="H2637">
        <v>7.78</v>
      </c>
      <c r="I2637" t="s">
        <v>50</v>
      </c>
      <c r="J2637">
        <v>4</v>
      </c>
      <c r="K2637" t="s">
        <v>51</v>
      </c>
      <c r="L2637">
        <v>4</v>
      </c>
      <c r="M2637" t="str">
        <f>VLOOKUP(D2637,State_Lookup!$A$2:$B$28,2,FALSE)</f>
        <v>Sao Paulo</v>
      </c>
    </row>
    <row r="2638" spans="1:13" x14ac:dyDescent="0.45">
      <c r="A2638" t="s">
        <v>3166</v>
      </c>
      <c r="B2638" t="s">
        <v>3160</v>
      </c>
      <c r="C2638" t="s">
        <v>2777</v>
      </c>
      <c r="D2638" t="s">
        <v>63</v>
      </c>
      <c r="E2638" t="s">
        <v>79</v>
      </c>
      <c r="F2638">
        <v>1</v>
      </c>
      <c r="G2638">
        <v>349.9</v>
      </c>
      <c r="H2638">
        <v>48.98</v>
      </c>
      <c r="I2638" t="s">
        <v>44</v>
      </c>
      <c r="J2638">
        <v>10</v>
      </c>
      <c r="K2638" t="s">
        <v>51</v>
      </c>
      <c r="L2638">
        <v>5</v>
      </c>
      <c r="M2638" t="str">
        <f>VLOOKUP(D2638,State_Lookup!$A$2:$B$28,2,FALSE)</f>
        <v>Pernambuco</v>
      </c>
    </row>
    <row r="2639" spans="1:13" x14ac:dyDescent="0.45">
      <c r="A2639" t="s">
        <v>3167</v>
      </c>
      <c r="B2639" t="s">
        <v>3160</v>
      </c>
      <c r="C2639" t="s">
        <v>2777</v>
      </c>
      <c r="D2639" t="s">
        <v>16</v>
      </c>
      <c r="E2639" t="s">
        <v>152</v>
      </c>
      <c r="F2639">
        <v>1</v>
      </c>
      <c r="G2639">
        <v>99.9</v>
      </c>
      <c r="H2639">
        <v>14.43</v>
      </c>
      <c r="I2639" t="s">
        <v>44</v>
      </c>
      <c r="J2639">
        <v>8</v>
      </c>
      <c r="K2639" t="s">
        <v>51</v>
      </c>
      <c r="L2639">
        <v>3</v>
      </c>
      <c r="M2639" t="str">
        <f>VLOOKUP(D2639,State_Lookup!$A$2:$B$28,2,FALSE)</f>
        <v>Sao Paulo</v>
      </c>
    </row>
    <row r="2640" spans="1:13" x14ac:dyDescent="0.45">
      <c r="A2640" t="s">
        <v>3168</v>
      </c>
      <c r="B2640" t="s">
        <v>3160</v>
      </c>
      <c r="C2640" t="s">
        <v>2777</v>
      </c>
      <c r="D2640" t="s">
        <v>19</v>
      </c>
      <c r="E2640" t="s">
        <v>142</v>
      </c>
      <c r="F2640">
        <v>1</v>
      </c>
      <c r="G2640">
        <v>85.71</v>
      </c>
      <c r="H2640">
        <v>16.850000000000001</v>
      </c>
      <c r="I2640" t="s">
        <v>44</v>
      </c>
      <c r="J2640">
        <v>17</v>
      </c>
      <c r="K2640" t="s">
        <v>51</v>
      </c>
      <c r="L2640">
        <v>4</v>
      </c>
      <c r="M2640" t="str">
        <f>VLOOKUP(D2640,State_Lookup!$A$2:$B$28,2,FALSE)</f>
        <v>Rio Grande do Sul</v>
      </c>
    </row>
    <row r="2641" spans="1:13" x14ac:dyDescent="0.45">
      <c r="A2641" t="s">
        <v>3169</v>
      </c>
      <c r="B2641" t="s">
        <v>3160</v>
      </c>
      <c r="C2641" t="s">
        <v>2777</v>
      </c>
      <c r="D2641" t="s">
        <v>122</v>
      </c>
      <c r="E2641" t="s">
        <v>79</v>
      </c>
      <c r="F2641">
        <v>1</v>
      </c>
      <c r="G2641">
        <v>139.65</v>
      </c>
      <c r="H2641">
        <v>43.01</v>
      </c>
      <c r="I2641" t="s">
        <v>44</v>
      </c>
      <c r="J2641">
        <v>36</v>
      </c>
      <c r="K2641" t="s">
        <v>51</v>
      </c>
      <c r="L2641">
        <v>4</v>
      </c>
      <c r="M2641" t="str">
        <f>VLOOKUP(D2641,State_Lookup!$A$2:$B$28,2,FALSE)</f>
        <v>Para</v>
      </c>
    </row>
    <row r="2642" spans="1:13" x14ac:dyDescent="0.45">
      <c r="A2642" t="s">
        <v>3170</v>
      </c>
      <c r="B2642" t="s">
        <v>3160</v>
      </c>
      <c r="C2642" t="s">
        <v>2777</v>
      </c>
      <c r="D2642" t="s">
        <v>20</v>
      </c>
      <c r="E2642" t="s">
        <v>142</v>
      </c>
      <c r="F2642">
        <v>1</v>
      </c>
      <c r="G2642">
        <v>35.9</v>
      </c>
      <c r="H2642">
        <v>15.1</v>
      </c>
      <c r="I2642" t="s">
        <v>50</v>
      </c>
      <c r="J2642">
        <v>24</v>
      </c>
      <c r="K2642" t="s">
        <v>51</v>
      </c>
      <c r="L2642">
        <v>4</v>
      </c>
      <c r="M2642" t="str">
        <f>VLOOKUP(D2642,State_Lookup!$A$2:$B$28,2,FALSE)</f>
        <v>Parana</v>
      </c>
    </row>
    <row r="2643" spans="1:13" x14ac:dyDescent="0.45">
      <c r="A2643" t="s">
        <v>3171</v>
      </c>
      <c r="B2643" t="s">
        <v>3160</v>
      </c>
      <c r="C2643" t="s">
        <v>2777</v>
      </c>
      <c r="D2643" t="s">
        <v>16</v>
      </c>
      <c r="E2643" t="s">
        <v>69</v>
      </c>
      <c r="F2643">
        <v>2</v>
      </c>
      <c r="G2643">
        <v>99.8</v>
      </c>
      <c r="H2643">
        <v>26.74</v>
      </c>
      <c r="I2643" t="s">
        <v>44</v>
      </c>
      <c r="J2643">
        <v>11</v>
      </c>
      <c r="K2643" t="s">
        <v>51</v>
      </c>
      <c r="L2643">
        <v>1</v>
      </c>
      <c r="M2643" t="str">
        <f>VLOOKUP(D2643,State_Lookup!$A$2:$B$28,2,FALSE)</f>
        <v>Sao Paulo</v>
      </c>
    </row>
    <row r="2644" spans="1:13" x14ac:dyDescent="0.45">
      <c r="A2644" t="s">
        <v>3172</v>
      </c>
      <c r="B2644" t="s">
        <v>3160</v>
      </c>
      <c r="C2644" t="s">
        <v>2777</v>
      </c>
      <c r="D2644" t="s">
        <v>20</v>
      </c>
      <c r="E2644" t="s">
        <v>49</v>
      </c>
      <c r="F2644">
        <v>3</v>
      </c>
      <c r="G2644">
        <v>115.44</v>
      </c>
      <c r="H2644">
        <v>45.3</v>
      </c>
      <c r="I2644" t="s">
        <v>50</v>
      </c>
      <c r="J2644">
        <v>16</v>
      </c>
      <c r="K2644" t="s">
        <v>51</v>
      </c>
      <c r="L2644">
        <v>3</v>
      </c>
      <c r="M2644" t="str">
        <f>VLOOKUP(D2644,State_Lookup!$A$2:$B$28,2,FALSE)</f>
        <v>Parana</v>
      </c>
    </row>
    <row r="2645" spans="1:13" x14ac:dyDescent="0.45">
      <c r="A2645" t="s">
        <v>3173</v>
      </c>
      <c r="B2645" t="s">
        <v>3160</v>
      </c>
      <c r="C2645" t="s">
        <v>2777</v>
      </c>
      <c r="D2645" t="s">
        <v>18</v>
      </c>
      <c r="E2645" t="s">
        <v>49</v>
      </c>
      <c r="F2645">
        <v>1</v>
      </c>
      <c r="G2645">
        <v>49.9</v>
      </c>
      <c r="H2645">
        <v>15.1</v>
      </c>
      <c r="I2645" t="s">
        <v>44</v>
      </c>
      <c r="J2645">
        <v>21</v>
      </c>
      <c r="K2645" t="s">
        <v>51</v>
      </c>
      <c r="L2645">
        <v>4</v>
      </c>
      <c r="M2645" t="str">
        <f>VLOOKUP(D2645,State_Lookup!$A$2:$B$28,2,FALSE)</f>
        <v>Minas Gerais</v>
      </c>
    </row>
    <row r="2646" spans="1:13" x14ac:dyDescent="0.45">
      <c r="A2646" t="s">
        <v>3174</v>
      </c>
      <c r="B2646" t="s">
        <v>3175</v>
      </c>
      <c r="C2646" t="s">
        <v>2777</v>
      </c>
      <c r="D2646" t="s">
        <v>16</v>
      </c>
      <c r="E2646" t="s">
        <v>132</v>
      </c>
      <c r="F2646">
        <v>1</v>
      </c>
      <c r="G2646">
        <v>29.99</v>
      </c>
      <c r="H2646">
        <v>14.1</v>
      </c>
      <c r="I2646" t="s">
        <v>44</v>
      </c>
      <c r="J2646">
        <v>3</v>
      </c>
      <c r="K2646" t="s">
        <v>51</v>
      </c>
      <c r="L2646">
        <v>5</v>
      </c>
      <c r="M2646" t="str">
        <f>VLOOKUP(D2646,State_Lookup!$A$2:$B$28,2,FALSE)</f>
        <v>Sao Paulo</v>
      </c>
    </row>
    <row r="2647" spans="1:13" x14ac:dyDescent="0.45">
      <c r="A2647" t="s">
        <v>3176</v>
      </c>
      <c r="B2647" t="s">
        <v>3175</v>
      </c>
      <c r="C2647" t="s">
        <v>2777</v>
      </c>
      <c r="D2647" t="s">
        <v>122</v>
      </c>
      <c r="E2647" t="s">
        <v>199</v>
      </c>
      <c r="F2647">
        <v>1</v>
      </c>
      <c r="G2647">
        <v>122.99</v>
      </c>
      <c r="H2647">
        <v>18.14</v>
      </c>
      <c r="I2647" t="s">
        <v>50</v>
      </c>
      <c r="J2647">
        <v>28</v>
      </c>
      <c r="K2647" t="s">
        <v>51</v>
      </c>
      <c r="L2647">
        <v>1</v>
      </c>
      <c r="M2647" t="str">
        <f>VLOOKUP(D2647,State_Lookup!$A$2:$B$28,2,FALSE)</f>
        <v>Para</v>
      </c>
    </row>
    <row r="2648" spans="1:13" x14ac:dyDescent="0.45">
      <c r="A2648" t="s">
        <v>3177</v>
      </c>
      <c r="B2648" t="s">
        <v>3175</v>
      </c>
      <c r="C2648" t="s">
        <v>2777</v>
      </c>
      <c r="D2648" t="s">
        <v>16</v>
      </c>
      <c r="E2648" t="s">
        <v>61</v>
      </c>
      <c r="F2648">
        <v>1</v>
      </c>
      <c r="G2648">
        <v>53.99</v>
      </c>
      <c r="H2648">
        <v>8.7200000000000006</v>
      </c>
      <c r="I2648" t="s">
        <v>44</v>
      </c>
      <c r="J2648">
        <v>2</v>
      </c>
      <c r="K2648" t="s">
        <v>51</v>
      </c>
      <c r="L2648">
        <v>4</v>
      </c>
      <c r="M2648" t="str">
        <f>VLOOKUP(D2648,State_Lookup!$A$2:$B$28,2,FALSE)</f>
        <v>Sao Paulo</v>
      </c>
    </row>
    <row r="2649" spans="1:13" x14ac:dyDescent="0.45">
      <c r="A2649" t="s">
        <v>3178</v>
      </c>
      <c r="B2649" t="s">
        <v>3175</v>
      </c>
      <c r="C2649" t="s">
        <v>2777</v>
      </c>
      <c r="D2649" t="s">
        <v>22</v>
      </c>
      <c r="E2649" t="s">
        <v>61</v>
      </c>
      <c r="F2649">
        <v>2</v>
      </c>
      <c r="G2649">
        <v>200</v>
      </c>
      <c r="H2649">
        <v>36.54</v>
      </c>
      <c r="I2649" t="s">
        <v>44</v>
      </c>
      <c r="J2649">
        <v>25</v>
      </c>
      <c r="K2649" t="s">
        <v>51</v>
      </c>
      <c r="L2649">
        <v>1</v>
      </c>
      <c r="M2649" t="str">
        <f>VLOOKUP(D2649,State_Lookup!$A$2:$B$28,2,FALSE)</f>
        <v>Bahia</v>
      </c>
    </row>
    <row r="2650" spans="1:13" x14ac:dyDescent="0.45">
      <c r="A2650" t="s">
        <v>3179</v>
      </c>
      <c r="B2650" t="s">
        <v>3175</v>
      </c>
      <c r="C2650" t="s">
        <v>2777</v>
      </c>
      <c r="D2650" t="s">
        <v>18</v>
      </c>
      <c r="E2650" t="s">
        <v>125</v>
      </c>
      <c r="F2650">
        <v>2</v>
      </c>
      <c r="G2650">
        <v>25.8</v>
      </c>
      <c r="H2650">
        <v>28.2</v>
      </c>
      <c r="I2650" t="s">
        <v>44</v>
      </c>
      <c r="J2650">
        <v>15</v>
      </c>
      <c r="K2650" t="s">
        <v>51</v>
      </c>
      <c r="L2650">
        <v>1</v>
      </c>
      <c r="M2650" t="str">
        <f>VLOOKUP(D2650,State_Lookup!$A$2:$B$28,2,FALSE)</f>
        <v>Minas Gerais</v>
      </c>
    </row>
    <row r="2651" spans="1:13" x14ac:dyDescent="0.45">
      <c r="A2651" t="s">
        <v>3180</v>
      </c>
      <c r="B2651" t="s">
        <v>3175</v>
      </c>
      <c r="C2651" t="s">
        <v>2777</v>
      </c>
      <c r="D2651" t="s">
        <v>16</v>
      </c>
      <c r="E2651" t="s">
        <v>61</v>
      </c>
      <c r="F2651">
        <v>1</v>
      </c>
      <c r="G2651">
        <v>89.5</v>
      </c>
      <c r="H2651">
        <v>10.039999999999999</v>
      </c>
      <c r="I2651" t="s">
        <v>44</v>
      </c>
      <c r="J2651">
        <v>6</v>
      </c>
      <c r="K2651" t="s">
        <v>51</v>
      </c>
      <c r="L2651">
        <v>3</v>
      </c>
      <c r="M2651" t="str">
        <f>VLOOKUP(D2651,State_Lookup!$A$2:$B$28,2,FALSE)</f>
        <v>Sao Paulo</v>
      </c>
    </row>
    <row r="2652" spans="1:13" x14ac:dyDescent="0.45">
      <c r="A2652" t="s">
        <v>3181</v>
      </c>
      <c r="B2652" t="s">
        <v>3175</v>
      </c>
      <c r="C2652" t="s">
        <v>2777</v>
      </c>
      <c r="D2652" t="s">
        <v>18</v>
      </c>
      <c r="E2652" t="s">
        <v>110</v>
      </c>
      <c r="F2652">
        <v>2</v>
      </c>
      <c r="G2652">
        <v>109.1</v>
      </c>
      <c r="H2652">
        <v>30.26</v>
      </c>
      <c r="I2652" t="s">
        <v>44</v>
      </c>
      <c r="J2652">
        <v>16</v>
      </c>
      <c r="K2652" t="s">
        <v>51</v>
      </c>
      <c r="L2652">
        <v>3</v>
      </c>
      <c r="M2652" t="str">
        <f>VLOOKUP(D2652,State_Lookup!$A$2:$B$28,2,FALSE)</f>
        <v>Minas Gerais</v>
      </c>
    </row>
    <row r="2653" spans="1:13" x14ac:dyDescent="0.45">
      <c r="A2653" t="s">
        <v>3182</v>
      </c>
      <c r="B2653" t="s">
        <v>3175</v>
      </c>
      <c r="C2653" t="s">
        <v>2777</v>
      </c>
      <c r="D2653" t="s">
        <v>18</v>
      </c>
      <c r="E2653" t="s">
        <v>49</v>
      </c>
      <c r="F2653">
        <v>1</v>
      </c>
      <c r="G2653">
        <v>148.9</v>
      </c>
      <c r="H2653">
        <v>23.91</v>
      </c>
      <c r="I2653" t="s">
        <v>44</v>
      </c>
      <c r="J2653">
        <v>15</v>
      </c>
      <c r="K2653" t="s">
        <v>51</v>
      </c>
      <c r="L2653">
        <v>4</v>
      </c>
      <c r="M2653" t="str">
        <f>VLOOKUP(D2653,State_Lookup!$A$2:$B$28,2,FALSE)</f>
        <v>Minas Gerais</v>
      </c>
    </row>
    <row r="2654" spans="1:13" x14ac:dyDescent="0.45">
      <c r="A2654" t="s">
        <v>3183</v>
      </c>
      <c r="B2654" t="s">
        <v>3175</v>
      </c>
      <c r="C2654" t="s">
        <v>2777</v>
      </c>
      <c r="D2654" t="s">
        <v>16</v>
      </c>
      <c r="E2654" t="s">
        <v>100</v>
      </c>
      <c r="F2654">
        <v>1</v>
      </c>
      <c r="G2654">
        <v>119.9</v>
      </c>
      <c r="H2654">
        <v>17.55</v>
      </c>
      <c r="I2654" t="s">
        <v>44</v>
      </c>
      <c r="J2654">
        <v>2</v>
      </c>
      <c r="K2654" t="s">
        <v>51</v>
      </c>
      <c r="L2654">
        <v>5</v>
      </c>
      <c r="M2654" t="str">
        <f>VLOOKUP(D2654,State_Lookup!$A$2:$B$28,2,FALSE)</f>
        <v>Sao Paulo</v>
      </c>
    </row>
    <row r="2655" spans="1:13" x14ac:dyDescent="0.45">
      <c r="A2655" t="s">
        <v>3184</v>
      </c>
      <c r="B2655" t="s">
        <v>3175</v>
      </c>
      <c r="C2655" t="s">
        <v>2777</v>
      </c>
      <c r="D2655" t="s">
        <v>18</v>
      </c>
      <c r="E2655" t="s">
        <v>199</v>
      </c>
      <c r="F2655">
        <v>1</v>
      </c>
      <c r="G2655">
        <v>122.99</v>
      </c>
      <c r="H2655">
        <v>14.61</v>
      </c>
      <c r="I2655" t="s">
        <v>50</v>
      </c>
      <c r="J2655">
        <v>8</v>
      </c>
      <c r="K2655" t="s">
        <v>51</v>
      </c>
      <c r="L2655">
        <v>5</v>
      </c>
      <c r="M2655" t="str">
        <f>VLOOKUP(D2655,State_Lookup!$A$2:$B$28,2,FALSE)</f>
        <v>Minas Gerais</v>
      </c>
    </row>
    <row r="2656" spans="1:13" x14ac:dyDescent="0.45">
      <c r="A2656" t="s">
        <v>3185</v>
      </c>
      <c r="B2656" t="s">
        <v>3175</v>
      </c>
      <c r="C2656" t="s">
        <v>2777</v>
      </c>
      <c r="D2656" t="s">
        <v>18</v>
      </c>
      <c r="E2656" t="s">
        <v>61</v>
      </c>
      <c r="F2656">
        <v>1</v>
      </c>
      <c r="G2656">
        <v>41.9</v>
      </c>
      <c r="H2656">
        <v>15.1</v>
      </c>
      <c r="I2656" t="s">
        <v>44</v>
      </c>
      <c r="J2656">
        <v>9</v>
      </c>
      <c r="K2656" t="s">
        <v>51</v>
      </c>
      <c r="L2656">
        <v>5</v>
      </c>
      <c r="M2656" t="str">
        <f>VLOOKUP(D2656,State_Lookup!$A$2:$B$28,2,FALSE)</f>
        <v>Minas Gerais</v>
      </c>
    </row>
    <row r="2657" spans="1:13" x14ac:dyDescent="0.45">
      <c r="A2657" t="s">
        <v>3186</v>
      </c>
      <c r="B2657" t="s">
        <v>3175</v>
      </c>
      <c r="C2657" t="s">
        <v>2777</v>
      </c>
      <c r="D2657" t="s">
        <v>16</v>
      </c>
      <c r="E2657" t="s">
        <v>107</v>
      </c>
      <c r="F2657">
        <v>1</v>
      </c>
      <c r="G2657">
        <v>16.899999999999999</v>
      </c>
      <c r="H2657">
        <v>11.85</v>
      </c>
      <c r="I2657" t="s">
        <v>44</v>
      </c>
      <c r="J2657">
        <v>16</v>
      </c>
      <c r="K2657" t="s">
        <v>51</v>
      </c>
      <c r="L2657">
        <v>3</v>
      </c>
      <c r="M2657" t="str">
        <f>VLOOKUP(D2657,State_Lookup!$A$2:$B$28,2,FALSE)</f>
        <v>Sao Paulo</v>
      </c>
    </row>
    <row r="2658" spans="1:13" x14ac:dyDescent="0.45">
      <c r="A2658" t="s">
        <v>3187</v>
      </c>
      <c r="B2658" t="s">
        <v>3175</v>
      </c>
      <c r="C2658" t="s">
        <v>2777</v>
      </c>
      <c r="D2658" t="s">
        <v>63</v>
      </c>
      <c r="E2658" t="s">
        <v>69</v>
      </c>
      <c r="F2658">
        <v>1</v>
      </c>
      <c r="G2658">
        <v>49.9</v>
      </c>
      <c r="H2658">
        <v>28.75</v>
      </c>
      <c r="I2658" t="s">
        <v>44</v>
      </c>
      <c r="J2658">
        <v>15</v>
      </c>
      <c r="K2658" t="s">
        <v>51</v>
      </c>
      <c r="L2658">
        <v>1</v>
      </c>
      <c r="M2658" t="str">
        <f>VLOOKUP(D2658,State_Lookup!$A$2:$B$28,2,FALSE)</f>
        <v>Pernambuco</v>
      </c>
    </row>
    <row r="2659" spans="1:13" x14ac:dyDescent="0.45">
      <c r="A2659" t="s">
        <v>3188</v>
      </c>
      <c r="B2659" t="s">
        <v>3175</v>
      </c>
      <c r="C2659" t="s">
        <v>2777</v>
      </c>
      <c r="D2659" t="s">
        <v>19</v>
      </c>
      <c r="E2659" t="s">
        <v>66</v>
      </c>
      <c r="F2659">
        <v>1</v>
      </c>
      <c r="G2659">
        <v>29.99</v>
      </c>
      <c r="H2659">
        <v>14.1</v>
      </c>
      <c r="I2659" t="s">
        <v>44</v>
      </c>
      <c r="J2659">
        <v>26</v>
      </c>
      <c r="K2659" t="s">
        <v>51</v>
      </c>
      <c r="L2659">
        <v>3</v>
      </c>
      <c r="M2659" t="str">
        <f>VLOOKUP(D2659,State_Lookup!$A$2:$B$28,2,FALSE)</f>
        <v>Rio Grande do Sul</v>
      </c>
    </row>
    <row r="2660" spans="1:13" x14ac:dyDescent="0.45">
      <c r="A2660" t="s">
        <v>3189</v>
      </c>
      <c r="B2660" t="s">
        <v>3190</v>
      </c>
      <c r="C2660" t="s">
        <v>2777</v>
      </c>
      <c r="D2660" t="s">
        <v>16</v>
      </c>
      <c r="E2660" t="s">
        <v>61</v>
      </c>
      <c r="F2660">
        <v>1</v>
      </c>
      <c r="G2660">
        <v>68.989999999999995</v>
      </c>
      <c r="H2660">
        <v>11.98</v>
      </c>
      <c r="I2660" t="s">
        <v>44</v>
      </c>
      <c r="J2660">
        <v>8</v>
      </c>
      <c r="K2660" t="s">
        <v>51</v>
      </c>
      <c r="L2660">
        <v>5</v>
      </c>
      <c r="M2660" t="str">
        <f>VLOOKUP(D2660,State_Lookup!$A$2:$B$28,2,FALSE)</f>
        <v>Sao Paulo</v>
      </c>
    </row>
    <row r="2661" spans="1:13" x14ac:dyDescent="0.45">
      <c r="A2661" t="s">
        <v>3191</v>
      </c>
      <c r="B2661" t="s">
        <v>3190</v>
      </c>
      <c r="C2661" t="s">
        <v>2777</v>
      </c>
      <c r="D2661" t="s">
        <v>17</v>
      </c>
      <c r="E2661" t="s">
        <v>199</v>
      </c>
      <c r="F2661">
        <v>1</v>
      </c>
      <c r="G2661">
        <v>34.299999999999997</v>
      </c>
      <c r="H2661">
        <v>15.1</v>
      </c>
      <c r="I2661" t="s">
        <v>44</v>
      </c>
      <c r="J2661">
        <v>16</v>
      </c>
      <c r="K2661" t="s">
        <v>51</v>
      </c>
      <c r="L2661">
        <v>5</v>
      </c>
      <c r="M2661" t="str">
        <f>VLOOKUP(D2661,State_Lookup!$A$2:$B$28,2,FALSE)</f>
        <v>Rio de Janeiro</v>
      </c>
    </row>
    <row r="2662" spans="1:13" x14ac:dyDescent="0.45">
      <c r="A2662" t="s">
        <v>3192</v>
      </c>
      <c r="B2662" t="s">
        <v>3190</v>
      </c>
      <c r="C2662" t="s">
        <v>2777</v>
      </c>
      <c r="D2662" t="s">
        <v>18</v>
      </c>
      <c r="E2662" t="s">
        <v>110</v>
      </c>
      <c r="F2662">
        <v>1</v>
      </c>
      <c r="G2662">
        <v>99.9</v>
      </c>
      <c r="H2662">
        <v>17.95</v>
      </c>
      <c r="I2662" t="s">
        <v>50</v>
      </c>
      <c r="J2662">
        <v>14</v>
      </c>
      <c r="K2662" t="s">
        <v>51</v>
      </c>
      <c r="L2662">
        <v>4</v>
      </c>
      <c r="M2662" t="str">
        <f>VLOOKUP(D2662,State_Lookup!$A$2:$B$28,2,FALSE)</f>
        <v>Minas Gerais</v>
      </c>
    </row>
    <row r="2663" spans="1:13" x14ac:dyDescent="0.45">
      <c r="A2663" t="s">
        <v>3193</v>
      </c>
      <c r="B2663" t="s">
        <v>3190</v>
      </c>
      <c r="C2663" t="s">
        <v>2777</v>
      </c>
      <c r="D2663" t="s">
        <v>16</v>
      </c>
      <c r="E2663" t="s">
        <v>110</v>
      </c>
      <c r="F2663">
        <v>1</v>
      </c>
      <c r="G2663">
        <v>79.989999999999995</v>
      </c>
      <c r="H2663">
        <v>8.75</v>
      </c>
      <c r="I2663" t="s">
        <v>44</v>
      </c>
      <c r="J2663">
        <v>11</v>
      </c>
      <c r="K2663" t="s">
        <v>51</v>
      </c>
      <c r="L2663">
        <v>5</v>
      </c>
      <c r="M2663" t="str">
        <f>VLOOKUP(D2663,State_Lookup!$A$2:$B$28,2,FALSE)</f>
        <v>Sao Paulo</v>
      </c>
    </row>
    <row r="2664" spans="1:13" x14ac:dyDescent="0.45">
      <c r="A2664" t="s">
        <v>3194</v>
      </c>
      <c r="B2664" t="s">
        <v>3190</v>
      </c>
      <c r="C2664" t="s">
        <v>2777</v>
      </c>
      <c r="D2664" t="s">
        <v>20</v>
      </c>
      <c r="E2664" t="s">
        <v>61</v>
      </c>
      <c r="F2664">
        <v>1</v>
      </c>
      <c r="G2664">
        <v>89.5</v>
      </c>
      <c r="H2664">
        <v>16.39</v>
      </c>
      <c r="I2664" t="s">
        <v>50</v>
      </c>
      <c r="J2664">
        <v>19</v>
      </c>
      <c r="K2664" t="s">
        <v>51</v>
      </c>
      <c r="L2664">
        <v>4</v>
      </c>
      <c r="M2664" t="str">
        <f>VLOOKUP(D2664,State_Lookup!$A$2:$B$28,2,FALSE)</f>
        <v>Parana</v>
      </c>
    </row>
    <row r="2665" spans="1:13" x14ac:dyDescent="0.45">
      <c r="A2665" t="s">
        <v>3195</v>
      </c>
      <c r="B2665" t="s">
        <v>3190</v>
      </c>
      <c r="C2665" t="s">
        <v>2777</v>
      </c>
      <c r="D2665" t="s">
        <v>25</v>
      </c>
      <c r="E2665" t="s">
        <v>107</v>
      </c>
      <c r="F2665">
        <v>1</v>
      </c>
      <c r="G2665">
        <v>42.6</v>
      </c>
      <c r="H2665">
        <v>31.1</v>
      </c>
      <c r="I2665" t="s">
        <v>133</v>
      </c>
      <c r="J2665">
        <v>16</v>
      </c>
      <c r="K2665" t="s">
        <v>51</v>
      </c>
      <c r="L2665">
        <v>4</v>
      </c>
      <c r="M2665" t="str">
        <f>VLOOKUP(D2665,State_Lookup!$A$2:$B$28,2,FALSE)</f>
        <v>Goias</v>
      </c>
    </row>
    <row r="2666" spans="1:13" x14ac:dyDescent="0.45">
      <c r="A2666" t="s">
        <v>3196</v>
      </c>
      <c r="B2666" t="s">
        <v>3190</v>
      </c>
      <c r="C2666" t="s">
        <v>2777</v>
      </c>
      <c r="D2666" t="s">
        <v>16</v>
      </c>
      <c r="E2666" t="s">
        <v>110</v>
      </c>
      <c r="F2666">
        <v>2</v>
      </c>
      <c r="G2666">
        <v>129.80000000000001</v>
      </c>
      <c r="H2666">
        <v>23.59</v>
      </c>
      <c r="I2666" t="s">
        <v>44</v>
      </c>
      <c r="J2666">
        <v>7</v>
      </c>
      <c r="K2666" t="s">
        <v>51</v>
      </c>
      <c r="L2666">
        <v>1</v>
      </c>
      <c r="M2666" t="str">
        <f>VLOOKUP(D2666,State_Lookup!$A$2:$B$28,2,FALSE)</f>
        <v>Sao Paulo</v>
      </c>
    </row>
    <row r="2667" spans="1:13" x14ac:dyDescent="0.45">
      <c r="A2667" t="s">
        <v>3197</v>
      </c>
      <c r="B2667" t="s">
        <v>3190</v>
      </c>
      <c r="C2667" t="s">
        <v>2777</v>
      </c>
      <c r="D2667" t="s">
        <v>25</v>
      </c>
      <c r="E2667" t="s">
        <v>49</v>
      </c>
      <c r="F2667">
        <v>3</v>
      </c>
      <c r="G2667">
        <v>50.7</v>
      </c>
      <c r="H2667">
        <v>45.3</v>
      </c>
      <c r="I2667" t="s">
        <v>50</v>
      </c>
      <c r="J2667">
        <v>14</v>
      </c>
      <c r="K2667" t="s">
        <v>51</v>
      </c>
      <c r="L2667">
        <v>5</v>
      </c>
      <c r="M2667" t="str">
        <f>VLOOKUP(D2667,State_Lookup!$A$2:$B$28,2,FALSE)</f>
        <v>Goias</v>
      </c>
    </row>
    <row r="2668" spans="1:13" x14ac:dyDescent="0.45">
      <c r="A2668" t="s">
        <v>3198</v>
      </c>
      <c r="B2668" t="s">
        <v>3190</v>
      </c>
      <c r="C2668" t="s">
        <v>2777</v>
      </c>
      <c r="D2668" t="s">
        <v>17</v>
      </c>
      <c r="E2668" t="s">
        <v>3021</v>
      </c>
      <c r="F2668">
        <v>1</v>
      </c>
      <c r="G2668">
        <v>248</v>
      </c>
      <c r="H2668">
        <v>17.989999999999998</v>
      </c>
      <c r="I2668" t="s">
        <v>133</v>
      </c>
      <c r="J2668">
        <v>15</v>
      </c>
      <c r="K2668" t="s">
        <v>51</v>
      </c>
      <c r="L2668">
        <v>5</v>
      </c>
      <c r="M2668" t="str">
        <f>VLOOKUP(D2668,State_Lookup!$A$2:$B$28,2,FALSE)</f>
        <v>Rio de Janeiro</v>
      </c>
    </row>
    <row r="2669" spans="1:13" x14ac:dyDescent="0.45">
      <c r="A2669" t="s">
        <v>3199</v>
      </c>
      <c r="B2669" t="s">
        <v>3190</v>
      </c>
      <c r="C2669" t="s">
        <v>2777</v>
      </c>
      <c r="D2669" t="s">
        <v>18</v>
      </c>
      <c r="E2669" t="s">
        <v>49</v>
      </c>
      <c r="F2669">
        <v>1</v>
      </c>
      <c r="G2669">
        <v>49.9</v>
      </c>
      <c r="H2669">
        <v>15.1</v>
      </c>
      <c r="I2669" t="s">
        <v>44</v>
      </c>
      <c r="J2669">
        <v>19</v>
      </c>
      <c r="K2669" t="s">
        <v>51</v>
      </c>
      <c r="L2669">
        <v>3</v>
      </c>
      <c r="M2669" t="str">
        <f>VLOOKUP(D2669,State_Lookup!$A$2:$B$28,2,FALSE)</f>
        <v>Minas Gerais</v>
      </c>
    </row>
    <row r="2670" spans="1:13" x14ac:dyDescent="0.45">
      <c r="A2670" t="s">
        <v>3200</v>
      </c>
      <c r="B2670" t="s">
        <v>3190</v>
      </c>
      <c r="C2670" t="s">
        <v>2777</v>
      </c>
      <c r="D2670" t="s">
        <v>16</v>
      </c>
      <c r="E2670" t="s">
        <v>100</v>
      </c>
      <c r="F2670">
        <v>1</v>
      </c>
      <c r="G2670">
        <v>48.9</v>
      </c>
      <c r="H2670">
        <v>17.600000000000001</v>
      </c>
      <c r="I2670" t="s">
        <v>44</v>
      </c>
      <c r="J2670">
        <v>19</v>
      </c>
      <c r="K2670" t="s">
        <v>51</v>
      </c>
      <c r="L2670">
        <v>2</v>
      </c>
      <c r="M2670" t="str">
        <f>VLOOKUP(D2670,State_Lookup!$A$2:$B$28,2,FALSE)</f>
        <v>Sao Paulo</v>
      </c>
    </row>
    <row r="2671" spans="1:13" x14ac:dyDescent="0.45">
      <c r="A2671" t="s">
        <v>3201</v>
      </c>
      <c r="B2671" t="s">
        <v>3190</v>
      </c>
      <c r="C2671" t="s">
        <v>2777</v>
      </c>
      <c r="D2671" t="s">
        <v>16</v>
      </c>
      <c r="E2671" t="s">
        <v>69</v>
      </c>
      <c r="F2671">
        <v>1</v>
      </c>
      <c r="G2671">
        <v>49.9</v>
      </c>
      <c r="H2671">
        <v>13.37</v>
      </c>
      <c r="I2671" t="s">
        <v>50</v>
      </c>
      <c r="J2671">
        <v>19</v>
      </c>
      <c r="K2671" t="s">
        <v>51</v>
      </c>
      <c r="L2671">
        <v>4</v>
      </c>
      <c r="M2671" t="str">
        <f>VLOOKUP(D2671,State_Lookup!$A$2:$B$28,2,FALSE)</f>
        <v>Sao Paulo</v>
      </c>
    </row>
    <row r="2672" spans="1:13" x14ac:dyDescent="0.45">
      <c r="A2672" t="s">
        <v>3202</v>
      </c>
      <c r="B2672" t="s">
        <v>3190</v>
      </c>
      <c r="C2672" t="s">
        <v>2777</v>
      </c>
      <c r="D2672" t="s">
        <v>16</v>
      </c>
      <c r="E2672" t="s">
        <v>110</v>
      </c>
      <c r="F2672">
        <v>1</v>
      </c>
      <c r="G2672">
        <v>19.899999999999999</v>
      </c>
      <c r="H2672">
        <v>11.85</v>
      </c>
      <c r="I2672" t="s">
        <v>50</v>
      </c>
      <c r="J2672">
        <v>14</v>
      </c>
      <c r="K2672" t="s">
        <v>51</v>
      </c>
      <c r="L2672">
        <v>5</v>
      </c>
      <c r="M2672" t="str">
        <f>VLOOKUP(D2672,State_Lookup!$A$2:$B$28,2,FALSE)</f>
        <v>Sao Paulo</v>
      </c>
    </row>
    <row r="2673" spans="1:13" x14ac:dyDescent="0.45">
      <c r="A2673" t="s">
        <v>3203</v>
      </c>
      <c r="B2673" t="s">
        <v>3190</v>
      </c>
      <c r="C2673" t="s">
        <v>2777</v>
      </c>
      <c r="D2673" t="s">
        <v>17</v>
      </c>
      <c r="E2673" t="s">
        <v>110</v>
      </c>
      <c r="F2673">
        <v>1</v>
      </c>
      <c r="G2673">
        <v>422</v>
      </c>
      <c r="H2673">
        <v>36.31</v>
      </c>
      <c r="I2673" t="s">
        <v>44</v>
      </c>
      <c r="J2673">
        <v>8</v>
      </c>
      <c r="K2673" t="s">
        <v>51</v>
      </c>
      <c r="L2673">
        <v>5</v>
      </c>
      <c r="M2673" t="str">
        <f>VLOOKUP(D2673,State_Lookup!$A$2:$B$28,2,FALSE)</f>
        <v>Rio de Janeiro</v>
      </c>
    </row>
    <row r="2674" spans="1:13" x14ac:dyDescent="0.45">
      <c r="A2674" t="s">
        <v>3204</v>
      </c>
      <c r="B2674" t="s">
        <v>3205</v>
      </c>
      <c r="C2674" t="s">
        <v>3206</v>
      </c>
      <c r="D2674" t="s">
        <v>16</v>
      </c>
      <c r="E2674" t="s">
        <v>132</v>
      </c>
      <c r="F2674">
        <v>1</v>
      </c>
      <c r="G2674">
        <v>14.7</v>
      </c>
      <c r="H2674">
        <v>8.11</v>
      </c>
      <c r="I2674" t="s">
        <v>44</v>
      </c>
      <c r="J2674">
        <v>5</v>
      </c>
      <c r="K2674" t="s">
        <v>51</v>
      </c>
      <c r="L2674">
        <v>5</v>
      </c>
      <c r="M2674" t="str">
        <f>VLOOKUP(D2674,State_Lookup!$A$2:$B$28,2,FALSE)</f>
        <v>Sao Paulo</v>
      </c>
    </row>
    <row r="2675" spans="1:13" x14ac:dyDescent="0.45">
      <c r="A2675" t="s">
        <v>3207</v>
      </c>
      <c r="B2675" t="s">
        <v>3205</v>
      </c>
      <c r="C2675" t="s">
        <v>3206</v>
      </c>
      <c r="D2675" t="s">
        <v>17</v>
      </c>
      <c r="E2675" t="s">
        <v>79</v>
      </c>
      <c r="F2675">
        <v>1</v>
      </c>
      <c r="G2675">
        <v>34.99</v>
      </c>
      <c r="H2675">
        <v>25.38</v>
      </c>
      <c r="I2675" t="s">
        <v>44</v>
      </c>
      <c r="J2675">
        <v>12</v>
      </c>
      <c r="K2675" t="s">
        <v>51</v>
      </c>
      <c r="L2675">
        <v>5</v>
      </c>
      <c r="M2675" t="str">
        <f>VLOOKUP(D2675,State_Lookup!$A$2:$B$28,2,FALSE)</f>
        <v>Rio de Janeiro</v>
      </c>
    </row>
    <row r="2676" spans="1:13" x14ac:dyDescent="0.45">
      <c r="A2676" t="s">
        <v>3208</v>
      </c>
      <c r="B2676" t="s">
        <v>3205</v>
      </c>
      <c r="C2676" t="s">
        <v>3206</v>
      </c>
      <c r="D2676" t="s">
        <v>16</v>
      </c>
      <c r="E2676" t="s">
        <v>110</v>
      </c>
      <c r="F2676">
        <v>1</v>
      </c>
      <c r="G2676">
        <v>99.9</v>
      </c>
      <c r="H2676">
        <v>12.4</v>
      </c>
      <c r="I2676" t="s">
        <v>50</v>
      </c>
      <c r="J2676">
        <v>5</v>
      </c>
      <c r="K2676" t="s">
        <v>51</v>
      </c>
      <c r="L2676">
        <v>5</v>
      </c>
      <c r="M2676" t="str">
        <f>VLOOKUP(D2676,State_Lookup!$A$2:$B$28,2,FALSE)</f>
        <v>Sao Paulo</v>
      </c>
    </row>
    <row r="2677" spans="1:13" x14ac:dyDescent="0.45">
      <c r="A2677" t="s">
        <v>3209</v>
      </c>
      <c r="B2677" t="s">
        <v>3205</v>
      </c>
      <c r="C2677" t="s">
        <v>3206</v>
      </c>
      <c r="D2677" t="s">
        <v>17</v>
      </c>
      <c r="E2677" t="s">
        <v>125</v>
      </c>
      <c r="F2677">
        <v>1</v>
      </c>
      <c r="G2677">
        <v>97.9</v>
      </c>
      <c r="H2677">
        <v>17.940000000000001</v>
      </c>
      <c r="I2677" t="s">
        <v>44</v>
      </c>
      <c r="J2677">
        <v>21</v>
      </c>
      <c r="K2677" t="s">
        <v>51</v>
      </c>
      <c r="L2677">
        <v>4</v>
      </c>
      <c r="M2677" t="str">
        <f>VLOOKUP(D2677,State_Lookup!$A$2:$B$28,2,FALSE)</f>
        <v>Rio de Janeiro</v>
      </c>
    </row>
    <row r="2678" spans="1:13" x14ac:dyDescent="0.45">
      <c r="A2678" t="s">
        <v>3210</v>
      </c>
      <c r="B2678" t="s">
        <v>3205</v>
      </c>
      <c r="C2678" t="s">
        <v>3206</v>
      </c>
      <c r="D2678" t="s">
        <v>17</v>
      </c>
      <c r="E2678" t="s">
        <v>66</v>
      </c>
      <c r="F2678">
        <v>1</v>
      </c>
      <c r="G2678">
        <v>39.99</v>
      </c>
      <c r="H2678">
        <v>14.1</v>
      </c>
      <c r="I2678" t="s">
        <v>44</v>
      </c>
      <c r="J2678">
        <v>18</v>
      </c>
      <c r="K2678" t="s">
        <v>51</v>
      </c>
      <c r="L2678">
        <v>5</v>
      </c>
      <c r="M2678" t="str">
        <f>VLOOKUP(D2678,State_Lookup!$A$2:$B$28,2,FALSE)</f>
        <v>Rio de Janeiro</v>
      </c>
    </row>
    <row r="2679" spans="1:13" x14ac:dyDescent="0.45">
      <c r="A2679" t="s">
        <v>3211</v>
      </c>
      <c r="B2679" t="s">
        <v>3205</v>
      </c>
      <c r="C2679" t="s">
        <v>3206</v>
      </c>
      <c r="D2679" t="s">
        <v>21</v>
      </c>
      <c r="E2679" t="s">
        <v>157</v>
      </c>
      <c r="F2679">
        <v>1</v>
      </c>
      <c r="G2679">
        <v>209.9</v>
      </c>
      <c r="H2679">
        <v>18.72</v>
      </c>
      <c r="I2679" t="s">
        <v>133</v>
      </c>
      <c r="J2679">
        <v>19</v>
      </c>
      <c r="K2679" t="s">
        <v>51</v>
      </c>
      <c r="L2679">
        <v>5</v>
      </c>
      <c r="M2679" t="str">
        <f>VLOOKUP(D2679,State_Lookup!$A$2:$B$28,2,FALSE)</f>
        <v>Santa Catarina</v>
      </c>
    </row>
    <row r="2680" spans="1:13" x14ac:dyDescent="0.45">
      <c r="A2680" t="s">
        <v>3212</v>
      </c>
      <c r="B2680" t="s">
        <v>3205</v>
      </c>
      <c r="C2680" t="s">
        <v>3206</v>
      </c>
      <c r="D2680" t="s">
        <v>16</v>
      </c>
      <c r="E2680" t="s">
        <v>125</v>
      </c>
      <c r="F2680">
        <v>2</v>
      </c>
      <c r="G2680">
        <v>43.8</v>
      </c>
      <c r="H2680">
        <v>23.7</v>
      </c>
      <c r="I2680" t="s">
        <v>44</v>
      </c>
      <c r="J2680">
        <v>12</v>
      </c>
      <c r="K2680" t="s">
        <v>51</v>
      </c>
      <c r="L2680">
        <v>4</v>
      </c>
      <c r="M2680" t="str">
        <f>VLOOKUP(D2680,State_Lookup!$A$2:$B$28,2,FALSE)</f>
        <v>Sao Paulo</v>
      </c>
    </row>
    <row r="2681" spans="1:13" x14ac:dyDescent="0.45">
      <c r="A2681" t="s">
        <v>3213</v>
      </c>
      <c r="B2681" t="s">
        <v>3205</v>
      </c>
      <c r="C2681" t="s">
        <v>3206</v>
      </c>
      <c r="D2681" t="s">
        <v>16</v>
      </c>
      <c r="E2681" t="s">
        <v>53</v>
      </c>
      <c r="F2681">
        <v>1</v>
      </c>
      <c r="G2681">
        <v>79.900000000000006</v>
      </c>
      <c r="H2681">
        <v>7.81</v>
      </c>
      <c r="I2681" t="s">
        <v>44</v>
      </c>
      <c r="J2681">
        <v>2</v>
      </c>
      <c r="K2681" t="s">
        <v>51</v>
      </c>
      <c r="L2681">
        <v>5</v>
      </c>
      <c r="M2681" t="str">
        <f>VLOOKUP(D2681,State_Lookup!$A$2:$B$28,2,FALSE)</f>
        <v>Sao Paulo</v>
      </c>
    </row>
    <row r="2682" spans="1:13" x14ac:dyDescent="0.45">
      <c r="A2682" t="s">
        <v>3214</v>
      </c>
      <c r="B2682" t="s">
        <v>3205</v>
      </c>
      <c r="C2682" t="s">
        <v>3206</v>
      </c>
      <c r="D2682" t="s">
        <v>17</v>
      </c>
      <c r="E2682" t="s">
        <v>125</v>
      </c>
      <c r="F2682">
        <v>1</v>
      </c>
      <c r="G2682">
        <v>12.3</v>
      </c>
      <c r="H2682">
        <v>14.1</v>
      </c>
      <c r="I2682" t="s">
        <v>44</v>
      </c>
      <c r="J2682">
        <v>13</v>
      </c>
      <c r="K2682" t="s">
        <v>51</v>
      </c>
      <c r="L2682">
        <v>4</v>
      </c>
      <c r="M2682" t="str">
        <f>VLOOKUP(D2682,State_Lookup!$A$2:$B$28,2,FALSE)</f>
        <v>Rio de Janeiro</v>
      </c>
    </row>
    <row r="2683" spans="1:13" x14ac:dyDescent="0.45">
      <c r="A2683" t="s">
        <v>3215</v>
      </c>
      <c r="B2683" t="s">
        <v>3205</v>
      </c>
      <c r="C2683" t="s">
        <v>3206</v>
      </c>
      <c r="D2683" t="s">
        <v>16</v>
      </c>
      <c r="E2683" t="s">
        <v>49</v>
      </c>
      <c r="F2683">
        <v>1</v>
      </c>
      <c r="G2683">
        <v>94</v>
      </c>
      <c r="H2683">
        <v>8.4</v>
      </c>
      <c r="I2683" t="s">
        <v>44</v>
      </c>
      <c r="J2683">
        <v>1</v>
      </c>
      <c r="K2683" t="s">
        <v>51</v>
      </c>
      <c r="L2683">
        <v>5</v>
      </c>
      <c r="M2683" t="str">
        <f>VLOOKUP(D2683,State_Lookup!$A$2:$B$28,2,FALSE)</f>
        <v>Sao Paulo</v>
      </c>
    </row>
    <row r="2684" spans="1:13" x14ac:dyDescent="0.45">
      <c r="A2684" t="s">
        <v>3216</v>
      </c>
      <c r="B2684" t="s">
        <v>3205</v>
      </c>
      <c r="C2684" t="s">
        <v>3206</v>
      </c>
      <c r="D2684" t="s">
        <v>22</v>
      </c>
      <c r="E2684" t="s">
        <v>157</v>
      </c>
      <c r="F2684">
        <v>1</v>
      </c>
      <c r="G2684">
        <v>55</v>
      </c>
      <c r="H2684">
        <v>15.83</v>
      </c>
      <c r="I2684" t="s">
        <v>44</v>
      </c>
      <c r="J2684">
        <v>16</v>
      </c>
      <c r="K2684" t="s">
        <v>51</v>
      </c>
      <c r="L2684">
        <v>5</v>
      </c>
      <c r="M2684" t="str">
        <f>VLOOKUP(D2684,State_Lookup!$A$2:$B$28,2,FALSE)</f>
        <v>Bahia</v>
      </c>
    </row>
    <row r="2685" spans="1:13" x14ac:dyDescent="0.45">
      <c r="A2685" t="s">
        <v>3217</v>
      </c>
      <c r="B2685" t="s">
        <v>3218</v>
      </c>
      <c r="C2685" t="s">
        <v>3206</v>
      </c>
      <c r="D2685" t="s">
        <v>24</v>
      </c>
      <c r="E2685" t="s">
        <v>110</v>
      </c>
      <c r="F2685">
        <v>2</v>
      </c>
      <c r="G2685">
        <v>230</v>
      </c>
      <c r="H2685">
        <v>29.12</v>
      </c>
      <c r="I2685" t="s">
        <v>44</v>
      </c>
      <c r="J2685">
        <v>18</v>
      </c>
      <c r="K2685" t="s">
        <v>51</v>
      </c>
      <c r="L2685">
        <v>1</v>
      </c>
      <c r="M2685" t="str">
        <f>VLOOKUP(D2685,State_Lookup!$A$2:$B$28,2,FALSE)</f>
        <v>Distrito Federal</v>
      </c>
    </row>
    <row r="2686" spans="1:13" x14ac:dyDescent="0.45">
      <c r="A2686" t="s">
        <v>3219</v>
      </c>
      <c r="B2686" t="s">
        <v>3218</v>
      </c>
      <c r="C2686" t="s">
        <v>3206</v>
      </c>
      <c r="D2686" t="s">
        <v>17</v>
      </c>
      <c r="E2686" t="s">
        <v>125</v>
      </c>
      <c r="F2686">
        <v>1</v>
      </c>
      <c r="G2686">
        <v>390</v>
      </c>
      <c r="H2686">
        <v>17.48</v>
      </c>
      <c r="I2686" t="s">
        <v>44</v>
      </c>
      <c r="J2686">
        <v>14</v>
      </c>
      <c r="K2686" t="s">
        <v>51</v>
      </c>
      <c r="L2686">
        <v>5</v>
      </c>
      <c r="M2686" t="str">
        <f>VLOOKUP(D2686,State_Lookup!$A$2:$B$28,2,FALSE)</f>
        <v>Rio de Janeiro</v>
      </c>
    </row>
    <row r="2687" spans="1:13" x14ac:dyDescent="0.45">
      <c r="A2687" t="s">
        <v>3220</v>
      </c>
      <c r="B2687" t="s">
        <v>3218</v>
      </c>
      <c r="C2687" t="s">
        <v>3206</v>
      </c>
      <c r="D2687" t="s">
        <v>16</v>
      </c>
      <c r="E2687" t="s">
        <v>110</v>
      </c>
      <c r="F2687">
        <v>1</v>
      </c>
      <c r="G2687">
        <v>19.899999999999999</v>
      </c>
      <c r="H2687">
        <v>11.85</v>
      </c>
      <c r="I2687" t="s">
        <v>44</v>
      </c>
      <c r="J2687">
        <v>7</v>
      </c>
      <c r="K2687" t="s">
        <v>51</v>
      </c>
      <c r="L2687">
        <v>5</v>
      </c>
      <c r="M2687" t="str">
        <f>VLOOKUP(D2687,State_Lookup!$A$2:$B$28,2,FALSE)</f>
        <v>Sao Paulo</v>
      </c>
    </row>
    <row r="2688" spans="1:13" x14ac:dyDescent="0.45">
      <c r="A2688" t="s">
        <v>3221</v>
      </c>
      <c r="B2688" t="s">
        <v>3218</v>
      </c>
      <c r="C2688" t="s">
        <v>3206</v>
      </c>
      <c r="D2688" t="s">
        <v>18</v>
      </c>
      <c r="E2688" t="s">
        <v>79</v>
      </c>
      <c r="F2688">
        <v>1</v>
      </c>
      <c r="G2688">
        <v>779.89</v>
      </c>
      <c r="H2688">
        <v>21.22</v>
      </c>
      <c r="I2688" t="s">
        <v>44</v>
      </c>
      <c r="J2688">
        <v>18</v>
      </c>
      <c r="K2688" t="s">
        <v>51</v>
      </c>
      <c r="L2688">
        <v>5</v>
      </c>
      <c r="M2688" t="str">
        <f>VLOOKUP(D2688,State_Lookup!$A$2:$B$28,2,FALSE)</f>
        <v>Minas Gerais</v>
      </c>
    </row>
    <row r="2689" spans="1:13" x14ac:dyDescent="0.45">
      <c r="A2689" t="s">
        <v>3222</v>
      </c>
      <c r="B2689" t="s">
        <v>3218</v>
      </c>
      <c r="C2689" t="s">
        <v>3206</v>
      </c>
      <c r="D2689" t="s">
        <v>16</v>
      </c>
      <c r="E2689" t="s">
        <v>125</v>
      </c>
      <c r="F2689">
        <v>1</v>
      </c>
      <c r="G2689">
        <v>21.9</v>
      </c>
      <c r="H2689">
        <v>11.85</v>
      </c>
      <c r="I2689" t="s">
        <v>50</v>
      </c>
      <c r="J2689">
        <v>14</v>
      </c>
      <c r="K2689" t="s">
        <v>51</v>
      </c>
      <c r="L2689">
        <v>5</v>
      </c>
      <c r="M2689" t="str">
        <f>VLOOKUP(D2689,State_Lookup!$A$2:$B$28,2,FALSE)</f>
        <v>Sao Paulo</v>
      </c>
    </row>
    <row r="2690" spans="1:13" x14ac:dyDescent="0.45">
      <c r="A2690" t="s">
        <v>3223</v>
      </c>
      <c r="B2690" t="s">
        <v>3218</v>
      </c>
      <c r="C2690" t="s">
        <v>3206</v>
      </c>
      <c r="D2690" t="s">
        <v>17</v>
      </c>
      <c r="E2690" t="s">
        <v>43</v>
      </c>
      <c r="F2690">
        <v>1</v>
      </c>
      <c r="G2690">
        <v>119.9</v>
      </c>
      <c r="H2690">
        <v>20.079999999999998</v>
      </c>
      <c r="I2690" t="s">
        <v>50</v>
      </c>
      <c r="J2690">
        <v>22</v>
      </c>
      <c r="K2690" t="s">
        <v>51</v>
      </c>
      <c r="L2690">
        <v>5</v>
      </c>
      <c r="M2690" t="str">
        <f>VLOOKUP(D2690,State_Lookup!$A$2:$B$28,2,FALSE)</f>
        <v>Rio de Janeiro</v>
      </c>
    </row>
    <row r="2691" spans="1:13" x14ac:dyDescent="0.45">
      <c r="A2691" t="s">
        <v>3224</v>
      </c>
      <c r="B2691" t="s">
        <v>3218</v>
      </c>
      <c r="C2691" t="s">
        <v>3206</v>
      </c>
      <c r="D2691" t="s">
        <v>16</v>
      </c>
      <c r="E2691" t="s">
        <v>49</v>
      </c>
      <c r="F2691">
        <v>1</v>
      </c>
      <c r="G2691">
        <v>133</v>
      </c>
      <c r="H2691">
        <v>13.27</v>
      </c>
      <c r="I2691" t="s">
        <v>44</v>
      </c>
      <c r="J2691">
        <v>7</v>
      </c>
      <c r="K2691" t="s">
        <v>51</v>
      </c>
      <c r="L2691">
        <v>5</v>
      </c>
      <c r="M2691" t="str">
        <f>VLOOKUP(D2691,State_Lookup!$A$2:$B$28,2,FALSE)</f>
        <v>Sao Paulo</v>
      </c>
    </row>
    <row r="2692" spans="1:13" x14ac:dyDescent="0.45">
      <c r="A2692" t="s">
        <v>3225</v>
      </c>
      <c r="B2692" t="s">
        <v>3218</v>
      </c>
      <c r="C2692" t="s">
        <v>3206</v>
      </c>
      <c r="D2692" t="s">
        <v>16</v>
      </c>
      <c r="E2692" t="s">
        <v>107</v>
      </c>
      <c r="F2692">
        <v>1</v>
      </c>
      <c r="G2692">
        <v>29.9</v>
      </c>
      <c r="H2692">
        <v>15.1</v>
      </c>
      <c r="I2692" t="s">
        <v>108</v>
      </c>
      <c r="J2692">
        <v>18</v>
      </c>
      <c r="K2692" t="s">
        <v>51</v>
      </c>
      <c r="L2692">
        <v>5</v>
      </c>
      <c r="M2692" t="str">
        <f>VLOOKUP(D2692,State_Lookup!$A$2:$B$28,2,FALSE)</f>
        <v>Sao Paulo</v>
      </c>
    </row>
    <row r="2693" spans="1:13" x14ac:dyDescent="0.45">
      <c r="A2693" t="s">
        <v>3226</v>
      </c>
      <c r="B2693" t="s">
        <v>3218</v>
      </c>
      <c r="C2693" t="s">
        <v>3206</v>
      </c>
      <c r="D2693" t="s">
        <v>16</v>
      </c>
      <c r="E2693" t="s">
        <v>110</v>
      </c>
      <c r="F2693">
        <v>1</v>
      </c>
      <c r="G2693">
        <v>34.99</v>
      </c>
      <c r="H2693">
        <v>11.85</v>
      </c>
      <c r="I2693" t="s">
        <v>50</v>
      </c>
      <c r="J2693">
        <v>11</v>
      </c>
      <c r="K2693" t="s">
        <v>51</v>
      </c>
      <c r="L2693">
        <v>1</v>
      </c>
      <c r="M2693" t="str">
        <f>VLOOKUP(D2693,State_Lookup!$A$2:$B$28,2,FALSE)</f>
        <v>Sao Paulo</v>
      </c>
    </row>
    <row r="2694" spans="1:13" x14ac:dyDescent="0.45">
      <c r="A2694" t="s">
        <v>3227</v>
      </c>
      <c r="B2694" t="s">
        <v>3218</v>
      </c>
      <c r="C2694" t="s">
        <v>3206</v>
      </c>
      <c r="D2694" t="s">
        <v>18</v>
      </c>
      <c r="E2694" t="s">
        <v>110</v>
      </c>
      <c r="F2694">
        <v>1</v>
      </c>
      <c r="G2694">
        <v>109.9</v>
      </c>
      <c r="H2694">
        <v>25.61</v>
      </c>
      <c r="I2694" t="s">
        <v>50</v>
      </c>
      <c r="J2694">
        <v>15</v>
      </c>
      <c r="K2694" t="s">
        <v>51</v>
      </c>
      <c r="L2694">
        <v>5</v>
      </c>
      <c r="M2694" t="str">
        <f>VLOOKUP(D2694,State_Lookup!$A$2:$B$28,2,FALSE)</f>
        <v>Minas Gerais</v>
      </c>
    </row>
    <row r="2695" spans="1:13" x14ac:dyDescent="0.45">
      <c r="A2695" t="s">
        <v>3228</v>
      </c>
      <c r="B2695" t="s">
        <v>3218</v>
      </c>
      <c r="C2695" t="s">
        <v>3206</v>
      </c>
      <c r="D2695" t="s">
        <v>24</v>
      </c>
      <c r="E2695" t="s">
        <v>66</v>
      </c>
      <c r="F2695">
        <v>1</v>
      </c>
      <c r="G2695">
        <v>23.99</v>
      </c>
      <c r="H2695">
        <v>14.1</v>
      </c>
      <c r="I2695" t="s">
        <v>133</v>
      </c>
      <c r="J2695">
        <v>19</v>
      </c>
      <c r="K2695" t="s">
        <v>51</v>
      </c>
      <c r="L2695">
        <v>5</v>
      </c>
      <c r="M2695" t="str">
        <f>VLOOKUP(D2695,State_Lookup!$A$2:$B$28,2,FALSE)</f>
        <v>Distrito Federal</v>
      </c>
    </row>
    <row r="2696" spans="1:13" x14ac:dyDescent="0.45">
      <c r="A2696" t="s">
        <v>3229</v>
      </c>
      <c r="B2696" t="s">
        <v>3218</v>
      </c>
      <c r="C2696" t="s">
        <v>3206</v>
      </c>
      <c r="D2696" t="s">
        <v>16</v>
      </c>
      <c r="E2696" t="s">
        <v>103</v>
      </c>
      <c r="F2696">
        <v>1</v>
      </c>
      <c r="G2696">
        <v>54</v>
      </c>
      <c r="H2696">
        <v>14.13</v>
      </c>
      <c r="I2696" t="s">
        <v>44</v>
      </c>
      <c r="J2696">
        <v>12</v>
      </c>
      <c r="K2696" t="s">
        <v>51</v>
      </c>
      <c r="L2696">
        <v>4</v>
      </c>
      <c r="M2696" t="str">
        <f>VLOOKUP(D2696,State_Lookup!$A$2:$B$28,2,FALSE)</f>
        <v>Sao Paulo</v>
      </c>
    </row>
    <row r="2697" spans="1:13" x14ac:dyDescent="0.45">
      <c r="A2697" t="s">
        <v>3230</v>
      </c>
      <c r="B2697" t="s">
        <v>3218</v>
      </c>
      <c r="C2697" t="s">
        <v>3206</v>
      </c>
      <c r="D2697" t="s">
        <v>18</v>
      </c>
      <c r="E2697" t="s">
        <v>142</v>
      </c>
      <c r="F2697">
        <v>2</v>
      </c>
      <c r="G2697">
        <v>117.8</v>
      </c>
      <c r="H2697">
        <v>42.5</v>
      </c>
      <c r="I2697" t="s">
        <v>44</v>
      </c>
      <c r="J2697">
        <v>21</v>
      </c>
      <c r="K2697" t="s">
        <v>51</v>
      </c>
      <c r="L2697">
        <v>2</v>
      </c>
      <c r="M2697" t="str">
        <f>VLOOKUP(D2697,State_Lookup!$A$2:$B$28,2,FALSE)</f>
        <v>Minas Gerais</v>
      </c>
    </row>
    <row r="2698" spans="1:13" x14ac:dyDescent="0.45">
      <c r="A2698" t="s">
        <v>3231</v>
      </c>
      <c r="B2698" t="s">
        <v>3218</v>
      </c>
      <c r="C2698" t="s">
        <v>3206</v>
      </c>
      <c r="D2698" t="s">
        <v>16</v>
      </c>
      <c r="E2698" t="s">
        <v>110</v>
      </c>
      <c r="F2698">
        <v>1</v>
      </c>
      <c r="G2698">
        <v>86.9</v>
      </c>
      <c r="H2698">
        <v>13.63</v>
      </c>
      <c r="I2698" t="s">
        <v>44</v>
      </c>
      <c r="J2698">
        <v>32</v>
      </c>
      <c r="K2698" t="s">
        <v>143</v>
      </c>
      <c r="L2698">
        <v>1</v>
      </c>
      <c r="M2698" t="str">
        <f>VLOOKUP(D2698,State_Lookup!$A$2:$B$28,2,FALSE)</f>
        <v>Sao Paulo</v>
      </c>
    </row>
    <row r="2699" spans="1:13" x14ac:dyDescent="0.45">
      <c r="A2699" t="s">
        <v>3232</v>
      </c>
      <c r="B2699" t="s">
        <v>3218</v>
      </c>
      <c r="C2699" t="s">
        <v>3206</v>
      </c>
      <c r="D2699" t="s">
        <v>16</v>
      </c>
      <c r="E2699" t="s">
        <v>340</v>
      </c>
      <c r="F2699">
        <v>1</v>
      </c>
      <c r="G2699">
        <v>1320</v>
      </c>
      <c r="H2699">
        <v>49.63</v>
      </c>
      <c r="I2699" t="s">
        <v>44</v>
      </c>
      <c r="J2699">
        <v>38</v>
      </c>
      <c r="K2699" t="s">
        <v>143</v>
      </c>
      <c r="L2699">
        <v>1</v>
      </c>
      <c r="M2699" t="str">
        <f>VLOOKUP(D2699,State_Lookup!$A$2:$B$28,2,FALSE)</f>
        <v>Sao Paulo</v>
      </c>
    </row>
    <row r="2700" spans="1:13" x14ac:dyDescent="0.45">
      <c r="A2700" t="s">
        <v>3233</v>
      </c>
      <c r="B2700" t="s">
        <v>3218</v>
      </c>
      <c r="C2700" t="s">
        <v>3206</v>
      </c>
      <c r="D2700" t="s">
        <v>18</v>
      </c>
      <c r="E2700" t="s">
        <v>61</v>
      </c>
      <c r="F2700">
        <v>1</v>
      </c>
      <c r="G2700">
        <v>89.15</v>
      </c>
      <c r="H2700">
        <v>17.059999999999999</v>
      </c>
      <c r="I2700" t="s">
        <v>50</v>
      </c>
      <c r="J2700">
        <v>13</v>
      </c>
      <c r="K2700" t="s">
        <v>51</v>
      </c>
      <c r="L2700">
        <v>1</v>
      </c>
      <c r="M2700" t="str">
        <f>VLOOKUP(D2700,State_Lookup!$A$2:$B$28,2,FALSE)</f>
        <v>Minas Gerais</v>
      </c>
    </row>
    <row r="2701" spans="1:13" x14ac:dyDescent="0.45">
      <c r="A2701" t="s">
        <v>3234</v>
      </c>
      <c r="B2701" t="s">
        <v>3235</v>
      </c>
      <c r="C2701" t="s">
        <v>3206</v>
      </c>
      <c r="D2701" t="s">
        <v>122</v>
      </c>
      <c r="E2701" t="s">
        <v>64</v>
      </c>
      <c r="F2701">
        <v>1</v>
      </c>
      <c r="G2701">
        <v>98.9</v>
      </c>
      <c r="H2701">
        <v>17.97</v>
      </c>
      <c r="I2701" t="s">
        <v>44</v>
      </c>
      <c r="J2701">
        <v>27</v>
      </c>
      <c r="K2701" t="s">
        <v>51</v>
      </c>
      <c r="L2701">
        <v>4</v>
      </c>
      <c r="M2701" t="str">
        <f>VLOOKUP(D2701,State_Lookup!$A$2:$B$28,2,FALSE)</f>
        <v>Para</v>
      </c>
    </row>
    <row r="2702" spans="1:13" x14ac:dyDescent="0.45">
      <c r="A2702" t="s">
        <v>3236</v>
      </c>
      <c r="B2702" t="s">
        <v>3235</v>
      </c>
      <c r="C2702" t="s">
        <v>3206</v>
      </c>
      <c r="D2702" t="s">
        <v>20</v>
      </c>
      <c r="E2702" t="s">
        <v>244</v>
      </c>
      <c r="F2702">
        <v>1</v>
      </c>
      <c r="G2702">
        <v>49.9</v>
      </c>
      <c r="H2702">
        <v>14.1</v>
      </c>
      <c r="I2702" t="s">
        <v>44</v>
      </c>
      <c r="J2702">
        <v>17</v>
      </c>
      <c r="K2702" t="s">
        <v>51</v>
      </c>
      <c r="L2702">
        <v>5</v>
      </c>
      <c r="M2702" t="str">
        <f>VLOOKUP(D2702,State_Lookup!$A$2:$B$28,2,FALSE)</f>
        <v>Parana</v>
      </c>
    </row>
    <row r="2703" spans="1:13" x14ac:dyDescent="0.45">
      <c r="A2703" t="s">
        <v>3237</v>
      </c>
      <c r="B2703" t="s">
        <v>3235</v>
      </c>
      <c r="C2703" t="s">
        <v>3206</v>
      </c>
      <c r="D2703" t="s">
        <v>656</v>
      </c>
      <c r="E2703" t="s">
        <v>157</v>
      </c>
      <c r="F2703">
        <v>1</v>
      </c>
      <c r="G2703">
        <v>209.9</v>
      </c>
      <c r="H2703">
        <v>39.020000000000003</v>
      </c>
      <c r="I2703" t="s">
        <v>44</v>
      </c>
      <c r="J2703">
        <v>23</v>
      </c>
      <c r="K2703" t="s">
        <v>51</v>
      </c>
      <c r="L2703">
        <v>4</v>
      </c>
      <c r="M2703" t="str">
        <f>VLOOKUP(D2703,State_Lookup!$A$2:$B$28,2,FALSE)</f>
        <v>Amapa</v>
      </c>
    </row>
    <row r="2704" spans="1:13" x14ac:dyDescent="0.45">
      <c r="A2704" t="s">
        <v>3238</v>
      </c>
      <c r="B2704" t="s">
        <v>3235</v>
      </c>
      <c r="C2704" t="s">
        <v>3206</v>
      </c>
      <c r="D2704" t="s">
        <v>18</v>
      </c>
      <c r="E2704" t="s">
        <v>142</v>
      </c>
      <c r="F2704">
        <v>1</v>
      </c>
      <c r="G2704">
        <v>9.9</v>
      </c>
      <c r="H2704">
        <v>15.1</v>
      </c>
      <c r="I2704" t="s">
        <v>44</v>
      </c>
      <c r="J2704">
        <v>11</v>
      </c>
      <c r="K2704" t="s">
        <v>51</v>
      </c>
      <c r="L2704">
        <v>5</v>
      </c>
      <c r="M2704" t="str">
        <f>VLOOKUP(D2704,State_Lookup!$A$2:$B$28,2,FALSE)</f>
        <v>Minas Gerais</v>
      </c>
    </row>
    <row r="2705" spans="1:13" x14ac:dyDescent="0.45">
      <c r="A2705" t="s">
        <v>3239</v>
      </c>
      <c r="B2705" t="s">
        <v>3235</v>
      </c>
      <c r="C2705" t="s">
        <v>3206</v>
      </c>
      <c r="D2705" t="s">
        <v>18</v>
      </c>
      <c r="E2705" t="s">
        <v>125</v>
      </c>
      <c r="F2705">
        <v>1</v>
      </c>
      <c r="G2705">
        <v>13.65</v>
      </c>
      <c r="H2705">
        <v>14.1</v>
      </c>
      <c r="I2705" t="s">
        <v>44</v>
      </c>
      <c r="J2705">
        <v>18</v>
      </c>
      <c r="K2705" t="s">
        <v>51</v>
      </c>
      <c r="L2705">
        <v>3</v>
      </c>
      <c r="M2705" t="str">
        <f>VLOOKUP(D2705,State_Lookup!$A$2:$B$28,2,FALSE)</f>
        <v>Minas Gerais</v>
      </c>
    </row>
    <row r="2706" spans="1:13" x14ac:dyDescent="0.45">
      <c r="A2706" t="s">
        <v>3240</v>
      </c>
      <c r="B2706" t="s">
        <v>3235</v>
      </c>
      <c r="C2706" t="s">
        <v>3206</v>
      </c>
      <c r="D2706" t="s">
        <v>25</v>
      </c>
      <c r="E2706" t="s">
        <v>199</v>
      </c>
      <c r="F2706">
        <v>1</v>
      </c>
      <c r="G2706">
        <v>159.77000000000001</v>
      </c>
      <c r="H2706">
        <v>16.88</v>
      </c>
      <c r="I2706" t="s">
        <v>50</v>
      </c>
      <c r="J2706">
        <v>23</v>
      </c>
      <c r="K2706" t="s">
        <v>51</v>
      </c>
      <c r="L2706">
        <v>5</v>
      </c>
      <c r="M2706" t="str">
        <f>VLOOKUP(D2706,State_Lookup!$A$2:$B$28,2,FALSE)</f>
        <v>Goias</v>
      </c>
    </row>
    <row r="2707" spans="1:13" x14ac:dyDescent="0.45">
      <c r="A2707" t="s">
        <v>3241</v>
      </c>
      <c r="B2707" t="s">
        <v>3235</v>
      </c>
      <c r="C2707" t="s">
        <v>3206</v>
      </c>
      <c r="D2707" t="s">
        <v>16</v>
      </c>
      <c r="E2707" t="s">
        <v>1935</v>
      </c>
      <c r="F2707">
        <v>1</v>
      </c>
      <c r="G2707">
        <v>28</v>
      </c>
      <c r="H2707">
        <v>9.34</v>
      </c>
      <c r="I2707" t="s">
        <v>44</v>
      </c>
      <c r="J2707">
        <v>6</v>
      </c>
      <c r="K2707" t="s">
        <v>51</v>
      </c>
      <c r="L2707">
        <v>5</v>
      </c>
      <c r="M2707" t="str">
        <f>VLOOKUP(D2707,State_Lookup!$A$2:$B$28,2,FALSE)</f>
        <v>Sao Paulo</v>
      </c>
    </row>
    <row r="2708" spans="1:13" x14ac:dyDescent="0.45">
      <c r="A2708" t="s">
        <v>3242</v>
      </c>
      <c r="B2708" t="s">
        <v>3235</v>
      </c>
      <c r="C2708" t="s">
        <v>3206</v>
      </c>
      <c r="D2708" t="s">
        <v>16</v>
      </c>
      <c r="E2708" t="s">
        <v>132</v>
      </c>
      <c r="F2708">
        <v>1</v>
      </c>
      <c r="G2708">
        <v>20.3</v>
      </c>
      <c r="H2708">
        <v>8.11</v>
      </c>
      <c r="I2708" t="s">
        <v>44</v>
      </c>
      <c r="J2708">
        <v>23</v>
      </c>
      <c r="K2708" t="s">
        <v>143</v>
      </c>
      <c r="L2708">
        <v>1</v>
      </c>
      <c r="M2708" t="str">
        <f>VLOOKUP(D2708,State_Lookup!$A$2:$B$28,2,FALSE)</f>
        <v>Sao Paulo</v>
      </c>
    </row>
    <row r="2709" spans="1:13" x14ac:dyDescent="0.45">
      <c r="A2709" t="s">
        <v>3243</v>
      </c>
      <c r="B2709" t="s">
        <v>3235</v>
      </c>
      <c r="C2709" t="s">
        <v>3206</v>
      </c>
      <c r="D2709" t="s">
        <v>16</v>
      </c>
      <c r="E2709" t="s">
        <v>110</v>
      </c>
      <c r="F2709">
        <v>1</v>
      </c>
      <c r="G2709">
        <v>148.9</v>
      </c>
      <c r="H2709">
        <v>21.53</v>
      </c>
      <c r="I2709" t="s">
        <v>44</v>
      </c>
      <c r="J2709">
        <v>15</v>
      </c>
      <c r="K2709" t="s">
        <v>51</v>
      </c>
      <c r="L2709">
        <v>5</v>
      </c>
      <c r="M2709" t="str">
        <f>VLOOKUP(D2709,State_Lookup!$A$2:$B$28,2,FALSE)</f>
        <v>Sao Paulo</v>
      </c>
    </row>
    <row r="2710" spans="1:13" x14ac:dyDescent="0.45">
      <c r="A2710" t="s">
        <v>3244</v>
      </c>
      <c r="B2710" t="s">
        <v>3235</v>
      </c>
      <c r="C2710" t="s">
        <v>3206</v>
      </c>
      <c r="D2710" t="s">
        <v>16</v>
      </c>
      <c r="E2710" t="s">
        <v>107</v>
      </c>
      <c r="F2710">
        <v>1</v>
      </c>
      <c r="G2710">
        <v>19.899999999999999</v>
      </c>
      <c r="H2710">
        <v>7.78</v>
      </c>
      <c r="I2710" t="s">
        <v>50</v>
      </c>
      <c r="J2710">
        <v>11</v>
      </c>
      <c r="K2710" t="s">
        <v>51</v>
      </c>
      <c r="L2710">
        <v>5</v>
      </c>
      <c r="M2710" t="str">
        <f>VLOOKUP(D2710,State_Lookup!$A$2:$B$28,2,FALSE)</f>
        <v>Sao Paulo</v>
      </c>
    </row>
    <row r="2711" spans="1:13" x14ac:dyDescent="0.45">
      <c r="A2711" t="s">
        <v>3245</v>
      </c>
      <c r="B2711" t="s">
        <v>3235</v>
      </c>
      <c r="C2711" t="s">
        <v>3206</v>
      </c>
      <c r="D2711" t="s">
        <v>19</v>
      </c>
      <c r="E2711" t="s">
        <v>49</v>
      </c>
      <c r="F2711">
        <v>1</v>
      </c>
      <c r="G2711">
        <v>192</v>
      </c>
      <c r="H2711">
        <v>17.78</v>
      </c>
      <c r="I2711" t="s">
        <v>44</v>
      </c>
      <c r="K2711" t="s">
        <v>45</v>
      </c>
      <c r="L2711">
        <v>1</v>
      </c>
      <c r="M2711" t="str">
        <f>VLOOKUP(D2711,State_Lookup!$A$2:$B$28,2,FALSE)</f>
        <v>Rio Grande do Sul</v>
      </c>
    </row>
    <row r="2712" spans="1:13" x14ac:dyDescent="0.45">
      <c r="A2712" t="s">
        <v>3246</v>
      </c>
      <c r="B2712" t="s">
        <v>3235</v>
      </c>
      <c r="C2712" t="s">
        <v>3206</v>
      </c>
      <c r="D2712" t="s">
        <v>16</v>
      </c>
      <c r="E2712" t="s">
        <v>61</v>
      </c>
      <c r="F2712">
        <v>1</v>
      </c>
      <c r="G2712">
        <v>80.900000000000006</v>
      </c>
      <c r="H2712">
        <v>12.7</v>
      </c>
      <c r="I2712" t="s">
        <v>44</v>
      </c>
      <c r="J2712">
        <v>12</v>
      </c>
      <c r="K2712" t="s">
        <v>51</v>
      </c>
      <c r="L2712">
        <v>4</v>
      </c>
      <c r="M2712" t="str">
        <f>VLOOKUP(D2712,State_Lookup!$A$2:$B$28,2,FALSE)</f>
        <v>Sao Paulo</v>
      </c>
    </row>
    <row r="2713" spans="1:13" x14ac:dyDescent="0.45">
      <c r="A2713" t="s">
        <v>3247</v>
      </c>
      <c r="B2713" t="s">
        <v>3235</v>
      </c>
      <c r="C2713" t="s">
        <v>3206</v>
      </c>
      <c r="D2713" t="s">
        <v>18</v>
      </c>
      <c r="E2713" t="s">
        <v>61</v>
      </c>
      <c r="F2713">
        <v>1</v>
      </c>
      <c r="G2713">
        <v>24.99</v>
      </c>
      <c r="H2713">
        <v>15.1</v>
      </c>
      <c r="I2713" t="s">
        <v>44</v>
      </c>
      <c r="J2713">
        <v>17</v>
      </c>
      <c r="K2713" t="s">
        <v>51</v>
      </c>
      <c r="L2713">
        <v>3</v>
      </c>
      <c r="M2713" t="str">
        <f>VLOOKUP(D2713,State_Lookup!$A$2:$B$28,2,FALSE)</f>
        <v>Minas Gerais</v>
      </c>
    </row>
    <row r="2714" spans="1:13" x14ac:dyDescent="0.45">
      <c r="A2714" t="s">
        <v>3248</v>
      </c>
      <c r="B2714" t="s">
        <v>3235</v>
      </c>
      <c r="C2714" t="s">
        <v>3206</v>
      </c>
      <c r="D2714" t="s">
        <v>16</v>
      </c>
      <c r="E2714" t="s">
        <v>269</v>
      </c>
      <c r="F2714">
        <v>1</v>
      </c>
      <c r="G2714">
        <v>273</v>
      </c>
      <c r="H2714">
        <v>13.12</v>
      </c>
      <c r="I2714" t="s">
        <v>44</v>
      </c>
      <c r="J2714">
        <v>5</v>
      </c>
      <c r="K2714" t="s">
        <v>51</v>
      </c>
      <c r="L2714">
        <v>5</v>
      </c>
      <c r="M2714" t="str">
        <f>VLOOKUP(D2714,State_Lookup!$A$2:$B$28,2,FALSE)</f>
        <v>Sao Paulo</v>
      </c>
    </row>
    <row r="2715" spans="1:13" x14ac:dyDescent="0.45">
      <c r="A2715" t="s">
        <v>3249</v>
      </c>
      <c r="B2715" t="s">
        <v>3250</v>
      </c>
      <c r="C2715" t="s">
        <v>3206</v>
      </c>
      <c r="D2715" t="s">
        <v>16</v>
      </c>
      <c r="E2715" t="s">
        <v>148</v>
      </c>
      <c r="F2715">
        <v>1</v>
      </c>
      <c r="G2715">
        <v>34.9</v>
      </c>
      <c r="H2715">
        <v>16.79</v>
      </c>
      <c r="I2715" t="s">
        <v>133</v>
      </c>
      <c r="J2715">
        <v>12</v>
      </c>
      <c r="K2715" t="s">
        <v>51</v>
      </c>
      <c r="L2715">
        <v>5</v>
      </c>
      <c r="M2715" t="str">
        <f>VLOOKUP(D2715,State_Lookup!$A$2:$B$28,2,FALSE)</f>
        <v>Sao Paulo</v>
      </c>
    </row>
    <row r="2716" spans="1:13" x14ac:dyDescent="0.45">
      <c r="A2716" t="s">
        <v>3251</v>
      </c>
      <c r="B2716" t="s">
        <v>3250</v>
      </c>
      <c r="C2716" t="s">
        <v>3206</v>
      </c>
      <c r="D2716" t="s">
        <v>16</v>
      </c>
      <c r="E2716" t="s">
        <v>142</v>
      </c>
      <c r="F2716">
        <v>1</v>
      </c>
      <c r="G2716">
        <v>25.99</v>
      </c>
      <c r="H2716">
        <v>9.34</v>
      </c>
      <c r="I2716" t="s">
        <v>44</v>
      </c>
      <c r="J2716">
        <v>1</v>
      </c>
      <c r="K2716" t="s">
        <v>51</v>
      </c>
      <c r="L2716">
        <v>5</v>
      </c>
      <c r="M2716" t="str">
        <f>VLOOKUP(D2716,State_Lookup!$A$2:$B$28,2,FALSE)</f>
        <v>Sao Paulo</v>
      </c>
    </row>
    <row r="2717" spans="1:13" x14ac:dyDescent="0.45">
      <c r="A2717" t="s">
        <v>3252</v>
      </c>
      <c r="B2717" t="s">
        <v>3250</v>
      </c>
      <c r="C2717" t="s">
        <v>3206</v>
      </c>
      <c r="D2717" t="s">
        <v>18</v>
      </c>
      <c r="E2717" t="s">
        <v>142</v>
      </c>
      <c r="F2717">
        <v>1</v>
      </c>
      <c r="G2717">
        <v>29.9</v>
      </c>
      <c r="H2717">
        <v>16.920000000000002</v>
      </c>
      <c r="I2717" t="s">
        <v>44</v>
      </c>
      <c r="J2717">
        <v>3</v>
      </c>
      <c r="K2717" t="s">
        <v>51</v>
      </c>
      <c r="L2717">
        <v>5</v>
      </c>
      <c r="M2717" t="str">
        <f>VLOOKUP(D2717,State_Lookup!$A$2:$B$28,2,FALSE)</f>
        <v>Minas Gerais</v>
      </c>
    </row>
    <row r="2718" spans="1:13" x14ac:dyDescent="0.45">
      <c r="A2718" t="s">
        <v>3253</v>
      </c>
      <c r="B2718" t="s">
        <v>3250</v>
      </c>
      <c r="C2718" t="s">
        <v>3206</v>
      </c>
      <c r="D2718" t="s">
        <v>16</v>
      </c>
      <c r="E2718" t="s">
        <v>110</v>
      </c>
      <c r="F2718">
        <v>1</v>
      </c>
      <c r="G2718">
        <v>24.9</v>
      </c>
      <c r="H2718">
        <v>9.09</v>
      </c>
      <c r="I2718" t="s">
        <v>44</v>
      </c>
      <c r="J2718">
        <v>2</v>
      </c>
      <c r="K2718" t="s">
        <v>51</v>
      </c>
      <c r="L2718">
        <v>5</v>
      </c>
      <c r="M2718" t="str">
        <f>VLOOKUP(D2718,State_Lookup!$A$2:$B$28,2,FALSE)</f>
        <v>Sao Paulo</v>
      </c>
    </row>
    <row r="2719" spans="1:13" x14ac:dyDescent="0.45">
      <c r="A2719" t="s">
        <v>3254</v>
      </c>
      <c r="B2719" t="s">
        <v>3250</v>
      </c>
      <c r="C2719" t="s">
        <v>3206</v>
      </c>
      <c r="D2719" t="s">
        <v>122</v>
      </c>
      <c r="E2719" t="s">
        <v>157</v>
      </c>
      <c r="F2719">
        <v>1</v>
      </c>
      <c r="G2719">
        <v>255</v>
      </c>
      <c r="H2719">
        <v>27.07</v>
      </c>
      <c r="I2719" t="s">
        <v>44</v>
      </c>
      <c r="J2719">
        <v>25</v>
      </c>
      <c r="K2719" t="s">
        <v>51</v>
      </c>
      <c r="L2719">
        <v>5</v>
      </c>
      <c r="M2719" t="str">
        <f>VLOOKUP(D2719,State_Lookup!$A$2:$B$28,2,FALSE)</f>
        <v>Para</v>
      </c>
    </row>
    <row r="2720" spans="1:13" x14ac:dyDescent="0.45">
      <c r="A2720" t="s">
        <v>3255</v>
      </c>
      <c r="B2720" t="s">
        <v>3250</v>
      </c>
      <c r="C2720" t="s">
        <v>3206</v>
      </c>
      <c r="D2720" t="s">
        <v>21</v>
      </c>
      <c r="E2720" t="s">
        <v>69</v>
      </c>
      <c r="F2720">
        <v>1</v>
      </c>
      <c r="G2720">
        <v>49.9</v>
      </c>
      <c r="H2720">
        <v>17.600000000000001</v>
      </c>
      <c r="I2720" t="s">
        <v>44</v>
      </c>
      <c r="J2720">
        <v>23</v>
      </c>
      <c r="K2720" t="s">
        <v>51</v>
      </c>
      <c r="L2720">
        <v>5</v>
      </c>
      <c r="M2720" t="str">
        <f>VLOOKUP(D2720,State_Lookup!$A$2:$B$28,2,FALSE)</f>
        <v>Santa Catarina</v>
      </c>
    </row>
    <row r="2721" spans="1:13" x14ac:dyDescent="0.45">
      <c r="A2721" t="s">
        <v>3256</v>
      </c>
      <c r="B2721" t="s">
        <v>3250</v>
      </c>
      <c r="C2721" t="s">
        <v>3206</v>
      </c>
      <c r="D2721" t="s">
        <v>16</v>
      </c>
      <c r="E2721" t="s">
        <v>107</v>
      </c>
      <c r="F2721">
        <v>1</v>
      </c>
      <c r="G2721">
        <v>20</v>
      </c>
      <c r="H2721">
        <v>7.78</v>
      </c>
      <c r="I2721" t="s">
        <v>44</v>
      </c>
      <c r="J2721">
        <v>3</v>
      </c>
      <c r="K2721" t="s">
        <v>51</v>
      </c>
      <c r="L2721">
        <v>5</v>
      </c>
      <c r="M2721" t="str">
        <f>VLOOKUP(D2721,State_Lookup!$A$2:$B$28,2,FALSE)</f>
        <v>Sao Paulo</v>
      </c>
    </row>
    <row r="2722" spans="1:13" x14ac:dyDescent="0.45">
      <c r="A2722" t="s">
        <v>3257</v>
      </c>
      <c r="B2722" t="s">
        <v>3250</v>
      </c>
      <c r="C2722" t="s">
        <v>3206</v>
      </c>
      <c r="D2722" t="s">
        <v>19</v>
      </c>
      <c r="E2722" t="s">
        <v>142</v>
      </c>
      <c r="F2722">
        <v>1</v>
      </c>
      <c r="G2722">
        <v>50</v>
      </c>
      <c r="H2722">
        <v>14.1</v>
      </c>
      <c r="I2722" t="s">
        <v>44</v>
      </c>
      <c r="J2722">
        <v>14</v>
      </c>
      <c r="K2722" t="s">
        <v>51</v>
      </c>
      <c r="L2722">
        <v>4</v>
      </c>
      <c r="M2722" t="str">
        <f>VLOOKUP(D2722,State_Lookup!$A$2:$B$28,2,FALSE)</f>
        <v>Rio Grande do Sul</v>
      </c>
    </row>
    <row r="2723" spans="1:13" x14ac:dyDescent="0.45">
      <c r="A2723" t="s">
        <v>3258</v>
      </c>
      <c r="B2723" t="s">
        <v>3259</v>
      </c>
      <c r="C2723" t="s">
        <v>3206</v>
      </c>
      <c r="D2723" t="s">
        <v>16</v>
      </c>
      <c r="E2723" t="s">
        <v>49</v>
      </c>
      <c r="F2723">
        <v>1</v>
      </c>
      <c r="G2723">
        <v>260</v>
      </c>
      <c r="H2723">
        <v>21.79</v>
      </c>
      <c r="I2723" t="s">
        <v>44</v>
      </c>
      <c r="J2723">
        <v>13</v>
      </c>
      <c r="K2723" t="s">
        <v>51</v>
      </c>
      <c r="L2723">
        <v>5</v>
      </c>
      <c r="M2723" t="str">
        <f>VLOOKUP(D2723,State_Lookup!$A$2:$B$28,2,FALSE)</f>
        <v>Sao Paulo</v>
      </c>
    </row>
    <row r="2724" spans="1:13" x14ac:dyDescent="0.45">
      <c r="A2724" t="s">
        <v>3260</v>
      </c>
      <c r="B2724" t="s">
        <v>3259</v>
      </c>
      <c r="C2724" t="s">
        <v>3206</v>
      </c>
      <c r="D2724" t="s">
        <v>21</v>
      </c>
      <c r="E2724" t="s">
        <v>173</v>
      </c>
      <c r="F2724">
        <v>1</v>
      </c>
      <c r="G2724">
        <v>44.9</v>
      </c>
      <c r="H2724">
        <v>16.11</v>
      </c>
      <c r="I2724" t="s">
        <v>44</v>
      </c>
      <c r="J2724">
        <v>25</v>
      </c>
      <c r="K2724" t="s">
        <v>51</v>
      </c>
      <c r="L2724">
        <v>4</v>
      </c>
      <c r="M2724" t="str">
        <f>VLOOKUP(D2724,State_Lookup!$A$2:$B$28,2,FALSE)</f>
        <v>Santa Catarina</v>
      </c>
    </row>
    <row r="2725" spans="1:13" x14ac:dyDescent="0.45">
      <c r="A2725" t="s">
        <v>3261</v>
      </c>
      <c r="B2725" t="s">
        <v>3259</v>
      </c>
      <c r="C2725" t="s">
        <v>3206</v>
      </c>
      <c r="D2725" t="s">
        <v>16</v>
      </c>
      <c r="E2725" t="s">
        <v>53</v>
      </c>
      <c r="F2725">
        <v>1</v>
      </c>
      <c r="G2725">
        <v>99</v>
      </c>
      <c r="H2725">
        <v>27.01</v>
      </c>
      <c r="I2725" t="s">
        <v>133</v>
      </c>
      <c r="J2725">
        <v>11</v>
      </c>
      <c r="K2725" t="s">
        <v>51</v>
      </c>
      <c r="L2725">
        <v>2</v>
      </c>
      <c r="M2725" t="str">
        <f>VLOOKUP(D2725,State_Lookup!$A$2:$B$28,2,FALSE)</f>
        <v>Sao Paulo</v>
      </c>
    </row>
    <row r="2726" spans="1:13" x14ac:dyDescent="0.45">
      <c r="A2726" t="s">
        <v>3262</v>
      </c>
      <c r="B2726" t="s">
        <v>3259</v>
      </c>
      <c r="C2726" t="s">
        <v>3206</v>
      </c>
      <c r="D2726" t="s">
        <v>25</v>
      </c>
      <c r="E2726" t="s">
        <v>110</v>
      </c>
      <c r="F2726">
        <v>2</v>
      </c>
      <c r="G2726">
        <v>159.80000000000001</v>
      </c>
      <c r="H2726">
        <v>32.64</v>
      </c>
      <c r="I2726" t="s">
        <v>44</v>
      </c>
      <c r="J2726">
        <v>16</v>
      </c>
      <c r="K2726" t="s">
        <v>51</v>
      </c>
      <c r="L2726">
        <v>4</v>
      </c>
      <c r="M2726" t="str">
        <f>VLOOKUP(D2726,State_Lookup!$A$2:$B$28,2,FALSE)</f>
        <v>Goias</v>
      </c>
    </row>
    <row r="2727" spans="1:13" x14ac:dyDescent="0.45">
      <c r="A2727" t="s">
        <v>3263</v>
      </c>
      <c r="B2727" t="s">
        <v>3259</v>
      </c>
      <c r="C2727" t="s">
        <v>3206</v>
      </c>
      <c r="D2727" t="s">
        <v>18</v>
      </c>
      <c r="E2727" t="s">
        <v>69</v>
      </c>
      <c r="F2727">
        <v>1</v>
      </c>
      <c r="G2727">
        <v>509</v>
      </c>
      <c r="H2727">
        <v>49.57</v>
      </c>
      <c r="I2727" t="s">
        <v>44</v>
      </c>
      <c r="J2727">
        <v>15</v>
      </c>
      <c r="K2727" t="s">
        <v>51</v>
      </c>
      <c r="L2727">
        <v>5</v>
      </c>
      <c r="M2727" t="str">
        <f>VLOOKUP(D2727,State_Lookup!$A$2:$B$28,2,FALSE)</f>
        <v>Minas Gerais</v>
      </c>
    </row>
    <row r="2728" spans="1:13" x14ac:dyDescent="0.45">
      <c r="A2728" t="s">
        <v>3264</v>
      </c>
      <c r="B2728" t="s">
        <v>3259</v>
      </c>
      <c r="C2728" t="s">
        <v>3206</v>
      </c>
      <c r="D2728" t="s">
        <v>16</v>
      </c>
      <c r="E2728" t="s">
        <v>118</v>
      </c>
      <c r="F2728">
        <v>2</v>
      </c>
      <c r="G2728">
        <v>59.8</v>
      </c>
      <c r="H2728">
        <v>28.2</v>
      </c>
      <c r="I2728" t="s">
        <v>44</v>
      </c>
      <c r="J2728">
        <v>15</v>
      </c>
      <c r="K2728" t="s">
        <v>51</v>
      </c>
      <c r="L2728">
        <v>5</v>
      </c>
      <c r="M2728" t="str">
        <f>VLOOKUP(D2728,State_Lookup!$A$2:$B$28,2,FALSE)</f>
        <v>Sao Paulo</v>
      </c>
    </row>
    <row r="2729" spans="1:13" x14ac:dyDescent="0.45">
      <c r="A2729" t="s">
        <v>3265</v>
      </c>
      <c r="B2729" t="s">
        <v>3259</v>
      </c>
      <c r="C2729" t="s">
        <v>3206</v>
      </c>
      <c r="D2729" t="s">
        <v>25</v>
      </c>
      <c r="E2729" t="s">
        <v>110</v>
      </c>
      <c r="F2729">
        <v>2</v>
      </c>
      <c r="G2729">
        <v>179.98</v>
      </c>
      <c r="H2729">
        <v>35.76</v>
      </c>
      <c r="I2729" t="s">
        <v>44</v>
      </c>
      <c r="J2729">
        <v>17</v>
      </c>
      <c r="K2729" t="s">
        <v>51</v>
      </c>
      <c r="L2729">
        <v>5</v>
      </c>
      <c r="M2729" t="str">
        <f>VLOOKUP(D2729,State_Lookup!$A$2:$B$28,2,FALSE)</f>
        <v>Goias</v>
      </c>
    </row>
    <row r="2730" spans="1:13" x14ac:dyDescent="0.45">
      <c r="A2730" t="s">
        <v>3266</v>
      </c>
      <c r="B2730" t="s">
        <v>3259</v>
      </c>
      <c r="C2730" t="s">
        <v>3206</v>
      </c>
      <c r="D2730" t="s">
        <v>16</v>
      </c>
      <c r="E2730" t="s">
        <v>49</v>
      </c>
      <c r="F2730">
        <v>1</v>
      </c>
      <c r="G2730">
        <v>194</v>
      </c>
      <c r="H2730">
        <v>16.989999999999998</v>
      </c>
      <c r="I2730" t="s">
        <v>44</v>
      </c>
      <c r="J2730">
        <v>8</v>
      </c>
      <c r="K2730" t="s">
        <v>51</v>
      </c>
      <c r="L2730">
        <v>5</v>
      </c>
      <c r="M2730" t="str">
        <f>VLOOKUP(D2730,State_Lookup!$A$2:$B$28,2,FALSE)</f>
        <v>Sao Paulo</v>
      </c>
    </row>
    <row r="2731" spans="1:13" x14ac:dyDescent="0.45">
      <c r="A2731" t="s">
        <v>3267</v>
      </c>
      <c r="B2731" t="s">
        <v>3259</v>
      </c>
      <c r="C2731" t="s">
        <v>3206</v>
      </c>
      <c r="D2731" t="s">
        <v>16</v>
      </c>
      <c r="E2731" t="s">
        <v>157</v>
      </c>
      <c r="F2731">
        <v>1</v>
      </c>
      <c r="G2731">
        <v>148</v>
      </c>
      <c r="H2731">
        <v>12.54</v>
      </c>
      <c r="I2731" t="s">
        <v>44</v>
      </c>
      <c r="J2731">
        <v>11</v>
      </c>
      <c r="K2731" t="s">
        <v>51</v>
      </c>
      <c r="L2731">
        <v>5</v>
      </c>
      <c r="M2731" t="str">
        <f>VLOOKUP(D2731,State_Lookup!$A$2:$B$28,2,FALSE)</f>
        <v>Sao Paulo</v>
      </c>
    </row>
    <row r="2732" spans="1:13" x14ac:dyDescent="0.45">
      <c r="A2732" t="s">
        <v>3268</v>
      </c>
      <c r="B2732" t="s">
        <v>3259</v>
      </c>
      <c r="C2732" t="s">
        <v>3206</v>
      </c>
      <c r="D2732" t="s">
        <v>17</v>
      </c>
      <c r="E2732" t="s">
        <v>125</v>
      </c>
      <c r="F2732">
        <v>1</v>
      </c>
      <c r="G2732">
        <v>21.9</v>
      </c>
      <c r="H2732">
        <v>14.1</v>
      </c>
      <c r="I2732" t="s">
        <v>44</v>
      </c>
      <c r="J2732">
        <v>59</v>
      </c>
      <c r="K2732" t="s">
        <v>143</v>
      </c>
      <c r="L2732">
        <v>1</v>
      </c>
      <c r="M2732" t="str">
        <f>VLOOKUP(D2732,State_Lookup!$A$2:$B$28,2,FALSE)</f>
        <v>Rio de Janeiro</v>
      </c>
    </row>
    <row r="2733" spans="1:13" x14ac:dyDescent="0.45">
      <c r="A2733" t="s">
        <v>3269</v>
      </c>
      <c r="B2733" t="s">
        <v>3259</v>
      </c>
      <c r="C2733" t="s">
        <v>3206</v>
      </c>
      <c r="D2733" t="s">
        <v>16</v>
      </c>
      <c r="E2733" t="s">
        <v>49</v>
      </c>
      <c r="F2733">
        <v>1</v>
      </c>
      <c r="G2733">
        <v>29.5</v>
      </c>
      <c r="H2733">
        <v>16.11</v>
      </c>
      <c r="I2733" t="s">
        <v>44</v>
      </c>
      <c r="J2733">
        <v>9</v>
      </c>
      <c r="K2733" t="s">
        <v>51</v>
      </c>
      <c r="L2733">
        <v>5</v>
      </c>
      <c r="M2733" t="str">
        <f>VLOOKUP(D2733,State_Lookup!$A$2:$B$28,2,FALSE)</f>
        <v>Sao Paulo</v>
      </c>
    </row>
    <row r="2734" spans="1:13" x14ac:dyDescent="0.45">
      <c r="A2734" t="s">
        <v>3270</v>
      </c>
      <c r="B2734" t="s">
        <v>3259</v>
      </c>
      <c r="C2734" t="s">
        <v>3206</v>
      </c>
      <c r="D2734" t="s">
        <v>19</v>
      </c>
      <c r="E2734" t="s">
        <v>61</v>
      </c>
      <c r="F2734">
        <v>2</v>
      </c>
      <c r="G2734">
        <v>360</v>
      </c>
      <c r="H2734">
        <v>32.020000000000003</v>
      </c>
      <c r="I2734" t="s">
        <v>44</v>
      </c>
      <c r="J2734">
        <v>32</v>
      </c>
      <c r="K2734" t="s">
        <v>51</v>
      </c>
      <c r="L2734">
        <v>5</v>
      </c>
      <c r="M2734" t="str">
        <f>VLOOKUP(D2734,State_Lookup!$A$2:$B$28,2,FALSE)</f>
        <v>Rio Grande do Sul</v>
      </c>
    </row>
    <row r="2735" spans="1:13" x14ac:dyDescent="0.45">
      <c r="A2735" t="s">
        <v>3271</v>
      </c>
      <c r="B2735" t="s">
        <v>3259</v>
      </c>
      <c r="C2735" t="s">
        <v>3206</v>
      </c>
      <c r="D2735" t="s">
        <v>16</v>
      </c>
      <c r="E2735" t="s">
        <v>110</v>
      </c>
      <c r="F2735">
        <v>1</v>
      </c>
      <c r="G2735">
        <v>34.99</v>
      </c>
      <c r="H2735">
        <v>11.85</v>
      </c>
      <c r="I2735" t="s">
        <v>44</v>
      </c>
      <c r="J2735">
        <v>10</v>
      </c>
      <c r="K2735" t="s">
        <v>51</v>
      </c>
      <c r="L2735">
        <v>4</v>
      </c>
      <c r="M2735" t="str">
        <f>VLOOKUP(D2735,State_Lookup!$A$2:$B$28,2,FALSE)</f>
        <v>Sao Paulo</v>
      </c>
    </row>
    <row r="2736" spans="1:13" x14ac:dyDescent="0.45">
      <c r="A2736" t="s">
        <v>3272</v>
      </c>
      <c r="B2736" t="s">
        <v>3273</v>
      </c>
      <c r="C2736" t="s">
        <v>3206</v>
      </c>
      <c r="D2736" t="s">
        <v>208</v>
      </c>
      <c r="E2736" t="s">
        <v>61</v>
      </c>
      <c r="F2736">
        <v>1</v>
      </c>
      <c r="G2736">
        <v>11.9</v>
      </c>
      <c r="H2736">
        <v>16.79</v>
      </c>
      <c r="I2736" t="s">
        <v>50</v>
      </c>
      <c r="J2736">
        <v>17</v>
      </c>
      <c r="K2736" t="s">
        <v>51</v>
      </c>
      <c r="L2736">
        <v>4</v>
      </c>
      <c r="M2736" t="str">
        <f>VLOOKUP(D2736,State_Lookup!$A$2:$B$28,2,FALSE)</f>
        <v>Mato Grosso</v>
      </c>
    </row>
    <row r="2737" spans="1:13" x14ac:dyDescent="0.45">
      <c r="A2737" t="s">
        <v>3274</v>
      </c>
      <c r="B2737" t="s">
        <v>3273</v>
      </c>
      <c r="C2737" t="s">
        <v>3206</v>
      </c>
      <c r="D2737" t="s">
        <v>18</v>
      </c>
      <c r="E2737" t="s">
        <v>79</v>
      </c>
      <c r="F2737">
        <v>1</v>
      </c>
      <c r="G2737">
        <v>49.9</v>
      </c>
      <c r="H2737">
        <v>15.1</v>
      </c>
      <c r="I2737" t="s">
        <v>44</v>
      </c>
      <c r="J2737">
        <v>8</v>
      </c>
      <c r="K2737" t="s">
        <v>51</v>
      </c>
      <c r="L2737">
        <v>5</v>
      </c>
      <c r="M2737" t="str">
        <f>VLOOKUP(D2737,State_Lookup!$A$2:$B$28,2,FALSE)</f>
        <v>Minas Gerais</v>
      </c>
    </row>
    <row r="2738" spans="1:13" x14ac:dyDescent="0.45">
      <c r="A2738" t="s">
        <v>3275</v>
      </c>
      <c r="B2738" t="s">
        <v>3273</v>
      </c>
      <c r="C2738" t="s">
        <v>3206</v>
      </c>
      <c r="D2738" t="s">
        <v>18</v>
      </c>
      <c r="E2738" t="s">
        <v>132</v>
      </c>
      <c r="F2738">
        <v>1</v>
      </c>
      <c r="G2738">
        <v>49.99</v>
      </c>
      <c r="H2738">
        <v>15.1</v>
      </c>
      <c r="I2738" t="s">
        <v>44</v>
      </c>
      <c r="J2738">
        <v>13</v>
      </c>
      <c r="K2738" t="s">
        <v>51</v>
      </c>
      <c r="L2738">
        <v>5</v>
      </c>
      <c r="M2738" t="str">
        <f>VLOOKUP(D2738,State_Lookup!$A$2:$B$28,2,FALSE)</f>
        <v>Minas Gerais</v>
      </c>
    </row>
    <row r="2739" spans="1:13" x14ac:dyDescent="0.45">
      <c r="A2739" t="s">
        <v>3276</v>
      </c>
      <c r="B2739" t="s">
        <v>3273</v>
      </c>
      <c r="C2739" t="s">
        <v>3206</v>
      </c>
      <c r="D2739" t="s">
        <v>16</v>
      </c>
      <c r="E2739" t="s">
        <v>107</v>
      </c>
      <c r="F2739">
        <v>1</v>
      </c>
      <c r="G2739">
        <v>139</v>
      </c>
      <c r="H2739">
        <v>15.73</v>
      </c>
      <c r="I2739" t="s">
        <v>44</v>
      </c>
      <c r="J2739">
        <v>8</v>
      </c>
      <c r="K2739" t="s">
        <v>51</v>
      </c>
      <c r="L2739">
        <v>5</v>
      </c>
      <c r="M2739" t="str">
        <f>VLOOKUP(D2739,State_Lookup!$A$2:$B$28,2,FALSE)</f>
        <v>Sao Paulo</v>
      </c>
    </row>
    <row r="2740" spans="1:13" x14ac:dyDescent="0.45">
      <c r="A2740" t="s">
        <v>3277</v>
      </c>
      <c r="B2740" t="s">
        <v>3273</v>
      </c>
      <c r="C2740" t="s">
        <v>3206</v>
      </c>
      <c r="D2740" t="s">
        <v>17</v>
      </c>
      <c r="E2740" t="s">
        <v>220</v>
      </c>
      <c r="F2740">
        <v>1</v>
      </c>
      <c r="G2740">
        <v>139.99</v>
      </c>
      <c r="H2740">
        <v>28.34</v>
      </c>
      <c r="I2740" t="s">
        <v>44</v>
      </c>
      <c r="J2740">
        <v>41</v>
      </c>
      <c r="K2740" t="s">
        <v>51</v>
      </c>
      <c r="L2740">
        <v>3</v>
      </c>
      <c r="M2740" t="str">
        <f>VLOOKUP(D2740,State_Lookup!$A$2:$B$28,2,FALSE)</f>
        <v>Rio de Janeiro</v>
      </c>
    </row>
    <row r="2741" spans="1:13" x14ac:dyDescent="0.45">
      <c r="A2741" t="s">
        <v>3278</v>
      </c>
      <c r="B2741" t="s">
        <v>3273</v>
      </c>
      <c r="C2741" t="s">
        <v>3206</v>
      </c>
      <c r="D2741" t="s">
        <v>17</v>
      </c>
      <c r="E2741" t="s">
        <v>61</v>
      </c>
      <c r="F2741">
        <v>1</v>
      </c>
      <c r="G2741">
        <v>144.41</v>
      </c>
      <c r="H2741">
        <v>17.45</v>
      </c>
      <c r="I2741" t="s">
        <v>44</v>
      </c>
      <c r="J2741">
        <v>25</v>
      </c>
      <c r="K2741" t="s">
        <v>51</v>
      </c>
      <c r="L2741">
        <v>4</v>
      </c>
      <c r="M2741" t="str">
        <f>VLOOKUP(D2741,State_Lookup!$A$2:$B$28,2,FALSE)</f>
        <v>Rio de Janeiro</v>
      </c>
    </row>
    <row r="2742" spans="1:13" x14ac:dyDescent="0.45">
      <c r="A2742" t="s">
        <v>3279</v>
      </c>
      <c r="B2742" t="s">
        <v>3273</v>
      </c>
      <c r="C2742" t="s">
        <v>3206</v>
      </c>
      <c r="D2742" t="s">
        <v>18</v>
      </c>
      <c r="E2742" t="s">
        <v>64</v>
      </c>
      <c r="F2742">
        <v>1</v>
      </c>
      <c r="G2742">
        <v>53.99</v>
      </c>
      <c r="H2742">
        <v>15.13</v>
      </c>
      <c r="I2742" t="s">
        <v>50</v>
      </c>
      <c r="J2742">
        <v>22</v>
      </c>
      <c r="K2742" t="s">
        <v>51</v>
      </c>
      <c r="L2742">
        <v>2</v>
      </c>
      <c r="M2742" t="str">
        <f>VLOOKUP(D2742,State_Lookup!$A$2:$B$28,2,FALSE)</f>
        <v>Minas Gerais</v>
      </c>
    </row>
    <row r="2743" spans="1:13" x14ac:dyDescent="0.45">
      <c r="A2743" t="s">
        <v>3280</v>
      </c>
      <c r="B2743" t="s">
        <v>3273</v>
      </c>
      <c r="C2743" t="s">
        <v>3206</v>
      </c>
      <c r="D2743" t="s">
        <v>18</v>
      </c>
      <c r="E2743" t="s">
        <v>66</v>
      </c>
      <c r="F2743">
        <v>1</v>
      </c>
      <c r="G2743">
        <v>34.99</v>
      </c>
      <c r="H2743">
        <v>15.1</v>
      </c>
      <c r="I2743" t="s">
        <v>44</v>
      </c>
      <c r="J2743">
        <v>10</v>
      </c>
      <c r="K2743" t="s">
        <v>51</v>
      </c>
      <c r="L2743">
        <v>5</v>
      </c>
      <c r="M2743" t="str">
        <f>VLOOKUP(D2743,State_Lookup!$A$2:$B$28,2,FALSE)</f>
        <v>Minas Gerais</v>
      </c>
    </row>
    <row r="2744" spans="1:13" x14ac:dyDescent="0.45">
      <c r="A2744" t="s">
        <v>3281</v>
      </c>
      <c r="B2744" t="s">
        <v>3273</v>
      </c>
      <c r="C2744" t="s">
        <v>3206</v>
      </c>
      <c r="D2744" t="s">
        <v>18</v>
      </c>
      <c r="E2744" t="s">
        <v>110</v>
      </c>
      <c r="F2744">
        <v>1</v>
      </c>
      <c r="G2744">
        <v>75.5</v>
      </c>
      <c r="H2744">
        <v>17.78</v>
      </c>
      <c r="I2744" t="s">
        <v>44</v>
      </c>
      <c r="J2744">
        <v>12</v>
      </c>
      <c r="K2744" t="s">
        <v>51</v>
      </c>
      <c r="L2744">
        <v>4</v>
      </c>
      <c r="M2744" t="str">
        <f>VLOOKUP(D2744,State_Lookup!$A$2:$B$28,2,FALSE)</f>
        <v>Minas Gerais</v>
      </c>
    </row>
    <row r="2745" spans="1:13" x14ac:dyDescent="0.45">
      <c r="A2745" t="s">
        <v>3282</v>
      </c>
      <c r="B2745" t="s">
        <v>3273</v>
      </c>
      <c r="C2745" t="s">
        <v>3206</v>
      </c>
      <c r="D2745" t="s">
        <v>16</v>
      </c>
      <c r="E2745" t="s">
        <v>1031</v>
      </c>
      <c r="F2745">
        <v>1</v>
      </c>
      <c r="G2745">
        <v>49</v>
      </c>
      <c r="H2745">
        <v>9.34</v>
      </c>
      <c r="I2745" t="s">
        <v>44</v>
      </c>
      <c r="J2745">
        <v>8</v>
      </c>
      <c r="K2745" t="s">
        <v>51</v>
      </c>
      <c r="L2745">
        <v>5</v>
      </c>
      <c r="M2745" t="str">
        <f>VLOOKUP(D2745,State_Lookup!$A$2:$B$28,2,FALSE)</f>
        <v>Sao Paulo</v>
      </c>
    </row>
    <row r="2746" spans="1:13" x14ac:dyDescent="0.45">
      <c r="A2746" t="s">
        <v>3283</v>
      </c>
      <c r="B2746" t="s">
        <v>3273</v>
      </c>
      <c r="C2746" t="s">
        <v>3206</v>
      </c>
      <c r="D2746" t="s">
        <v>16</v>
      </c>
      <c r="E2746" t="s">
        <v>107</v>
      </c>
      <c r="F2746">
        <v>1</v>
      </c>
      <c r="G2746">
        <v>54.9</v>
      </c>
      <c r="H2746">
        <v>17.09</v>
      </c>
      <c r="I2746" t="s">
        <v>44</v>
      </c>
      <c r="J2746">
        <v>13</v>
      </c>
      <c r="K2746" t="s">
        <v>51</v>
      </c>
      <c r="L2746">
        <v>5</v>
      </c>
      <c r="M2746" t="str">
        <f>VLOOKUP(D2746,State_Lookup!$A$2:$B$28,2,FALSE)</f>
        <v>Sao Paulo</v>
      </c>
    </row>
    <row r="2747" spans="1:13" x14ac:dyDescent="0.45">
      <c r="A2747" t="s">
        <v>3284</v>
      </c>
      <c r="B2747" t="s">
        <v>3273</v>
      </c>
      <c r="C2747" t="s">
        <v>3206</v>
      </c>
      <c r="D2747" t="s">
        <v>16</v>
      </c>
      <c r="E2747" t="s">
        <v>148</v>
      </c>
      <c r="F2747">
        <v>1</v>
      </c>
      <c r="G2747">
        <v>144.41</v>
      </c>
      <c r="H2747">
        <v>13.14</v>
      </c>
      <c r="I2747" t="s">
        <v>44</v>
      </c>
      <c r="J2747">
        <v>9</v>
      </c>
      <c r="K2747" t="s">
        <v>51</v>
      </c>
      <c r="L2747">
        <v>1</v>
      </c>
      <c r="M2747" t="str">
        <f>VLOOKUP(D2747,State_Lookup!$A$2:$B$28,2,FALSE)</f>
        <v>Sao Paulo</v>
      </c>
    </row>
    <row r="2748" spans="1:13" x14ac:dyDescent="0.45">
      <c r="A2748" t="s">
        <v>3285</v>
      </c>
      <c r="B2748" t="s">
        <v>3273</v>
      </c>
      <c r="C2748" t="s">
        <v>3206</v>
      </c>
      <c r="D2748" t="s">
        <v>17</v>
      </c>
      <c r="E2748" t="s">
        <v>69</v>
      </c>
      <c r="F2748">
        <v>1</v>
      </c>
      <c r="G2748">
        <v>49.9</v>
      </c>
      <c r="H2748">
        <v>17.600000000000001</v>
      </c>
      <c r="I2748" t="s">
        <v>108</v>
      </c>
      <c r="J2748">
        <v>31</v>
      </c>
      <c r="K2748" t="s">
        <v>143</v>
      </c>
      <c r="L2748">
        <v>1</v>
      </c>
      <c r="M2748" t="str">
        <f>VLOOKUP(D2748,State_Lookup!$A$2:$B$28,2,FALSE)</f>
        <v>Rio de Janeiro</v>
      </c>
    </row>
    <row r="2749" spans="1:13" x14ac:dyDescent="0.45">
      <c r="A2749" t="s">
        <v>3286</v>
      </c>
      <c r="B2749" t="s">
        <v>3273</v>
      </c>
      <c r="C2749" t="s">
        <v>3206</v>
      </c>
      <c r="D2749" t="s">
        <v>16</v>
      </c>
      <c r="E2749" t="s">
        <v>66</v>
      </c>
      <c r="F2749">
        <v>1</v>
      </c>
      <c r="G2749">
        <v>201.6</v>
      </c>
      <c r="H2749">
        <v>8.67</v>
      </c>
      <c r="I2749" t="s">
        <v>44</v>
      </c>
      <c r="J2749">
        <v>9</v>
      </c>
      <c r="K2749" t="s">
        <v>51</v>
      </c>
      <c r="L2749">
        <v>1</v>
      </c>
      <c r="M2749" t="str">
        <f>VLOOKUP(D2749,State_Lookup!$A$2:$B$28,2,FALSE)</f>
        <v>Sao Paulo</v>
      </c>
    </row>
    <row r="2750" spans="1:13" x14ac:dyDescent="0.45">
      <c r="A2750" t="s">
        <v>3287</v>
      </c>
      <c r="B2750" t="s">
        <v>3273</v>
      </c>
      <c r="C2750" t="s">
        <v>3206</v>
      </c>
      <c r="D2750" t="s">
        <v>20</v>
      </c>
      <c r="E2750" t="s">
        <v>49</v>
      </c>
      <c r="F2750">
        <v>1</v>
      </c>
      <c r="G2750">
        <v>99</v>
      </c>
      <c r="H2750">
        <v>15.44</v>
      </c>
      <c r="I2750" t="s">
        <v>44</v>
      </c>
      <c r="J2750">
        <v>9</v>
      </c>
      <c r="K2750" t="s">
        <v>51</v>
      </c>
      <c r="L2750">
        <v>5</v>
      </c>
      <c r="M2750" t="str">
        <f>VLOOKUP(D2750,State_Lookup!$A$2:$B$28,2,FALSE)</f>
        <v>Parana</v>
      </c>
    </row>
    <row r="2751" spans="1:13" x14ac:dyDescent="0.45">
      <c r="A2751" t="s">
        <v>3288</v>
      </c>
      <c r="B2751" t="s">
        <v>3273</v>
      </c>
      <c r="C2751" t="s">
        <v>3206</v>
      </c>
      <c r="D2751" t="s">
        <v>249</v>
      </c>
      <c r="E2751" t="s">
        <v>61</v>
      </c>
      <c r="F2751">
        <v>1</v>
      </c>
      <c r="G2751">
        <v>213.75</v>
      </c>
      <c r="H2751">
        <v>36.82</v>
      </c>
      <c r="I2751" t="s">
        <v>44</v>
      </c>
      <c r="K2751" t="s">
        <v>45</v>
      </c>
      <c r="L2751">
        <v>1</v>
      </c>
      <c r="M2751" t="str">
        <f>VLOOKUP(D2751,State_Lookup!$A$2:$B$28,2,FALSE)</f>
        <v>Tocantins</v>
      </c>
    </row>
    <row r="2752" spans="1:13" x14ac:dyDescent="0.45">
      <c r="A2752" t="s">
        <v>3289</v>
      </c>
      <c r="B2752" t="s">
        <v>3290</v>
      </c>
      <c r="C2752" t="s">
        <v>3206</v>
      </c>
      <c r="D2752" t="s">
        <v>16</v>
      </c>
      <c r="E2752" t="s">
        <v>49</v>
      </c>
      <c r="F2752">
        <v>1</v>
      </c>
      <c r="G2752">
        <v>72.900000000000006</v>
      </c>
      <c r="H2752">
        <v>16.27</v>
      </c>
      <c r="I2752" t="s">
        <v>44</v>
      </c>
      <c r="J2752">
        <v>14</v>
      </c>
      <c r="K2752" t="s">
        <v>51</v>
      </c>
      <c r="L2752">
        <v>4</v>
      </c>
      <c r="M2752" t="str">
        <f>VLOOKUP(D2752,State_Lookup!$A$2:$B$28,2,FALSE)</f>
        <v>Sao Paulo</v>
      </c>
    </row>
    <row r="2753" spans="1:13" x14ac:dyDescent="0.45">
      <c r="A2753" t="s">
        <v>3291</v>
      </c>
      <c r="B2753" t="s">
        <v>3290</v>
      </c>
      <c r="C2753" t="s">
        <v>3206</v>
      </c>
      <c r="D2753" t="s">
        <v>16</v>
      </c>
      <c r="E2753" t="s">
        <v>66</v>
      </c>
      <c r="F2753">
        <v>1</v>
      </c>
      <c r="G2753">
        <v>19.989999999999998</v>
      </c>
      <c r="H2753">
        <v>7.78</v>
      </c>
      <c r="I2753" t="s">
        <v>44</v>
      </c>
      <c r="J2753">
        <v>7</v>
      </c>
      <c r="K2753" t="s">
        <v>51</v>
      </c>
      <c r="L2753">
        <v>4</v>
      </c>
      <c r="M2753" t="str">
        <f>VLOOKUP(D2753,State_Lookup!$A$2:$B$28,2,FALSE)</f>
        <v>Sao Paulo</v>
      </c>
    </row>
    <row r="2754" spans="1:13" x14ac:dyDescent="0.45">
      <c r="A2754" t="s">
        <v>3292</v>
      </c>
      <c r="B2754" t="s">
        <v>3290</v>
      </c>
      <c r="C2754" t="s">
        <v>3206</v>
      </c>
      <c r="D2754" t="s">
        <v>18</v>
      </c>
      <c r="E2754" t="s">
        <v>79</v>
      </c>
      <c r="F2754">
        <v>1</v>
      </c>
      <c r="G2754">
        <v>170</v>
      </c>
      <c r="H2754">
        <v>20.43</v>
      </c>
      <c r="I2754" t="s">
        <v>44</v>
      </c>
      <c r="J2754">
        <v>21</v>
      </c>
      <c r="K2754" t="s">
        <v>51</v>
      </c>
      <c r="L2754">
        <v>4</v>
      </c>
      <c r="M2754" t="str">
        <f>VLOOKUP(D2754,State_Lookup!$A$2:$B$28,2,FALSE)</f>
        <v>Minas Gerais</v>
      </c>
    </row>
    <row r="2755" spans="1:13" x14ac:dyDescent="0.45">
      <c r="A2755" t="s">
        <v>3293</v>
      </c>
      <c r="B2755" t="s">
        <v>3290</v>
      </c>
      <c r="C2755" t="s">
        <v>3206</v>
      </c>
      <c r="D2755" t="s">
        <v>63</v>
      </c>
      <c r="E2755" t="s">
        <v>43</v>
      </c>
      <c r="F2755">
        <v>2</v>
      </c>
      <c r="G2755">
        <v>78</v>
      </c>
      <c r="H2755">
        <v>37.78</v>
      </c>
      <c r="I2755" t="s">
        <v>133</v>
      </c>
      <c r="J2755">
        <v>20</v>
      </c>
      <c r="K2755" t="s">
        <v>51</v>
      </c>
      <c r="M2755" t="str">
        <f>VLOOKUP(D2755,State_Lookup!$A$2:$B$28,2,FALSE)</f>
        <v>Pernambuco</v>
      </c>
    </row>
    <row r="2756" spans="1:13" x14ac:dyDescent="0.45">
      <c r="A2756" t="s">
        <v>3294</v>
      </c>
      <c r="B2756" t="s">
        <v>3290</v>
      </c>
      <c r="C2756" t="s">
        <v>3206</v>
      </c>
      <c r="D2756" t="s">
        <v>16</v>
      </c>
      <c r="E2756" t="s">
        <v>49</v>
      </c>
      <c r="F2756">
        <v>2</v>
      </c>
      <c r="G2756">
        <v>69.8</v>
      </c>
      <c r="H2756">
        <v>15.56</v>
      </c>
      <c r="I2756" t="s">
        <v>44</v>
      </c>
      <c r="J2756">
        <v>7</v>
      </c>
      <c r="K2756" t="s">
        <v>51</v>
      </c>
      <c r="L2756">
        <v>4</v>
      </c>
      <c r="M2756" t="str">
        <f>VLOOKUP(D2756,State_Lookup!$A$2:$B$28,2,FALSE)</f>
        <v>Sao Paulo</v>
      </c>
    </row>
    <row r="2757" spans="1:13" x14ac:dyDescent="0.45">
      <c r="A2757" t="s">
        <v>3295</v>
      </c>
      <c r="B2757" t="s">
        <v>3290</v>
      </c>
      <c r="C2757" t="s">
        <v>3206</v>
      </c>
      <c r="D2757" t="s">
        <v>18</v>
      </c>
      <c r="E2757" t="s">
        <v>125</v>
      </c>
      <c r="F2757">
        <v>1</v>
      </c>
      <c r="G2757">
        <v>21.9</v>
      </c>
      <c r="H2757">
        <v>14.1</v>
      </c>
      <c r="I2757" t="s">
        <v>44</v>
      </c>
      <c r="J2757">
        <v>15</v>
      </c>
      <c r="K2757" t="s">
        <v>51</v>
      </c>
      <c r="L2757">
        <v>4</v>
      </c>
      <c r="M2757" t="str">
        <f>VLOOKUP(D2757,State_Lookup!$A$2:$B$28,2,FALSE)</f>
        <v>Minas Gerais</v>
      </c>
    </row>
    <row r="2758" spans="1:13" x14ac:dyDescent="0.45">
      <c r="A2758" t="s">
        <v>3296</v>
      </c>
      <c r="B2758" t="s">
        <v>3290</v>
      </c>
      <c r="C2758" t="s">
        <v>3206</v>
      </c>
      <c r="D2758" t="s">
        <v>20</v>
      </c>
      <c r="E2758" t="s">
        <v>61</v>
      </c>
      <c r="F2758">
        <v>1</v>
      </c>
      <c r="G2758">
        <v>126.12</v>
      </c>
      <c r="H2758">
        <v>15.63</v>
      </c>
      <c r="I2758" t="s">
        <v>133</v>
      </c>
      <c r="J2758">
        <v>14</v>
      </c>
      <c r="K2758" t="s">
        <v>51</v>
      </c>
      <c r="L2758">
        <v>5</v>
      </c>
      <c r="M2758" t="str">
        <f>VLOOKUP(D2758,State_Lookup!$A$2:$B$28,2,FALSE)</f>
        <v>Parana</v>
      </c>
    </row>
    <row r="2759" spans="1:13" x14ac:dyDescent="0.45">
      <c r="A2759" t="s">
        <v>3297</v>
      </c>
      <c r="B2759" t="s">
        <v>3290</v>
      </c>
      <c r="C2759" t="s">
        <v>3206</v>
      </c>
      <c r="D2759" t="s">
        <v>16</v>
      </c>
      <c r="E2759" t="s">
        <v>220</v>
      </c>
      <c r="F2759">
        <v>1</v>
      </c>
      <c r="G2759">
        <v>349.9</v>
      </c>
      <c r="H2759">
        <v>34.049999999999997</v>
      </c>
      <c r="I2759" t="s">
        <v>44</v>
      </c>
      <c r="J2759">
        <v>8</v>
      </c>
      <c r="K2759" t="s">
        <v>51</v>
      </c>
      <c r="L2759">
        <v>4</v>
      </c>
      <c r="M2759" t="str">
        <f>VLOOKUP(D2759,State_Lookup!$A$2:$B$28,2,FALSE)</f>
        <v>Sao Paulo</v>
      </c>
    </row>
    <row r="2760" spans="1:13" x14ac:dyDescent="0.45">
      <c r="A2760" t="s">
        <v>3298</v>
      </c>
      <c r="B2760" t="s">
        <v>3290</v>
      </c>
      <c r="C2760" t="s">
        <v>3206</v>
      </c>
      <c r="D2760" t="s">
        <v>17</v>
      </c>
      <c r="E2760" t="s">
        <v>66</v>
      </c>
      <c r="F2760">
        <v>2</v>
      </c>
      <c r="G2760">
        <v>59.98</v>
      </c>
      <c r="H2760">
        <v>28.2</v>
      </c>
      <c r="I2760" t="s">
        <v>44</v>
      </c>
      <c r="J2760">
        <v>12</v>
      </c>
      <c r="K2760" t="s">
        <v>51</v>
      </c>
      <c r="L2760">
        <v>5</v>
      </c>
      <c r="M2760" t="str">
        <f>VLOOKUP(D2760,State_Lookup!$A$2:$B$28,2,FALSE)</f>
        <v>Rio de Janeiro</v>
      </c>
    </row>
    <row r="2761" spans="1:13" x14ac:dyDescent="0.45">
      <c r="A2761" t="s">
        <v>3299</v>
      </c>
      <c r="B2761" t="s">
        <v>3290</v>
      </c>
      <c r="C2761" t="s">
        <v>3206</v>
      </c>
      <c r="D2761" t="s">
        <v>24</v>
      </c>
      <c r="E2761" t="s">
        <v>61</v>
      </c>
      <c r="F2761">
        <v>1</v>
      </c>
      <c r="G2761">
        <v>85</v>
      </c>
      <c r="H2761">
        <v>25.87</v>
      </c>
      <c r="I2761" t="s">
        <v>44</v>
      </c>
      <c r="J2761">
        <v>19</v>
      </c>
      <c r="K2761" t="s">
        <v>51</v>
      </c>
      <c r="L2761">
        <v>5</v>
      </c>
      <c r="M2761" t="str">
        <f>VLOOKUP(D2761,State_Lookup!$A$2:$B$28,2,FALSE)</f>
        <v>Distrito Federal</v>
      </c>
    </row>
    <row r="2762" spans="1:13" x14ac:dyDescent="0.45">
      <c r="A2762" t="s">
        <v>3300</v>
      </c>
      <c r="B2762" t="s">
        <v>3290</v>
      </c>
      <c r="C2762" t="s">
        <v>3206</v>
      </c>
      <c r="D2762" t="s">
        <v>63</v>
      </c>
      <c r="E2762" t="s">
        <v>148</v>
      </c>
      <c r="F2762">
        <v>1</v>
      </c>
      <c r="G2762">
        <v>60</v>
      </c>
      <c r="H2762">
        <v>17.7</v>
      </c>
      <c r="I2762" t="s">
        <v>44</v>
      </c>
      <c r="J2762">
        <v>20</v>
      </c>
      <c r="K2762" t="s">
        <v>51</v>
      </c>
      <c r="L2762">
        <v>5</v>
      </c>
      <c r="M2762" t="str">
        <f>VLOOKUP(D2762,State_Lookup!$A$2:$B$28,2,FALSE)</f>
        <v>Pernambuco</v>
      </c>
    </row>
    <row r="2763" spans="1:13" x14ac:dyDescent="0.45">
      <c r="A2763" t="s">
        <v>3301</v>
      </c>
      <c r="B2763" t="s">
        <v>3290</v>
      </c>
      <c r="C2763" t="s">
        <v>3206</v>
      </c>
      <c r="D2763" t="s">
        <v>24</v>
      </c>
      <c r="E2763" t="s">
        <v>61</v>
      </c>
      <c r="F2763">
        <v>1</v>
      </c>
      <c r="G2763">
        <v>84.89</v>
      </c>
      <c r="H2763">
        <v>15.34</v>
      </c>
      <c r="I2763" t="s">
        <v>44</v>
      </c>
      <c r="J2763">
        <v>32</v>
      </c>
      <c r="K2763" t="s">
        <v>143</v>
      </c>
      <c r="L2763">
        <v>4</v>
      </c>
      <c r="M2763" t="str">
        <f>VLOOKUP(D2763,State_Lookup!$A$2:$B$28,2,FALSE)</f>
        <v>Distrito Federal</v>
      </c>
    </row>
    <row r="2764" spans="1:13" x14ac:dyDescent="0.45">
      <c r="A2764" t="s">
        <v>3302</v>
      </c>
      <c r="B2764" t="s">
        <v>3290</v>
      </c>
      <c r="C2764" t="s">
        <v>3206</v>
      </c>
      <c r="D2764" t="s">
        <v>16</v>
      </c>
      <c r="E2764" t="s">
        <v>43</v>
      </c>
      <c r="F2764">
        <v>1</v>
      </c>
      <c r="G2764">
        <v>49.9</v>
      </c>
      <c r="H2764">
        <v>16.11</v>
      </c>
      <c r="I2764" t="s">
        <v>44</v>
      </c>
      <c r="J2764">
        <v>7</v>
      </c>
      <c r="K2764" t="s">
        <v>51</v>
      </c>
      <c r="L2764">
        <v>3</v>
      </c>
      <c r="M2764" t="str">
        <f>VLOOKUP(D2764,State_Lookup!$A$2:$B$28,2,FALSE)</f>
        <v>Sao Paulo</v>
      </c>
    </row>
    <row r="2765" spans="1:13" x14ac:dyDescent="0.45">
      <c r="A2765" t="s">
        <v>3303</v>
      </c>
      <c r="B2765" t="s">
        <v>3290</v>
      </c>
      <c r="C2765" t="s">
        <v>3206</v>
      </c>
      <c r="D2765" t="s">
        <v>16</v>
      </c>
      <c r="E2765" t="s">
        <v>110</v>
      </c>
      <c r="F2765">
        <v>1</v>
      </c>
      <c r="G2765">
        <v>75.5</v>
      </c>
      <c r="H2765">
        <v>11.73</v>
      </c>
      <c r="I2765" t="s">
        <v>50</v>
      </c>
      <c r="J2765">
        <v>3</v>
      </c>
      <c r="K2765" t="s">
        <v>51</v>
      </c>
      <c r="L2765">
        <v>5</v>
      </c>
      <c r="M2765" t="str">
        <f>VLOOKUP(D2765,State_Lookup!$A$2:$B$28,2,FALSE)</f>
        <v>Sao Paulo</v>
      </c>
    </row>
    <row r="2766" spans="1:13" x14ac:dyDescent="0.45">
      <c r="A2766" t="s">
        <v>3304</v>
      </c>
      <c r="B2766" t="s">
        <v>3290</v>
      </c>
      <c r="C2766" t="s">
        <v>3206</v>
      </c>
      <c r="D2766" t="s">
        <v>17</v>
      </c>
      <c r="E2766" t="s">
        <v>125</v>
      </c>
      <c r="F2766">
        <v>1</v>
      </c>
      <c r="G2766">
        <v>19.89</v>
      </c>
      <c r="H2766">
        <v>15.79</v>
      </c>
      <c r="I2766" t="s">
        <v>44</v>
      </c>
      <c r="J2766">
        <v>8</v>
      </c>
      <c r="K2766" t="s">
        <v>51</v>
      </c>
      <c r="L2766">
        <v>5</v>
      </c>
      <c r="M2766" t="str">
        <f>VLOOKUP(D2766,State_Lookup!$A$2:$B$28,2,FALSE)</f>
        <v>Rio de Janeiro</v>
      </c>
    </row>
    <row r="2767" spans="1:13" x14ac:dyDescent="0.45">
      <c r="A2767" t="s">
        <v>3305</v>
      </c>
      <c r="B2767" t="s">
        <v>3290</v>
      </c>
      <c r="C2767" t="s">
        <v>3206</v>
      </c>
      <c r="D2767" t="s">
        <v>20</v>
      </c>
      <c r="E2767" t="s">
        <v>69</v>
      </c>
      <c r="F2767">
        <v>1</v>
      </c>
      <c r="G2767">
        <v>99.9</v>
      </c>
      <c r="H2767">
        <v>12.4</v>
      </c>
      <c r="I2767" t="s">
        <v>50</v>
      </c>
      <c r="J2767">
        <v>12</v>
      </c>
      <c r="K2767" t="s">
        <v>51</v>
      </c>
      <c r="L2767">
        <v>5</v>
      </c>
      <c r="M2767" t="str">
        <f>VLOOKUP(D2767,State_Lookup!$A$2:$B$28,2,FALSE)</f>
        <v>Parana</v>
      </c>
    </row>
    <row r="2768" spans="1:13" x14ac:dyDescent="0.45">
      <c r="A2768" t="s">
        <v>3306</v>
      </c>
      <c r="B2768" t="s">
        <v>3307</v>
      </c>
      <c r="C2768" t="s">
        <v>3206</v>
      </c>
      <c r="D2768" t="s">
        <v>18</v>
      </c>
      <c r="E2768" t="s">
        <v>61</v>
      </c>
      <c r="F2768">
        <v>1</v>
      </c>
      <c r="G2768">
        <v>77</v>
      </c>
      <c r="H2768">
        <v>16.98</v>
      </c>
      <c r="I2768" t="s">
        <v>44</v>
      </c>
      <c r="J2768">
        <v>10</v>
      </c>
      <c r="K2768" t="s">
        <v>51</v>
      </c>
      <c r="L2768">
        <v>5</v>
      </c>
      <c r="M2768" t="str">
        <f>VLOOKUP(D2768,State_Lookup!$A$2:$B$28,2,FALSE)</f>
        <v>Minas Gerais</v>
      </c>
    </row>
    <row r="2769" spans="1:13" x14ac:dyDescent="0.45">
      <c r="A2769" t="s">
        <v>3308</v>
      </c>
      <c r="B2769" t="s">
        <v>3307</v>
      </c>
      <c r="C2769" t="s">
        <v>3206</v>
      </c>
      <c r="D2769" t="s">
        <v>22</v>
      </c>
      <c r="E2769" t="s">
        <v>61</v>
      </c>
      <c r="F2769">
        <v>1</v>
      </c>
      <c r="G2769">
        <v>39.58</v>
      </c>
      <c r="H2769">
        <v>16.79</v>
      </c>
      <c r="I2769" t="s">
        <v>44</v>
      </c>
      <c r="J2769">
        <v>12</v>
      </c>
      <c r="K2769" t="s">
        <v>51</v>
      </c>
      <c r="L2769">
        <v>5</v>
      </c>
      <c r="M2769" t="str">
        <f>VLOOKUP(D2769,State_Lookup!$A$2:$B$28,2,FALSE)</f>
        <v>Bahia</v>
      </c>
    </row>
    <row r="2770" spans="1:13" x14ac:dyDescent="0.45">
      <c r="A2770" t="s">
        <v>3309</v>
      </c>
      <c r="B2770" t="s">
        <v>3307</v>
      </c>
      <c r="C2770" t="s">
        <v>3206</v>
      </c>
      <c r="D2770" t="s">
        <v>18</v>
      </c>
      <c r="E2770" t="s">
        <v>110</v>
      </c>
      <c r="F2770">
        <v>1</v>
      </c>
      <c r="G2770">
        <v>84.99</v>
      </c>
      <c r="H2770">
        <v>17.84</v>
      </c>
      <c r="I2770" t="s">
        <v>44</v>
      </c>
      <c r="J2770">
        <v>13</v>
      </c>
      <c r="K2770" t="s">
        <v>51</v>
      </c>
      <c r="L2770">
        <v>4.5</v>
      </c>
      <c r="M2770" t="str">
        <f>VLOOKUP(D2770,State_Lookup!$A$2:$B$28,2,FALSE)</f>
        <v>Minas Gerais</v>
      </c>
    </row>
    <row r="2771" spans="1:13" x14ac:dyDescent="0.45">
      <c r="A2771" t="s">
        <v>3310</v>
      </c>
      <c r="B2771" t="s">
        <v>3307</v>
      </c>
      <c r="C2771" t="s">
        <v>3206</v>
      </c>
      <c r="D2771" t="s">
        <v>24</v>
      </c>
      <c r="E2771" t="s">
        <v>69</v>
      </c>
      <c r="F2771">
        <v>1</v>
      </c>
      <c r="G2771">
        <v>49.9</v>
      </c>
      <c r="H2771">
        <v>17.600000000000001</v>
      </c>
      <c r="I2771" t="s">
        <v>44</v>
      </c>
      <c r="J2771">
        <v>26</v>
      </c>
      <c r="K2771" t="s">
        <v>143</v>
      </c>
      <c r="L2771">
        <v>4</v>
      </c>
      <c r="M2771" t="str">
        <f>VLOOKUP(D2771,State_Lookup!$A$2:$B$28,2,FALSE)</f>
        <v>Distrito Federal</v>
      </c>
    </row>
    <row r="2772" spans="1:13" x14ac:dyDescent="0.45">
      <c r="A2772" t="s">
        <v>3311</v>
      </c>
      <c r="B2772" t="s">
        <v>3307</v>
      </c>
      <c r="C2772" t="s">
        <v>3206</v>
      </c>
      <c r="D2772" t="s">
        <v>122</v>
      </c>
      <c r="E2772" t="s">
        <v>58</v>
      </c>
      <c r="F2772">
        <v>1</v>
      </c>
      <c r="G2772">
        <v>689.89</v>
      </c>
      <c r="H2772">
        <v>48.68</v>
      </c>
      <c r="I2772" t="s">
        <v>108</v>
      </c>
      <c r="J2772">
        <v>27</v>
      </c>
      <c r="K2772" t="s">
        <v>51</v>
      </c>
      <c r="L2772">
        <v>4</v>
      </c>
      <c r="M2772" t="str">
        <f>VLOOKUP(D2772,State_Lookup!$A$2:$B$28,2,FALSE)</f>
        <v>Para</v>
      </c>
    </row>
    <row r="2773" spans="1:13" x14ac:dyDescent="0.45">
      <c r="A2773" t="s">
        <v>3312</v>
      </c>
      <c r="B2773" t="s">
        <v>3307</v>
      </c>
      <c r="C2773" t="s">
        <v>3206</v>
      </c>
      <c r="D2773" t="s">
        <v>16</v>
      </c>
      <c r="E2773" t="s">
        <v>64</v>
      </c>
      <c r="F2773">
        <v>1</v>
      </c>
      <c r="G2773">
        <v>13.99</v>
      </c>
      <c r="H2773">
        <v>11.85</v>
      </c>
      <c r="I2773" t="s">
        <v>44</v>
      </c>
      <c r="J2773">
        <v>38</v>
      </c>
      <c r="K2773" t="s">
        <v>143</v>
      </c>
      <c r="L2773">
        <v>1</v>
      </c>
      <c r="M2773" t="str">
        <f>VLOOKUP(D2773,State_Lookup!$A$2:$B$28,2,FALSE)</f>
        <v>Sao Paulo</v>
      </c>
    </row>
    <row r="2774" spans="1:13" x14ac:dyDescent="0.45">
      <c r="A2774" t="s">
        <v>3313</v>
      </c>
      <c r="B2774" t="s">
        <v>3307</v>
      </c>
      <c r="C2774" t="s">
        <v>3206</v>
      </c>
      <c r="D2774" t="s">
        <v>16</v>
      </c>
      <c r="E2774" t="s">
        <v>244</v>
      </c>
      <c r="F2774">
        <v>1</v>
      </c>
      <c r="G2774">
        <v>59</v>
      </c>
      <c r="H2774">
        <v>11.91</v>
      </c>
      <c r="I2774" t="s">
        <v>133</v>
      </c>
      <c r="J2774">
        <v>8</v>
      </c>
      <c r="K2774" t="s">
        <v>51</v>
      </c>
      <c r="L2774">
        <v>3</v>
      </c>
      <c r="M2774" t="str">
        <f>VLOOKUP(D2774,State_Lookup!$A$2:$B$28,2,FALSE)</f>
        <v>Sao Paulo</v>
      </c>
    </row>
    <row r="2775" spans="1:13" x14ac:dyDescent="0.45">
      <c r="A2775" t="s">
        <v>3314</v>
      </c>
      <c r="B2775" t="s">
        <v>3307</v>
      </c>
      <c r="C2775" t="s">
        <v>3206</v>
      </c>
      <c r="D2775" t="s">
        <v>16</v>
      </c>
      <c r="E2775" t="s">
        <v>43</v>
      </c>
      <c r="F2775">
        <v>2</v>
      </c>
      <c r="G2775">
        <v>119.98</v>
      </c>
      <c r="H2775">
        <v>23.84</v>
      </c>
      <c r="I2775" t="s">
        <v>50</v>
      </c>
      <c r="J2775">
        <v>8</v>
      </c>
      <c r="K2775" t="s">
        <v>51</v>
      </c>
      <c r="L2775">
        <v>5</v>
      </c>
      <c r="M2775" t="str">
        <f>VLOOKUP(D2775,State_Lookup!$A$2:$B$28,2,FALSE)</f>
        <v>Sao Paulo</v>
      </c>
    </row>
    <row r="2776" spans="1:13" x14ac:dyDescent="0.45">
      <c r="A2776" t="s">
        <v>3315</v>
      </c>
      <c r="B2776" t="s">
        <v>3307</v>
      </c>
      <c r="C2776" t="s">
        <v>3206</v>
      </c>
      <c r="D2776" t="s">
        <v>16</v>
      </c>
      <c r="E2776" t="s">
        <v>3316</v>
      </c>
      <c r="F2776">
        <v>1</v>
      </c>
      <c r="G2776">
        <v>24.9</v>
      </c>
      <c r="H2776">
        <v>11.85</v>
      </c>
      <c r="I2776" t="s">
        <v>44</v>
      </c>
      <c r="J2776">
        <v>7</v>
      </c>
      <c r="K2776" t="s">
        <v>51</v>
      </c>
      <c r="L2776">
        <v>5</v>
      </c>
      <c r="M2776" t="str">
        <f>VLOOKUP(D2776,State_Lookup!$A$2:$B$28,2,FALSE)</f>
        <v>Sao Paulo</v>
      </c>
    </row>
    <row r="2777" spans="1:13" x14ac:dyDescent="0.45">
      <c r="A2777" t="s">
        <v>3317</v>
      </c>
      <c r="B2777" t="s">
        <v>3307</v>
      </c>
      <c r="C2777" t="s">
        <v>3206</v>
      </c>
      <c r="D2777" t="s">
        <v>16</v>
      </c>
      <c r="E2777" t="s">
        <v>53</v>
      </c>
      <c r="F2777">
        <v>1</v>
      </c>
      <c r="G2777">
        <v>69.900000000000006</v>
      </c>
      <c r="H2777">
        <v>9.34</v>
      </c>
      <c r="I2777" t="s">
        <v>44</v>
      </c>
      <c r="J2777">
        <v>7</v>
      </c>
      <c r="K2777" t="s">
        <v>51</v>
      </c>
      <c r="L2777">
        <v>5</v>
      </c>
      <c r="M2777" t="str">
        <f>VLOOKUP(D2777,State_Lookup!$A$2:$B$28,2,FALSE)</f>
        <v>Sao Paulo</v>
      </c>
    </row>
    <row r="2778" spans="1:13" x14ac:dyDescent="0.45">
      <c r="A2778" t="s">
        <v>3318</v>
      </c>
      <c r="B2778" t="s">
        <v>3307</v>
      </c>
      <c r="C2778" t="s">
        <v>3206</v>
      </c>
      <c r="D2778" t="s">
        <v>17</v>
      </c>
      <c r="E2778" t="s">
        <v>125</v>
      </c>
      <c r="F2778">
        <v>1</v>
      </c>
      <c r="G2778">
        <v>15</v>
      </c>
      <c r="H2778">
        <v>14.1</v>
      </c>
      <c r="I2778" t="s">
        <v>44</v>
      </c>
      <c r="J2778">
        <v>18</v>
      </c>
      <c r="K2778" t="s">
        <v>51</v>
      </c>
      <c r="L2778">
        <v>5</v>
      </c>
      <c r="M2778" t="str">
        <f>VLOOKUP(D2778,State_Lookup!$A$2:$B$28,2,FALSE)</f>
        <v>Rio de Janeiro</v>
      </c>
    </row>
    <row r="2779" spans="1:13" x14ac:dyDescent="0.45">
      <c r="A2779" t="s">
        <v>3319</v>
      </c>
      <c r="B2779" t="s">
        <v>3307</v>
      </c>
      <c r="C2779" t="s">
        <v>3206</v>
      </c>
      <c r="D2779" t="s">
        <v>194</v>
      </c>
      <c r="E2779" t="s">
        <v>132</v>
      </c>
      <c r="F2779">
        <v>1</v>
      </c>
      <c r="G2779">
        <v>37.9</v>
      </c>
      <c r="H2779">
        <v>15.11</v>
      </c>
      <c r="I2779" t="s">
        <v>44</v>
      </c>
      <c r="J2779">
        <v>26</v>
      </c>
      <c r="K2779" t="s">
        <v>51</v>
      </c>
      <c r="L2779">
        <v>5</v>
      </c>
      <c r="M2779" t="str">
        <f>VLOOKUP(D2779,State_Lookup!$A$2:$B$28,2,FALSE)</f>
        <v>Mato Grosso do Sul</v>
      </c>
    </row>
    <row r="2780" spans="1:13" x14ac:dyDescent="0.45">
      <c r="A2780" t="s">
        <v>3320</v>
      </c>
      <c r="B2780" t="s">
        <v>3307</v>
      </c>
      <c r="C2780" t="s">
        <v>3206</v>
      </c>
      <c r="D2780" t="s">
        <v>22</v>
      </c>
      <c r="E2780" t="s">
        <v>69</v>
      </c>
      <c r="F2780">
        <v>1</v>
      </c>
      <c r="G2780">
        <v>120</v>
      </c>
      <c r="H2780">
        <v>50.71</v>
      </c>
      <c r="I2780" t="s">
        <v>44</v>
      </c>
      <c r="J2780">
        <v>22</v>
      </c>
      <c r="K2780" t="s">
        <v>51</v>
      </c>
      <c r="L2780">
        <v>5</v>
      </c>
      <c r="M2780" t="str">
        <f>VLOOKUP(D2780,State_Lookup!$A$2:$B$28,2,FALSE)</f>
        <v>Bahia</v>
      </c>
    </row>
    <row r="2781" spans="1:13" x14ac:dyDescent="0.45">
      <c r="A2781" t="s">
        <v>3321</v>
      </c>
      <c r="B2781" t="s">
        <v>3307</v>
      </c>
      <c r="C2781" t="s">
        <v>3206</v>
      </c>
      <c r="D2781" t="s">
        <v>208</v>
      </c>
      <c r="E2781" t="s">
        <v>107</v>
      </c>
      <c r="F2781">
        <v>1</v>
      </c>
      <c r="G2781">
        <v>199.9</v>
      </c>
      <c r="H2781">
        <v>24.27</v>
      </c>
      <c r="I2781" t="s">
        <v>44</v>
      </c>
      <c r="J2781">
        <v>35</v>
      </c>
      <c r="K2781" t="s">
        <v>51</v>
      </c>
      <c r="L2781">
        <v>1</v>
      </c>
      <c r="M2781" t="str">
        <f>VLOOKUP(D2781,State_Lookup!$A$2:$B$28,2,FALSE)</f>
        <v>Mato Grosso</v>
      </c>
    </row>
    <row r="2782" spans="1:13" x14ac:dyDescent="0.45">
      <c r="A2782" t="s">
        <v>3322</v>
      </c>
      <c r="B2782" t="s">
        <v>3307</v>
      </c>
      <c r="C2782" t="s">
        <v>3206</v>
      </c>
      <c r="D2782" t="s">
        <v>16</v>
      </c>
      <c r="E2782" t="s">
        <v>110</v>
      </c>
      <c r="F2782">
        <v>1</v>
      </c>
      <c r="G2782">
        <v>54.9</v>
      </c>
      <c r="H2782">
        <v>13.08</v>
      </c>
      <c r="I2782" t="s">
        <v>133</v>
      </c>
      <c r="J2782">
        <v>3</v>
      </c>
      <c r="K2782" t="s">
        <v>51</v>
      </c>
      <c r="L2782">
        <v>3</v>
      </c>
      <c r="M2782" t="str">
        <f>VLOOKUP(D2782,State_Lookup!$A$2:$B$28,2,FALSE)</f>
        <v>Sao Paulo</v>
      </c>
    </row>
    <row r="2783" spans="1:13" x14ac:dyDescent="0.45">
      <c r="A2783" t="s">
        <v>3323</v>
      </c>
      <c r="B2783" t="s">
        <v>3307</v>
      </c>
      <c r="C2783" t="s">
        <v>3206</v>
      </c>
      <c r="D2783" t="s">
        <v>18</v>
      </c>
      <c r="E2783" t="s">
        <v>244</v>
      </c>
      <c r="F2783">
        <v>1</v>
      </c>
      <c r="G2783">
        <v>89</v>
      </c>
      <c r="H2783">
        <v>17.87</v>
      </c>
      <c r="I2783" t="s">
        <v>44</v>
      </c>
      <c r="J2783">
        <v>14</v>
      </c>
      <c r="K2783" t="s">
        <v>51</v>
      </c>
      <c r="L2783">
        <v>5</v>
      </c>
      <c r="M2783" t="str">
        <f>VLOOKUP(D2783,State_Lookup!$A$2:$B$28,2,FALSE)</f>
        <v>Minas Gerais</v>
      </c>
    </row>
    <row r="2784" spans="1:13" x14ac:dyDescent="0.45">
      <c r="A2784" t="s">
        <v>3324</v>
      </c>
      <c r="B2784" t="s">
        <v>3325</v>
      </c>
      <c r="C2784" t="s">
        <v>3206</v>
      </c>
      <c r="D2784" t="s">
        <v>16</v>
      </c>
      <c r="E2784" t="s">
        <v>302</v>
      </c>
      <c r="F2784">
        <v>1</v>
      </c>
      <c r="G2784">
        <v>189.9</v>
      </c>
      <c r="H2784">
        <v>16.079999999999998</v>
      </c>
      <c r="I2784" t="s">
        <v>44</v>
      </c>
      <c r="J2784">
        <v>12</v>
      </c>
      <c r="K2784" t="s">
        <v>51</v>
      </c>
      <c r="L2784">
        <v>5</v>
      </c>
      <c r="M2784" t="str">
        <f>VLOOKUP(D2784,State_Lookup!$A$2:$B$28,2,FALSE)</f>
        <v>Sao Paulo</v>
      </c>
    </row>
    <row r="2785" spans="1:13" x14ac:dyDescent="0.45">
      <c r="A2785" t="s">
        <v>3326</v>
      </c>
      <c r="B2785" t="s">
        <v>3325</v>
      </c>
      <c r="C2785" t="s">
        <v>3206</v>
      </c>
      <c r="D2785" t="s">
        <v>16</v>
      </c>
      <c r="E2785" t="s">
        <v>107</v>
      </c>
      <c r="F2785">
        <v>1</v>
      </c>
      <c r="G2785">
        <v>1780</v>
      </c>
      <c r="H2785">
        <v>41.87</v>
      </c>
      <c r="I2785" t="s">
        <v>44</v>
      </c>
      <c r="J2785">
        <v>24</v>
      </c>
      <c r="K2785" t="s">
        <v>51</v>
      </c>
      <c r="L2785">
        <v>1</v>
      </c>
      <c r="M2785" t="str">
        <f>VLOOKUP(D2785,State_Lookup!$A$2:$B$28,2,FALSE)</f>
        <v>Sao Paulo</v>
      </c>
    </row>
    <row r="2786" spans="1:13" x14ac:dyDescent="0.45">
      <c r="A2786" t="s">
        <v>3327</v>
      </c>
      <c r="B2786" t="s">
        <v>3325</v>
      </c>
      <c r="C2786" t="s">
        <v>3206</v>
      </c>
      <c r="D2786" t="s">
        <v>20</v>
      </c>
      <c r="E2786" t="s">
        <v>61</v>
      </c>
      <c r="F2786">
        <v>1</v>
      </c>
      <c r="G2786">
        <v>145.69</v>
      </c>
      <c r="H2786">
        <v>15.77</v>
      </c>
      <c r="I2786" t="s">
        <v>50</v>
      </c>
      <c r="J2786">
        <v>11</v>
      </c>
      <c r="K2786" t="s">
        <v>51</v>
      </c>
      <c r="L2786">
        <v>5</v>
      </c>
      <c r="M2786" t="str">
        <f>VLOOKUP(D2786,State_Lookup!$A$2:$B$28,2,FALSE)</f>
        <v>Parana</v>
      </c>
    </row>
    <row r="2787" spans="1:13" x14ac:dyDescent="0.45">
      <c r="A2787" t="s">
        <v>3328</v>
      </c>
      <c r="B2787" t="s">
        <v>3325</v>
      </c>
      <c r="C2787" t="s">
        <v>3206</v>
      </c>
      <c r="D2787" t="s">
        <v>18</v>
      </c>
      <c r="E2787" t="s">
        <v>110</v>
      </c>
      <c r="F2787">
        <v>1</v>
      </c>
      <c r="G2787">
        <v>49.99</v>
      </c>
      <c r="H2787">
        <v>16.11</v>
      </c>
      <c r="I2787" t="s">
        <v>44</v>
      </c>
      <c r="J2787">
        <v>18</v>
      </c>
      <c r="K2787" t="s">
        <v>51</v>
      </c>
      <c r="L2787">
        <v>5</v>
      </c>
      <c r="M2787" t="str">
        <f>VLOOKUP(D2787,State_Lookup!$A$2:$B$28,2,FALSE)</f>
        <v>Minas Gerais</v>
      </c>
    </row>
    <row r="2788" spans="1:13" x14ac:dyDescent="0.45">
      <c r="A2788" t="s">
        <v>3329</v>
      </c>
      <c r="B2788" t="s">
        <v>3325</v>
      </c>
      <c r="C2788" t="s">
        <v>3206</v>
      </c>
      <c r="D2788" t="s">
        <v>17</v>
      </c>
      <c r="E2788" t="s">
        <v>125</v>
      </c>
      <c r="F2788">
        <v>1</v>
      </c>
      <c r="G2788">
        <v>25.9</v>
      </c>
      <c r="H2788">
        <v>16.79</v>
      </c>
      <c r="I2788" t="s">
        <v>44</v>
      </c>
      <c r="J2788">
        <v>28</v>
      </c>
      <c r="K2788" t="s">
        <v>51</v>
      </c>
      <c r="L2788">
        <v>5</v>
      </c>
      <c r="M2788" t="str">
        <f>VLOOKUP(D2788,State_Lookup!$A$2:$B$28,2,FALSE)</f>
        <v>Rio de Janeiro</v>
      </c>
    </row>
    <row r="2789" spans="1:13" x14ac:dyDescent="0.45">
      <c r="A2789" t="s">
        <v>3330</v>
      </c>
      <c r="B2789" t="s">
        <v>3325</v>
      </c>
      <c r="C2789" t="s">
        <v>3206</v>
      </c>
      <c r="D2789" t="s">
        <v>20</v>
      </c>
      <c r="E2789" t="s">
        <v>66</v>
      </c>
      <c r="F2789">
        <v>1</v>
      </c>
      <c r="G2789">
        <v>18.489999999999998</v>
      </c>
      <c r="H2789">
        <v>14.1</v>
      </c>
      <c r="I2789" t="s">
        <v>44</v>
      </c>
      <c r="J2789">
        <v>12</v>
      </c>
      <c r="K2789" t="s">
        <v>51</v>
      </c>
      <c r="L2789">
        <v>4</v>
      </c>
      <c r="M2789" t="str">
        <f>VLOOKUP(D2789,State_Lookup!$A$2:$B$28,2,FALSE)</f>
        <v>Parana</v>
      </c>
    </row>
    <row r="2790" spans="1:13" x14ac:dyDescent="0.45">
      <c r="A2790" t="s">
        <v>3331</v>
      </c>
      <c r="B2790" t="s">
        <v>3325</v>
      </c>
      <c r="C2790" t="s">
        <v>3206</v>
      </c>
      <c r="D2790" t="s">
        <v>20</v>
      </c>
      <c r="E2790" t="s">
        <v>61</v>
      </c>
      <c r="F2790">
        <v>1</v>
      </c>
      <c r="G2790">
        <v>149.9</v>
      </c>
      <c r="H2790">
        <v>27.9</v>
      </c>
      <c r="I2790" t="s">
        <v>44</v>
      </c>
      <c r="J2790">
        <v>19</v>
      </c>
      <c r="K2790" t="s">
        <v>51</v>
      </c>
      <c r="L2790">
        <v>4</v>
      </c>
      <c r="M2790" t="str">
        <f>VLOOKUP(D2790,State_Lookup!$A$2:$B$28,2,FALSE)</f>
        <v>Parana</v>
      </c>
    </row>
    <row r="2791" spans="1:13" x14ac:dyDescent="0.45">
      <c r="A2791" t="s">
        <v>3332</v>
      </c>
      <c r="B2791" t="s">
        <v>3325</v>
      </c>
      <c r="C2791" t="s">
        <v>3206</v>
      </c>
      <c r="D2791" t="s">
        <v>16</v>
      </c>
      <c r="E2791" t="s">
        <v>61</v>
      </c>
      <c r="F2791">
        <v>1</v>
      </c>
      <c r="G2791">
        <v>74.900000000000006</v>
      </c>
      <c r="H2791">
        <v>12.65</v>
      </c>
      <c r="I2791" t="s">
        <v>50</v>
      </c>
      <c r="J2791">
        <v>17</v>
      </c>
      <c r="K2791" t="s">
        <v>51</v>
      </c>
      <c r="L2791">
        <v>3</v>
      </c>
      <c r="M2791" t="str">
        <f>VLOOKUP(D2791,State_Lookup!$A$2:$B$28,2,FALSE)</f>
        <v>Sao Paulo</v>
      </c>
    </row>
    <row r="2792" spans="1:13" x14ac:dyDescent="0.45">
      <c r="A2792" t="s">
        <v>3333</v>
      </c>
      <c r="B2792" t="s">
        <v>3325</v>
      </c>
      <c r="C2792" t="s">
        <v>3206</v>
      </c>
      <c r="D2792" t="s">
        <v>632</v>
      </c>
      <c r="E2792" t="s">
        <v>61</v>
      </c>
      <c r="F2792">
        <v>1</v>
      </c>
      <c r="G2792">
        <v>48.9</v>
      </c>
      <c r="H2792">
        <v>42.38</v>
      </c>
      <c r="I2792" t="s">
        <v>44</v>
      </c>
      <c r="J2792">
        <v>28</v>
      </c>
      <c r="K2792" t="s">
        <v>51</v>
      </c>
      <c r="L2792">
        <v>5</v>
      </c>
      <c r="M2792" t="str">
        <f>VLOOKUP(D2792,State_Lookup!$A$2:$B$28,2,FALSE)</f>
        <v>Alagoas</v>
      </c>
    </row>
    <row r="2793" spans="1:13" x14ac:dyDescent="0.45">
      <c r="A2793" t="s">
        <v>3334</v>
      </c>
      <c r="B2793" t="s">
        <v>3325</v>
      </c>
      <c r="C2793" t="s">
        <v>3206</v>
      </c>
      <c r="D2793" t="s">
        <v>20</v>
      </c>
      <c r="E2793" t="s">
        <v>157</v>
      </c>
      <c r="F2793">
        <v>1</v>
      </c>
      <c r="G2793">
        <v>75</v>
      </c>
      <c r="H2793">
        <v>14.28</v>
      </c>
      <c r="I2793" t="s">
        <v>50</v>
      </c>
      <c r="J2793">
        <v>13</v>
      </c>
      <c r="K2793" t="s">
        <v>51</v>
      </c>
      <c r="L2793">
        <v>4</v>
      </c>
      <c r="M2793" t="str">
        <f>VLOOKUP(D2793,State_Lookup!$A$2:$B$28,2,FALSE)</f>
        <v>Parana</v>
      </c>
    </row>
    <row r="2794" spans="1:13" x14ac:dyDescent="0.45">
      <c r="A2794" t="s">
        <v>3335</v>
      </c>
      <c r="B2794" t="s">
        <v>3325</v>
      </c>
      <c r="C2794" t="s">
        <v>3206</v>
      </c>
      <c r="D2794" t="s">
        <v>22</v>
      </c>
      <c r="E2794" t="s">
        <v>142</v>
      </c>
      <c r="F2794">
        <v>1</v>
      </c>
      <c r="G2794">
        <v>139.9</v>
      </c>
      <c r="H2794">
        <v>23.85</v>
      </c>
      <c r="I2794" t="s">
        <v>44</v>
      </c>
      <c r="J2794">
        <v>17</v>
      </c>
      <c r="K2794" t="s">
        <v>51</v>
      </c>
      <c r="L2794">
        <v>4</v>
      </c>
      <c r="M2794" t="str">
        <f>VLOOKUP(D2794,State_Lookup!$A$2:$B$28,2,FALSE)</f>
        <v>Bahia</v>
      </c>
    </row>
    <row r="2795" spans="1:13" x14ac:dyDescent="0.45">
      <c r="A2795" t="s">
        <v>3336</v>
      </c>
      <c r="B2795" t="s">
        <v>3325</v>
      </c>
      <c r="C2795" t="s">
        <v>3206</v>
      </c>
      <c r="D2795" t="s">
        <v>16</v>
      </c>
      <c r="E2795" t="s">
        <v>192</v>
      </c>
      <c r="F2795">
        <v>3</v>
      </c>
      <c r="G2795">
        <v>315</v>
      </c>
      <c r="H2795">
        <v>46.47</v>
      </c>
      <c r="I2795" t="s">
        <v>50</v>
      </c>
      <c r="J2795">
        <v>17</v>
      </c>
      <c r="K2795" t="s">
        <v>51</v>
      </c>
      <c r="L2795">
        <v>5</v>
      </c>
      <c r="M2795" t="str">
        <f>VLOOKUP(D2795,State_Lookup!$A$2:$B$28,2,FALSE)</f>
        <v>Sao Paulo</v>
      </c>
    </row>
    <row r="2796" spans="1:13" x14ac:dyDescent="0.45">
      <c r="A2796" t="s">
        <v>3337</v>
      </c>
      <c r="B2796" t="s">
        <v>3325</v>
      </c>
      <c r="C2796" t="s">
        <v>3206</v>
      </c>
      <c r="D2796" t="s">
        <v>17</v>
      </c>
      <c r="E2796" t="s">
        <v>79</v>
      </c>
      <c r="F2796">
        <v>1</v>
      </c>
      <c r="G2796">
        <v>129.9</v>
      </c>
      <c r="H2796">
        <v>16.350000000000001</v>
      </c>
      <c r="I2796" t="s">
        <v>44</v>
      </c>
      <c r="J2796">
        <v>28</v>
      </c>
      <c r="K2796" t="s">
        <v>143</v>
      </c>
      <c r="L2796">
        <v>3</v>
      </c>
      <c r="M2796" t="str">
        <f>VLOOKUP(D2796,State_Lookup!$A$2:$B$28,2,FALSE)</f>
        <v>Rio de Janeiro</v>
      </c>
    </row>
    <row r="2797" spans="1:13" x14ac:dyDescent="0.45">
      <c r="A2797" t="s">
        <v>3338</v>
      </c>
      <c r="B2797" t="s">
        <v>3325</v>
      </c>
      <c r="C2797" t="s">
        <v>3206</v>
      </c>
      <c r="D2797" t="s">
        <v>208</v>
      </c>
      <c r="E2797" t="s">
        <v>79</v>
      </c>
      <c r="F2797">
        <v>1</v>
      </c>
      <c r="G2797">
        <v>199</v>
      </c>
      <c r="H2797">
        <v>17.829999999999998</v>
      </c>
      <c r="I2797" t="s">
        <v>50</v>
      </c>
      <c r="J2797">
        <v>18</v>
      </c>
      <c r="K2797" t="s">
        <v>51</v>
      </c>
      <c r="L2797">
        <v>5</v>
      </c>
      <c r="M2797" t="str">
        <f>VLOOKUP(D2797,State_Lookup!$A$2:$B$28,2,FALSE)</f>
        <v>Mato Grosso</v>
      </c>
    </row>
    <row r="2798" spans="1:13" x14ac:dyDescent="0.45">
      <c r="A2798" t="s">
        <v>3339</v>
      </c>
      <c r="B2798" t="s">
        <v>3340</v>
      </c>
      <c r="C2798" t="s">
        <v>3206</v>
      </c>
      <c r="D2798" t="s">
        <v>17</v>
      </c>
      <c r="E2798" t="s">
        <v>110</v>
      </c>
      <c r="F2798">
        <v>1</v>
      </c>
      <c r="G2798">
        <v>58</v>
      </c>
      <c r="H2798">
        <v>16.170000000000002</v>
      </c>
      <c r="I2798" t="s">
        <v>44</v>
      </c>
      <c r="J2798">
        <v>18</v>
      </c>
      <c r="K2798" t="s">
        <v>51</v>
      </c>
      <c r="L2798">
        <v>1</v>
      </c>
      <c r="M2798" t="str">
        <f>VLOOKUP(D2798,State_Lookup!$A$2:$B$28,2,FALSE)</f>
        <v>Rio de Janeiro</v>
      </c>
    </row>
    <row r="2799" spans="1:13" x14ac:dyDescent="0.45">
      <c r="A2799" t="s">
        <v>3341</v>
      </c>
      <c r="B2799" t="s">
        <v>3340</v>
      </c>
      <c r="C2799" t="s">
        <v>3206</v>
      </c>
      <c r="D2799" t="s">
        <v>20</v>
      </c>
      <c r="E2799" t="s">
        <v>192</v>
      </c>
      <c r="F2799">
        <v>1</v>
      </c>
      <c r="G2799">
        <v>56</v>
      </c>
      <c r="H2799">
        <v>17.96</v>
      </c>
      <c r="I2799" t="s">
        <v>44</v>
      </c>
      <c r="J2799">
        <v>13</v>
      </c>
      <c r="K2799" t="s">
        <v>51</v>
      </c>
      <c r="L2799">
        <v>4</v>
      </c>
      <c r="M2799" t="str">
        <f>VLOOKUP(D2799,State_Lookup!$A$2:$B$28,2,FALSE)</f>
        <v>Parana</v>
      </c>
    </row>
    <row r="2800" spans="1:13" x14ac:dyDescent="0.45">
      <c r="A2800" t="s">
        <v>3342</v>
      </c>
      <c r="B2800" t="s">
        <v>3340</v>
      </c>
      <c r="C2800" t="s">
        <v>3206</v>
      </c>
      <c r="D2800" t="s">
        <v>22</v>
      </c>
      <c r="E2800" t="s">
        <v>1900</v>
      </c>
      <c r="F2800">
        <v>1</v>
      </c>
      <c r="G2800">
        <v>139.9</v>
      </c>
      <c r="H2800">
        <v>23.85</v>
      </c>
      <c r="I2800" t="s">
        <v>44</v>
      </c>
      <c r="J2800">
        <v>30</v>
      </c>
      <c r="K2800" t="s">
        <v>143</v>
      </c>
      <c r="L2800">
        <v>4</v>
      </c>
      <c r="M2800" t="str">
        <f>VLOOKUP(D2800,State_Lookup!$A$2:$B$28,2,FALSE)</f>
        <v>Bahia</v>
      </c>
    </row>
    <row r="2801" spans="1:13" x14ac:dyDescent="0.45">
      <c r="A2801" t="s">
        <v>3343</v>
      </c>
      <c r="B2801" t="s">
        <v>3340</v>
      </c>
      <c r="C2801" t="s">
        <v>3206</v>
      </c>
      <c r="D2801" t="s">
        <v>17</v>
      </c>
      <c r="E2801" t="s">
        <v>157</v>
      </c>
      <c r="F2801">
        <v>1</v>
      </c>
      <c r="G2801">
        <v>189</v>
      </c>
      <c r="H2801">
        <v>15.07</v>
      </c>
      <c r="I2801" t="s">
        <v>44</v>
      </c>
      <c r="J2801">
        <v>11</v>
      </c>
      <c r="K2801" t="s">
        <v>51</v>
      </c>
      <c r="L2801">
        <v>5</v>
      </c>
      <c r="M2801" t="str">
        <f>VLOOKUP(D2801,State_Lookup!$A$2:$B$28,2,FALSE)</f>
        <v>Rio de Janeiro</v>
      </c>
    </row>
    <row r="2802" spans="1:13" x14ac:dyDescent="0.45">
      <c r="A2802" t="s">
        <v>3344</v>
      </c>
      <c r="B2802" t="s">
        <v>3340</v>
      </c>
      <c r="C2802" t="s">
        <v>3206</v>
      </c>
      <c r="D2802" t="s">
        <v>21</v>
      </c>
      <c r="E2802" t="s">
        <v>49</v>
      </c>
      <c r="F2802">
        <v>1</v>
      </c>
      <c r="G2802">
        <v>1199</v>
      </c>
      <c r="H2802">
        <v>134.25</v>
      </c>
      <c r="I2802" t="s">
        <v>44</v>
      </c>
      <c r="J2802">
        <v>18</v>
      </c>
      <c r="K2802" t="s">
        <v>51</v>
      </c>
      <c r="L2802">
        <v>5</v>
      </c>
      <c r="M2802" t="str">
        <f>VLOOKUP(D2802,State_Lookup!$A$2:$B$28,2,FALSE)</f>
        <v>Santa Catarina</v>
      </c>
    </row>
    <row r="2803" spans="1:13" x14ac:dyDescent="0.45">
      <c r="A2803" t="s">
        <v>3345</v>
      </c>
      <c r="B2803" t="s">
        <v>3340</v>
      </c>
      <c r="C2803" t="s">
        <v>3206</v>
      </c>
      <c r="D2803" t="s">
        <v>16</v>
      </c>
      <c r="E2803" t="s">
        <v>148</v>
      </c>
      <c r="F2803">
        <v>1</v>
      </c>
      <c r="G2803">
        <v>389</v>
      </c>
      <c r="H2803">
        <v>16.329999999999998</v>
      </c>
      <c r="I2803" t="s">
        <v>44</v>
      </c>
      <c r="J2803">
        <v>17</v>
      </c>
      <c r="K2803" t="s">
        <v>51</v>
      </c>
      <c r="L2803">
        <v>5</v>
      </c>
      <c r="M2803" t="str">
        <f>VLOOKUP(D2803,State_Lookup!$A$2:$B$28,2,FALSE)</f>
        <v>Sao Paulo</v>
      </c>
    </row>
    <row r="2804" spans="1:13" x14ac:dyDescent="0.45">
      <c r="A2804" t="s">
        <v>3346</v>
      </c>
      <c r="B2804" t="s">
        <v>3340</v>
      </c>
      <c r="C2804" t="s">
        <v>3206</v>
      </c>
      <c r="D2804" t="s">
        <v>16</v>
      </c>
      <c r="E2804" t="s">
        <v>69</v>
      </c>
      <c r="F2804">
        <v>1</v>
      </c>
      <c r="G2804">
        <v>49.9</v>
      </c>
      <c r="H2804">
        <v>13.37</v>
      </c>
      <c r="I2804" t="s">
        <v>44</v>
      </c>
      <c r="J2804">
        <v>28</v>
      </c>
      <c r="K2804" t="s">
        <v>143</v>
      </c>
      <c r="L2804">
        <v>1</v>
      </c>
      <c r="M2804" t="str">
        <f>VLOOKUP(D2804,State_Lookup!$A$2:$B$28,2,FALSE)</f>
        <v>Sao Paulo</v>
      </c>
    </row>
    <row r="2805" spans="1:13" x14ac:dyDescent="0.45">
      <c r="A2805" t="s">
        <v>3347</v>
      </c>
      <c r="B2805" t="s">
        <v>3340</v>
      </c>
      <c r="C2805" t="s">
        <v>3206</v>
      </c>
      <c r="D2805" t="s">
        <v>17</v>
      </c>
      <c r="E2805" t="s">
        <v>43</v>
      </c>
      <c r="F2805">
        <v>4</v>
      </c>
      <c r="G2805">
        <v>242.7</v>
      </c>
      <c r="H2805">
        <v>72.930000000000007</v>
      </c>
      <c r="I2805" t="s">
        <v>44</v>
      </c>
      <c r="J2805">
        <v>17</v>
      </c>
      <c r="K2805" t="s">
        <v>51</v>
      </c>
      <c r="L2805">
        <v>1</v>
      </c>
      <c r="M2805" t="str">
        <f>VLOOKUP(D2805,State_Lookup!$A$2:$B$28,2,FALSE)</f>
        <v>Rio de Janeiro</v>
      </c>
    </row>
    <row r="2806" spans="1:13" x14ac:dyDescent="0.45">
      <c r="A2806" t="s">
        <v>3348</v>
      </c>
      <c r="B2806" t="s">
        <v>3340</v>
      </c>
      <c r="C2806" t="s">
        <v>3206</v>
      </c>
      <c r="D2806" t="s">
        <v>18</v>
      </c>
      <c r="E2806" t="s">
        <v>43</v>
      </c>
      <c r="F2806">
        <v>1</v>
      </c>
      <c r="G2806">
        <v>219.9</v>
      </c>
      <c r="H2806">
        <v>36.6</v>
      </c>
      <c r="I2806" t="s">
        <v>44</v>
      </c>
      <c r="J2806">
        <v>12</v>
      </c>
      <c r="K2806" t="s">
        <v>51</v>
      </c>
      <c r="L2806">
        <v>5</v>
      </c>
      <c r="M2806" t="str">
        <f>VLOOKUP(D2806,State_Lookup!$A$2:$B$28,2,FALSE)</f>
        <v>Minas Gerais</v>
      </c>
    </row>
    <row r="2807" spans="1:13" x14ac:dyDescent="0.45">
      <c r="A2807" t="s">
        <v>3349</v>
      </c>
      <c r="B2807" t="s">
        <v>3340</v>
      </c>
      <c r="C2807" t="s">
        <v>3206</v>
      </c>
      <c r="D2807" t="s">
        <v>18</v>
      </c>
      <c r="E2807" t="s">
        <v>64</v>
      </c>
      <c r="F2807">
        <v>1</v>
      </c>
      <c r="G2807">
        <v>119.9</v>
      </c>
      <c r="H2807">
        <v>16.600000000000001</v>
      </c>
      <c r="I2807" t="s">
        <v>44</v>
      </c>
      <c r="J2807">
        <v>16</v>
      </c>
      <c r="K2807" t="s">
        <v>51</v>
      </c>
      <c r="L2807">
        <v>5</v>
      </c>
      <c r="M2807" t="str">
        <f>VLOOKUP(D2807,State_Lookup!$A$2:$B$28,2,FALSE)</f>
        <v>Minas Gerais</v>
      </c>
    </row>
    <row r="2808" spans="1:13" x14ac:dyDescent="0.45">
      <c r="A2808" t="s">
        <v>3350</v>
      </c>
      <c r="B2808" t="s">
        <v>3340</v>
      </c>
      <c r="C2808" t="s">
        <v>3206</v>
      </c>
      <c r="D2808" t="s">
        <v>18</v>
      </c>
      <c r="E2808" t="s">
        <v>79</v>
      </c>
      <c r="F2808">
        <v>1</v>
      </c>
      <c r="G2808">
        <v>62</v>
      </c>
      <c r="H2808">
        <v>21.23</v>
      </c>
      <c r="I2808" t="s">
        <v>44</v>
      </c>
      <c r="J2808">
        <v>10</v>
      </c>
      <c r="K2808" t="s">
        <v>51</v>
      </c>
      <c r="L2808">
        <v>5</v>
      </c>
      <c r="M2808" t="str">
        <f>VLOOKUP(D2808,State_Lookup!$A$2:$B$28,2,FALSE)</f>
        <v>Minas Gerais</v>
      </c>
    </row>
    <row r="2809" spans="1:13" x14ac:dyDescent="0.45">
      <c r="A2809" t="s">
        <v>3351</v>
      </c>
      <c r="B2809" t="s">
        <v>3340</v>
      </c>
      <c r="C2809" t="s">
        <v>3206</v>
      </c>
      <c r="D2809" t="s">
        <v>16</v>
      </c>
      <c r="E2809" t="s">
        <v>1839</v>
      </c>
      <c r="F2809">
        <v>1</v>
      </c>
      <c r="G2809">
        <v>54.4</v>
      </c>
      <c r="H2809">
        <v>9.34</v>
      </c>
      <c r="I2809" t="s">
        <v>50</v>
      </c>
      <c r="J2809">
        <v>10</v>
      </c>
      <c r="K2809" t="s">
        <v>51</v>
      </c>
      <c r="L2809">
        <v>5</v>
      </c>
      <c r="M2809" t="str">
        <f>VLOOKUP(D2809,State_Lookup!$A$2:$B$28,2,FALSE)</f>
        <v>Sao Paulo</v>
      </c>
    </row>
    <row r="2810" spans="1:13" x14ac:dyDescent="0.45">
      <c r="A2810" t="s">
        <v>3352</v>
      </c>
      <c r="B2810" t="s">
        <v>3353</v>
      </c>
      <c r="C2810" t="s">
        <v>3206</v>
      </c>
      <c r="D2810" t="s">
        <v>128</v>
      </c>
      <c r="E2810" t="s">
        <v>79</v>
      </c>
      <c r="F2810">
        <v>1</v>
      </c>
      <c r="G2810">
        <v>325</v>
      </c>
      <c r="H2810">
        <v>19.55</v>
      </c>
      <c r="I2810" t="s">
        <v>44</v>
      </c>
      <c r="J2810">
        <v>18</v>
      </c>
      <c r="K2810" t="s">
        <v>51</v>
      </c>
      <c r="L2810">
        <v>5</v>
      </c>
      <c r="M2810" t="str">
        <f>VLOOKUP(D2810,State_Lookup!$A$2:$B$28,2,FALSE)</f>
        <v>Ceara</v>
      </c>
    </row>
    <row r="2811" spans="1:13" x14ac:dyDescent="0.45">
      <c r="A2811" t="s">
        <v>3354</v>
      </c>
      <c r="B2811" t="s">
        <v>3353</v>
      </c>
      <c r="C2811" t="s">
        <v>3206</v>
      </c>
      <c r="D2811" t="s">
        <v>16</v>
      </c>
      <c r="E2811" t="s">
        <v>142</v>
      </c>
      <c r="F2811">
        <v>1</v>
      </c>
      <c r="G2811">
        <v>265</v>
      </c>
      <c r="H2811">
        <v>39.69</v>
      </c>
      <c r="I2811" t="s">
        <v>44</v>
      </c>
      <c r="J2811">
        <v>24</v>
      </c>
      <c r="K2811" t="s">
        <v>51</v>
      </c>
      <c r="L2811">
        <v>5</v>
      </c>
      <c r="M2811" t="str">
        <f>VLOOKUP(D2811,State_Lookup!$A$2:$B$28,2,FALSE)</f>
        <v>Sao Paulo</v>
      </c>
    </row>
    <row r="2812" spans="1:13" x14ac:dyDescent="0.45">
      <c r="A2812" t="s">
        <v>3355</v>
      </c>
      <c r="B2812" t="s">
        <v>3353</v>
      </c>
      <c r="C2812" t="s">
        <v>3206</v>
      </c>
      <c r="D2812" t="s">
        <v>23</v>
      </c>
      <c r="E2812" t="s">
        <v>61</v>
      </c>
      <c r="F2812">
        <v>1</v>
      </c>
      <c r="G2812">
        <v>180</v>
      </c>
      <c r="H2812">
        <v>16.010000000000002</v>
      </c>
      <c r="I2812" t="s">
        <v>44</v>
      </c>
      <c r="J2812">
        <v>18</v>
      </c>
      <c r="K2812" t="s">
        <v>51</v>
      </c>
      <c r="L2812">
        <v>3</v>
      </c>
      <c r="M2812" t="str">
        <f>VLOOKUP(D2812,State_Lookup!$A$2:$B$28,2,FALSE)</f>
        <v>Espirito Santo</v>
      </c>
    </row>
    <row r="2813" spans="1:13" x14ac:dyDescent="0.45">
      <c r="A2813" t="s">
        <v>3356</v>
      </c>
      <c r="B2813" t="s">
        <v>3353</v>
      </c>
      <c r="C2813" t="s">
        <v>3206</v>
      </c>
      <c r="D2813" t="s">
        <v>208</v>
      </c>
      <c r="E2813" t="s">
        <v>110</v>
      </c>
      <c r="F2813">
        <v>1</v>
      </c>
      <c r="G2813">
        <v>122.9</v>
      </c>
      <c r="H2813">
        <v>18.43</v>
      </c>
      <c r="I2813" t="s">
        <v>44</v>
      </c>
      <c r="J2813">
        <v>19</v>
      </c>
      <c r="K2813" t="s">
        <v>51</v>
      </c>
      <c r="L2813">
        <v>3</v>
      </c>
      <c r="M2813" t="str">
        <f>VLOOKUP(D2813,State_Lookup!$A$2:$B$28,2,FALSE)</f>
        <v>Mato Grosso</v>
      </c>
    </row>
    <row r="2814" spans="1:13" x14ac:dyDescent="0.45">
      <c r="A2814" t="s">
        <v>3357</v>
      </c>
      <c r="B2814" t="s">
        <v>3353</v>
      </c>
      <c r="C2814" t="s">
        <v>3206</v>
      </c>
      <c r="D2814" t="s">
        <v>18</v>
      </c>
      <c r="E2814" t="s">
        <v>662</v>
      </c>
      <c r="F2814">
        <v>1</v>
      </c>
      <c r="G2814">
        <v>89.9</v>
      </c>
      <c r="H2814">
        <v>15.38</v>
      </c>
      <c r="I2814" t="s">
        <v>44</v>
      </c>
      <c r="J2814">
        <v>18</v>
      </c>
      <c r="K2814" t="s">
        <v>51</v>
      </c>
      <c r="L2814">
        <v>4</v>
      </c>
      <c r="M2814" t="str">
        <f>VLOOKUP(D2814,State_Lookup!$A$2:$B$28,2,FALSE)</f>
        <v>Minas Gerais</v>
      </c>
    </row>
    <row r="2815" spans="1:13" x14ac:dyDescent="0.45">
      <c r="A2815" t="s">
        <v>3358</v>
      </c>
      <c r="B2815" t="s">
        <v>3353</v>
      </c>
      <c r="C2815" t="s">
        <v>3206</v>
      </c>
      <c r="D2815" t="s">
        <v>16</v>
      </c>
      <c r="E2815" t="s">
        <v>69</v>
      </c>
      <c r="F2815">
        <v>1</v>
      </c>
      <c r="G2815">
        <v>49.9</v>
      </c>
      <c r="H2815">
        <v>13.37</v>
      </c>
      <c r="I2815" t="s">
        <v>44</v>
      </c>
      <c r="J2815">
        <v>13</v>
      </c>
      <c r="K2815" t="s">
        <v>51</v>
      </c>
      <c r="L2815">
        <v>5</v>
      </c>
      <c r="M2815" t="str">
        <f>VLOOKUP(D2815,State_Lookup!$A$2:$B$28,2,FALSE)</f>
        <v>Sao Paulo</v>
      </c>
    </row>
    <row r="2816" spans="1:13" x14ac:dyDescent="0.45">
      <c r="A2816" t="s">
        <v>3359</v>
      </c>
      <c r="B2816" t="s">
        <v>3353</v>
      </c>
      <c r="C2816" t="s">
        <v>3206</v>
      </c>
      <c r="D2816" t="s">
        <v>18</v>
      </c>
      <c r="E2816" t="s">
        <v>269</v>
      </c>
      <c r="F2816">
        <v>1</v>
      </c>
      <c r="G2816">
        <v>128.80000000000001</v>
      </c>
      <c r="H2816">
        <v>34.26</v>
      </c>
      <c r="I2816" t="s">
        <v>50</v>
      </c>
      <c r="J2816">
        <v>12</v>
      </c>
      <c r="K2816" t="s">
        <v>51</v>
      </c>
      <c r="L2816">
        <v>4</v>
      </c>
      <c r="M2816" t="str">
        <f>VLOOKUP(D2816,State_Lookup!$A$2:$B$28,2,FALSE)</f>
        <v>Minas Gerais</v>
      </c>
    </row>
    <row r="2817" spans="1:13" x14ac:dyDescent="0.45">
      <c r="A2817" t="s">
        <v>3360</v>
      </c>
      <c r="B2817" t="s">
        <v>3353</v>
      </c>
      <c r="C2817" t="s">
        <v>3206</v>
      </c>
      <c r="D2817" t="s">
        <v>18</v>
      </c>
      <c r="E2817" t="s">
        <v>110</v>
      </c>
      <c r="F2817">
        <v>1</v>
      </c>
      <c r="G2817">
        <v>39</v>
      </c>
      <c r="H2817">
        <v>16.11</v>
      </c>
      <c r="I2817" t="s">
        <v>133</v>
      </c>
      <c r="J2817">
        <v>21</v>
      </c>
      <c r="K2817" t="s">
        <v>51</v>
      </c>
      <c r="L2817">
        <v>4</v>
      </c>
      <c r="M2817" t="str">
        <f>VLOOKUP(D2817,State_Lookup!$A$2:$B$28,2,FALSE)</f>
        <v>Minas Gerais</v>
      </c>
    </row>
    <row r="2818" spans="1:13" x14ac:dyDescent="0.45">
      <c r="A2818" t="s">
        <v>3361</v>
      </c>
      <c r="B2818" t="s">
        <v>3353</v>
      </c>
      <c r="C2818" t="s">
        <v>3206</v>
      </c>
      <c r="D2818" t="s">
        <v>16</v>
      </c>
      <c r="E2818" t="s">
        <v>269</v>
      </c>
      <c r="F2818">
        <v>1</v>
      </c>
      <c r="G2818">
        <v>94.45</v>
      </c>
      <c r="H2818">
        <v>16.420000000000002</v>
      </c>
      <c r="I2818" t="s">
        <v>44</v>
      </c>
      <c r="J2818">
        <v>12</v>
      </c>
      <c r="K2818" t="s">
        <v>51</v>
      </c>
      <c r="L2818">
        <v>5</v>
      </c>
      <c r="M2818" t="str">
        <f>VLOOKUP(D2818,State_Lookup!$A$2:$B$28,2,FALSE)</f>
        <v>Sao Paulo</v>
      </c>
    </row>
    <row r="2819" spans="1:13" x14ac:dyDescent="0.45">
      <c r="A2819" t="s">
        <v>3362</v>
      </c>
      <c r="B2819" t="s">
        <v>3353</v>
      </c>
      <c r="C2819" t="s">
        <v>3206</v>
      </c>
      <c r="D2819" t="s">
        <v>16</v>
      </c>
      <c r="E2819" t="s">
        <v>148</v>
      </c>
      <c r="F2819">
        <v>1</v>
      </c>
      <c r="G2819">
        <v>144.99</v>
      </c>
      <c r="H2819">
        <v>14.03</v>
      </c>
      <c r="I2819" t="s">
        <v>44</v>
      </c>
      <c r="J2819">
        <v>17</v>
      </c>
      <c r="K2819" t="s">
        <v>51</v>
      </c>
      <c r="L2819">
        <v>5</v>
      </c>
      <c r="M2819" t="str">
        <f>VLOOKUP(D2819,State_Lookup!$A$2:$B$28,2,FALSE)</f>
        <v>Sao Paulo</v>
      </c>
    </row>
    <row r="2820" spans="1:13" x14ac:dyDescent="0.45">
      <c r="A2820" t="s">
        <v>3363</v>
      </c>
      <c r="B2820" t="s">
        <v>3364</v>
      </c>
      <c r="C2820" t="s">
        <v>3206</v>
      </c>
      <c r="D2820" t="s">
        <v>19</v>
      </c>
      <c r="E2820" t="s">
        <v>79</v>
      </c>
      <c r="F2820">
        <v>1</v>
      </c>
      <c r="G2820">
        <v>36</v>
      </c>
      <c r="H2820">
        <v>14.1</v>
      </c>
      <c r="I2820" t="s">
        <v>44</v>
      </c>
      <c r="J2820">
        <v>17</v>
      </c>
      <c r="K2820" t="s">
        <v>51</v>
      </c>
      <c r="L2820">
        <v>5</v>
      </c>
      <c r="M2820" t="str">
        <f>VLOOKUP(D2820,State_Lookup!$A$2:$B$28,2,FALSE)</f>
        <v>Rio Grande do Sul</v>
      </c>
    </row>
    <row r="2821" spans="1:13" x14ac:dyDescent="0.45">
      <c r="A2821" t="s">
        <v>3365</v>
      </c>
      <c r="B2821" t="s">
        <v>3364</v>
      </c>
      <c r="C2821" t="s">
        <v>3206</v>
      </c>
      <c r="D2821" t="s">
        <v>18</v>
      </c>
      <c r="E2821" t="s">
        <v>79</v>
      </c>
      <c r="F2821">
        <v>1</v>
      </c>
      <c r="G2821">
        <v>150</v>
      </c>
      <c r="H2821">
        <v>15.8</v>
      </c>
      <c r="I2821" t="s">
        <v>44</v>
      </c>
      <c r="J2821">
        <v>16</v>
      </c>
      <c r="K2821" t="s">
        <v>51</v>
      </c>
      <c r="L2821">
        <v>3</v>
      </c>
      <c r="M2821" t="str">
        <f>VLOOKUP(D2821,State_Lookup!$A$2:$B$28,2,FALSE)</f>
        <v>Minas Gerais</v>
      </c>
    </row>
    <row r="2822" spans="1:13" x14ac:dyDescent="0.45">
      <c r="A2822" t="s">
        <v>3366</v>
      </c>
      <c r="B2822" t="s">
        <v>3364</v>
      </c>
      <c r="C2822" t="s">
        <v>3206</v>
      </c>
      <c r="D2822" t="s">
        <v>17</v>
      </c>
      <c r="E2822" t="s">
        <v>61</v>
      </c>
      <c r="F2822">
        <v>1</v>
      </c>
      <c r="G2822">
        <v>15.9</v>
      </c>
      <c r="H2822">
        <v>15.1</v>
      </c>
      <c r="I2822" t="s">
        <v>44</v>
      </c>
      <c r="J2822">
        <v>8</v>
      </c>
      <c r="K2822" t="s">
        <v>51</v>
      </c>
      <c r="L2822">
        <v>2</v>
      </c>
      <c r="M2822" t="str">
        <f>VLOOKUP(D2822,State_Lookup!$A$2:$B$28,2,FALSE)</f>
        <v>Rio de Janeiro</v>
      </c>
    </row>
    <row r="2823" spans="1:13" x14ac:dyDescent="0.45">
      <c r="A2823" t="s">
        <v>3367</v>
      </c>
      <c r="B2823" t="s">
        <v>3364</v>
      </c>
      <c r="C2823" t="s">
        <v>3206</v>
      </c>
      <c r="D2823" t="s">
        <v>16</v>
      </c>
      <c r="E2823" t="s">
        <v>103</v>
      </c>
      <c r="F2823">
        <v>1</v>
      </c>
      <c r="G2823">
        <v>109.9</v>
      </c>
      <c r="H2823">
        <v>11.97</v>
      </c>
      <c r="I2823" t="s">
        <v>44</v>
      </c>
      <c r="J2823">
        <v>2</v>
      </c>
      <c r="K2823" t="s">
        <v>51</v>
      </c>
      <c r="L2823">
        <v>4</v>
      </c>
      <c r="M2823" t="str">
        <f>VLOOKUP(D2823,State_Lookup!$A$2:$B$28,2,FALSE)</f>
        <v>Sao Paulo</v>
      </c>
    </row>
    <row r="2824" spans="1:13" x14ac:dyDescent="0.45">
      <c r="A2824" t="s">
        <v>3368</v>
      </c>
      <c r="B2824" t="s">
        <v>3364</v>
      </c>
      <c r="C2824" t="s">
        <v>3206</v>
      </c>
      <c r="D2824" t="s">
        <v>16</v>
      </c>
      <c r="E2824" t="s">
        <v>125</v>
      </c>
      <c r="F2824">
        <v>1</v>
      </c>
      <c r="G2824">
        <v>21.9</v>
      </c>
      <c r="H2824">
        <v>11.85</v>
      </c>
      <c r="I2824" t="s">
        <v>44</v>
      </c>
      <c r="J2824">
        <v>17</v>
      </c>
      <c r="K2824" t="s">
        <v>51</v>
      </c>
      <c r="L2824">
        <v>4</v>
      </c>
      <c r="M2824" t="str">
        <f>VLOOKUP(D2824,State_Lookup!$A$2:$B$28,2,FALSE)</f>
        <v>Sao Paulo</v>
      </c>
    </row>
    <row r="2825" spans="1:13" x14ac:dyDescent="0.45">
      <c r="A2825" t="s">
        <v>3369</v>
      </c>
      <c r="B2825" t="s">
        <v>3364</v>
      </c>
      <c r="C2825" t="s">
        <v>3206</v>
      </c>
      <c r="D2825" t="s">
        <v>16</v>
      </c>
      <c r="E2825" t="s">
        <v>49</v>
      </c>
      <c r="F2825">
        <v>1</v>
      </c>
      <c r="G2825">
        <v>210</v>
      </c>
      <c r="H2825">
        <v>24.05</v>
      </c>
      <c r="I2825" t="s">
        <v>44</v>
      </c>
      <c r="J2825">
        <v>6</v>
      </c>
      <c r="K2825" t="s">
        <v>51</v>
      </c>
      <c r="L2825">
        <v>5</v>
      </c>
      <c r="M2825" t="str">
        <f>VLOOKUP(D2825,State_Lookup!$A$2:$B$28,2,FALSE)</f>
        <v>Sao Paulo</v>
      </c>
    </row>
    <row r="2826" spans="1:13" x14ac:dyDescent="0.45">
      <c r="A2826" t="s">
        <v>3370</v>
      </c>
      <c r="B2826" t="s">
        <v>3364</v>
      </c>
      <c r="C2826" t="s">
        <v>3206</v>
      </c>
      <c r="D2826" t="s">
        <v>16</v>
      </c>
      <c r="E2826" t="s">
        <v>79</v>
      </c>
      <c r="F2826">
        <v>1</v>
      </c>
      <c r="G2826">
        <v>99</v>
      </c>
      <c r="H2826">
        <v>12.82</v>
      </c>
      <c r="I2826" t="s">
        <v>44</v>
      </c>
      <c r="J2826">
        <v>14</v>
      </c>
      <c r="K2826" t="s">
        <v>51</v>
      </c>
      <c r="L2826">
        <v>5</v>
      </c>
      <c r="M2826" t="str">
        <f>VLOOKUP(D2826,State_Lookup!$A$2:$B$28,2,FALSE)</f>
        <v>Sao Paulo</v>
      </c>
    </row>
    <row r="2827" spans="1:13" x14ac:dyDescent="0.45">
      <c r="A2827" t="s">
        <v>3371</v>
      </c>
      <c r="B2827" t="s">
        <v>3364</v>
      </c>
      <c r="C2827" t="s">
        <v>3206</v>
      </c>
      <c r="D2827" t="s">
        <v>16</v>
      </c>
      <c r="E2827" t="s">
        <v>64</v>
      </c>
      <c r="F2827">
        <v>1</v>
      </c>
      <c r="G2827">
        <v>34.9</v>
      </c>
      <c r="H2827">
        <v>7.78</v>
      </c>
      <c r="I2827" t="s">
        <v>44</v>
      </c>
      <c r="J2827">
        <v>4</v>
      </c>
      <c r="K2827" t="s">
        <v>51</v>
      </c>
      <c r="L2827">
        <v>5</v>
      </c>
      <c r="M2827" t="str">
        <f>VLOOKUP(D2827,State_Lookup!$A$2:$B$28,2,FALSE)</f>
        <v>Sao Paulo</v>
      </c>
    </row>
    <row r="2828" spans="1:13" x14ac:dyDescent="0.45">
      <c r="A2828" t="s">
        <v>3372</v>
      </c>
      <c r="B2828" t="s">
        <v>3373</v>
      </c>
      <c r="C2828" t="s">
        <v>3206</v>
      </c>
      <c r="D2828" t="s">
        <v>16</v>
      </c>
      <c r="E2828" t="s">
        <v>61</v>
      </c>
      <c r="F2828">
        <v>1</v>
      </c>
      <c r="G2828">
        <v>99.99</v>
      </c>
      <c r="H2828">
        <v>14.43</v>
      </c>
      <c r="I2828" t="s">
        <v>44</v>
      </c>
      <c r="J2828">
        <v>24</v>
      </c>
      <c r="K2828" t="s">
        <v>51</v>
      </c>
      <c r="L2828">
        <v>4</v>
      </c>
      <c r="M2828" t="str">
        <f>VLOOKUP(D2828,State_Lookup!$A$2:$B$28,2,FALSE)</f>
        <v>Sao Paulo</v>
      </c>
    </row>
    <row r="2829" spans="1:13" x14ac:dyDescent="0.45">
      <c r="A2829" t="s">
        <v>3374</v>
      </c>
      <c r="B2829" t="s">
        <v>3373</v>
      </c>
      <c r="C2829" t="s">
        <v>3206</v>
      </c>
      <c r="D2829" t="s">
        <v>122</v>
      </c>
      <c r="E2829" t="s">
        <v>148</v>
      </c>
      <c r="F2829">
        <v>1</v>
      </c>
      <c r="G2829">
        <v>229.99</v>
      </c>
      <c r="H2829">
        <v>34.06</v>
      </c>
      <c r="I2829" t="s">
        <v>50</v>
      </c>
      <c r="J2829">
        <v>29</v>
      </c>
      <c r="K2829" t="s">
        <v>51</v>
      </c>
      <c r="L2829">
        <v>4</v>
      </c>
      <c r="M2829" t="str">
        <f>VLOOKUP(D2829,State_Lookup!$A$2:$B$28,2,FALSE)</f>
        <v>Para</v>
      </c>
    </row>
    <row r="2830" spans="1:13" x14ac:dyDescent="0.45">
      <c r="A2830" t="s">
        <v>3375</v>
      </c>
      <c r="B2830" t="s">
        <v>3373</v>
      </c>
      <c r="C2830" t="s">
        <v>3206</v>
      </c>
      <c r="D2830" t="s">
        <v>16</v>
      </c>
      <c r="E2830" t="s">
        <v>49</v>
      </c>
      <c r="F2830">
        <v>1</v>
      </c>
      <c r="G2830">
        <v>159.99</v>
      </c>
      <c r="H2830">
        <v>16.88</v>
      </c>
      <c r="I2830" t="s">
        <v>44</v>
      </c>
      <c r="J2830">
        <v>13</v>
      </c>
      <c r="K2830" t="s">
        <v>51</v>
      </c>
      <c r="L2830">
        <v>5</v>
      </c>
      <c r="M2830" t="str">
        <f>VLOOKUP(D2830,State_Lookup!$A$2:$B$28,2,FALSE)</f>
        <v>Sao Paulo</v>
      </c>
    </row>
    <row r="2831" spans="1:13" x14ac:dyDescent="0.45">
      <c r="A2831" t="s">
        <v>3376</v>
      </c>
      <c r="B2831" t="s">
        <v>3373</v>
      </c>
      <c r="C2831" t="s">
        <v>3206</v>
      </c>
      <c r="D2831" t="s">
        <v>16</v>
      </c>
      <c r="E2831" t="s">
        <v>79</v>
      </c>
      <c r="F2831">
        <v>1</v>
      </c>
      <c r="G2831">
        <v>180</v>
      </c>
      <c r="H2831">
        <v>15.01</v>
      </c>
      <c r="I2831" t="s">
        <v>44</v>
      </c>
      <c r="J2831">
        <v>12</v>
      </c>
      <c r="K2831" t="s">
        <v>51</v>
      </c>
      <c r="L2831">
        <v>5</v>
      </c>
      <c r="M2831" t="str">
        <f>VLOOKUP(D2831,State_Lookup!$A$2:$B$28,2,FALSE)</f>
        <v>Sao Paulo</v>
      </c>
    </row>
    <row r="2832" spans="1:13" x14ac:dyDescent="0.45">
      <c r="A2832" t="s">
        <v>3377</v>
      </c>
      <c r="B2832" t="s">
        <v>3373</v>
      </c>
      <c r="C2832" t="s">
        <v>3206</v>
      </c>
      <c r="D2832" t="s">
        <v>16</v>
      </c>
      <c r="E2832" t="s">
        <v>110</v>
      </c>
      <c r="F2832">
        <v>1</v>
      </c>
      <c r="G2832">
        <v>124.9</v>
      </c>
      <c r="H2832">
        <v>13.89</v>
      </c>
      <c r="I2832" t="s">
        <v>44</v>
      </c>
      <c r="J2832">
        <v>13</v>
      </c>
      <c r="K2832" t="s">
        <v>51</v>
      </c>
      <c r="L2832">
        <v>5</v>
      </c>
      <c r="M2832" t="str">
        <f>VLOOKUP(D2832,State_Lookup!$A$2:$B$28,2,FALSE)</f>
        <v>Sao Paulo</v>
      </c>
    </row>
    <row r="2833" spans="1:13" x14ac:dyDescent="0.45">
      <c r="A2833" t="s">
        <v>3378</v>
      </c>
      <c r="B2833" t="s">
        <v>3373</v>
      </c>
      <c r="C2833" t="s">
        <v>3206</v>
      </c>
      <c r="D2833" t="s">
        <v>16</v>
      </c>
      <c r="E2833" t="s">
        <v>110</v>
      </c>
      <c r="F2833">
        <v>1</v>
      </c>
      <c r="G2833">
        <v>153</v>
      </c>
      <c r="H2833">
        <v>16.7</v>
      </c>
      <c r="I2833" t="s">
        <v>44</v>
      </c>
      <c r="J2833">
        <v>8</v>
      </c>
      <c r="K2833" t="s">
        <v>51</v>
      </c>
      <c r="L2833">
        <v>5</v>
      </c>
      <c r="M2833" t="str">
        <f>VLOOKUP(D2833,State_Lookup!$A$2:$B$28,2,FALSE)</f>
        <v>Sao Paulo</v>
      </c>
    </row>
    <row r="2834" spans="1:13" x14ac:dyDescent="0.45">
      <c r="A2834" t="s">
        <v>3379</v>
      </c>
      <c r="B2834" t="s">
        <v>3373</v>
      </c>
      <c r="C2834" t="s">
        <v>3206</v>
      </c>
      <c r="D2834" t="s">
        <v>18</v>
      </c>
      <c r="E2834" t="s">
        <v>69</v>
      </c>
      <c r="F2834">
        <v>2</v>
      </c>
      <c r="G2834">
        <v>99.8</v>
      </c>
      <c r="H2834">
        <v>35.200000000000003</v>
      </c>
      <c r="I2834" t="s">
        <v>44</v>
      </c>
      <c r="J2834">
        <v>13</v>
      </c>
      <c r="K2834" t="s">
        <v>51</v>
      </c>
      <c r="L2834">
        <v>4</v>
      </c>
      <c r="M2834" t="str">
        <f>VLOOKUP(D2834,State_Lookup!$A$2:$B$28,2,FALSE)</f>
        <v>Minas Gerais</v>
      </c>
    </row>
    <row r="2835" spans="1:13" x14ac:dyDescent="0.45">
      <c r="A2835" t="s">
        <v>3380</v>
      </c>
      <c r="B2835" t="s">
        <v>3373</v>
      </c>
      <c r="C2835" t="s">
        <v>3206</v>
      </c>
      <c r="D2835" t="s">
        <v>20</v>
      </c>
      <c r="E2835" t="s">
        <v>103</v>
      </c>
      <c r="F2835">
        <v>1</v>
      </c>
      <c r="G2835">
        <v>109.9</v>
      </c>
      <c r="H2835">
        <v>17.02</v>
      </c>
      <c r="I2835" t="s">
        <v>44</v>
      </c>
      <c r="J2835">
        <v>9</v>
      </c>
      <c r="K2835" t="s">
        <v>51</v>
      </c>
      <c r="L2835">
        <v>5</v>
      </c>
      <c r="M2835" t="str">
        <f>VLOOKUP(D2835,State_Lookup!$A$2:$B$28,2,FALSE)</f>
        <v>Parana</v>
      </c>
    </row>
    <row r="2836" spans="1:13" x14ac:dyDescent="0.45">
      <c r="A2836" t="s">
        <v>3381</v>
      </c>
      <c r="B2836" t="s">
        <v>3373</v>
      </c>
      <c r="C2836" t="s">
        <v>3206</v>
      </c>
      <c r="D2836" t="s">
        <v>25</v>
      </c>
      <c r="E2836" t="s">
        <v>79</v>
      </c>
      <c r="F2836">
        <v>1</v>
      </c>
      <c r="G2836">
        <v>199</v>
      </c>
      <c r="H2836">
        <v>16.14</v>
      </c>
      <c r="I2836" t="s">
        <v>44</v>
      </c>
      <c r="J2836">
        <v>34</v>
      </c>
      <c r="K2836" t="s">
        <v>143</v>
      </c>
      <c r="L2836">
        <v>1</v>
      </c>
      <c r="M2836" t="str">
        <f>VLOOKUP(D2836,State_Lookup!$A$2:$B$28,2,FALSE)</f>
        <v>Goias</v>
      </c>
    </row>
    <row r="2837" spans="1:13" x14ac:dyDescent="0.45">
      <c r="A2837" t="s">
        <v>3382</v>
      </c>
      <c r="B2837" t="s">
        <v>3373</v>
      </c>
      <c r="C2837" t="s">
        <v>3206</v>
      </c>
      <c r="D2837" t="s">
        <v>16</v>
      </c>
      <c r="E2837" t="s">
        <v>53</v>
      </c>
      <c r="F2837">
        <v>1</v>
      </c>
      <c r="G2837">
        <v>109</v>
      </c>
      <c r="H2837">
        <v>16.2</v>
      </c>
      <c r="I2837" t="s">
        <v>44</v>
      </c>
      <c r="J2837">
        <v>8</v>
      </c>
      <c r="K2837" t="s">
        <v>51</v>
      </c>
      <c r="L2837">
        <v>3</v>
      </c>
      <c r="M2837" t="str">
        <f>VLOOKUP(D2837,State_Lookup!$A$2:$B$28,2,FALSE)</f>
        <v>Sao Paulo</v>
      </c>
    </row>
    <row r="2838" spans="1:13" x14ac:dyDescent="0.45">
      <c r="A2838" t="s">
        <v>3383</v>
      </c>
      <c r="B2838" t="s">
        <v>3373</v>
      </c>
      <c r="C2838" t="s">
        <v>3206</v>
      </c>
      <c r="D2838" t="s">
        <v>16</v>
      </c>
      <c r="E2838" t="s">
        <v>61</v>
      </c>
      <c r="F2838">
        <v>1</v>
      </c>
      <c r="G2838">
        <v>74.900000000000006</v>
      </c>
      <c r="H2838">
        <v>12.65</v>
      </c>
      <c r="I2838" t="s">
        <v>44</v>
      </c>
      <c r="J2838">
        <v>13</v>
      </c>
      <c r="K2838" t="s">
        <v>51</v>
      </c>
      <c r="L2838">
        <v>5</v>
      </c>
      <c r="M2838" t="str">
        <f>VLOOKUP(D2838,State_Lookup!$A$2:$B$28,2,FALSE)</f>
        <v>Sao Paulo</v>
      </c>
    </row>
    <row r="2839" spans="1:13" x14ac:dyDescent="0.45">
      <c r="A2839" t="s">
        <v>3384</v>
      </c>
      <c r="B2839" t="s">
        <v>3373</v>
      </c>
      <c r="C2839" t="s">
        <v>3206</v>
      </c>
      <c r="D2839" t="s">
        <v>20</v>
      </c>
      <c r="E2839" t="s">
        <v>43</v>
      </c>
      <c r="F2839">
        <v>1</v>
      </c>
      <c r="G2839">
        <v>44.9</v>
      </c>
      <c r="H2839">
        <v>23.22</v>
      </c>
      <c r="I2839" t="s">
        <v>44</v>
      </c>
      <c r="J2839">
        <v>31</v>
      </c>
      <c r="K2839" t="s">
        <v>51</v>
      </c>
      <c r="L2839">
        <v>4</v>
      </c>
      <c r="M2839" t="str">
        <f>VLOOKUP(D2839,State_Lookup!$A$2:$B$28,2,FALSE)</f>
        <v>Parana</v>
      </c>
    </row>
    <row r="2840" spans="1:13" x14ac:dyDescent="0.45">
      <c r="A2840" t="s">
        <v>3385</v>
      </c>
      <c r="B2840" t="s">
        <v>3386</v>
      </c>
      <c r="C2840" t="s">
        <v>3206</v>
      </c>
      <c r="D2840" t="s">
        <v>16</v>
      </c>
      <c r="E2840" t="s">
        <v>103</v>
      </c>
      <c r="F2840">
        <v>1</v>
      </c>
      <c r="G2840">
        <v>48.9</v>
      </c>
      <c r="H2840">
        <v>9.74</v>
      </c>
      <c r="I2840" t="s">
        <v>44</v>
      </c>
      <c r="J2840">
        <v>5</v>
      </c>
      <c r="K2840" t="s">
        <v>51</v>
      </c>
      <c r="L2840">
        <v>5</v>
      </c>
      <c r="M2840" t="str">
        <f>VLOOKUP(D2840,State_Lookup!$A$2:$B$28,2,FALSE)</f>
        <v>Sao Paulo</v>
      </c>
    </row>
    <row r="2841" spans="1:13" x14ac:dyDescent="0.45">
      <c r="A2841" t="s">
        <v>3387</v>
      </c>
      <c r="B2841" t="s">
        <v>3386</v>
      </c>
      <c r="C2841" t="s">
        <v>3206</v>
      </c>
      <c r="D2841" t="s">
        <v>20</v>
      </c>
      <c r="E2841" t="s">
        <v>142</v>
      </c>
      <c r="F2841">
        <v>1</v>
      </c>
      <c r="G2841">
        <v>73.34</v>
      </c>
      <c r="H2841">
        <v>77.53</v>
      </c>
      <c r="I2841" t="s">
        <v>108</v>
      </c>
      <c r="J2841">
        <v>16</v>
      </c>
      <c r="K2841" t="s">
        <v>51</v>
      </c>
      <c r="L2841">
        <v>5</v>
      </c>
      <c r="M2841" t="str">
        <f>VLOOKUP(D2841,State_Lookup!$A$2:$B$28,2,FALSE)</f>
        <v>Parana</v>
      </c>
    </row>
    <row r="2842" spans="1:13" x14ac:dyDescent="0.45">
      <c r="A2842" t="s">
        <v>3388</v>
      </c>
      <c r="B2842" t="s">
        <v>3386</v>
      </c>
      <c r="C2842" t="s">
        <v>3206</v>
      </c>
      <c r="D2842" t="s">
        <v>20</v>
      </c>
      <c r="E2842" t="s">
        <v>61</v>
      </c>
      <c r="F2842">
        <v>5</v>
      </c>
      <c r="G2842">
        <v>374.5</v>
      </c>
      <c r="H2842">
        <v>63.25</v>
      </c>
      <c r="I2842" t="s">
        <v>44</v>
      </c>
      <c r="J2842">
        <v>14</v>
      </c>
      <c r="K2842" t="s">
        <v>51</v>
      </c>
      <c r="L2842">
        <v>4</v>
      </c>
      <c r="M2842" t="str">
        <f>VLOOKUP(D2842,State_Lookup!$A$2:$B$28,2,FALSE)</f>
        <v>Parana</v>
      </c>
    </row>
    <row r="2843" spans="1:13" x14ac:dyDescent="0.45">
      <c r="A2843" t="s">
        <v>3389</v>
      </c>
      <c r="B2843" t="s">
        <v>3386</v>
      </c>
      <c r="C2843" t="s">
        <v>3206</v>
      </c>
      <c r="D2843" t="s">
        <v>16</v>
      </c>
      <c r="E2843" t="s">
        <v>110</v>
      </c>
      <c r="F2843">
        <v>1</v>
      </c>
      <c r="G2843">
        <v>72.900000000000006</v>
      </c>
      <c r="H2843">
        <v>12.01</v>
      </c>
      <c r="I2843" t="s">
        <v>44</v>
      </c>
      <c r="J2843">
        <v>28</v>
      </c>
      <c r="K2843" t="s">
        <v>143</v>
      </c>
      <c r="L2843">
        <v>1</v>
      </c>
      <c r="M2843" t="str">
        <f>VLOOKUP(D2843,State_Lookup!$A$2:$B$28,2,FALSE)</f>
        <v>Sao Paulo</v>
      </c>
    </row>
    <row r="2844" spans="1:13" x14ac:dyDescent="0.45">
      <c r="A2844" t="s">
        <v>3390</v>
      </c>
      <c r="B2844" t="s">
        <v>3386</v>
      </c>
      <c r="C2844" t="s">
        <v>3206</v>
      </c>
      <c r="D2844" t="s">
        <v>16</v>
      </c>
      <c r="E2844" t="s">
        <v>43</v>
      </c>
      <c r="F2844">
        <v>1</v>
      </c>
      <c r="G2844">
        <v>107.9</v>
      </c>
      <c r="H2844">
        <v>13.78</v>
      </c>
      <c r="I2844" t="s">
        <v>44</v>
      </c>
      <c r="J2844">
        <v>9</v>
      </c>
      <c r="K2844" t="s">
        <v>51</v>
      </c>
      <c r="L2844">
        <v>5</v>
      </c>
      <c r="M2844" t="str">
        <f>VLOOKUP(D2844,State_Lookup!$A$2:$B$28,2,FALSE)</f>
        <v>Sao Paulo</v>
      </c>
    </row>
    <row r="2845" spans="1:13" x14ac:dyDescent="0.45">
      <c r="A2845" t="s">
        <v>3391</v>
      </c>
      <c r="B2845" t="s">
        <v>3386</v>
      </c>
      <c r="C2845" t="s">
        <v>3206</v>
      </c>
      <c r="D2845" t="s">
        <v>21</v>
      </c>
      <c r="E2845" t="s">
        <v>61</v>
      </c>
      <c r="F2845">
        <v>1</v>
      </c>
      <c r="G2845">
        <v>149.9</v>
      </c>
      <c r="H2845">
        <v>27.9</v>
      </c>
      <c r="I2845" t="s">
        <v>50</v>
      </c>
      <c r="J2845">
        <v>27</v>
      </c>
      <c r="K2845" t="s">
        <v>143</v>
      </c>
      <c r="L2845">
        <v>3</v>
      </c>
      <c r="M2845" t="str">
        <f>VLOOKUP(D2845,State_Lookup!$A$2:$B$28,2,FALSE)</f>
        <v>Santa Catarina</v>
      </c>
    </row>
    <row r="2846" spans="1:13" x14ac:dyDescent="0.45">
      <c r="A2846" t="s">
        <v>3392</v>
      </c>
      <c r="B2846" t="s">
        <v>3386</v>
      </c>
      <c r="C2846" t="s">
        <v>3206</v>
      </c>
      <c r="D2846" t="s">
        <v>16</v>
      </c>
      <c r="E2846" t="s">
        <v>132</v>
      </c>
      <c r="F2846">
        <v>1</v>
      </c>
      <c r="G2846">
        <v>35</v>
      </c>
      <c r="H2846">
        <v>7.78</v>
      </c>
      <c r="I2846" t="s">
        <v>44</v>
      </c>
      <c r="J2846">
        <v>7</v>
      </c>
      <c r="K2846" t="s">
        <v>51</v>
      </c>
      <c r="L2846">
        <v>5</v>
      </c>
      <c r="M2846" t="str">
        <f>VLOOKUP(D2846,State_Lookup!$A$2:$B$28,2,FALSE)</f>
        <v>Sao Paulo</v>
      </c>
    </row>
    <row r="2847" spans="1:13" x14ac:dyDescent="0.45">
      <c r="A2847" t="s">
        <v>3393</v>
      </c>
      <c r="B2847" t="s">
        <v>3386</v>
      </c>
      <c r="C2847" t="s">
        <v>3206</v>
      </c>
      <c r="D2847" t="s">
        <v>25</v>
      </c>
      <c r="E2847" t="s">
        <v>79</v>
      </c>
      <c r="F2847">
        <v>1</v>
      </c>
      <c r="G2847">
        <v>59.9</v>
      </c>
      <c r="H2847">
        <v>19.66</v>
      </c>
      <c r="I2847" t="s">
        <v>50</v>
      </c>
      <c r="J2847">
        <v>19</v>
      </c>
      <c r="K2847" t="s">
        <v>51</v>
      </c>
      <c r="L2847">
        <v>4</v>
      </c>
      <c r="M2847" t="str">
        <f>VLOOKUP(D2847,State_Lookup!$A$2:$B$28,2,FALSE)</f>
        <v>Goias</v>
      </c>
    </row>
    <row r="2848" spans="1:13" x14ac:dyDescent="0.45">
      <c r="A2848" t="s">
        <v>3394</v>
      </c>
      <c r="B2848" t="s">
        <v>3386</v>
      </c>
      <c r="C2848" t="s">
        <v>3206</v>
      </c>
      <c r="D2848" t="s">
        <v>672</v>
      </c>
      <c r="E2848" t="s">
        <v>1031</v>
      </c>
      <c r="F2848">
        <v>1</v>
      </c>
      <c r="G2848">
        <v>16.989999999999998</v>
      </c>
      <c r="H2848">
        <v>21.15</v>
      </c>
      <c r="I2848" t="s">
        <v>44</v>
      </c>
      <c r="J2848">
        <v>16</v>
      </c>
      <c r="K2848" t="s">
        <v>51</v>
      </c>
      <c r="L2848">
        <v>1</v>
      </c>
      <c r="M2848" t="str">
        <f>VLOOKUP(D2848,State_Lookup!$A$2:$B$28,2,FALSE)</f>
        <v>Paraiba</v>
      </c>
    </row>
    <row r="2849" spans="1:13" x14ac:dyDescent="0.45">
      <c r="A2849" t="s">
        <v>3395</v>
      </c>
      <c r="B2849" t="s">
        <v>3386</v>
      </c>
      <c r="C2849" t="s">
        <v>3206</v>
      </c>
      <c r="D2849" t="s">
        <v>16</v>
      </c>
      <c r="E2849" t="s">
        <v>61</v>
      </c>
      <c r="F2849">
        <v>1</v>
      </c>
      <c r="G2849">
        <v>69.900000000000006</v>
      </c>
      <c r="H2849">
        <v>12.62</v>
      </c>
      <c r="I2849" t="s">
        <v>44</v>
      </c>
      <c r="J2849">
        <v>18</v>
      </c>
      <c r="K2849" t="s">
        <v>51</v>
      </c>
      <c r="L2849">
        <v>4</v>
      </c>
      <c r="M2849" t="str">
        <f>VLOOKUP(D2849,State_Lookup!$A$2:$B$28,2,FALSE)</f>
        <v>Sao Paulo</v>
      </c>
    </row>
    <row r="2850" spans="1:13" x14ac:dyDescent="0.45">
      <c r="A2850" t="s">
        <v>3396</v>
      </c>
      <c r="B2850" t="s">
        <v>3397</v>
      </c>
      <c r="C2850" t="s">
        <v>3206</v>
      </c>
      <c r="D2850" t="s">
        <v>16</v>
      </c>
      <c r="E2850" t="s">
        <v>79</v>
      </c>
      <c r="F2850">
        <v>1</v>
      </c>
      <c r="G2850">
        <v>23.99</v>
      </c>
      <c r="H2850">
        <v>7.78</v>
      </c>
      <c r="I2850" t="s">
        <v>44</v>
      </c>
      <c r="J2850">
        <v>6</v>
      </c>
      <c r="K2850" t="s">
        <v>51</v>
      </c>
      <c r="L2850">
        <v>4</v>
      </c>
      <c r="M2850" t="str">
        <f>VLOOKUP(D2850,State_Lookup!$A$2:$B$28,2,FALSE)</f>
        <v>Sao Paulo</v>
      </c>
    </row>
    <row r="2851" spans="1:13" x14ac:dyDescent="0.45">
      <c r="A2851" t="s">
        <v>3398</v>
      </c>
      <c r="B2851" t="s">
        <v>3397</v>
      </c>
      <c r="C2851" t="s">
        <v>3206</v>
      </c>
      <c r="D2851" t="s">
        <v>20</v>
      </c>
      <c r="E2851" t="s">
        <v>76</v>
      </c>
      <c r="F2851">
        <v>1</v>
      </c>
      <c r="G2851">
        <v>55</v>
      </c>
      <c r="H2851">
        <v>16.64</v>
      </c>
      <c r="I2851" t="s">
        <v>44</v>
      </c>
      <c r="J2851">
        <v>18</v>
      </c>
      <c r="K2851" t="s">
        <v>51</v>
      </c>
      <c r="L2851">
        <v>5</v>
      </c>
      <c r="M2851" t="str">
        <f>VLOOKUP(D2851,State_Lookup!$A$2:$B$28,2,FALSE)</f>
        <v>Parana</v>
      </c>
    </row>
    <row r="2852" spans="1:13" x14ac:dyDescent="0.45">
      <c r="A2852" t="s">
        <v>3399</v>
      </c>
      <c r="B2852" t="s">
        <v>3397</v>
      </c>
      <c r="C2852" t="s">
        <v>3206</v>
      </c>
      <c r="D2852" t="s">
        <v>22</v>
      </c>
      <c r="E2852" t="s">
        <v>107</v>
      </c>
      <c r="F2852">
        <v>1</v>
      </c>
      <c r="G2852">
        <v>27.9</v>
      </c>
      <c r="H2852">
        <v>16.79</v>
      </c>
      <c r="I2852" t="s">
        <v>44</v>
      </c>
      <c r="J2852">
        <v>15</v>
      </c>
      <c r="K2852" t="s">
        <v>51</v>
      </c>
      <c r="L2852">
        <v>4</v>
      </c>
      <c r="M2852" t="str">
        <f>VLOOKUP(D2852,State_Lookup!$A$2:$B$28,2,FALSE)</f>
        <v>Bahia</v>
      </c>
    </row>
    <row r="2853" spans="1:13" x14ac:dyDescent="0.45">
      <c r="A2853" t="s">
        <v>3400</v>
      </c>
      <c r="B2853" t="s">
        <v>3397</v>
      </c>
      <c r="C2853" t="s">
        <v>3206</v>
      </c>
      <c r="D2853" t="s">
        <v>20</v>
      </c>
      <c r="E2853" t="s">
        <v>43</v>
      </c>
      <c r="F2853">
        <v>1</v>
      </c>
      <c r="G2853">
        <v>48.9</v>
      </c>
      <c r="H2853">
        <v>15.1</v>
      </c>
      <c r="I2853" t="s">
        <v>44</v>
      </c>
      <c r="J2853">
        <v>7</v>
      </c>
      <c r="K2853" t="s">
        <v>51</v>
      </c>
      <c r="L2853">
        <v>4</v>
      </c>
      <c r="M2853" t="str">
        <f>VLOOKUP(D2853,State_Lookup!$A$2:$B$28,2,FALSE)</f>
        <v>Parana</v>
      </c>
    </row>
    <row r="2854" spans="1:13" x14ac:dyDescent="0.45">
      <c r="A2854" t="s">
        <v>3401</v>
      </c>
      <c r="B2854" t="s">
        <v>3397</v>
      </c>
      <c r="C2854" t="s">
        <v>3206</v>
      </c>
      <c r="D2854" t="s">
        <v>16</v>
      </c>
      <c r="E2854" t="s">
        <v>49</v>
      </c>
      <c r="F2854">
        <v>1</v>
      </c>
      <c r="G2854">
        <v>28.7</v>
      </c>
      <c r="H2854">
        <v>14.1</v>
      </c>
      <c r="I2854" t="s">
        <v>50</v>
      </c>
      <c r="J2854">
        <v>11</v>
      </c>
      <c r="K2854" t="s">
        <v>51</v>
      </c>
      <c r="L2854">
        <v>4</v>
      </c>
      <c r="M2854" t="str">
        <f>VLOOKUP(D2854,State_Lookup!$A$2:$B$28,2,FALSE)</f>
        <v>Sao Paulo</v>
      </c>
    </row>
    <row r="2855" spans="1:13" x14ac:dyDescent="0.45">
      <c r="A2855" t="s">
        <v>3402</v>
      </c>
      <c r="B2855" t="s">
        <v>3397</v>
      </c>
      <c r="C2855" t="s">
        <v>3206</v>
      </c>
      <c r="D2855" t="s">
        <v>19</v>
      </c>
      <c r="E2855" t="s">
        <v>199</v>
      </c>
      <c r="F2855">
        <v>1</v>
      </c>
      <c r="G2855">
        <v>227.88</v>
      </c>
      <c r="H2855">
        <v>59.22</v>
      </c>
      <c r="I2855" t="s">
        <v>44</v>
      </c>
      <c r="J2855">
        <v>26</v>
      </c>
      <c r="K2855" t="s">
        <v>51</v>
      </c>
      <c r="L2855">
        <v>5</v>
      </c>
      <c r="M2855" t="str">
        <f>VLOOKUP(D2855,State_Lookup!$A$2:$B$28,2,FALSE)</f>
        <v>Rio Grande do Sul</v>
      </c>
    </row>
    <row r="2856" spans="1:13" x14ac:dyDescent="0.45">
      <c r="A2856" t="s">
        <v>3403</v>
      </c>
      <c r="B2856" t="s">
        <v>3397</v>
      </c>
      <c r="C2856" t="s">
        <v>3206</v>
      </c>
      <c r="D2856" t="s">
        <v>18</v>
      </c>
      <c r="E2856" t="s">
        <v>199</v>
      </c>
      <c r="F2856">
        <v>1</v>
      </c>
      <c r="G2856">
        <v>145.9</v>
      </c>
      <c r="H2856">
        <v>28.4</v>
      </c>
      <c r="I2856" t="s">
        <v>44</v>
      </c>
      <c r="J2856">
        <v>5</v>
      </c>
      <c r="K2856" t="s">
        <v>51</v>
      </c>
      <c r="L2856">
        <v>5</v>
      </c>
      <c r="M2856" t="str">
        <f>VLOOKUP(D2856,State_Lookup!$A$2:$B$28,2,FALSE)</f>
        <v>Minas Gerais</v>
      </c>
    </row>
    <row r="2857" spans="1:13" x14ac:dyDescent="0.45">
      <c r="A2857" t="s">
        <v>3404</v>
      </c>
      <c r="B2857" t="s">
        <v>3397</v>
      </c>
      <c r="C2857" t="s">
        <v>3206</v>
      </c>
      <c r="D2857" t="s">
        <v>16</v>
      </c>
      <c r="E2857" t="s">
        <v>53</v>
      </c>
      <c r="F2857">
        <v>2</v>
      </c>
      <c r="G2857">
        <v>119.98</v>
      </c>
      <c r="H2857">
        <v>17.440000000000001</v>
      </c>
      <c r="I2857" t="s">
        <v>44</v>
      </c>
      <c r="J2857">
        <v>4</v>
      </c>
      <c r="K2857" t="s">
        <v>51</v>
      </c>
      <c r="L2857">
        <v>1</v>
      </c>
      <c r="M2857" t="str">
        <f>VLOOKUP(D2857,State_Lookup!$A$2:$B$28,2,FALSE)</f>
        <v>Sao Paulo</v>
      </c>
    </row>
    <row r="2858" spans="1:13" x14ac:dyDescent="0.45">
      <c r="A2858" t="s">
        <v>3405</v>
      </c>
      <c r="B2858" t="s">
        <v>3397</v>
      </c>
      <c r="C2858" t="s">
        <v>3206</v>
      </c>
      <c r="D2858" t="s">
        <v>16</v>
      </c>
      <c r="E2858" t="s">
        <v>125</v>
      </c>
      <c r="F2858">
        <v>1</v>
      </c>
      <c r="G2858">
        <v>9</v>
      </c>
      <c r="H2858">
        <v>7.78</v>
      </c>
      <c r="I2858" t="s">
        <v>44</v>
      </c>
      <c r="J2858">
        <v>7</v>
      </c>
      <c r="K2858" t="s">
        <v>51</v>
      </c>
      <c r="L2858">
        <v>4</v>
      </c>
      <c r="M2858" t="str">
        <f>VLOOKUP(D2858,State_Lookup!$A$2:$B$28,2,FALSE)</f>
        <v>Sao Paulo</v>
      </c>
    </row>
    <row r="2859" spans="1:13" x14ac:dyDescent="0.45">
      <c r="A2859" t="s">
        <v>3406</v>
      </c>
      <c r="B2859" t="s">
        <v>3407</v>
      </c>
      <c r="C2859" t="s">
        <v>3206</v>
      </c>
      <c r="D2859" t="s">
        <v>24</v>
      </c>
      <c r="E2859" t="s">
        <v>49</v>
      </c>
      <c r="F2859">
        <v>1</v>
      </c>
      <c r="G2859">
        <v>120</v>
      </c>
      <c r="H2859">
        <v>14.59</v>
      </c>
      <c r="I2859" t="s">
        <v>44</v>
      </c>
      <c r="J2859">
        <v>17</v>
      </c>
      <c r="K2859" t="s">
        <v>51</v>
      </c>
      <c r="L2859">
        <v>4</v>
      </c>
      <c r="M2859" t="str">
        <f>VLOOKUP(D2859,State_Lookup!$A$2:$B$28,2,FALSE)</f>
        <v>Distrito Federal</v>
      </c>
    </row>
    <row r="2860" spans="1:13" x14ac:dyDescent="0.45">
      <c r="A2860" t="s">
        <v>3408</v>
      </c>
      <c r="B2860" t="s">
        <v>3407</v>
      </c>
      <c r="C2860" t="s">
        <v>3206</v>
      </c>
      <c r="D2860" t="s">
        <v>17</v>
      </c>
      <c r="E2860" t="s">
        <v>61</v>
      </c>
      <c r="F2860">
        <v>1</v>
      </c>
      <c r="G2860">
        <v>45.22</v>
      </c>
      <c r="H2860">
        <v>18.89</v>
      </c>
      <c r="I2860" t="s">
        <v>44</v>
      </c>
      <c r="J2860">
        <v>59</v>
      </c>
      <c r="K2860" t="s">
        <v>143</v>
      </c>
      <c r="L2860">
        <v>1</v>
      </c>
      <c r="M2860" t="str">
        <f>VLOOKUP(D2860,State_Lookup!$A$2:$B$28,2,FALSE)</f>
        <v>Rio de Janeiro</v>
      </c>
    </row>
    <row r="2861" spans="1:13" x14ac:dyDescent="0.45">
      <c r="A2861" t="s">
        <v>3409</v>
      </c>
      <c r="B2861" t="s">
        <v>3407</v>
      </c>
      <c r="C2861" t="s">
        <v>3206</v>
      </c>
      <c r="D2861" t="s">
        <v>16</v>
      </c>
      <c r="E2861" t="s">
        <v>148</v>
      </c>
      <c r="F2861">
        <v>1</v>
      </c>
      <c r="G2861">
        <v>176.99</v>
      </c>
      <c r="H2861">
        <v>15.99</v>
      </c>
      <c r="I2861" t="s">
        <v>44</v>
      </c>
      <c r="J2861">
        <v>4</v>
      </c>
      <c r="K2861" t="s">
        <v>51</v>
      </c>
      <c r="L2861">
        <v>3</v>
      </c>
      <c r="M2861" t="str">
        <f>VLOOKUP(D2861,State_Lookup!$A$2:$B$28,2,FALSE)</f>
        <v>Sao Paulo</v>
      </c>
    </row>
    <row r="2862" spans="1:13" x14ac:dyDescent="0.45">
      <c r="A2862" t="s">
        <v>3410</v>
      </c>
      <c r="B2862" t="s">
        <v>3407</v>
      </c>
      <c r="C2862" t="s">
        <v>3206</v>
      </c>
      <c r="D2862" t="s">
        <v>18</v>
      </c>
      <c r="E2862" t="s">
        <v>43</v>
      </c>
      <c r="F2862">
        <v>1</v>
      </c>
      <c r="G2862">
        <v>249.9</v>
      </c>
      <c r="H2862">
        <v>41.53</v>
      </c>
      <c r="I2862" t="s">
        <v>44</v>
      </c>
      <c r="J2862">
        <v>11</v>
      </c>
      <c r="K2862" t="s">
        <v>51</v>
      </c>
      <c r="L2862">
        <v>5</v>
      </c>
      <c r="M2862" t="str">
        <f>VLOOKUP(D2862,State_Lookup!$A$2:$B$28,2,FALSE)</f>
        <v>Minas Gerais</v>
      </c>
    </row>
    <row r="2863" spans="1:13" x14ac:dyDescent="0.45">
      <c r="A2863" t="s">
        <v>3411</v>
      </c>
      <c r="B2863" t="s">
        <v>3407</v>
      </c>
      <c r="C2863" t="s">
        <v>3206</v>
      </c>
      <c r="D2863" t="s">
        <v>22</v>
      </c>
      <c r="E2863" t="s">
        <v>110</v>
      </c>
      <c r="F2863">
        <v>1</v>
      </c>
      <c r="G2863">
        <v>49.8</v>
      </c>
      <c r="H2863">
        <v>16.79</v>
      </c>
      <c r="I2863" t="s">
        <v>44</v>
      </c>
      <c r="J2863">
        <v>25</v>
      </c>
      <c r="K2863" t="s">
        <v>51</v>
      </c>
      <c r="L2863">
        <v>5</v>
      </c>
      <c r="M2863" t="str">
        <f>VLOOKUP(D2863,State_Lookup!$A$2:$B$28,2,FALSE)</f>
        <v>Bahia</v>
      </c>
    </row>
    <row r="2864" spans="1:13" x14ac:dyDescent="0.45">
      <c r="A2864" t="s">
        <v>3412</v>
      </c>
      <c r="B2864" t="s">
        <v>3407</v>
      </c>
      <c r="C2864" t="s">
        <v>3206</v>
      </c>
      <c r="D2864" t="s">
        <v>16</v>
      </c>
      <c r="E2864" t="s">
        <v>103</v>
      </c>
      <c r="F2864">
        <v>1</v>
      </c>
      <c r="G2864">
        <v>979</v>
      </c>
      <c r="H2864">
        <v>78.2</v>
      </c>
      <c r="I2864" t="s">
        <v>44</v>
      </c>
      <c r="J2864">
        <v>38</v>
      </c>
      <c r="K2864" t="s">
        <v>143</v>
      </c>
      <c r="L2864">
        <v>1</v>
      </c>
      <c r="M2864" t="str">
        <f>VLOOKUP(D2864,State_Lookup!$A$2:$B$28,2,FALSE)</f>
        <v>Sao Paulo</v>
      </c>
    </row>
    <row r="2865" spans="1:13" x14ac:dyDescent="0.45">
      <c r="A2865" t="s">
        <v>3413</v>
      </c>
      <c r="B2865" t="s">
        <v>3407</v>
      </c>
      <c r="C2865" t="s">
        <v>3206</v>
      </c>
      <c r="D2865" t="s">
        <v>16</v>
      </c>
      <c r="E2865" t="s">
        <v>61</v>
      </c>
      <c r="F2865">
        <v>2</v>
      </c>
      <c r="G2865">
        <v>170.9</v>
      </c>
      <c r="H2865">
        <v>25.46</v>
      </c>
      <c r="I2865" t="s">
        <v>44</v>
      </c>
      <c r="J2865">
        <v>11</v>
      </c>
      <c r="K2865" t="s">
        <v>51</v>
      </c>
      <c r="L2865">
        <v>1</v>
      </c>
      <c r="M2865" t="str">
        <f>VLOOKUP(D2865,State_Lookup!$A$2:$B$28,2,FALSE)</f>
        <v>Sao Paulo</v>
      </c>
    </row>
    <row r="2866" spans="1:13" x14ac:dyDescent="0.45">
      <c r="A2866" t="s">
        <v>3414</v>
      </c>
      <c r="B2866" t="s">
        <v>3407</v>
      </c>
      <c r="C2866" t="s">
        <v>3206</v>
      </c>
      <c r="D2866" t="s">
        <v>63</v>
      </c>
      <c r="E2866" t="s">
        <v>66</v>
      </c>
      <c r="F2866">
        <v>1</v>
      </c>
      <c r="G2866">
        <v>219</v>
      </c>
      <c r="H2866">
        <v>43.56</v>
      </c>
      <c r="I2866" t="s">
        <v>44</v>
      </c>
      <c r="J2866">
        <v>23</v>
      </c>
      <c r="K2866" t="s">
        <v>51</v>
      </c>
      <c r="L2866">
        <v>5</v>
      </c>
      <c r="M2866" t="str">
        <f>VLOOKUP(D2866,State_Lookup!$A$2:$B$28,2,FALSE)</f>
        <v>Pernambuco</v>
      </c>
    </row>
    <row r="2867" spans="1:13" x14ac:dyDescent="0.45">
      <c r="A2867" t="s">
        <v>3415</v>
      </c>
      <c r="B2867" t="s">
        <v>3407</v>
      </c>
      <c r="C2867" t="s">
        <v>3206</v>
      </c>
      <c r="D2867" t="s">
        <v>17</v>
      </c>
      <c r="E2867" t="s">
        <v>125</v>
      </c>
      <c r="F2867">
        <v>1</v>
      </c>
      <c r="G2867">
        <v>21.9</v>
      </c>
      <c r="H2867">
        <v>14.1</v>
      </c>
      <c r="I2867" t="s">
        <v>44</v>
      </c>
      <c r="J2867">
        <v>10</v>
      </c>
      <c r="K2867" t="s">
        <v>51</v>
      </c>
      <c r="L2867">
        <v>5</v>
      </c>
      <c r="M2867" t="str">
        <f>VLOOKUP(D2867,State_Lookup!$A$2:$B$28,2,FALSE)</f>
        <v>Rio de Janeiro</v>
      </c>
    </row>
    <row r="2868" spans="1:13" x14ac:dyDescent="0.45">
      <c r="A2868" t="s">
        <v>3416</v>
      </c>
      <c r="B2868" t="s">
        <v>3407</v>
      </c>
      <c r="C2868" t="s">
        <v>3206</v>
      </c>
      <c r="D2868" t="s">
        <v>21</v>
      </c>
      <c r="E2868" t="s">
        <v>69</v>
      </c>
      <c r="F2868">
        <v>1</v>
      </c>
      <c r="G2868">
        <v>229</v>
      </c>
      <c r="H2868">
        <v>15.47</v>
      </c>
      <c r="I2868" t="s">
        <v>44</v>
      </c>
      <c r="J2868">
        <v>4</v>
      </c>
      <c r="K2868" t="s">
        <v>51</v>
      </c>
      <c r="L2868">
        <v>4</v>
      </c>
      <c r="M2868" t="str">
        <f>VLOOKUP(D2868,State_Lookup!$A$2:$B$28,2,FALSE)</f>
        <v>Santa Catarina</v>
      </c>
    </row>
    <row r="2869" spans="1:13" x14ac:dyDescent="0.45">
      <c r="A2869" t="s">
        <v>3417</v>
      </c>
      <c r="B2869" t="s">
        <v>3407</v>
      </c>
      <c r="C2869" t="s">
        <v>3206</v>
      </c>
      <c r="D2869" t="s">
        <v>16</v>
      </c>
      <c r="E2869" t="s">
        <v>66</v>
      </c>
      <c r="F2869">
        <v>1</v>
      </c>
      <c r="G2869">
        <v>24.99</v>
      </c>
      <c r="H2869">
        <v>7.78</v>
      </c>
      <c r="I2869" t="s">
        <v>44</v>
      </c>
      <c r="J2869">
        <v>27</v>
      </c>
      <c r="K2869" t="s">
        <v>143</v>
      </c>
      <c r="L2869">
        <v>3</v>
      </c>
      <c r="M2869" t="str">
        <f>VLOOKUP(D2869,State_Lookup!$A$2:$B$28,2,FALSE)</f>
        <v>Sao Paulo</v>
      </c>
    </row>
    <row r="2870" spans="1:13" x14ac:dyDescent="0.45">
      <c r="A2870" t="s">
        <v>3418</v>
      </c>
      <c r="B2870" t="s">
        <v>3407</v>
      </c>
      <c r="C2870" t="s">
        <v>3206</v>
      </c>
      <c r="D2870" t="s">
        <v>18</v>
      </c>
      <c r="E2870" t="s">
        <v>61</v>
      </c>
      <c r="F2870">
        <v>2</v>
      </c>
      <c r="G2870">
        <v>189.9</v>
      </c>
      <c r="H2870">
        <v>53.21</v>
      </c>
      <c r="I2870" t="s">
        <v>50</v>
      </c>
      <c r="J2870">
        <v>18</v>
      </c>
      <c r="K2870" t="s">
        <v>51</v>
      </c>
      <c r="L2870">
        <v>4</v>
      </c>
      <c r="M2870" t="str">
        <f>VLOOKUP(D2870,State_Lookup!$A$2:$B$28,2,FALSE)</f>
        <v>Minas Gerais</v>
      </c>
    </row>
    <row r="2871" spans="1:13" x14ac:dyDescent="0.45">
      <c r="A2871" t="s">
        <v>3419</v>
      </c>
      <c r="B2871" t="s">
        <v>3420</v>
      </c>
      <c r="C2871" t="s">
        <v>3206</v>
      </c>
      <c r="D2871" t="s">
        <v>17</v>
      </c>
      <c r="E2871" t="s">
        <v>43</v>
      </c>
      <c r="F2871">
        <v>1</v>
      </c>
      <c r="G2871">
        <v>79.989999999999995</v>
      </c>
      <c r="H2871">
        <v>17.809999999999999</v>
      </c>
      <c r="I2871" t="s">
        <v>44</v>
      </c>
      <c r="J2871">
        <v>65</v>
      </c>
      <c r="K2871" t="s">
        <v>143</v>
      </c>
      <c r="L2871">
        <v>1</v>
      </c>
      <c r="M2871" t="str">
        <f>VLOOKUP(D2871,State_Lookup!$A$2:$B$28,2,FALSE)</f>
        <v>Rio de Janeiro</v>
      </c>
    </row>
    <row r="2872" spans="1:13" x14ac:dyDescent="0.45">
      <c r="A2872" t="s">
        <v>3421</v>
      </c>
      <c r="B2872" t="s">
        <v>3420</v>
      </c>
      <c r="C2872" t="s">
        <v>3206</v>
      </c>
      <c r="D2872" t="s">
        <v>16</v>
      </c>
      <c r="E2872" t="s">
        <v>142</v>
      </c>
      <c r="F2872">
        <v>1</v>
      </c>
      <c r="G2872">
        <v>58.9</v>
      </c>
      <c r="H2872">
        <v>14.13</v>
      </c>
      <c r="I2872" t="s">
        <v>44</v>
      </c>
      <c r="J2872">
        <v>4</v>
      </c>
      <c r="K2872" t="s">
        <v>51</v>
      </c>
      <c r="L2872">
        <v>5</v>
      </c>
      <c r="M2872" t="str">
        <f>VLOOKUP(D2872,State_Lookup!$A$2:$B$28,2,FALSE)</f>
        <v>Sao Paulo</v>
      </c>
    </row>
    <row r="2873" spans="1:13" x14ac:dyDescent="0.45">
      <c r="A2873" t="s">
        <v>3422</v>
      </c>
      <c r="B2873" t="s">
        <v>3420</v>
      </c>
      <c r="C2873" t="s">
        <v>3206</v>
      </c>
      <c r="D2873" t="s">
        <v>16</v>
      </c>
      <c r="E2873" t="s">
        <v>69</v>
      </c>
      <c r="F2873">
        <v>1</v>
      </c>
      <c r="G2873">
        <v>179</v>
      </c>
      <c r="H2873">
        <v>45.71</v>
      </c>
      <c r="I2873" t="s">
        <v>50</v>
      </c>
      <c r="K2873" t="s">
        <v>45</v>
      </c>
      <c r="L2873">
        <v>1</v>
      </c>
      <c r="M2873" t="str">
        <f>VLOOKUP(D2873,State_Lookup!$A$2:$B$28,2,FALSE)</f>
        <v>Sao Paulo</v>
      </c>
    </row>
    <row r="2874" spans="1:13" x14ac:dyDescent="0.45">
      <c r="A2874" t="s">
        <v>3423</v>
      </c>
      <c r="B2874" t="s">
        <v>3420</v>
      </c>
      <c r="C2874" t="s">
        <v>3206</v>
      </c>
      <c r="D2874" t="s">
        <v>22</v>
      </c>
      <c r="E2874" t="s">
        <v>66</v>
      </c>
      <c r="F2874">
        <v>1</v>
      </c>
      <c r="G2874">
        <v>29.99</v>
      </c>
      <c r="H2874">
        <v>16.79</v>
      </c>
      <c r="I2874" t="s">
        <v>44</v>
      </c>
      <c r="J2874">
        <v>18</v>
      </c>
      <c r="K2874" t="s">
        <v>51</v>
      </c>
      <c r="L2874">
        <v>5</v>
      </c>
      <c r="M2874" t="str">
        <f>VLOOKUP(D2874,State_Lookup!$A$2:$B$28,2,FALSE)</f>
        <v>Bahia</v>
      </c>
    </row>
    <row r="2875" spans="1:13" x14ac:dyDescent="0.45">
      <c r="A2875" t="s">
        <v>3424</v>
      </c>
      <c r="B2875" t="s">
        <v>3420</v>
      </c>
      <c r="C2875" t="s">
        <v>3206</v>
      </c>
      <c r="D2875" t="s">
        <v>20</v>
      </c>
      <c r="E2875" t="s">
        <v>142</v>
      </c>
      <c r="F2875">
        <v>1</v>
      </c>
      <c r="G2875">
        <v>97</v>
      </c>
      <c r="H2875">
        <v>16.440000000000001</v>
      </c>
      <c r="I2875" t="s">
        <v>50</v>
      </c>
      <c r="J2875">
        <v>38</v>
      </c>
      <c r="K2875" t="s">
        <v>143</v>
      </c>
      <c r="L2875">
        <v>1</v>
      </c>
      <c r="M2875" t="str">
        <f>VLOOKUP(D2875,State_Lookup!$A$2:$B$28,2,FALSE)</f>
        <v>Parana</v>
      </c>
    </row>
    <row r="2876" spans="1:13" x14ac:dyDescent="0.45">
      <c r="A2876" t="s">
        <v>3425</v>
      </c>
      <c r="B2876" t="s">
        <v>3420</v>
      </c>
      <c r="C2876" t="s">
        <v>3206</v>
      </c>
      <c r="D2876" t="s">
        <v>16</v>
      </c>
      <c r="E2876" t="s">
        <v>142</v>
      </c>
      <c r="F2876">
        <v>1</v>
      </c>
      <c r="G2876">
        <v>120</v>
      </c>
      <c r="H2876">
        <v>17.55</v>
      </c>
      <c r="I2876" t="s">
        <v>44</v>
      </c>
      <c r="J2876">
        <v>16</v>
      </c>
      <c r="K2876" t="s">
        <v>51</v>
      </c>
      <c r="L2876">
        <v>3</v>
      </c>
      <c r="M2876" t="str">
        <f>VLOOKUP(D2876,State_Lookup!$A$2:$B$28,2,FALSE)</f>
        <v>Sao Paulo</v>
      </c>
    </row>
    <row r="2877" spans="1:13" x14ac:dyDescent="0.45">
      <c r="A2877" t="s">
        <v>3426</v>
      </c>
      <c r="B2877" t="s">
        <v>3420</v>
      </c>
      <c r="C2877" t="s">
        <v>3206</v>
      </c>
      <c r="D2877" t="s">
        <v>16</v>
      </c>
      <c r="E2877" t="s">
        <v>110</v>
      </c>
      <c r="F2877">
        <v>1</v>
      </c>
      <c r="G2877">
        <v>86.7</v>
      </c>
      <c r="H2877">
        <v>17.86</v>
      </c>
      <c r="I2877" t="s">
        <v>44</v>
      </c>
      <c r="J2877">
        <v>16</v>
      </c>
      <c r="K2877" t="s">
        <v>51</v>
      </c>
      <c r="L2877">
        <v>5</v>
      </c>
      <c r="M2877" t="str">
        <f>VLOOKUP(D2877,State_Lookup!$A$2:$B$28,2,FALSE)</f>
        <v>Sao Paulo</v>
      </c>
    </row>
    <row r="2878" spans="1:13" x14ac:dyDescent="0.45">
      <c r="A2878" t="s">
        <v>3427</v>
      </c>
      <c r="B2878" t="s">
        <v>3420</v>
      </c>
      <c r="C2878" t="s">
        <v>3206</v>
      </c>
      <c r="D2878" t="s">
        <v>16</v>
      </c>
      <c r="E2878" t="s">
        <v>192</v>
      </c>
      <c r="F2878">
        <v>1</v>
      </c>
      <c r="G2878">
        <v>105</v>
      </c>
      <c r="H2878">
        <v>30.57</v>
      </c>
      <c r="I2878" t="s">
        <v>50</v>
      </c>
      <c r="J2878">
        <v>6</v>
      </c>
      <c r="K2878" t="s">
        <v>51</v>
      </c>
      <c r="L2878">
        <v>5</v>
      </c>
      <c r="M2878" t="str">
        <f>VLOOKUP(D2878,State_Lookup!$A$2:$B$28,2,FALSE)</f>
        <v>Sao Paulo</v>
      </c>
    </row>
    <row r="2879" spans="1:13" x14ac:dyDescent="0.45">
      <c r="A2879" t="s">
        <v>3428</v>
      </c>
      <c r="B2879" t="s">
        <v>3420</v>
      </c>
      <c r="C2879" t="s">
        <v>3206</v>
      </c>
      <c r="D2879" t="s">
        <v>16</v>
      </c>
      <c r="E2879" t="s">
        <v>64</v>
      </c>
      <c r="F2879">
        <v>1</v>
      </c>
      <c r="G2879">
        <v>79.989999999999995</v>
      </c>
      <c r="H2879">
        <v>9.3699999999999992</v>
      </c>
      <c r="I2879" t="s">
        <v>44</v>
      </c>
      <c r="J2879">
        <v>9</v>
      </c>
      <c r="K2879" t="s">
        <v>51</v>
      </c>
      <c r="L2879">
        <v>5</v>
      </c>
      <c r="M2879" t="str">
        <f>VLOOKUP(D2879,State_Lookup!$A$2:$B$28,2,FALSE)</f>
        <v>Sao Paulo</v>
      </c>
    </row>
    <row r="2880" spans="1:13" x14ac:dyDescent="0.45">
      <c r="A2880" t="s">
        <v>3429</v>
      </c>
      <c r="B2880" t="s">
        <v>3430</v>
      </c>
      <c r="C2880" t="s">
        <v>3206</v>
      </c>
      <c r="D2880" t="s">
        <v>16</v>
      </c>
      <c r="E2880" t="s">
        <v>481</v>
      </c>
      <c r="F2880">
        <v>1</v>
      </c>
      <c r="G2880">
        <v>53.49</v>
      </c>
      <c r="H2880">
        <v>8.7200000000000006</v>
      </c>
      <c r="I2880" t="s">
        <v>44</v>
      </c>
      <c r="J2880">
        <v>9</v>
      </c>
      <c r="K2880" t="s">
        <v>51</v>
      </c>
      <c r="L2880">
        <v>4</v>
      </c>
      <c r="M2880" t="str">
        <f>VLOOKUP(D2880,State_Lookup!$A$2:$B$28,2,FALSE)</f>
        <v>Sao Paulo</v>
      </c>
    </row>
    <row r="2881" spans="1:13" x14ac:dyDescent="0.45">
      <c r="A2881" t="s">
        <v>3431</v>
      </c>
      <c r="B2881" t="s">
        <v>3430</v>
      </c>
      <c r="C2881" t="s">
        <v>3206</v>
      </c>
      <c r="D2881" t="s">
        <v>17</v>
      </c>
      <c r="E2881" t="s">
        <v>125</v>
      </c>
      <c r="F2881">
        <v>1</v>
      </c>
      <c r="G2881">
        <v>19.899999999999999</v>
      </c>
      <c r="H2881">
        <v>16.79</v>
      </c>
      <c r="I2881" t="s">
        <v>44</v>
      </c>
      <c r="J2881">
        <v>23</v>
      </c>
      <c r="K2881" t="s">
        <v>51</v>
      </c>
      <c r="L2881">
        <v>5</v>
      </c>
      <c r="M2881" t="str">
        <f>VLOOKUP(D2881,State_Lookup!$A$2:$B$28,2,FALSE)</f>
        <v>Rio de Janeiro</v>
      </c>
    </row>
    <row r="2882" spans="1:13" x14ac:dyDescent="0.45">
      <c r="A2882" t="s">
        <v>3432</v>
      </c>
      <c r="B2882" t="s">
        <v>3430</v>
      </c>
      <c r="C2882" t="s">
        <v>3206</v>
      </c>
      <c r="D2882" t="s">
        <v>17</v>
      </c>
      <c r="E2882" t="s">
        <v>125</v>
      </c>
      <c r="F2882">
        <v>1</v>
      </c>
      <c r="G2882">
        <v>356</v>
      </c>
      <c r="H2882">
        <v>18.25</v>
      </c>
      <c r="I2882" t="s">
        <v>44</v>
      </c>
      <c r="J2882">
        <v>12</v>
      </c>
      <c r="K2882" t="s">
        <v>51</v>
      </c>
      <c r="L2882">
        <v>5</v>
      </c>
      <c r="M2882" t="str">
        <f>VLOOKUP(D2882,State_Lookup!$A$2:$B$28,2,FALSE)</f>
        <v>Rio de Janeiro</v>
      </c>
    </row>
    <row r="2883" spans="1:13" x14ac:dyDescent="0.45">
      <c r="A2883" t="s">
        <v>3433</v>
      </c>
      <c r="B2883" t="s">
        <v>3430</v>
      </c>
      <c r="C2883" t="s">
        <v>3206</v>
      </c>
      <c r="D2883" t="s">
        <v>16</v>
      </c>
      <c r="E2883" t="s">
        <v>49</v>
      </c>
      <c r="F2883">
        <v>1</v>
      </c>
      <c r="G2883">
        <v>59.9</v>
      </c>
      <c r="H2883">
        <v>16.18</v>
      </c>
      <c r="I2883" t="s">
        <v>44</v>
      </c>
      <c r="J2883">
        <v>9</v>
      </c>
      <c r="K2883" t="s">
        <v>51</v>
      </c>
      <c r="L2883">
        <v>4</v>
      </c>
      <c r="M2883" t="str">
        <f>VLOOKUP(D2883,State_Lookup!$A$2:$B$28,2,FALSE)</f>
        <v>Sao Paulo</v>
      </c>
    </row>
    <row r="2884" spans="1:13" x14ac:dyDescent="0.45">
      <c r="A2884" t="s">
        <v>3434</v>
      </c>
      <c r="B2884" t="s">
        <v>3430</v>
      </c>
      <c r="C2884" t="s">
        <v>3206</v>
      </c>
      <c r="D2884" t="s">
        <v>16</v>
      </c>
      <c r="E2884" t="s">
        <v>125</v>
      </c>
      <c r="F2884">
        <v>1</v>
      </c>
      <c r="G2884">
        <v>18.899999999999999</v>
      </c>
      <c r="H2884">
        <v>12.48</v>
      </c>
      <c r="I2884" t="s">
        <v>44</v>
      </c>
      <c r="J2884">
        <v>15</v>
      </c>
      <c r="K2884" t="s">
        <v>51</v>
      </c>
      <c r="L2884">
        <v>4</v>
      </c>
      <c r="M2884" t="str">
        <f>VLOOKUP(D2884,State_Lookup!$A$2:$B$28,2,FALSE)</f>
        <v>Sao Paulo</v>
      </c>
    </row>
    <row r="2885" spans="1:13" x14ac:dyDescent="0.45">
      <c r="A2885" t="s">
        <v>3435</v>
      </c>
      <c r="B2885" t="s">
        <v>3430</v>
      </c>
      <c r="C2885" t="s">
        <v>3206</v>
      </c>
      <c r="D2885" t="s">
        <v>16</v>
      </c>
      <c r="E2885" t="s">
        <v>199</v>
      </c>
      <c r="F2885">
        <v>1</v>
      </c>
      <c r="G2885">
        <v>157.77000000000001</v>
      </c>
      <c r="H2885">
        <v>9.3000000000000007</v>
      </c>
      <c r="I2885" t="s">
        <v>44</v>
      </c>
      <c r="J2885">
        <v>2</v>
      </c>
      <c r="K2885" t="s">
        <v>51</v>
      </c>
      <c r="L2885">
        <v>5</v>
      </c>
      <c r="M2885" t="str">
        <f>VLOOKUP(D2885,State_Lookup!$A$2:$B$28,2,FALSE)</f>
        <v>Sao Paulo</v>
      </c>
    </row>
    <row r="2886" spans="1:13" x14ac:dyDescent="0.45">
      <c r="A2886" t="s">
        <v>3436</v>
      </c>
      <c r="B2886" t="s">
        <v>3430</v>
      </c>
      <c r="C2886" t="s">
        <v>3206</v>
      </c>
      <c r="D2886" t="s">
        <v>16</v>
      </c>
      <c r="E2886" t="s">
        <v>110</v>
      </c>
      <c r="F2886">
        <v>1</v>
      </c>
      <c r="G2886">
        <v>36.99</v>
      </c>
      <c r="H2886">
        <v>11.85</v>
      </c>
      <c r="I2886" t="s">
        <v>44</v>
      </c>
      <c r="J2886">
        <v>7</v>
      </c>
      <c r="K2886" t="s">
        <v>51</v>
      </c>
      <c r="L2886">
        <v>4</v>
      </c>
      <c r="M2886" t="str">
        <f>VLOOKUP(D2886,State_Lookup!$A$2:$B$28,2,FALSE)</f>
        <v>Sao Paulo</v>
      </c>
    </row>
    <row r="2887" spans="1:13" x14ac:dyDescent="0.45">
      <c r="A2887" t="s">
        <v>3437</v>
      </c>
      <c r="B2887" t="s">
        <v>3430</v>
      </c>
      <c r="C2887" t="s">
        <v>3206</v>
      </c>
      <c r="D2887" t="s">
        <v>17</v>
      </c>
      <c r="E2887" t="s">
        <v>125</v>
      </c>
      <c r="F2887">
        <v>1</v>
      </c>
      <c r="G2887">
        <v>199.9</v>
      </c>
      <c r="H2887">
        <v>41.79</v>
      </c>
      <c r="I2887" t="s">
        <v>44</v>
      </c>
      <c r="J2887">
        <v>11</v>
      </c>
      <c r="K2887" t="s">
        <v>51</v>
      </c>
      <c r="L2887">
        <v>5</v>
      </c>
      <c r="M2887" t="str">
        <f>VLOOKUP(D2887,State_Lookup!$A$2:$B$28,2,FALSE)</f>
        <v>Rio de Janeiro</v>
      </c>
    </row>
    <row r="2888" spans="1:13" x14ac:dyDescent="0.45">
      <c r="A2888" t="s">
        <v>3438</v>
      </c>
      <c r="B2888" t="s">
        <v>3439</v>
      </c>
      <c r="C2888" t="s">
        <v>3206</v>
      </c>
      <c r="D2888" t="s">
        <v>16</v>
      </c>
      <c r="E2888" t="s">
        <v>61</v>
      </c>
      <c r="F2888">
        <v>1</v>
      </c>
      <c r="G2888">
        <v>31.9</v>
      </c>
      <c r="H2888">
        <v>14.1</v>
      </c>
      <c r="I2888" t="s">
        <v>44</v>
      </c>
      <c r="J2888">
        <v>13</v>
      </c>
      <c r="K2888" t="s">
        <v>51</v>
      </c>
      <c r="L2888">
        <v>5</v>
      </c>
      <c r="M2888" t="str">
        <f>VLOOKUP(D2888,State_Lookup!$A$2:$B$28,2,FALSE)</f>
        <v>Sao Paulo</v>
      </c>
    </row>
    <row r="2889" spans="1:13" x14ac:dyDescent="0.45">
      <c r="A2889" t="s">
        <v>3440</v>
      </c>
      <c r="B2889" t="s">
        <v>3439</v>
      </c>
      <c r="C2889" t="s">
        <v>3206</v>
      </c>
      <c r="D2889" t="s">
        <v>16</v>
      </c>
      <c r="E2889" t="s">
        <v>142</v>
      </c>
      <c r="F2889">
        <v>2</v>
      </c>
      <c r="G2889">
        <v>29</v>
      </c>
      <c r="H2889">
        <v>23.46</v>
      </c>
      <c r="I2889" t="s">
        <v>44</v>
      </c>
      <c r="J2889">
        <v>9</v>
      </c>
      <c r="K2889" t="s">
        <v>51</v>
      </c>
      <c r="L2889">
        <v>5</v>
      </c>
      <c r="M2889" t="str">
        <f>VLOOKUP(D2889,State_Lookup!$A$2:$B$28,2,FALSE)</f>
        <v>Sao Paulo</v>
      </c>
    </row>
    <row r="2890" spans="1:13" x14ac:dyDescent="0.45">
      <c r="A2890" t="s">
        <v>3441</v>
      </c>
      <c r="B2890" t="s">
        <v>3439</v>
      </c>
      <c r="C2890" t="s">
        <v>3206</v>
      </c>
      <c r="D2890" t="s">
        <v>17</v>
      </c>
      <c r="E2890" t="s">
        <v>61</v>
      </c>
      <c r="F2890">
        <v>1</v>
      </c>
      <c r="G2890">
        <v>68.900000000000006</v>
      </c>
      <c r="H2890">
        <v>16.920000000000002</v>
      </c>
      <c r="I2890" t="s">
        <v>44</v>
      </c>
      <c r="J2890">
        <v>35</v>
      </c>
      <c r="K2890" t="s">
        <v>143</v>
      </c>
      <c r="L2890">
        <v>1</v>
      </c>
      <c r="M2890" t="str">
        <f>VLOOKUP(D2890,State_Lookup!$A$2:$B$28,2,FALSE)</f>
        <v>Rio de Janeiro</v>
      </c>
    </row>
    <row r="2891" spans="1:13" x14ac:dyDescent="0.45">
      <c r="A2891" t="s">
        <v>3442</v>
      </c>
      <c r="B2891" t="s">
        <v>3439</v>
      </c>
      <c r="C2891" t="s">
        <v>3206</v>
      </c>
      <c r="D2891" t="s">
        <v>16</v>
      </c>
      <c r="E2891" t="s">
        <v>49</v>
      </c>
      <c r="F2891">
        <v>1</v>
      </c>
      <c r="G2891">
        <v>29</v>
      </c>
      <c r="H2891">
        <v>9.27</v>
      </c>
      <c r="I2891" t="s">
        <v>50</v>
      </c>
      <c r="J2891">
        <v>15</v>
      </c>
      <c r="K2891" t="s">
        <v>143</v>
      </c>
      <c r="L2891">
        <v>5</v>
      </c>
      <c r="M2891" t="str">
        <f>VLOOKUP(D2891,State_Lookup!$A$2:$B$28,2,FALSE)</f>
        <v>Sao Paulo</v>
      </c>
    </row>
    <row r="2892" spans="1:13" x14ac:dyDescent="0.45">
      <c r="A2892" t="s">
        <v>3443</v>
      </c>
      <c r="B2892" t="s">
        <v>3439</v>
      </c>
      <c r="C2892" t="s">
        <v>3206</v>
      </c>
      <c r="D2892" t="s">
        <v>17</v>
      </c>
      <c r="E2892" t="s">
        <v>49</v>
      </c>
      <c r="F2892">
        <v>1</v>
      </c>
      <c r="G2892">
        <v>104.9</v>
      </c>
      <c r="H2892">
        <v>16.489999999999998</v>
      </c>
      <c r="I2892" t="s">
        <v>44</v>
      </c>
      <c r="J2892">
        <v>10</v>
      </c>
      <c r="K2892" t="s">
        <v>51</v>
      </c>
      <c r="L2892">
        <v>1</v>
      </c>
      <c r="M2892" t="str">
        <f>VLOOKUP(D2892,State_Lookup!$A$2:$B$28,2,FALSE)</f>
        <v>Rio de Janeiro</v>
      </c>
    </row>
    <row r="2893" spans="1:13" x14ac:dyDescent="0.45">
      <c r="A2893" t="s">
        <v>3444</v>
      </c>
      <c r="B2893" t="s">
        <v>3439</v>
      </c>
      <c r="C2893" t="s">
        <v>3206</v>
      </c>
      <c r="D2893" t="s">
        <v>18</v>
      </c>
      <c r="E2893" t="s">
        <v>148</v>
      </c>
      <c r="F2893">
        <v>1</v>
      </c>
      <c r="G2893">
        <v>144.99</v>
      </c>
      <c r="H2893">
        <v>18.260000000000002</v>
      </c>
      <c r="I2893" t="s">
        <v>44</v>
      </c>
      <c r="J2893">
        <v>14</v>
      </c>
      <c r="K2893" t="s">
        <v>51</v>
      </c>
      <c r="L2893">
        <v>5</v>
      </c>
      <c r="M2893" t="str">
        <f>VLOOKUP(D2893,State_Lookup!$A$2:$B$28,2,FALSE)</f>
        <v>Minas Gerais</v>
      </c>
    </row>
    <row r="2894" spans="1:13" x14ac:dyDescent="0.45">
      <c r="A2894" t="s">
        <v>3445</v>
      </c>
      <c r="B2894" t="s">
        <v>3439</v>
      </c>
      <c r="C2894" t="s">
        <v>3206</v>
      </c>
      <c r="D2894" t="s">
        <v>17</v>
      </c>
      <c r="E2894" t="s">
        <v>61</v>
      </c>
      <c r="F2894">
        <v>1</v>
      </c>
      <c r="G2894">
        <v>149</v>
      </c>
      <c r="H2894">
        <v>40.369999999999997</v>
      </c>
      <c r="I2894" t="s">
        <v>44</v>
      </c>
      <c r="J2894">
        <v>15</v>
      </c>
      <c r="K2894" t="s">
        <v>51</v>
      </c>
      <c r="L2894">
        <v>5</v>
      </c>
      <c r="M2894" t="str">
        <f>VLOOKUP(D2894,State_Lookup!$A$2:$B$28,2,FALSE)</f>
        <v>Rio de Janeiro</v>
      </c>
    </row>
    <row r="2895" spans="1:13" x14ac:dyDescent="0.45">
      <c r="A2895" t="s">
        <v>3446</v>
      </c>
      <c r="B2895" t="s">
        <v>3439</v>
      </c>
      <c r="C2895" t="s">
        <v>3206</v>
      </c>
      <c r="D2895" t="s">
        <v>21</v>
      </c>
      <c r="E2895" t="s">
        <v>49</v>
      </c>
      <c r="F2895">
        <v>1</v>
      </c>
      <c r="G2895">
        <v>44.9</v>
      </c>
      <c r="H2895">
        <v>15.1</v>
      </c>
      <c r="I2895" t="s">
        <v>50</v>
      </c>
      <c r="J2895">
        <v>14</v>
      </c>
      <c r="K2895" t="s">
        <v>51</v>
      </c>
      <c r="L2895">
        <v>5</v>
      </c>
      <c r="M2895" t="str">
        <f>VLOOKUP(D2895,State_Lookup!$A$2:$B$28,2,FALSE)</f>
        <v>Santa Catarina</v>
      </c>
    </row>
    <row r="2896" spans="1:13" x14ac:dyDescent="0.45">
      <c r="A2896" t="s">
        <v>3447</v>
      </c>
      <c r="B2896" t="s">
        <v>3439</v>
      </c>
      <c r="C2896" t="s">
        <v>3206</v>
      </c>
      <c r="D2896" t="s">
        <v>16</v>
      </c>
      <c r="E2896" t="s">
        <v>110</v>
      </c>
      <c r="F2896">
        <v>1</v>
      </c>
      <c r="G2896">
        <v>53</v>
      </c>
      <c r="H2896">
        <v>12.71</v>
      </c>
      <c r="I2896" t="s">
        <v>50</v>
      </c>
      <c r="J2896">
        <v>14</v>
      </c>
      <c r="K2896" t="s">
        <v>51</v>
      </c>
      <c r="L2896">
        <v>2</v>
      </c>
      <c r="M2896" t="str">
        <f>VLOOKUP(D2896,State_Lookup!$A$2:$B$28,2,FALSE)</f>
        <v>Sao Paulo</v>
      </c>
    </row>
    <row r="2897" spans="1:13" x14ac:dyDescent="0.45">
      <c r="A2897" t="s">
        <v>3448</v>
      </c>
      <c r="B2897" t="s">
        <v>3439</v>
      </c>
      <c r="C2897" t="s">
        <v>3206</v>
      </c>
      <c r="D2897" t="s">
        <v>16</v>
      </c>
      <c r="E2897" t="s">
        <v>302</v>
      </c>
      <c r="F2897">
        <v>1</v>
      </c>
      <c r="G2897">
        <v>129.9</v>
      </c>
      <c r="H2897">
        <v>13.93</v>
      </c>
      <c r="I2897" t="s">
        <v>44</v>
      </c>
      <c r="J2897">
        <v>8</v>
      </c>
      <c r="K2897" t="s">
        <v>51</v>
      </c>
      <c r="L2897">
        <v>4</v>
      </c>
      <c r="M2897" t="str">
        <f>VLOOKUP(D2897,State_Lookup!$A$2:$B$28,2,FALSE)</f>
        <v>Sao Paulo</v>
      </c>
    </row>
    <row r="2898" spans="1:13" x14ac:dyDescent="0.45">
      <c r="A2898" t="s">
        <v>3449</v>
      </c>
      <c r="B2898" t="s">
        <v>3439</v>
      </c>
      <c r="C2898" t="s">
        <v>3206</v>
      </c>
      <c r="D2898" t="s">
        <v>18</v>
      </c>
      <c r="E2898" t="s">
        <v>152</v>
      </c>
      <c r="F2898">
        <v>1</v>
      </c>
      <c r="G2898">
        <v>104.97</v>
      </c>
      <c r="H2898">
        <v>14.48</v>
      </c>
      <c r="I2898" t="s">
        <v>44</v>
      </c>
      <c r="J2898">
        <v>28</v>
      </c>
      <c r="K2898" t="s">
        <v>143</v>
      </c>
      <c r="L2898">
        <v>2</v>
      </c>
      <c r="M2898" t="str">
        <f>VLOOKUP(D2898,State_Lookup!$A$2:$B$28,2,FALSE)</f>
        <v>Minas Gerais</v>
      </c>
    </row>
    <row r="2899" spans="1:13" x14ac:dyDescent="0.45">
      <c r="A2899" t="s">
        <v>3450</v>
      </c>
      <c r="B2899" t="s">
        <v>3439</v>
      </c>
      <c r="C2899" t="s">
        <v>3206</v>
      </c>
      <c r="D2899" t="s">
        <v>22</v>
      </c>
      <c r="E2899" t="s">
        <v>61</v>
      </c>
      <c r="F2899">
        <v>1</v>
      </c>
      <c r="G2899">
        <v>46.9</v>
      </c>
      <c r="H2899">
        <v>16.79</v>
      </c>
      <c r="I2899" t="s">
        <v>44</v>
      </c>
      <c r="K2899" t="s">
        <v>45</v>
      </c>
      <c r="L2899">
        <v>1</v>
      </c>
      <c r="M2899" t="str">
        <f>VLOOKUP(D2899,State_Lookup!$A$2:$B$28,2,FALSE)</f>
        <v>Bahia</v>
      </c>
    </row>
    <row r="2900" spans="1:13" x14ac:dyDescent="0.45">
      <c r="A2900" t="s">
        <v>3451</v>
      </c>
      <c r="B2900" t="s">
        <v>3439</v>
      </c>
      <c r="C2900" t="s">
        <v>3206</v>
      </c>
      <c r="D2900" t="s">
        <v>24</v>
      </c>
      <c r="E2900" t="s">
        <v>61</v>
      </c>
      <c r="F2900">
        <v>1</v>
      </c>
      <c r="G2900">
        <v>74.900000000000006</v>
      </c>
      <c r="H2900">
        <v>14.27</v>
      </c>
      <c r="I2900" t="s">
        <v>44</v>
      </c>
      <c r="J2900">
        <v>15</v>
      </c>
      <c r="K2900" t="s">
        <v>51</v>
      </c>
      <c r="L2900">
        <v>5</v>
      </c>
      <c r="M2900" t="str">
        <f>VLOOKUP(D2900,State_Lookup!$A$2:$B$28,2,FALSE)</f>
        <v>Distrito Federal</v>
      </c>
    </row>
    <row r="2901" spans="1:13" x14ac:dyDescent="0.45">
      <c r="A2901" t="s">
        <v>3452</v>
      </c>
      <c r="B2901" t="s">
        <v>3439</v>
      </c>
      <c r="C2901" t="s">
        <v>3206</v>
      </c>
      <c r="D2901" t="s">
        <v>16</v>
      </c>
      <c r="E2901" t="s">
        <v>66</v>
      </c>
      <c r="F2901">
        <v>1</v>
      </c>
      <c r="G2901">
        <v>29.98</v>
      </c>
      <c r="H2901">
        <v>7.78</v>
      </c>
      <c r="I2901" t="s">
        <v>50</v>
      </c>
      <c r="J2901">
        <v>4</v>
      </c>
      <c r="K2901" t="s">
        <v>51</v>
      </c>
      <c r="L2901">
        <v>4</v>
      </c>
      <c r="M2901" t="str">
        <f>VLOOKUP(D2901,State_Lookup!$A$2:$B$28,2,FALSE)</f>
        <v>Sao Paulo</v>
      </c>
    </row>
    <row r="2902" spans="1:13" x14ac:dyDescent="0.45">
      <c r="A2902" t="s">
        <v>3453</v>
      </c>
      <c r="B2902" t="s">
        <v>3439</v>
      </c>
      <c r="C2902" t="s">
        <v>3206</v>
      </c>
      <c r="D2902" t="s">
        <v>17</v>
      </c>
      <c r="E2902" t="s">
        <v>103</v>
      </c>
      <c r="F2902">
        <v>1</v>
      </c>
      <c r="G2902">
        <v>134.9</v>
      </c>
      <c r="H2902">
        <v>16.7</v>
      </c>
      <c r="I2902" t="s">
        <v>44</v>
      </c>
      <c r="J2902">
        <v>9</v>
      </c>
      <c r="K2902" t="s">
        <v>51</v>
      </c>
      <c r="L2902">
        <v>4</v>
      </c>
      <c r="M2902" t="str">
        <f>VLOOKUP(D2902,State_Lookup!$A$2:$B$28,2,FALSE)</f>
        <v>Rio de Janeiro</v>
      </c>
    </row>
    <row r="2903" spans="1:13" x14ac:dyDescent="0.45">
      <c r="A2903" t="s">
        <v>3454</v>
      </c>
      <c r="B2903" t="s">
        <v>3439</v>
      </c>
      <c r="C2903" t="s">
        <v>3206</v>
      </c>
      <c r="D2903" t="s">
        <v>16</v>
      </c>
      <c r="E2903" t="s">
        <v>61</v>
      </c>
      <c r="F2903">
        <v>1</v>
      </c>
      <c r="G2903">
        <v>82</v>
      </c>
      <c r="H2903">
        <v>12.7</v>
      </c>
      <c r="I2903" t="s">
        <v>44</v>
      </c>
      <c r="J2903">
        <v>17</v>
      </c>
      <c r="K2903" t="s">
        <v>51</v>
      </c>
      <c r="L2903">
        <v>4</v>
      </c>
      <c r="M2903" t="str">
        <f>VLOOKUP(D2903,State_Lookup!$A$2:$B$28,2,FALSE)</f>
        <v>Sao Paulo</v>
      </c>
    </row>
    <row r="2904" spans="1:13" x14ac:dyDescent="0.45">
      <c r="A2904" t="s">
        <v>3455</v>
      </c>
      <c r="B2904" t="s">
        <v>3456</v>
      </c>
      <c r="C2904" t="s">
        <v>3206</v>
      </c>
      <c r="D2904" t="s">
        <v>17</v>
      </c>
      <c r="E2904" t="s">
        <v>107</v>
      </c>
      <c r="F2904">
        <v>1</v>
      </c>
      <c r="G2904">
        <v>119.9</v>
      </c>
      <c r="H2904">
        <v>25.68</v>
      </c>
      <c r="I2904" t="s">
        <v>44</v>
      </c>
      <c r="J2904">
        <v>9</v>
      </c>
      <c r="K2904" t="s">
        <v>51</v>
      </c>
      <c r="L2904">
        <v>5</v>
      </c>
      <c r="M2904" t="str">
        <f>VLOOKUP(D2904,State_Lookup!$A$2:$B$28,2,FALSE)</f>
        <v>Rio de Janeiro</v>
      </c>
    </row>
    <row r="2905" spans="1:13" x14ac:dyDescent="0.45">
      <c r="A2905" t="s">
        <v>3457</v>
      </c>
      <c r="B2905" t="s">
        <v>3456</v>
      </c>
      <c r="C2905" t="s">
        <v>3206</v>
      </c>
      <c r="D2905" t="s">
        <v>21</v>
      </c>
      <c r="E2905" t="s">
        <v>244</v>
      </c>
      <c r="F2905">
        <v>1</v>
      </c>
      <c r="G2905">
        <v>19.899999999999999</v>
      </c>
      <c r="H2905">
        <v>15.1</v>
      </c>
      <c r="I2905" t="s">
        <v>44</v>
      </c>
      <c r="J2905">
        <v>28</v>
      </c>
      <c r="K2905" t="s">
        <v>143</v>
      </c>
      <c r="L2905">
        <v>2</v>
      </c>
      <c r="M2905" t="str">
        <f>VLOOKUP(D2905,State_Lookup!$A$2:$B$28,2,FALSE)</f>
        <v>Santa Catarina</v>
      </c>
    </row>
    <row r="2906" spans="1:13" x14ac:dyDescent="0.45">
      <c r="A2906" t="s">
        <v>3458</v>
      </c>
      <c r="B2906" t="s">
        <v>3456</v>
      </c>
      <c r="C2906" t="s">
        <v>3206</v>
      </c>
      <c r="D2906" t="s">
        <v>18</v>
      </c>
      <c r="E2906" t="s">
        <v>79</v>
      </c>
      <c r="F2906">
        <v>1</v>
      </c>
      <c r="G2906">
        <v>45.36</v>
      </c>
      <c r="H2906">
        <v>15.1</v>
      </c>
      <c r="I2906" t="s">
        <v>50</v>
      </c>
      <c r="J2906">
        <v>41</v>
      </c>
      <c r="K2906" t="s">
        <v>143</v>
      </c>
      <c r="L2906">
        <v>1</v>
      </c>
      <c r="M2906" t="str">
        <f>VLOOKUP(D2906,State_Lookup!$A$2:$B$28,2,FALSE)</f>
        <v>Minas Gerais</v>
      </c>
    </row>
    <row r="2907" spans="1:13" x14ac:dyDescent="0.45">
      <c r="A2907" t="s">
        <v>3459</v>
      </c>
      <c r="B2907" t="s">
        <v>3456</v>
      </c>
      <c r="C2907" t="s">
        <v>3206</v>
      </c>
      <c r="D2907" t="s">
        <v>19</v>
      </c>
      <c r="E2907" t="s">
        <v>49</v>
      </c>
      <c r="F2907">
        <v>1</v>
      </c>
      <c r="G2907">
        <v>149.9</v>
      </c>
      <c r="H2907">
        <v>15.8</v>
      </c>
      <c r="I2907" t="s">
        <v>44</v>
      </c>
      <c r="J2907">
        <v>16</v>
      </c>
      <c r="K2907" t="s">
        <v>51</v>
      </c>
      <c r="L2907">
        <v>5</v>
      </c>
      <c r="M2907" t="str">
        <f>VLOOKUP(D2907,State_Lookup!$A$2:$B$28,2,FALSE)</f>
        <v>Rio Grande do Sul</v>
      </c>
    </row>
    <row r="2908" spans="1:13" x14ac:dyDescent="0.45">
      <c r="A2908" t="s">
        <v>3460</v>
      </c>
      <c r="B2908" t="s">
        <v>3456</v>
      </c>
      <c r="C2908" t="s">
        <v>3206</v>
      </c>
      <c r="D2908" t="s">
        <v>22</v>
      </c>
      <c r="E2908" t="s">
        <v>66</v>
      </c>
      <c r="F2908">
        <v>1</v>
      </c>
      <c r="G2908">
        <v>27.99</v>
      </c>
      <c r="H2908">
        <v>15.79</v>
      </c>
      <c r="I2908" t="s">
        <v>44</v>
      </c>
      <c r="J2908">
        <v>8</v>
      </c>
      <c r="K2908" t="s">
        <v>51</v>
      </c>
      <c r="L2908">
        <v>5</v>
      </c>
      <c r="M2908" t="str">
        <f>VLOOKUP(D2908,State_Lookup!$A$2:$B$28,2,FALSE)</f>
        <v>Bahia</v>
      </c>
    </row>
    <row r="2909" spans="1:13" x14ac:dyDescent="0.45">
      <c r="A2909" t="s">
        <v>3461</v>
      </c>
      <c r="B2909" t="s">
        <v>3456</v>
      </c>
      <c r="C2909" t="s">
        <v>3206</v>
      </c>
      <c r="D2909" t="s">
        <v>17</v>
      </c>
      <c r="E2909" t="s">
        <v>157</v>
      </c>
      <c r="F2909">
        <v>1</v>
      </c>
      <c r="G2909">
        <v>127.49</v>
      </c>
      <c r="H2909">
        <v>20.13</v>
      </c>
      <c r="I2909" t="s">
        <v>44</v>
      </c>
      <c r="J2909">
        <v>29</v>
      </c>
      <c r="K2909" t="s">
        <v>143</v>
      </c>
      <c r="L2909">
        <v>4</v>
      </c>
      <c r="M2909" t="str">
        <f>VLOOKUP(D2909,State_Lookup!$A$2:$B$28,2,FALSE)</f>
        <v>Rio de Janeiro</v>
      </c>
    </row>
    <row r="2910" spans="1:13" x14ac:dyDescent="0.45">
      <c r="A2910" t="s">
        <v>3462</v>
      </c>
      <c r="B2910" t="s">
        <v>3456</v>
      </c>
      <c r="C2910" t="s">
        <v>3206</v>
      </c>
      <c r="D2910" t="s">
        <v>16</v>
      </c>
      <c r="E2910" t="s">
        <v>49</v>
      </c>
      <c r="F2910">
        <v>1</v>
      </c>
      <c r="G2910">
        <v>107</v>
      </c>
      <c r="H2910">
        <v>12.25</v>
      </c>
      <c r="I2910" t="s">
        <v>44</v>
      </c>
      <c r="J2910">
        <v>15</v>
      </c>
      <c r="K2910" t="s">
        <v>51</v>
      </c>
      <c r="L2910">
        <v>5</v>
      </c>
      <c r="M2910" t="str">
        <f>VLOOKUP(D2910,State_Lookup!$A$2:$B$28,2,FALSE)</f>
        <v>Sao Paulo</v>
      </c>
    </row>
    <row r="2911" spans="1:13" x14ac:dyDescent="0.45">
      <c r="A2911" t="s">
        <v>3463</v>
      </c>
      <c r="B2911" t="s">
        <v>3456</v>
      </c>
      <c r="C2911" t="s">
        <v>3206</v>
      </c>
      <c r="D2911" t="s">
        <v>17</v>
      </c>
      <c r="E2911" t="s">
        <v>79</v>
      </c>
      <c r="F2911">
        <v>1</v>
      </c>
      <c r="G2911">
        <v>99.9</v>
      </c>
      <c r="H2911">
        <v>13.53</v>
      </c>
      <c r="I2911" t="s">
        <v>44</v>
      </c>
      <c r="J2911">
        <v>6</v>
      </c>
      <c r="K2911" t="s">
        <v>51</v>
      </c>
      <c r="L2911">
        <v>5</v>
      </c>
      <c r="M2911" t="str">
        <f>VLOOKUP(D2911,State_Lookup!$A$2:$B$28,2,FALSE)</f>
        <v>Rio de Janeiro</v>
      </c>
    </row>
    <row r="2912" spans="1:13" x14ac:dyDescent="0.45">
      <c r="A2912" t="s">
        <v>3464</v>
      </c>
      <c r="B2912" t="s">
        <v>3456</v>
      </c>
      <c r="C2912" t="s">
        <v>3206</v>
      </c>
      <c r="D2912" t="s">
        <v>20</v>
      </c>
      <c r="E2912" t="s">
        <v>43</v>
      </c>
      <c r="F2912">
        <v>1</v>
      </c>
      <c r="G2912">
        <v>119</v>
      </c>
      <c r="H2912">
        <v>12.54</v>
      </c>
      <c r="I2912" t="s">
        <v>44</v>
      </c>
      <c r="J2912">
        <v>2</v>
      </c>
      <c r="K2912" t="s">
        <v>51</v>
      </c>
      <c r="L2912">
        <v>2</v>
      </c>
      <c r="M2912" t="str">
        <f>VLOOKUP(D2912,State_Lookup!$A$2:$B$28,2,FALSE)</f>
        <v>Parana</v>
      </c>
    </row>
    <row r="2913" spans="1:13" x14ac:dyDescent="0.45">
      <c r="A2913" t="s">
        <v>3465</v>
      </c>
      <c r="B2913" t="s">
        <v>3456</v>
      </c>
      <c r="C2913" t="s">
        <v>3206</v>
      </c>
      <c r="D2913" t="s">
        <v>17</v>
      </c>
      <c r="E2913" t="s">
        <v>61</v>
      </c>
      <c r="F2913">
        <v>1</v>
      </c>
      <c r="G2913">
        <v>29.9</v>
      </c>
      <c r="H2913">
        <v>15.1</v>
      </c>
      <c r="I2913" t="s">
        <v>44</v>
      </c>
      <c r="J2913">
        <v>57</v>
      </c>
      <c r="K2913" t="s">
        <v>143</v>
      </c>
      <c r="L2913">
        <v>1</v>
      </c>
      <c r="M2913" t="str">
        <f>VLOOKUP(D2913,State_Lookup!$A$2:$B$28,2,FALSE)</f>
        <v>Rio de Janeiro</v>
      </c>
    </row>
    <row r="2914" spans="1:13" x14ac:dyDescent="0.45">
      <c r="A2914" t="s">
        <v>3466</v>
      </c>
      <c r="B2914" t="s">
        <v>3456</v>
      </c>
      <c r="C2914" t="s">
        <v>3206</v>
      </c>
      <c r="D2914" t="s">
        <v>16</v>
      </c>
      <c r="E2914" t="s">
        <v>1839</v>
      </c>
      <c r="F2914">
        <v>1</v>
      </c>
      <c r="G2914">
        <v>320</v>
      </c>
      <c r="H2914">
        <v>16.989999999999998</v>
      </c>
      <c r="I2914" t="s">
        <v>44</v>
      </c>
      <c r="J2914">
        <v>10</v>
      </c>
      <c r="K2914" t="s">
        <v>51</v>
      </c>
      <c r="L2914">
        <v>2</v>
      </c>
      <c r="M2914" t="str">
        <f>VLOOKUP(D2914,State_Lookup!$A$2:$B$28,2,FALSE)</f>
        <v>Sao Paulo</v>
      </c>
    </row>
    <row r="2915" spans="1:13" x14ac:dyDescent="0.45">
      <c r="A2915" t="s">
        <v>3467</v>
      </c>
      <c r="B2915" t="s">
        <v>3456</v>
      </c>
      <c r="C2915" t="s">
        <v>3206</v>
      </c>
      <c r="D2915" t="s">
        <v>18</v>
      </c>
      <c r="E2915" t="s">
        <v>49</v>
      </c>
      <c r="F2915">
        <v>1</v>
      </c>
      <c r="G2915">
        <v>109.95</v>
      </c>
      <c r="H2915">
        <v>13.79</v>
      </c>
      <c r="I2915" t="s">
        <v>44</v>
      </c>
      <c r="J2915">
        <v>9</v>
      </c>
      <c r="K2915" t="s">
        <v>51</v>
      </c>
      <c r="L2915">
        <v>5</v>
      </c>
      <c r="M2915" t="str">
        <f>VLOOKUP(D2915,State_Lookup!$A$2:$B$28,2,FALSE)</f>
        <v>Minas Gerais</v>
      </c>
    </row>
    <row r="2916" spans="1:13" x14ac:dyDescent="0.45">
      <c r="A2916" t="s">
        <v>3468</v>
      </c>
      <c r="B2916" t="s">
        <v>3456</v>
      </c>
      <c r="C2916" t="s">
        <v>3206</v>
      </c>
      <c r="D2916" t="s">
        <v>18</v>
      </c>
      <c r="E2916" t="s">
        <v>49</v>
      </c>
      <c r="F2916">
        <v>1</v>
      </c>
      <c r="G2916">
        <v>23.8</v>
      </c>
      <c r="H2916">
        <v>8.11</v>
      </c>
      <c r="I2916" t="s">
        <v>44</v>
      </c>
      <c r="J2916">
        <v>2</v>
      </c>
      <c r="K2916" t="s">
        <v>51</v>
      </c>
      <c r="L2916">
        <v>5</v>
      </c>
      <c r="M2916" t="str">
        <f>VLOOKUP(D2916,State_Lookup!$A$2:$B$28,2,FALSE)</f>
        <v>Minas Gerais</v>
      </c>
    </row>
    <row r="2917" spans="1:13" x14ac:dyDescent="0.45">
      <c r="A2917" t="s">
        <v>3469</v>
      </c>
      <c r="B2917" t="s">
        <v>3456</v>
      </c>
      <c r="C2917" t="s">
        <v>3206</v>
      </c>
      <c r="D2917" t="s">
        <v>672</v>
      </c>
      <c r="E2917" t="s">
        <v>3470</v>
      </c>
      <c r="F2917">
        <v>1</v>
      </c>
      <c r="G2917">
        <v>309</v>
      </c>
      <c r="H2917">
        <v>46.01</v>
      </c>
      <c r="I2917" t="s">
        <v>44</v>
      </c>
      <c r="J2917">
        <v>16</v>
      </c>
      <c r="K2917" t="s">
        <v>51</v>
      </c>
      <c r="L2917">
        <v>5</v>
      </c>
      <c r="M2917" t="str">
        <f>VLOOKUP(D2917,State_Lookup!$A$2:$B$28,2,FALSE)</f>
        <v>Paraiba</v>
      </c>
    </row>
    <row r="2918" spans="1:13" x14ac:dyDescent="0.45">
      <c r="A2918" t="s">
        <v>3471</v>
      </c>
      <c r="B2918" t="s">
        <v>3456</v>
      </c>
      <c r="C2918" t="s">
        <v>3206</v>
      </c>
      <c r="D2918" t="s">
        <v>17</v>
      </c>
      <c r="E2918" t="s">
        <v>79</v>
      </c>
      <c r="F2918">
        <v>1</v>
      </c>
      <c r="G2918">
        <v>59.99</v>
      </c>
      <c r="H2918">
        <v>17.670000000000002</v>
      </c>
      <c r="I2918" t="s">
        <v>44</v>
      </c>
      <c r="J2918">
        <v>5</v>
      </c>
      <c r="K2918" t="s">
        <v>51</v>
      </c>
      <c r="L2918">
        <v>5</v>
      </c>
      <c r="M2918" t="str">
        <f>VLOOKUP(D2918,State_Lookup!$A$2:$B$28,2,FALSE)</f>
        <v>Rio de Janeiro</v>
      </c>
    </row>
    <row r="2919" spans="1:13" x14ac:dyDescent="0.45">
      <c r="A2919" t="s">
        <v>3472</v>
      </c>
      <c r="B2919" t="s">
        <v>3473</v>
      </c>
      <c r="C2919" t="s">
        <v>3206</v>
      </c>
      <c r="D2919" t="s">
        <v>18</v>
      </c>
      <c r="E2919" t="s">
        <v>64</v>
      </c>
      <c r="F2919">
        <v>1</v>
      </c>
      <c r="G2919">
        <v>15.99</v>
      </c>
      <c r="H2919">
        <v>15.1</v>
      </c>
      <c r="I2919" t="s">
        <v>50</v>
      </c>
      <c r="J2919">
        <v>13</v>
      </c>
      <c r="K2919" t="s">
        <v>51</v>
      </c>
      <c r="L2919">
        <v>4</v>
      </c>
      <c r="M2919" t="str">
        <f>VLOOKUP(D2919,State_Lookup!$A$2:$B$28,2,FALSE)</f>
        <v>Minas Gerais</v>
      </c>
    </row>
    <row r="2920" spans="1:13" x14ac:dyDescent="0.45">
      <c r="A2920" t="s">
        <v>3474</v>
      </c>
      <c r="B2920" t="s">
        <v>3473</v>
      </c>
      <c r="C2920" t="s">
        <v>3206</v>
      </c>
      <c r="D2920" t="s">
        <v>16</v>
      </c>
      <c r="E2920" t="s">
        <v>49</v>
      </c>
      <c r="F2920">
        <v>1</v>
      </c>
      <c r="G2920">
        <v>130</v>
      </c>
      <c r="H2920">
        <v>8.65</v>
      </c>
      <c r="I2920" t="s">
        <v>44</v>
      </c>
      <c r="J2920">
        <v>8</v>
      </c>
      <c r="K2920" t="s">
        <v>51</v>
      </c>
      <c r="L2920">
        <v>4</v>
      </c>
      <c r="M2920" t="str">
        <f>VLOOKUP(D2920,State_Lookup!$A$2:$B$28,2,FALSE)</f>
        <v>Sao Paulo</v>
      </c>
    </row>
    <row r="2921" spans="1:13" x14ac:dyDescent="0.45">
      <c r="A2921" t="s">
        <v>3475</v>
      </c>
      <c r="B2921" t="s">
        <v>3473</v>
      </c>
      <c r="C2921" t="s">
        <v>3206</v>
      </c>
      <c r="D2921" t="s">
        <v>16</v>
      </c>
      <c r="E2921" t="s">
        <v>79</v>
      </c>
      <c r="F2921">
        <v>1</v>
      </c>
      <c r="G2921">
        <v>150</v>
      </c>
      <c r="H2921">
        <v>12.55</v>
      </c>
      <c r="I2921" t="s">
        <v>44</v>
      </c>
      <c r="J2921">
        <v>12</v>
      </c>
      <c r="K2921" t="s">
        <v>51</v>
      </c>
      <c r="L2921">
        <v>5</v>
      </c>
      <c r="M2921" t="str">
        <f>VLOOKUP(D2921,State_Lookup!$A$2:$B$28,2,FALSE)</f>
        <v>Sao Paulo</v>
      </c>
    </row>
    <row r="2922" spans="1:13" x14ac:dyDescent="0.45">
      <c r="A2922" t="s">
        <v>3476</v>
      </c>
      <c r="B2922" t="s">
        <v>3473</v>
      </c>
      <c r="C2922" t="s">
        <v>3206</v>
      </c>
      <c r="D2922" t="s">
        <v>16</v>
      </c>
      <c r="E2922" t="s">
        <v>103</v>
      </c>
      <c r="F2922">
        <v>1</v>
      </c>
      <c r="G2922">
        <v>48.9</v>
      </c>
      <c r="H2922">
        <v>9.74</v>
      </c>
      <c r="I2922" t="s">
        <v>44</v>
      </c>
      <c r="J2922">
        <v>5</v>
      </c>
      <c r="K2922" t="s">
        <v>51</v>
      </c>
      <c r="L2922">
        <v>5</v>
      </c>
      <c r="M2922" t="str">
        <f>VLOOKUP(D2922,State_Lookup!$A$2:$B$28,2,FALSE)</f>
        <v>Sao Paulo</v>
      </c>
    </row>
    <row r="2923" spans="1:13" x14ac:dyDescent="0.45">
      <c r="A2923" t="s">
        <v>3477</v>
      </c>
      <c r="B2923" t="s">
        <v>3473</v>
      </c>
      <c r="C2923" t="s">
        <v>3206</v>
      </c>
      <c r="D2923" t="s">
        <v>16</v>
      </c>
      <c r="E2923" t="s">
        <v>142</v>
      </c>
      <c r="F2923">
        <v>1</v>
      </c>
      <c r="G2923">
        <v>204.99</v>
      </c>
      <c r="H2923">
        <v>18</v>
      </c>
      <c r="I2923" t="s">
        <v>44</v>
      </c>
      <c r="J2923">
        <v>20</v>
      </c>
      <c r="K2923" t="s">
        <v>51</v>
      </c>
      <c r="L2923">
        <v>5</v>
      </c>
      <c r="M2923" t="str">
        <f>VLOOKUP(D2923,State_Lookup!$A$2:$B$28,2,FALSE)</f>
        <v>Sao Paulo</v>
      </c>
    </row>
    <row r="2924" spans="1:13" x14ac:dyDescent="0.45">
      <c r="A2924" t="s">
        <v>3478</v>
      </c>
      <c r="B2924" t="s">
        <v>3473</v>
      </c>
      <c r="C2924" t="s">
        <v>3206</v>
      </c>
      <c r="D2924" t="s">
        <v>18</v>
      </c>
      <c r="E2924" t="s">
        <v>103</v>
      </c>
      <c r="F2924">
        <v>1</v>
      </c>
      <c r="G2924">
        <v>130</v>
      </c>
      <c r="H2924">
        <v>20.149999999999999</v>
      </c>
      <c r="I2924" t="s">
        <v>44</v>
      </c>
      <c r="J2924">
        <v>9</v>
      </c>
      <c r="K2924" t="s">
        <v>51</v>
      </c>
      <c r="L2924">
        <v>5</v>
      </c>
      <c r="M2924" t="str">
        <f>VLOOKUP(D2924,State_Lookup!$A$2:$B$28,2,FALSE)</f>
        <v>Minas Gerais</v>
      </c>
    </row>
    <row r="2925" spans="1:13" x14ac:dyDescent="0.45">
      <c r="A2925" t="s">
        <v>3479</v>
      </c>
      <c r="B2925" t="s">
        <v>3473</v>
      </c>
      <c r="C2925" t="s">
        <v>3206</v>
      </c>
      <c r="D2925" t="s">
        <v>16</v>
      </c>
      <c r="E2925" t="s">
        <v>152</v>
      </c>
      <c r="F2925">
        <v>1</v>
      </c>
      <c r="G2925">
        <v>249.99</v>
      </c>
      <c r="H2925">
        <v>12.95</v>
      </c>
      <c r="I2925" t="s">
        <v>44</v>
      </c>
      <c r="J2925">
        <v>4</v>
      </c>
      <c r="K2925" t="s">
        <v>51</v>
      </c>
      <c r="M2925" t="str">
        <f>VLOOKUP(D2925,State_Lookup!$A$2:$B$28,2,FALSE)</f>
        <v>Sao Paulo</v>
      </c>
    </row>
    <row r="2926" spans="1:13" x14ac:dyDescent="0.45">
      <c r="A2926" t="s">
        <v>3480</v>
      </c>
      <c r="B2926" t="s">
        <v>3473</v>
      </c>
      <c r="C2926" t="s">
        <v>3206</v>
      </c>
      <c r="D2926" t="s">
        <v>16</v>
      </c>
      <c r="E2926" t="s">
        <v>110</v>
      </c>
      <c r="F2926">
        <v>1</v>
      </c>
      <c r="G2926">
        <v>25</v>
      </c>
      <c r="H2926">
        <v>8.7200000000000006</v>
      </c>
      <c r="I2926" t="s">
        <v>44</v>
      </c>
      <c r="J2926">
        <v>6</v>
      </c>
      <c r="K2926" t="s">
        <v>51</v>
      </c>
      <c r="L2926">
        <v>4</v>
      </c>
      <c r="M2926" t="str">
        <f>VLOOKUP(D2926,State_Lookup!$A$2:$B$28,2,FALSE)</f>
        <v>Sao Paulo</v>
      </c>
    </row>
    <row r="2927" spans="1:13" x14ac:dyDescent="0.45">
      <c r="A2927" t="s">
        <v>3481</v>
      </c>
      <c r="B2927" t="s">
        <v>3473</v>
      </c>
      <c r="C2927" t="s">
        <v>3206</v>
      </c>
      <c r="D2927" t="s">
        <v>21</v>
      </c>
      <c r="E2927" t="s">
        <v>110</v>
      </c>
      <c r="F2927">
        <v>1</v>
      </c>
      <c r="G2927">
        <v>129.99</v>
      </c>
      <c r="H2927">
        <v>18.16</v>
      </c>
      <c r="I2927" t="s">
        <v>44</v>
      </c>
      <c r="J2927">
        <v>34</v>
      </c>
      <c r="K2927" t="s">
        <v>143</v>
      </c>
      <c r="L2927">
        <v>1</v>
      </c>
      <c r="M2927" t="str">
        <f>VLOOKUP(D2927,State_Lookup!$A$2:$B$28,2,FALSE)</f>
        <v>Santa Catarina</v>
      </c>
    </row>
    <row r="2928" spans="1:13" x14ac:dyDescent="0.45">
      <c r="A2928" t="s">
        <v>3482</v>
      </c>
      <c r="B2928" t="s">
        <v>3473</v>
      </c>
      <c r="C2928" t="s">
        <v>3206</v>
      </c>
      <c r="D2928" t="s">
        <v>63</v>
      </c>
      <c r="E2928" t="s">
        <v>61</v>
      </c>
      <c r="F2928">
        <v>1</v>
      </c>
      <c r="G2928">
        <v>149.9</v>
      </c>
      <c r="H2928">
        <v>10.26</v>
      </c>
      <c r="I2928" t="s">
        <v>44</v>
      </c>
      <c r="J2928">
        <v>3</v>
      </c>
      <c r="K2928" t="s">
        <v>51</v>
      </c>
      <c r="L2928">
        <v>1</v>
      </c>
      <c r="M2928" t="str">
        <f>VLOOKUP(D2928,State_Lookup!$A$2:$B$28,2,FALSE)</f>
        <v>Pernambuco</v>
      </c>
    </row>
    <row r="2929" spans="1:13" x14ac:dyDescent="0.45">
      <c r="A2929" t="s">
        <v>3483</v>
      </c>
      <c r="B2929" t="s">
        <v>3473</v>
      </c>
      <c r="C2929" t="s">
        <v>3206</v>
      </c>
      <c r="D2929" t="s">
        <v>24</v>
      </c>
      <c r="E2929" t="s">
        <v>43</v>
      </c>
      <c r="F2929">
        <v>1</v>
      </c>
      <c r="G2929">
        <v>99.9</v>
      </c>
      <c r="H2929">
        <v>14.45</v>
      </c>
      <c r="I2929" t="s">
        <v>44</v>
      </c>
      <c r="J2929">
        <v>15</v>
      </c>
      <c r="K2929" t="s">
        <v>51</v>
      </c>
      <c r="L2929">
        <v>5</v>
      </c>
      <c r="M2929" t="str">
        <f>VLOOKUP(D2929,State_Lookup!$A$2:$B$28,2,FALSE)</f>
        <v>Distrito Federal</v>
      </c>
    </row>
    <row r="2930" spans="1:13" x14ac:dyDescent="0.45">
      <c r="A2930" t="s">
        <v>3484</v>
      </c>
      <c r="B2930" t="s">
        <v>3485</v>
      </c>
      <c r="C2930" t="s">
        <v>3206</v>
      </c>
      <c r="D2930" t="s">
        <v>21</v>
      </c>
      <c r="E2930" t="s">
        <v>152</v>
      </c>
      <c r="F2930">
        <v>1</v>
      </c>
      <c r="G2930">
        <v>60</v>
      </c>
      <c r="H2930">
        <v>16.18</v>
      </c>
      <c r="I2930" t="s">
        <v>44</v>
      </c>
      <c r="J2930">
        <v>14</v>
      </c>
      <c r="K2930" t="s">
        <v>51</v>
      </c>
      <c r="L2930">
        <v>5</v>
      </c>
      <c r="M2930" t="str">
        <f>VLOOKUP(D2930,State_Lookup!$A$2:$B$28,2,FALSE)</f>
        <v>Santa Catarina</v>
      </c>
    </row>
    <row r="2931" spans="1:13" x14ac:dyDescent="0.45">
      <c r="A2931" t="s">
        <v>3486</v>
      </c>
      <c r="B2931" t="s">
        <v>3485</v>
      </c>
      <c r="C2931" t="s">
        <v>3206</v>
      </c>
      <c r="D2931" t="s">
        <v>16</v>
      </c>
      <c r="E2931" t="s">
        <v>43</v>
      </c>
      <c r="F2931">
        <v>1</v>
      </c>
      <c r="G2931">
        <v>69.900000000000006</v>
      </c>
      <c r="H2931">
        <v>16.12</v>
      </c>
      <c r="I2931" t="s">
        <v>50</v>
      </c>
      <c r="J2931">
        <v>32</v>
      </c>
      <c r="K2931" t="s">
        <v>143</v>
      </c>
      <c r="L2931">
        <v>1</v>
      </c>
      <c r="M2931" t="str">
        <f>VLOOKUP(D2931,State_Lookup!$A$2:$B$28,2,FALSE)</f>
        <v>Sao Paulo</v>
      </c>
    </row>
    <row r="2932" spans="1:13" x14ac:dyDescent="0.45">
      <c r="A2932" t="s">
        <v>3487</v>
      </c>
      <c r="B2932" t="s">
        <v>3485</v>
      </c>
      <c r="C2932" t="s">
        <v>3206</v>
      </c>
      <c r="D2932" t="s">
        <v>16</v>
      </c>
      <c r="E2932" t="s">
        <v>76</v>
      </c>
      <c r="F2932">
        <v>2</v>
      </c>
      <c r="G2932">
        <v>107.8</v>
      </c>
      <c r="H2932">
        <v>30.26</v>
      </c>
      <c r="I2932" t="s">
        <v>44</v>
      </c>
      <c r="J2932">
        <v>13</v>
      </c>
      <c r="K2932" t="s">
        <v>51</v>
      </c>
      <c r="L2932">
        <v>4</v>
      </c>
      <c r="M2932" t="str">
        <f>VLOOKUP(D2932,State_Lookup!$A$2:$B$28,2,FALSE)</f>
        <v>Sao Paulo</v>
      </c>
    </row>
    <row r="2933" spans="1:13" x14ac:dyDescent="0.45">
      <c r="A2933" t="s">
        <v>3488</v>
      </c>
      <c r="B2933" t="s">
        <v>3485</v>
      </c>
      <c r="C2933" t="s">
        <v>3206</v>
      </c>
      <c r="D2933" t="s">
        <v>17</v>
      </c>
      <c r="E2933" t="s">
        <v>49</v>
      </c>
      <c r="F2933">
        <v>1</v>
      </c>
      <c r="G2933">
        <v>59.9</v>
      </c>
      <c r="H2933">
        <v>19.91</v>
      </c>
      <c r="I2933" t="s">
        <v>44</v>
      </c>
      <c r="K2933" t="s">
        <v>45</v>
      </c>
      <c r="L2933">
        <v>1</v>
      </c>
      <c r="M2933" t="str">
        <f>VLOOKUP(D2933,State_Lookup!$A$2:$B$28,2,FALSE)</f>
        <v>Rio de Janeiro</v>
      </c>
    </row>
    <row r="2934" spans="1:13" x14ac:dyDescent="0.45">
      <c r="A2934" t="s">
        <v>3489</v>
      </c>
      <c r="B2934" t="s">
        <v>3485</v>
      </c>
      <c r="C2934" t="s">
        <v>3206</v>
      </c>
      <c r="D2934" t="s">
        <v>18</v>
      </c>
      <c r="E2934" t="s">
        <v>66</v>
      </c>
      <c r="F2934">
        <v>1</v>
      </c>
      <c r="G2934">
        <v>21.99</v>
      </c>
      <c r="H2934">
        <v>14.1</v>
      </c>
      <c r="I2934" t="s">
        <v>44</v>
      </c>
      <c r="J2934">
        <v>15</v>
      </c>
      <c r="K2934" t="s">
        <v>51</v>
      </c>
      <c r="L2934">
        <v>4</v>
      </c>
      <c r="M2934" t="str">
        <f>VLOOKUP(D2934,State_Lookup!$A$2:$B$28,2,FALSE)</f>
        <v>Minas Gerais</v>
      </c>
    </row>
    <row r="2935" spans="1:13" x14ac:dyDescent="0.45">
      <c r="A2935" t="s">
        <v>3490</v>
      </c>
      <c r="B2935" t="s">
        <v>3485</v>
      </c>
      <c r="C2935" t="s">
        <v>3206</v>
      </c>
      <c r="D2935" t="s">
        <v>18</v>
      </c>
      <c r="E2935" t="s">
        <v>110</v>
      </c>
      <c r="F2935">
        <v>1</v>
      </c>
      <c r="G2935">
        <v>219.99</v>
      </c>
      <c r="H2935">
        <v>26.38</v>
      </c>
      <c r="I2935" t="s">
        <v>50</v>
      </c>
      <c r="J2935">
        <v>15</v>
      </c>
      <c r="K2935" t="s">
        <v>51</v>
      </c>
      <c r="L2935">
        <v>1</v>
      </c>
      <c r="M2935" t="str">
        <f>VLOOKUP(D2935,State_Lookup!$A$2:$B$28,2,FALSE)</f>
        <v>Minas Gerais</v>
      </c>
    </row>
    <row r="2936" spans="1:13" x14ac:dyDescent="0.45">
      <c r="A2936" t="s">
        <v>3491</v>
      </c>
      <c r="B2936" t="s">
        <v>3485</v>
      </c>
      <c r="C2936" t="s">
        <v>3206</v>
      </c>
      <c r="D2936" t="s">
        <v>16</v>
      </c>
      <c r="E2936" t="s">
        <v>157</v>
      </c>
      <c r="F2936">
        <v>1</v>
      </c>
      <c r="G2936">
        <v>165</v>
      </c>
      <c r="H2936">
        <v>16.78</v>
      </c>
      <c r="I2936" t="s">
        <v>44</v>
      </c>
      <c r="K2936" t="s">
        <v>45</v>
      </c>
      <c r="L2936">
        <v>1</v>
      </c>
      <c r="M2936" t="str">
        <f>VLOOKUP(D2936,State_Lookup!$A$2:$B$28,2,FALSE)</f>
        <v>Sao Paulo</v>
      </c>
    </row>
    <row r="2937" spans="1:13" x14ac:dyDescent="0.45">
      <c r="A2937" t="s">
        <v>3492</v>
      </c>
      <c r="B2937" t="s">
        <v>3485</v>
      </c>
      <c r="C2937" t="s">
        <v>3206</v>
      </c>
      <c r="D2937" t="s">
        <v>219</v>
      </c>
      <c r="E2937" t="s">
        <v>49</v>
      </c>
      <c r="F2937">
        <v>1</v>
      </c>
      <c r="G2937">
        <v>132</v>
      </c>
      <c r="H2937">
        <v>42.95</v>
      </c>
      <c r="I2937" t="s">
        <v>44</v>
      </c>
      <c r="J2937">
        <v>21</v>
      </c>
      <c r="K2937" t="s">
        <v>51</v>
      </c>
      <c r="L2937">
        <v>5</v>
      </c>
      <c r="M2937" t="str">
        <f>VLOOKUP(D2937,State_Lookup!$A$2:$B$28,2,FALSE)</f>
        <v>Rondonia</v>
      </c>
    </row>
    <row r="2938" spans="1:13" x14ac:dyDescent="0.45">
      <c r="A2938" t="s">
        <v>3493</v>
      </c>
      <c r="B2938" t="s">
        <v>3485</v>
      </c>
      <c r="C2938" t="s">
        <v>3206</v>
      </c>
      <c r="D2938" t="s">
        <v>19</v>
      </c>
      <c r="E2938" t="s">
        <v>110</v>
      </c>
      <c r="F2938">
        <v>2</v>
      </c>
      <c r="G2938">
        <v>43.98</v>
      </c>
      <c r="H2938">
        <v>30.2</v>
      </c>
      <c r="I2938" t="s">
        <v>44</v>
      </c>
      <c r="J2938">
        <v>41</v>
      </c>
      <c r="K2938" t="s">
        <v>143</v>
      </c>
      <c r="L2938">
        <v>1</v>
      </c>
      <c r="M2938" t="str">
        <f>VLOOKUP(D2938,State_Lookup!$A$2:$B$28,2,FALSE)</f>
        <v>Rio Grande do Sul</v>
      </c>
    </row>
    <row r="2939" spans="1:13" x14ac:dyDescent="0.45">
      <c r="A2939" t="s">
        <v>3494</v>
      </c>
      <c r="B2939" t="s">
        <v>3485</v>
      </c>
      <c r="C2939" t="s">
        <v>3206</v>
      </c>
      <c r="D2939" t="s">
        <v>19</v>
      </c>
      <c r="E2939" t="s">
        <v>49</v>
      </c>
      <c r="F2939">
        <v>1</v>
      </c>
      <c r="G2939">
        <v>80</v>
      </c>
      <c r="H2939">
        <v>15.31</v>
      </c>
      <c r="I2939" t="s">
        <v>44</v>
      </c>
      <c r="J2939">
        <v>27</v>
      </c>
      <c r="K2939" t="s">
        <v>51</v>
      </c>
      <c r="L2939">
        <v>3</v>
      </c>
      <c r="M2939" t="str">
        <f>VLOOKUP(D2939,State_Lookup!$A$2:$B$28,2,FALSE)</f>
        <v>Rio Grande do Sul</v>
      </c>
    </row>
    <row r="2940" spans="1:13" x14ac:dyDescent="0.45">
      <c r="A2940" t="s">
        <v>3495</v>
      </c>
      <c r="B2940" t="s">
        <v>3485</v>
      </c>
      <c r="C2940" t="s">
        <v>3206</v>
      </c>
      <c r="D2940" t="s">
        <v>16</v>
      </c>
      <c r="E2940" t="s">
        <v>61</v>
      </c>
      <c r="F2940">
        <v>20</v>
      </c>
      <c r="G2940">
        <v>2000</v>
      </c>
      <c r="H2940">
        <v>202.4</v>
      </c>
      <c r="I2940" t="s">
        <v>50</v>
      </c>
      <c r="J2940">
        <v>10</v>
      </c>
      <c r="K2940" t="s">
        <v>51</v>
      </c>
      <c r="L2940">
        <v>1</v>
      </c>
      <c r="M2940" t="str">
        <f>VLOOKUP(D2940,State_Lookup!$A$2:$B$28,2,FALSE)</f>
        <v>Sao Paulo</v>
      </c>
    </row>
    <row r="2941" spans="1:13" x14ac:dyDescent="0.45">
      <c r="A2941" t="s">
        <v>3496</v>
      </c>
      <c r="B2941" t="s">
        <v>3485</v>
      </c>
      <c r="C2941" t="s">
        <v>3206</v>
      </c>
      <c r="D2941" t="s">
        <v>16</v>
      </c>
      <c r="E2941" t="s">
        <v>157</v>
      </c>
      <c r="F2941">
        <v>1</v>
      </c>
      <c r="G2941">
        <v>108</v>
      </c>
      <c r="H2941">
        <v>16.52</v>
      </c>
      <c r="I2941" t="s">
        <v>50</v>
      </c>
      <c r="J2941">
        <v>20</v>
      </c>
      <c r="K2941" t="s">
        <v>51</v>
      </c>
      <c r="L2941">
        <v>4</v>
      </c>
      <c r="M2941" t="str">
        <f>VLOOKUP(D2941,State_Lookup!$A$2:$B$28,2,FALSE)</f>
        <v>Sao Paulo</v>
      </c>
    </row>
    <row r="2942" spans="1:13" x14ac:dyDescent="0.45">
      <c r="A2942" t="s">
        <v>3497</v>
      </c>
      <c r="B2942" t="s">
        <v>3485</v>
      </c>
      <c r="C2942" t="s">
        <v>3206</v>
      </c>
      <c r="D2942" t="s">
        <v>18</v>
      </c>
      <c r="E2942" t="s">
        <v>107</v>
      </c>
      <c r="F2942">
        <v>1</v>
      </c>
      <c r="G2942">
        <v>69.900000000000006</v>
      </c>
      <c r="H2942">
        <v>17.739999999999998</v>
      </c>
      <c r="I2942" t="s">
        <v>44</v>
      </c>
      <c r="J2942">
        <v>13</v>
      </c>
      <c r="K2942" t="s">
        <v>51</v>
      </c>
      <c r="L2942">
        <v>5</v>
      </c>
      <c r="M2942" t="str">
        <f>VLOOKUP(D2942,State_Lookup!$A$2:$B$28,2,FALSE)</f>
        <v>Minas Gerais</v>
      </c>
    </row>
    <row r="2943" spans="1:13" x14ac:dyDescent="0.45">
      <c r="A2943" t="s">
        <v>3498</v>
      </c>
      <c r="B2943" t="s">
        <v>3485</v>
      </c>
      <c r="C2943" t="s">
        <v>3206</v>
      </c>
      <c r="D2943" t="s">
        <v>17</v>
      </c>
      <c r="E2943" t="s">
        <v>61</v>
      </c>
      <c r="F2943">
        <v>1</v>
      </c>
      <c r="G2943">
        <v>82</v>
      </c>
      <c r="H2943">
        <v>17.010000000000002</v>
      </c>
      <c r="I2943" t="s">
        <v>44</v>
      </c>
      <c r="J2943">
        <v>43</v>
      </c>
      <c r="K2943" t="s">
        <v>143</v>
      </c>
      <c r="L2943">
        <v>1</v>
      </c>
      <c r="M2943" t="str">
        <f>VLOOKUP(D2943,State_Lookup!$A$2:$B$28,2,FALSE)</f>
        <v>Rio de Janeiro</v>
      </c>
    </row>
    <row r="2944" spans="1:13" x14ac:dyDescent="0.45">
      <c r="A2944" t="s">
        <v>3499</v>
      </c>
      <c r="B2944" t="s">
        <v>3500</v>
      </c>
      <c r="C2944" t="s">
        <v>3206</v>
      </c>
      <c r="D2944" t="s">
        <v>18</v>
      </c>
      <c r="E2944" t="s">
        <v>103</v>
      </c>
      <c r="F2944">
        <v>1</v>
      </c>
      <c r="G2944">
        <v>148.97999999999999</v>
      </c>
      <c r="H2944">
        <v>16.8</v>
      </c>
      <c r="I2944" t="s">
        <v>44</v>
      </c>
      <c r="J2944">
        <v>13</v>
      </c>
      <c r="K2944" t="s">
        <v>51</v>
      </c>
      <c r="L2944">
        <v>5</v>
      </c>
      <c r="M2944" t="str">
        <f>VLOOKUP(D2944,State_Lookup!$A$2:$B$28,2,FALSE)</f>
        <v>Minas Gerais</v>
      </c>
    </row>
    <row r="2945" spans="1:13" x14ac:dyDescent="0.45">
      <c r="A2945" t="s">
        <v>3501</v>
      </c>
      <c r="B2945" t="s">
        <v>3500</v>
      </c>
      <c r="C2945" t="s">
        <v>3206</v>
      </c>
      <c r="D2945" t="s">
        <v>16</v>
      </c>
      <c r="E2945" t="s">
        <v>157</v>
      </c>
      <c r="F2945">
        <v>1</v>
      </c>
      <c r="G2945">
        <v>145</v>
      </c>
      <c r="H2945">
        <v>12.51</v>
      </c>
      <c r="I2945" t="s">
        <v>50</v>
      </c>
      <c r="J2945">
        <v>46</v>
      </c>
      <c r="K2945" t="s">
        <v>143</v>
      </c>
      <c r="L2945">
        <v>1</v>
      </c>
      <c r="M2945" t="str">
        <f>VLOOKUP(D2945,State_Lookup!$A$2:$B$28,2,FALSE)</f>
        <v>Sao Paulo</v>
      </c>
    </row>
    <row r="2946" spans="1:13" x14ac:dyDescent="0.45">
      <c r="A2946" t="s">
        <v>3502</v>
      </c>
      <c r="B2946" t="s">
        <v>3500</v>
      </c>
      <c r="C2946" t="s">
        <v>3206</v>
      </c>
      <c r="D2946" t="s">
        <v>16</v>
      </c>
      <c r="E2946" t="s">
        <v>43</v>
      </c>
      <c r="F2946">
        <v>1</v>
      </c>
      <c r="G2946">
        <v>39.9</v>
      </c>
      <c r="H2946">
        <v>15.1</v>
      </c>
      <c r="I2946" t="s">
        <v>50</v>
      </c>
      <c r="J2946">
        <v>12</v>
      </c>
      <c r="K2946" t="s">
        <v>51</v>
      </c>
      <c r="L2946">
        <v>5</v>
      </c>
      <c r="M2946" t="str">
        <f>VLOOKUP(D2946,State_Lookup!$A$2:$B$28,2,FALSE)</f>
        <v>Sao Paulo</v>
      </c>
    </row>
    <row r="2947" spans="1:13" x14ac:dyDescent="0.45">
      <c r="A2947" t="s">
        <v>3503</v>
      </c>
      <c r="B2947" t="s">
        <v>3500</v>
      </c>
      <c r="C2947" t="s">
        <v>3206</v>
      </c>
      <c r="D2947" t="s">
        <v>113</v>
      </c>
      <c r="E2947" t="s">
        <v>69</v>
      </c>
      <c r="F2947">
        <v>1</v>
      </c>
      <c r="G2947">
        <v>210</v>
      </c>
      <c r="H2947">
        <v>23.79</v>
      </c>
      <c r="I2947" t="s">
        <v>44</v>
      </c>
      <c r="J2947">
        <v>19</v>
      </c>
      <c r="K2947" t="s">
        <v>51</v>
      </c>
      <c r="L2947">
        <v>5</v>
      </c>
      <c r="M2947" t="str">
        <f>VLOOKUP(D2947,State_Lookup!$A$2:$B$28,2,FALSE)</f>
        <v>Piaui</v>
      </c>
    </row>
    <row r="2948" spans="1:13" x14ac:dyDescent="0.45">
      <c r="A2948" t="s">
        <v>3504</v>
      </c>
      <c r="B2948" t="s">
        <v>3500</v>
      </c>
      <c r="C2948" t="s">
        <v>3206</v>
      </c>
      <c r="D2948" t="s">
        <v>16</v>
      </c>
      <c r="E2948" t="s">
        <v>58</v>
      </c>
      <c r="F2948">
        <v>1</v>
      </c>
      <c r="G2948">
        <v>689.89</v>
      </c>
      <c r="H2948">
        <v>20.59</v>
      </c>
      <c r="I2948" t="s">
        <v>44</v>
      </c>
      <c r="J2948">
        <v>18</v>
      </c>
      <c r="K2948" t="s">
        <v>51</v>
      </c>
      <c r="L2948">
        <v>3</v>
      </c>
      <c r="M2948" t="str">
        <f>VLOOKUP(D2948,State_Lookup!$A$2:$B$28,2,FALSE)</f>
        <v>Sao Paulo</v>
      </c>
    </row>
    <row r="2949" spans="1:13" x14ac:dyDescent="0.45">
      <c r="A2949" t="s">
        <v>3505</v>
      </c>
      <c r="B2949" t="s">
        <v>3500</v>
      </c>
      <c r="C2949" t="s">
        <v>3206</v>
      </c>
      <c r="D2949" t="s">
        <v>17</v>
      </c>
      <c r="E2949" t="s">
        <v>110</v>
      </c>
      <c r="F2949">
        <v>1</v>
      </c>
      <c r="G2949">
        <v>179.9</v>
      </c>
      <c r="H2949">
        <v>21.75</v>
      </c>
      <c r="I2949" t="s">
        <v>44</v>
      </c>
      <c r="J2949">
        <v>28</v>
      </c>
      <c r="K2949" t="s">
        <v>143</v>
      </c>
      <c r="L2949">
        <v>2</v>
      </c>
      <c r="M2949" t="str">
        <f>VLOOKUP(D2949,State_Lookup!$A$2:$B$28,2,FALSE)</f>
        <v>Rio de Janeiro</v>
      </c>
    </row>
    <row r="2950" spans="1:13" x14ac:dyDescent="0.45">
      <c r="A2950" t="s">
        <v>3506</v>
      </c>
      <c r="B2950" t="s">
        <v>3500</v>
      </c>
      <c r="C2950" t="s">
        <v>3206</v>
      </c>
      <c r="D2950" t="s">
        <v>20</v>
      </c>
      <c r="E2950" t="s">
        <v>61</v>
      </c>
      <c r="F2950">
        <v>1</v>
      </c>
      <c r="G2950">
        <v>29.99</v>
      </c>
      <c r="H2950">
        <v>14.1</v>
      </c>
      <c r="I2950" t="s">
        <v>44</v>
      </c>
      <c r="J2950">
        <v>12</v>
      </c>
      <c r="K2950" t="s">
        <v>51</v>
      </c>
      <c r="L2950">
        <v>5</v>
      </c>
      <c r="M2950" t="str">
        <f>VLOOKUP(D2950,State_Lookup!$A$2:$B$28,2,FALSE)</f>
        <v>Parana</v>
      </c>
    </row>
    <row r="2951" spans="1:13" x14ac:dyDescent="0.45">
      <c r="A2951" t="s">
        <v>3507</v>
      </c>
      <c r="B2951" t="s">
        <v>3500</v>
      </c>
      <c r="C2951" t="s">
        <v>3206</v>
      </c>
      <c r="D2951" t="s">
        <v>16</v>
      </c>
      <c r="E2951" t="s">
        <v>110</v>
      </c>
      <c r="F2951">
        <v>1</v>
      </c>
      <c r="G2951">
        <v>44.99</v>
      </c>
      <c r="H2951">
        <v>13.37</v>
      </c>
      <c r="I2951" t="s">
        <v>44</v>
      </c>
      <c r="J2951">
        <v>13</v>
      </c>
      <c r="K2951" t="s">
        <v>51</v>
      </c>
      <c r="L2951">
        <v>4</v>
      </c>
      <c r="M2951" t="str">
        <f>VLOOKUP(D2951,State_Lookup!$A$2:$B$28,2,FALSE)</f>
        <v>Sao Paulo</v>
      </c>
    </row>
    <row r="2952" spans="1:13" x14ac:dyDescent="0.45">
      <c r="A2952" t="s">
        <v>3508</v>
      </c>
      <c r="B2952" t="s">
        <v>3509</v>
      </c>
      <c r="C2952" t="s">
        <v>3206</v>
      </c>
      <c r="D2952" t="s">
        <v>18</v>
      </c>
      <c r="E2952" t="s">
        <v>49</v>
      </c>
      <c r="F2952">
        <v>1</v>
      </c>
      <c r="G2952">
        <v>45.5</v>
      </c>
      <c r="H2952">
        <v>16.79</v>
      </c>
      <c r="I2952" t="s">
        <v>44</v>
      </c>
      <c r="J2952">
        <v>8</v>
      </c>
      <c r="K2952" t="s">
        <v>51</v>
      </c>
      <c r="L2952">
        <v>3</v>
      </c>
      <c r="M2952" t="str">
        <f>VLOOKUP(D2952,State_Lookup!$A$2:$B$28,2,FALSE)</f>
        <v>Minas Gerais</v>
      </c>
    </row>
    <row r="2953" spans="1:13" x14ac:dyDescent="0.45">
      <c r="A2953" t="s">
        <v>3510</v>
      </c>
      <c r="B2953" t="s">
        <v>3509</v>
      </c>
      <c r="C2953" t="s">
        <v>3206</v>
      </c>
      <c r="D2953" t="s">
        <v>25</v>
      </c>
      <c r="E2953" t="s">
        <v>107</v>
      </c>
      <c r="F2953">
        <v>1</v>
      </c>
      <c r="G2953">
        <v>219.9</v>
      </c>
      <c r="H2953">
        <v>35.340000000000003</v>
      </c>
      <c r="I2953" t="s">
        <v>44</v>
      </c>
      <c r="J2953">
        <v>17</v>
      </c>
      <c r="K2953" t="s">
        <v>51</v>
      </c>
      <c r="L2953">
        <v>3</v>
      </c>
      <c r="M2953" t="str">
        <f>VLOOKUP(D2953,State_Lookup!$A$2:$B$28,2,FALSE)</f>
        <v>Goias</v>
      </c>
    </row>
    <row r="2954" spans="1:13" x14ac:dyDescent="0.45">
      <c r="A2954" t="s">
        <v>3511</v>
      </c>
      <c r="B2954" t="s">
        <v>3509</v>
      </c>
      <c r="C2954" t="s">
        <v>3206</v>
      </c>
      <c r="D2954" t="s">
        <v>16</v>
      </c>
      <c r="E2954" t="s">
        <v>132</v>
      </c>
      <c r="F2954">
        <v>1</v>
      </c>
      <c r="G2954">
        <v>115</v>
      </c>
      <c r="H2954">
        <v>18.059999999999999</v>
      </c>
      <c r="I2954" t="s">
        <v>44</v>
      </c>
      <c r="J2954">
        <v>10</v>
      </c>
      <c r="K2954" t="s">
        <v>51</v>
      </c>
      <c r="L2954">
        <v>5</v>
      </c>
      <c r="M2954" t="str">
        <f>VLOOKUP(D2954,State_Lookup!$A$2:$B$28,2,FALSE)</f>
        <v>Sao Paulo</v>
      </c>
    </row>
    <row r="2955" spans="1:13" x14ac:dyDescent="0.45">
      <c r="A2955" t="s">
        <v>3512</v>
      </c>
      <c r="B2955" t="s">
        <v>3509</v>
      </c>
      <c r="C2955" t="s">
        <v>3206</v>
      </c>
      <c r="D2955" t="s">
        <v>16</v>
      </c>
      <c r="E2955" t="s">
        <v>302</v>
      </c>
      <c r="F2955">
        <v>1</v>
      </c>
      <c r="G2955">
        <v>22.99</v>
      </c>
      <c r="H2955">
        <v>14.1</v>
      </c>
      <c r="I2955" t="s">
        <v>44</v>
      </c>
      <c r="J2955">
        <v>8</v>
      </c>
      <c r="K2955" t="s">
        <v>51</v>
      </c>
      <c r="L2955">
        <v>5</v>
      </c>
      <c r="M2955" t="str">
        <f>VLOOKUP(D2955,State_Lookup!$A$2:$B$28,2,FALSE)</f>
        <v>Sao Paulo</v>
      </c>
    </row>
    <row r="2956" spans="1:13" x14ac:dyDescent="0.45">
      <c r="A2956" t="s">
        <v>3513</v>
      </c>
      <c r="B2956" t="s">
        <v>3509</v>
      </c>
      <c r="C2956" t="s">
        <v>3206</v>
      </c>
      <c r="D2956" t="s">
        <v>17</v>
      </c>
      <c r="E2956" t="s">
        <v>125</v>
      </c>
      <c r="F2956">
        <v>1</v>
      </c>
      <c r="G2956">
        <v>280.10000000000002</v>
      </c>
      <c r="H2956">
        <v>16.71</v>
      </c>
      <c r="I2956" t="s">
        <v>44</v>
      </c>
      <c r="J2956">
        <v>54</v>
      </c>
      <c r="K2956" t="s">
        <v>143</v>
      </c>
      <c r="L2956">
        <v>2</v>
      </c>
      <c r="M2956" t="str">
        <f>VLOOKUP(D2956,State_Lookup!$A$2:$B$28,2,FALSE)</f>
        <v>Rio de Janeiro</v>
      </c>
    </row>
    <row r="2957" spans="1:13" x14ac:dyDescent="0.45">
      <c r="A2957" t="s">
        <v>3514</v>
      </c>
      <c r="B2957" t="s">
        <v>3509</v>
      </c>
      <c r="C2957" t="s">
        <v>3206</v>
      </c>
      <c r="D2957" t="s">
        <v>20</v>
      </c>
      <c r="E2957" t="s">
        <v>61</v>
      </c>
      <c r="F2957">
        <v>1</v>
      </c>
      <c r="G2957">
        <v>149.9</v>
      </c>
      <c r="H2957">
        <v>27.9</v>
      </c>
      <c r="I2957" t="s">
        <v>44</v>
      </c>
      <c r="J2957">
        <v>12</v>
      </c>
      <c r="K2957" t="s">
        <v>51</v>
      </c>
      <c r="L2957">
        <v>5</v>
      </c>
      <c r="M2957" t="str">
        <f>VLOOKUP(D2957,State_Lookup!$A$2:$B$28,2,FALSE)</f>
        <v>Parana</v>
      </c>
    </row>
    <row r="2958" spans="1:13" x14ac:dyDescent="0.45">
      <c r="A2958" t="s">
        <v>3515</v>
      </c>
      <c r="B2958" t="s">
        <v>3509</v>
      </c>
      <c r="C2958" t="s">
        <v>3206</v>
      </c>
      <c r="D2958" t="s">
        <v>16</v>
      </c>
      <c r="E2958" t="s">
        <v>267</v>
      </c>
      <c r="F2958">
        <v>1</v>
      </c>
      <c r="G2958">
        <v>700</v>
      </c>
      <c r="H2958">
        <v>68.59</v>
      </c>
      <c r="I2958" t="s">
        <v>44</v>
      </c>
      <c r="J2958">
        <v>9</v>
      </c>
      <c r="K2958" t="s">
        <v>51</v>
      </c>
      <c r="L2958">
        <v>5</v>
      </c>
      <c r="M2958" t="str">
        <f>VLOOKUP(D2958,State_Lookup!$A$2:$B$28,2,FALSE)</f>
        <v>Sao Paulo</v>
      </c>
    </row>
    <row r="2959" spans="1:13" x14ac:dyDescent="0.45">
      <c r="A2959" t="s">
        <v>3516</v>
      </c>
      <c r="B2959" t="s">
        <v>3509</v>
      </c>
      <c r="C2959" t="s">
        <v>3206</v>
      </c>
      <c r="D2959" t="s">
        <v>18</v>
      </c>
      <c r="E2959" t="s">
        <v>192</v>
      </c>
      <c r="F2959">
        <v>1</v>
      </c>
      <c r="G2959">
        <v>89.7</v>
      </c>
      <c r="H2959">
        <v>12.76</v>
      </c>
      <c r="I2959" t="s">
        <v>44</v>
      </c>
      <c r="J2959">
        <v>3</v>
      </c>
      <c r="K2959" t="s">
        <v>51</v>
      </c>
      <c r="L2959">
        <v>5</v>
      </c>
      <c r="M2959" t="str">
        <f>VLOOKUP(D2959,State_Lookup!$A$2:$B$28,2,FALSE)</f>
        <v>Minas Gerais</v>
      </c>
    </row>
    <row r="2960" spans="1:13" x14ac:dyDescent="0.45">
      <c r="A2960" t="s">
        <v>3517</v>
      </c>
      <c r="B2960" t="s">
        <v>3509</v>
      </c>
      <c r="C2960" t="s">
        <v>3206</v>
      </c>
      <c r="D2960" t="s">
        <v>16</v>
      </c>
      <c r="E2960" t="s">
        <v>125</v>
      </c>
      <c r="F2960">
        <v>1</v>
      </c>
      <c r="G2960">
        <v>13.65</v>
      </c>
      <c r="H2960">
        <v>7.78</v>
      </c>
      <c r="I2960" t="s">
        <v>44</v>
      </c>
      <c r="J2960">
        <v>3</v>
      </c>
      <c r="K2960" t="s">
        <v>51</v>
      </c>
      <c r="L2960">
        <v>4</v>
      </c>
      <c r="M2960" t="str">
        <f>VLOOKUP(D2960,State_Lookup!$A$2:$B$28,2,FALSE)</f>
        <v>Sao Paulo</v>
      </c>
    </row>
    <row r="2961" spans="1:13" x14ac:dyDescent="0.45">
      <c r="A2961" t="s">
        <v>3518</v>
      </c>
      <c r="B2961" t="s">
        <v>3509</v>
      </c>
      <c r="C2961" t="s">
        <v>3206</v>
      </c>
      <c r="D2961" t="s">
        <v>19</v>
      </c>
      <c r="E2961" t="s">
        <v>157</v>
      </c>
      <c r="F2961">
        <v>1</v>
      </c>
      <c r="G2961">
        <v>38</v>
      </c>
      <c r="H2961">
        <v>15.1</v>
      </c>
      <c r="I2961" t="s">
        <v>44</v>
      </c>
      <c r="J2961">
        <v>11</v>
      </c>
      <c r="K2961" t="s">
        <v>51</v>
      </c>
      <c r="M2961" t="str">
        <f>VLOOKUP(D2961,State_Lookup!$A$2:$B$28,2,FALSE)</f>
        <v>Rio Grande do Sul</v>
      </c>
    </row>
    <row r="2962" spans="1:13" x14ac:dyDescent="0.45">
      <c r="A2962" t="s">
        <v>3519</v>
      </c>
      <c r="B2962" t="s">
        <v>3509</v>
      </c>
      <c r="C2962" t="s">
        <v>3206</v>
      </c>
      <c r="D2962" t="s">
        <v>16</v>
      </c>
      <c r="E2962" t="s">
        <v>61</v>
      </c>
      <c r="F2962">
        <v>1</v>
      </c>
      <c r="G2962">
        <v>74.900000000000006</v>
      </c>
      <c r="H2962">
        <v>15.27</v>
      </c>
      <c r="I2962" t="s">
        <v>44</v>
      </c>
      <c r="J2962">
        <v>23</v>
      </c>
      <c r="K2962" t="s">
        <v>51</v>
      </c>
      <c r="L2962">
        <v>4</v>
      </c>
      <c r="M2962" t="str">
        <f>VLOOKUP(D2962,State_Lookup!$A$2:$B$28,2,FALSE)</f>
        <v>Sao Paulo</v>
      </c>
    </row>
    <row r="2963" spans="1:13" x14ac:dyDescent="0.45">
      <c r="A2963" t="s">
        <v>3520</v>
      </c>
      <c r="B2963" t="s">
        <v>3509</v>
      </c>
      <c r="C2963" t="s">
        <v>3206</v>
      </c>
      <c r="D2963" t="s">
        <v>16</v>
      </c>
      <c r="E2963" t="s">
        <v>157</v>
      </c>
      <c r="F2963">
        <v>1</v>
      </c>
      <c r="G2963">
        <v>95</v>
      </c>
      <c r="H2963">
        <v>16.43</v>
      </c>
      <c r="I2963" t="s">
        <v>44</v>
      </c>
      <c r="J2963">
        <v>44</v>
      </c>
      <c r="K2963" t="s">
        <v>143</v>
      </c>
      <c r="L2963">
        <v>5</v>
      </c>
      <c r="M2963" t="str">
        <f>VLOOKUP(D2963,State_Lookup!$A$2:$B$28,2,FALSE)</f>
        <v>Sao Paulo</v>
      </c>
    </row>
    <row r="2964" spans="1:13" x14ac:dyDescent="0.45">
      <c r="A2964" t="s">
        <v>3521</v>
      </c>
      <c r="B2964" t="s">
        <v>3509</v>
      </c>
      <c r="C2964" t="s">
        <v>3206</v>
      </c>
      <c r="D2964" t="s">
        <v>17</v>
      </c>
      <c r="E2964" t="s">
        <v>66</v>
      </c>
      <c r="F2964">
        <v>2</v>
      </c>
      <c r="G2964">
        <v>119.8</v>
      </c>
      <c r="H2964">
        <v>30.34</v>
      </c>
      <c r="I2964" t="s">
        <v>44</v>
      </c>
      <c r="J2964">
        <v>24</v>
      </c>
      <c r="K2964" t="s">
        <v>143</v>
      </c>
      <c r="L2964">
        <v>5</v>
      </c>
      <c r="M2964" t="str">
        <f>VLOOKUP(D2964,State_Lookup!$A$2:$B$28,2,FALSE)</f>
        <v>Rio de Janeiro</v>
      </c>
    </row>
    <row r="2965" spans="1:13" x14ac:dyDescent="0.45">
      <c r="A2965" t="s">
        <v>3522</v>
      </c>
      <c r="B2965" t="s">
        <v>3509</v>
      </c>
      <c r="C2965" t="s">
        <v>3206</v>
      </c>
      <c r="D2965" t="s">
        <v>17</v>
      </c>
      <c r="E2965" t="s">
        <v>142</v>
      </c>
      <c r="F2965">
        <v>1</v>
      </c>
      <c r="G2965">
        <v>108.3</v>
      </c>
      <c r="H2965">
        <v>22.63</v>
      </c>
      <c r="I2965" t="s">
        <v>44</v>
      </c>
      <c r="J2965">
        <v>11</v>
      </c>
      <c r="K2965" t="s">
        <v>51</v>
      </c>
      <c r="L2965">
        <v>5</v>
      </c>
      <c r="M2965" t="str">
        <f>VLOOKUP(D2965,State_Lookup!$A$2:$B$28,2,FALSE)</f>
        <v>Rio de Janeiro</v>
      </c>
    </row>
    <row r="2966" spans="1:13" x14ac:dyDescent="0.45">
      <c r="A2966" t="s">
        <v>3523</v>
      </c>
      <c r="B2966" t="s">
        <v>3509</v>
      </c>
      <c r="C2966" t="s">
        <v>3206</v>
      </c>
      <c r="D2966" t="s">
        <v>16</v>
      </c>
      <c r="E2966" t="s">
        <v>64</v>
      </c>
      <c r="F2966">
        <v>1</v>
      </c>
      <c r="G2966">
        <v>34.9</v>
      </c>
      <c r="H2966">
        <v>7.78</v>
      </c>
      <c r="I2966" t="s">
        <v>44</v>
      </c>
      <c r="J2966">
        <v>5</v>
      </c>
      <c r="K2966" t="s">
        <v>51</v>
      </c>
      <c r="L2966">
        <v>5</v>
      </c>
      <c r="M2966" t="str">
        <f>VLOOKUP(D2966,State_Lookup!$A$2:$B$28,2,FALSE)</f>
        <v>Sao Paulo</v>
      </c>
    </row>
    <row r="2967" spans="1:13" x14ac:dyDescent="0.45">
      <c r="A2967" t="s">
        <v>3524</v>
      </c>
      <c r="B2967" t="s">
        <v>3509</v>
      </c>
      <c r="C2967" t="s">
        <v>3206</v>
      </c>
      <c r="D2967" t="s">
        <v>21</v>
      </c>
      <c r="E2967" t="s">
        <v>66</v>
      </c>
      <c r="F2967">
        <v>1</v>
      </c>
      <c r="G2967">
        <v>24.99</v>
      </c>
      <c r="H2967">
        <v>15.1</v>
      </c>
      <c r="I2967" t="s">
        <v>44</v>
      </c>
      <c r="J2967">
        <v>23</v>
      </c>
      <c r="K2967" t="s">
        <v>51</v>
      </c>
      <c r="L2967">
        <v>3</v>
      </c>
      <c r="M2967" t="str">
        <f>VLOOKUP(D2967,State_Lookup!$A$2:$B$28,2,FALSE)</f>
        <v>Santa Catarina</v>
      </c>
    </row>
    <row r="2968" spans="1:13" x14ac:dyDescent="0.45">
      <c r="A2968" t="s">
        <v>3525</v>
      </c>
      <c r="B2968" t="s">
        <v>3526</v>
      </c>
      <c r="C2968" t="s">
        <v>3206</v>
      </c>
      <c r="D2968" t="s">
        <v>16</v>
      </c>
      <c r="E2968" t="s">
        <v>1056</v>
      </c>
      <c r="F2968">
        <v>2</v>
      </c>
      <c r="G2968">
        <v>30</v>
      </c>
      <c r="H2968">
        <v>16.54</v>
      </c>
      <c r="I2968" t="s">
        <v>44</v>
      </c>
      <c r="J2968">
        <v>5</v>
      </c>
      <c r="K2968" t="s">
        <v>51</v>
      </c>
      <c r="L2968">
        <v>5</v>
      </c>
      <c r="M2968" t="str">
        <f>VLOOKUP(D2968,State_Lookup!$A$2:$B$28,2,FALSE)</f>
        <v>Sao Paulo</v>
      </c>
    </row>
    <row r="2969" spans="1:13" x14ac:dyDescent="0.45">
      <c r="A2969" t="s">
        <v>3527</v>
      </c>
      <c r="B2969" t="s">
        <v>3526</v>
      </c>
      <c r="C2969" t="s">
        <v>3206</v>
      </c>
      <c r="D2969" t="s">
        <v>16</v>
      </c>
      <c r="E2969" t="s">
        <v>110</v>
      </c>
      <c r="F2969">
        <v>1</v>
      </c>
      <c r="G2969">
        <v>139</v>
      </c>
      <c r="H2969">
        <v>13.99</v>
      </c>
      <c r="I2969" t="s">
        <v>44</v>
      </c>
      <c r="J2969">
        <v>20</v>
      </c>
      <c r="K2969" t="s">
        <v>143</v>
      </c>
      <c r="L2969">
        <v>4</v>
      </c>
      <c r="M2969" t="str">
        <f>VLOOKUP(D2969,State_Lookup!$A$2:$B$28,2,FALSE)</f>
        <v>Sao Paulo</v>
      </c>
    </row>
    <row r="2970" spans="1:13" x14ac:dyDescent="0.45">
      <c r="A2970" t="s">
        <v>3528</v>
      </c>
      <c r="B2970" t="s">
        <v>3526</v>
      </c>
      <c r="C2970" t="s">
        <v>3206</v>
      </c>
      <c r="D2970" t="s">
        <v>16</v>
      </c>
      <c r="E2970" t="s">
        <v>69</v>
      </c>
      <c r="F2970">
        <v>1</v>
      </c>
      <c r="G2970">
        <v>179</v>
      </c>
      <c r="H2970">
        <v>45.71</v>
      </c>
      <c r="I2970" t="s">
        <v>44</v>
      </c>
      <c r="J2970">
        <v>18</v>
      </c>
      <c r="K2970" t="s">
        <v>51</v>
      </c>
      <c r="L2970">
        <v>3</v>
      </c>
      <c r="M2970" t="str">
        <f>VLOOKUP(D2970,State_Lookup!$A$2:$B$28,2,FALSE)</f>
        <v>Sao Paulo</v>
      </c>
    </row>
    <row r="2971" spans="1:13" x14ac:dyDescent="0.45">
      <c r="A2971" t="s">
        <v>3529</v>
      </c>
      <c r="B2971" t="s">
        <v>3526</v>
      </c>
      <c r="C2971" t="s">
        <v>3206</v>
      </c>
      <c r="D2971" t="s">
        <v>17</v>
      </c>
      <c r="E2971" t="s">
        <v>142</v>
      </c>
      <c r="F2971">
        <v>1</v>
      </c>
      <c r="G2971">
        <v>57.9</v>
      </c>
      <c r="H2971">
        <v>16.850000000000001</v>
      </c>
      <c r="I2971" t="s">
        <v>44</v>
      </c>
      <c r="J2971">
        <v>10</v>
      </c>
      <c r="K2971" t="s">
        <v>51</v>
      </c>
      <c r="L2971">
        <v>5</v>
      </c>
      <c r="M2971" t="str">
        <f>VLOOKUP(D2971,State_Lookup!$A$2:$B$28,2,FALSE)</f>
        <v>Rio de Janeiro</v>
      </c>
    </row>
    <row r="2972" spans="1:13" x14ac:dyDescent="0.45">
      <c r="A2972" t="s">
        <v>3530</v>
      </c>
      <c r="B2972" t="s">
        <v>3526</v>
      </c>
      <c r="C2972" t="s">
        <v>3206</v>
      </c>
      <c r="D2972" t="s">
        <v>16</v>
      </c>
      <c r="E2972" t="s">
        <v>49</v>
      </c>
      <c r="F2972">
        <v>2</v>
      </c>
      <c r="G2972">
        <v>9</v>
      </c>
      <c r="H2972">
        <v>35.200000000000003</v>
      </c>
      <c r="I2972" t="s">
        <v>44</v>
      </c>
      <c r="J2972">
        <v>21</v>
      </c>
      <c r="K2972" t="s">
        <v>51</v>
      </c>
      <c r="L2972">
        <v>3</v>
      </c>
      <c r="M2972" t="str">
        <f>VLOOKUP(D2972,State_Lookup!$A$2:$B$28,2,FALSE)</f>
        <v>Sao Paulo</v>
      </c>
    </row>
    <row r="2973" spans="1:13" x14ac:dyDescent="0.45">
      <c r="A2973" t="s">
        <v>3531</v>
      </c>
      <c r="B2973" t="s">
        <v>3526</v>
      </c>
      <c r="C2973" t="s">
        <v>3206</v>
      </c>
      <c r="D2973" t="s">
        <v>23</v>
      </c>
      <c r="E2973" t="s">
        <v>103</v>
      </c>
      <c r="F2973">
        <v>1</v>
      </c>
      <c r="G2973">
        <v>47.9</v>
      </c>
      <c r="H2973">
        <v>18.89</v>
      </c>
      <c r="I2973" t="s">
        <v>50</v>
      </c>
      <c r="J2973">
        <v>18</v>
      </c>
      <c r="K2973" t="s">
        <v>51</v>
      </c>
      <c r="L2973">
        <v>1</v>
      </c>
      <c r="M2973" t="str">
        <f>VLOOKUP(D2973,State_Lookup!$A$2:$B$28,2,FALSE)</f>
        <v>Espirito Santo</v>
      </c>
    </row>
    <row r="2974" spans="1:13" x14ac:dyDescent="0.45">
      <c r="A2974" t="s">
        <v>3532</v>
      </c>
      <c r="B2974" t="s">
        <v>3526</v>
      </c>
      <c r="C2974" t="s">
        <v>3206</v>
      </c>
      <c r="D2974" t="s">
        <v>17</v>
      </c>
      <c r="E2974" t="s">
        <v>79</v>
      </c>
      <c r="F2974">
        <v>1</v>
      </c>
      <c r="G2974">
        <v>39</v>
      </c>
      <c r="H2974">
        <v>17.63</v>
      </c>
      <c r="I2974" t="s">
        <v>44</v>
      </c>
      <c r="J2974">
        <v>15</v>
      </c>
      <c r="K2974" t="s">
        <v>51</v>
      </c>
      <c r="L2974">
        <v>4</v>
      </c>
      <c r="M2974" t="str">
        <f>VLOOKUP(D2974,State_Lookup!$A$2:$B$28,2,FALSE)</f>
        <v>Rio de Janeiro</v>
      </c>
    </row>
    <row r="2975" spans="1:13" x14ac:dyDescent="0.45">
      <c r="A2975" t="s">
        <v>3533</v>
      </c>
      <c r="B2975" t="s">
        <v>3526</v>
      </c>
      <c r="C2975" t="s">
        <v>3206</v>
      </c>
      <c r="D2975" t="s">
        <v>21</v>
      </c>
      <c r="E2975" t="s">
        <v>148</v>
      </c>
      <c r="F2975">
        <v>1</v>
      </c>
      <c r="G2975">
        <v>148</v>
      </c>
      <c r="H2975">
        <v>15.79</v>
      </c>
      <c r="I2975" t="s">
        <v>44</v>
      </c>
      <c r="J2975">
        <v>26</v>
      </c>
      <c r="K2975" t="s">
        <v>143</v>
      </c>
      <c r="L2975">
        <v>2</v>
      </c>
      <c r="M2975" t="str">
        <f>VLOOKUP(D2975,State_Lookup!$A$2:$B$28,2,FALSE)</f>
        <v>Santa Catarina</v>
      </c>
    </row>
    <row r="2976" spans="1:13" x14ac:dyDescent="0.45">
      <c r="A2976" t="s">
        <v>3534</v>
      </c>
      <c r="B2976" t="s">
        <v>3535</v>
      </c>
      <c r="C2976" t="s">
        <v>3206</v>
      </c>
      <c r="D2976" t="s">
        <v>16</v>
      </c>
      <c r="E2976" t="s">
        <v>79</v>
      </c>
      <c r="F2976">
        <v>1</v>
      </c>
      <c r="G2976">
        <v>29.9</v>
      </c>
      <c r="H2976">
        <v>8.11</v>
      </c>
      <c r="I2976" t="s">
        <v>108</v>
      </c>
      <c r="J2976">
        <v>2</v>
      </c>
      <c r="K2976" t="s">
        <v>51</v>
      </c>
      <c r="L2976">
        <v>5</v>
      </c>
      <c r="M2976" t="str">
        <f>VLOOKUP(D2976,State_Lookup!$A$2:$B$28,2,FALSE)</f>
        <v>Sao Paulo</v>
      </c>
    </row>
    <row r="2977" spans="1:13" x14ac:dyDescent="0.45">
      <c r="A2977" t="s">
        <v>3536</v>
      </c>
      <c r="B2977" t="s">
        <v>3535</v>
      </c>
      <c r="C2977" t="s">
        <v>3206</v>
      </c>
      <c r="D2977" t="s">
        <v>19</v>
      </c>
      <c r="E2977" t="s">
        <v>173</v>
      </c>
      <c r="F2977">
        <v>1</v>
      </c>
      <c r="G2977">
        <v>49</v>
      </c>
      <c r="H2977">
        <v>15.1</v>
      </c>
      <c r="I2977" t="s">
        <v>44</v>
      </c>
      <c r="J2977">
        <v>11</v>
      </c>
      <c r="K2977" t="s">
        <v>51</v>
      </c>
      <c r="L2977">
        <v>5</v>
      </c>
      <c r="M2977" t="str">
        <f>VLOOKUP(D2977,State_Lookup!$A$2:$B$28,2,FALSE)</f>
        <v>Rio Grande do Sul</v>
      </c>
    </row>
    <row r="2978" spans="1:13" x14ac:dyDescent="0.45">
      <c r="A2978" t="s">
        <v>3537</v>
      </c>
      <c r="B2978" t="s">
        <v>3535</v>
      </c>
      <c r="C2978" t="s">
        <v>3206</v>
      </c>
      <c r="D2978" t="s">
        <v>19</v>
      </c>
      <c r="E2978" t="s">
        <v>49</v>
      </c>
      <c r="F2978">
        <v>1</v>
      </c>
      <c r="G2978">
        <v>169</v>
      </c>
      <c r="H2978">
        <v>27.5</v>
      </c>
      <c r="I2978" t="s">
        <v>50</v>
      </c>
      <c r="J2978">
        <v>16</v>
      </c>
      <c r="K2978" t="s">
        <v>51</v>
      </c>
      <c r="L2978">
        <v>5</v>
      </c>
      <c r="M2978" t="str">
        <f>VLOOKUP(D2978,State_Lookup!$A$2:$B$28,2,FALSE)</f>
        <v>Rio Grande do Sul</v>
      </c>
    </row>
    <row r="2979" spans="1:13" x14ac:dyDescent="0.45">
      <c r="A2979" t="s">
        <v>3538</v>
      </c>
      <c r="B2979" t="s">
        <v>3535</v>
      </c>
      <c r="C2979" t="s">
        <v>3206</v>
      </c>
      <c r="D2979" t="s">
        <v>18</v>
      </c>
      <c r="E2979" t="s">
        <v>61</v>
      </c>
      <c r="F2979">
        <v>3</v>
      </c>
      <c r="G2979">
        <v>56.7</v>
      </c>
      <c r="H2979">
        <v>45.3</v>
      </c>
      <c r="I2979" t="s">
        <v>44</v>
      </c>
      <c r="J2979">
        <v>18</v>
      </c>
      <c r="K2979" t="s">
        <v>51</v>
      </c>
      <c r="L2979">
        <v>1</v>
      </c>
      <c r="M2979" t="str">
        <f>VLOOKUP(D2979,State_Lookup!$A$2:$B$28,2,FALSE)</f>
        <v>Minas Gerais</v>
      </c>
    </row>
    <row r="2980" spans="1:13" x14ac:dyDescent="0.45">
      <c r="A2980" t="s">
        <v>3539</v>
      </c>
      <c r="B2980" t="s">
        <v>3535</v>
      </c>
      <c r="C2980" t="s">
        <v>3206</v>
      </c>
      <c r="D2980" t="s">
        <v>18</v>
      </c>
      <c r="E2980" t="s">
        <v>110</v>
      </c>
      <c r="F2980">
        <v>1</v>
      </c>
      <c r="G2980">
        <v>199.9</v>
      </c>
      <c r="H2980">
        <v>21.89</v>
      </c>
      <c r="I2980" t="s">
        <v>44</v>
      </c>
      <c r="J2980">
        <v>43</v>
      </c>
      <c r="K2980" t="s">
        <v>143</v>
      </c>
      <c r="M2980" t="str">
        <f>VLOOKUP(D2980,State_Lookup!$A$2:$B$28,2,FALSE)</f>
        <v>Minas Gerais</v>
      </c>
    </row>
    <row r="2981" spans="1:13" x14ac:dyDescent="0.45">
      <c r="A2981" t="s">
        <v>3540</v>
      </c>
      <c r="B2981" t="s">
        <v>3535</v>
      </c>
      <c r="C2981" t="s">
        <v>3206</v>
      </c>
      <c r="D2981" t="s">
        <v>21</v>
      </c>
      <c r="E2981" t="s">
        <v>64</v>
      </c>
      <c r="F2981">
        <v>1</v>
      </c>
      <c r="G2981">
        <v>55.9</v>
      </c>
      <c r="H2981">
        <v>16.829999999999998</v>
      </c>
      <c r="I2981" t="s">
        <v>50</v>
      </c>
      <c r="J2981">
        <v>14</v>
      </c>
      <c r="K2981" t="s">
        <v>51</v>
      </c>
      <c r="L2981">
        <v>5</v>
      </c>
      <c r="M2981" t="str">
        <f>VLOOKUP(D2981,State_Lookup!$A$2:$B$28,2,FALSE)</f>
        <v>Santa Catarina</v>
      </c>
    </row>
    <row r="2982" spans="1:13" x14ac:dyDescent="0.45">
      <c r="A2982" t="s">
        <v>3541</v>
      </c>
      <c r="B2982" t="s">
        <v>3535</v>
      </c>
      <c r="C2982" t="s">
        <v>3206</v>
      </c>
      <c r="D2982" t="s">
        <v>21</v>
      </c>
      <c r="E2982" t="s">
        <v>79</v>
      </c>
      <c r="F2982">
        <v>1</v>
      </c>
      <c r="G2982">
        <v>104</v>
      </c>
      <c r="H2982">
        <v>12.98</v>
      </c>
      <c r="I2982" t="s">
        <v>44</v>
      </c>
      <c r="J2982">
        <v>11</v>
      </c>
      <c r="K2982" t="s">
        <v>51</v>
      </c>
      <c r="L2982">
        <v>5</v>
      </c>
      <c r="M2982" t="str">
        <f>VLOOKUP(D2982,State_Lookup!$A$2:$B$28,2,FALSE)</f>
        <v>Santa Catarina</v>
      </c>
    </row>
    <row r="2983" spans="1:13" x14ac:dyDescent="0.45">
      <c r="A2983" t="s">
        <v>3542</v>
      </c>
      <c r="B2983" t="s">
        <v>3535</v>
      </c>
      <c r="C2983" t="s">
        <v>3206</v>
      </c>
      <c r="D2983" t="s">
        <v>22</v>
      </c>
      <c r="E2983" t="s">
        <v>148</v>
      </c>
      <c r="F2983">
        <v>1</v>
      </c>
      <c r="G2983">
        <v>99.99</v>
      </c>
      <c r="H2983">
        <v>19.940000000000001</v>
      </c>
      <c r="I2983" t="s">
        <v>50</v>
      </c>
      <c r="J2983">
        <v>10</v>
      </c>
      <c r="K2983" t="s">
        <v>51</v>
      </c>
      <c r="L2983">
        <v>4</v>
      </c>
      <c r="M2983" t="str">
        <f>VLOOKUP(D2983,State_Lookup!$A$2:$B$28,2,FALSE)</f>
        <v>Bahia</v>
      </c>
    </row>
    <row r="2984" spans="1:13" x14ac:dyDescent="0.45">
      <c r="A2984" t="s">
        <v>3543</v>
      </c>
      <c r="B2984" t="s">
        <v>3535</v>
      </c>
      <c r="C2984" t="s">
        <v>3206</v>
      </c>
      <c r="D2984" t="s">
        <v>17</v>
      </c>
      <c r="E2984" t="s">
        <v>79</v>
      </c>
      <c r="F2984">
        <v>1</v>
      </c>
      <c r="G2984">
        <v>69.989999999999995</v>
      </c>
      <c r="H2984">
        <v>16.93</v>
      </c>
      <c r="I2984" t="s">
        <v>44</v>
      </c>
      <c r="J2984">
        <v>53</v>
      </c>
      <c r="K2984" t="s">
        <v>143</v>
      </c>
      <c r="L2984">
        <v>3</v>
      </c>
      <c r="M2984" t="str">
        <f>VLOOKUP(D2984,State_Lookup!$A$2:$B$28,2,FALSE)</f>
        <v>Rio de Janeiro</v>
      </c>
    </row>
    <row r="2985" spans="1:13" x14ac:dyDescent="0.45">
      <c r="A2985" t="s">
        <v>3544</v>
      </c>
      <c r="B2985" t="s">
        <v>3535</v>
      </c>
      <c r="C2985" t="s">
        <v>3206</v>
      </c>
      <c r="D2985" t="s">
        <v>16</v>
      </c>
      <c r="E2985" t="s">
        <v>220</v>
      </c>
      <c r="F2985">
        <v>1</v>
      </c>
      <c r="G2985">
        <v>116.94</v>
      </c>
      <c r="H2985">
        <v>20.79</v>
      </c>
      <c r="I2985" t="s">
        <v>44</v>
      </c>
      <c r="J2985">
        <v>18</v>
      </c>
      <c r="K2985" t="s">
        <v>51</v>
      </c>
      <c r="L2985">
        <v>4</v>
      </c>
      <c r="M2985" t="str">
        <f>VLOOKUP(D2985,State_Lookup!$A$2:$B$28,2,FALSE)</f>
        <v>Sao Paulo</v>
      </c>
    </row>
    <row r="2986" spans="1:13" x14ac:dyDescent="0.45">
      <c r="A2986" t="s">
        <v>3545</v>
      </c>
      <c r="B2986" t="s">
        <v>3535</v>
      </c>
      <c r="C2986" t="s">
        <v>3206</v>
      </c>
      <c r="D2986" t="s">
        <v>16</v>
      </c>
      <c r="E2986" t="s">
        <v>79</v>
      </c>
      <c r="F2986">
        <v>1</v>
      </c>
      <c r="G2986">
        <v>394.65</v>
      </c>
      <c r="H2986">
        <v>17.510000000000002</v>
      </c>
      <c r="I2986" t="s">
        <v>44</v>
      </c>
      <c r="J2986">
        <v>4</v>
      </c>
      <c r="K2986" t="s">
        <v>51</v>
      </c>
      <c r="L2986">
        <v>1</v>
      </c>
      <c r="M2986" t="str">
        <f>VLOOKUP(D2986,State_Lookup!$A$2:$B$28,2,FALSE)</f>
        <v>Sao Paulo</v>
      </c>
    </row>
    <row r="2987" spans="1:13" x14ac:dyDescent="0.45">
      <c r="A2987" t="s">
        <v>3546</v>
      </c>
      <c r="B2987" t="s">
        <v>3535</v>
      </c>
      <c r="C2987" t="s">
        <v>3206</v>
      </c>
      <c r="D2987" t="s">
        <v>21</v>
      </c>
      <c r="E2987" t="s">
        <v>49</v>
      </c>
      <c r="F2987">
        <v>1</v>
      </c>
      <c r="G2987">
        <v>85</v>
      </c>
      <c r="H2987">
        <v>15.34</v>
      </c>
      <c r="I2987" t="s">
        <v>50</v>
      </c>
      <c r="J2987">
        <v>14</v>
      </c>
      <c r="K2987" t="s">
        <v>51</v>
      </c>
      <c r="L2987">
        <v>3</v>
      </c>
      <c r="M2987" t="str">
        <f>VLOOKUP(D2987,State_Lookup!$A$2:$B$28,2,FALSE)</f>
        <v>Santa Catarina</v>
      </c>
    </row>
    <row r="2988" spans="1:13" x14ac:dyDescent="0.45">
      <c r="A2988" t="s">
        <v>3547</v>
      </c>
      <c r="B2988" t="s">
        <v>3535</v>
      </c>
      <c r="C2988" t="s">
        <v>3206</v>
      </c>
      <c r="D2988" t="s">
        <v>18</v>
      </c>
      <c r="E2988" t="s">
        <v>110</v>
      </c>
      <c r="F2988">
        <v>1</v>
      </c>
      <c r="G2988">
        <v>249.9</v>
      </c>
      <c r="H2988">
        <v>26.59</v>
      </c>
      <c r="I2988" t="s">
        <v>50</v>
      </c>
      <c r="J2988">
        <v>15</v>
      </c>
      <c r="K2988" t="s">
        <v>51</v>
      </c>
      <c r="L2988">
        <v>5</v>
      </c>
      <c r="M2988" t="str">
        <f>VLOOKUP(D2988,State_Lookup!$A$2:$B$28,2,FALSE)</f>
        <v>Minas Gerais</v>
      </c>
    </row>
    <row r="2989" spans="1:13" x14ac:dyDescent="0.45">
      <c r="A2989" t="s">
        <v>3548</v>
      </c>
      <c r="B2989" t="s">
        <v>3535</v>
      </c>
      <c r="C2989" t="s">
        <v>3206</v>
      </c>
      <c r="D2989" t="s">
        <v>17</v>
      </c>
      <c r="E2989" t="s">
        <v>269</v>
      </c>
      <c r="F2989">
        <v>1</v>
      </c>
      <c r="G2989">
        <v>99.9</v>
      </c>
      <c r="H2989">
        <v>17.14</v>
      </c>
      <c r="I2989" t="s">
        <v>44</v>
      </c>
      <c r="J2989">
        <v>51</v>
      </c>
      <c r="K2989" t="s">
        <v>143</v>
      </c>
      <c r="L2989">
        <v>1</v>
      </c>
      <c r="M2989" t="str">
        <f>VLOOKUP(D2989,State_Lookup!$A$2:$B$28,2,FALSE)</f>
        <v>Rio de Janeiro</v>
      </c>
    </row>
    <row r="2990" spans="1:13" x14ac:dyDescent="0.45">
      <c r="A2990" t="s">
        <v>3549</v>
      </c>
      <c r="B2990" t="s">
        <v>3535</v>
      </c>
      <c r="C2990" t="s">
        <v>3206</v>
      </c>
      <c r="D2990" t="s">
        <v>16</v>
      </c>
      <c r="E2990" t="s">
        <v>125</v>
      </c>
      <c r="F2990">
        <v>1</v>
      </c>
      <c r="G2990">
        <v>15.9</v>
      </c>
      <c r="H2990">
        <v>8.7200000000000006</v>
      </c>
      <c r="I2990" t="s">
        <v>50</v>
      </c>
      <c r="K2990" t="s">
        <v>45</v>
      </c>
      <c r="L2990">
        <v>2</v>
      </c>
      <c r="M2990" t="str">
        <f>VLOOKUP(D2990,State_Lookup!$A$2:$B$28,2,FALSE)</f>
        <v>Sao Paulo</v>
      </c>
    </row>
    <row r="2991" spans="1:13" x14ac:dyDescent="0.45">
      <c r="A2991" t="s">
        <v>3550</v>
      </c>
      <c r="B2991" t="s">
        <v>3535</v>
      </c>
      <c r="C2991" t="s">
        <v>3206</v>
      </c>
      <c r="D2991" t="s">
        <v>23</v>
      </c>
      <c r="E2991" t="s">
        <v>61</v>
      </c>
      <c r="F2991">
        <v>1</v>
      </c>
      <c r="G2991">
        <v>24.99</v>
      </c>
      <c r="H2991">
        <v>15.1</v>
      </c>
      <c r="I2991" t="s">
        <v>44</v>
      </c>
      <c r="J2991">
        <v>9</v>
      </c>
      <c r="K2991" t="s">
        <v>51</v>
      </c>
      <c r="L2991">
        <v>4</v>
      </c>
      <c r="M2991" t="str">
        <f>VLOOKUP(D2991,State_Lookup!$A$2:$B$28,2,FALSE)</f>
        <v>Espirito Santo</v>
      </c>
    </row>
    <row r="2992" spans="1:13" x14ac:dyDescent="0.45">
      <c r="A2992" t="s">
        <v>3551</v>
      </c>
      <c r="B2992" t="s">
        <v>3535</v>
      </c>
      <c r="C2992" t="s">
        <v>3206</v>
      </c>
      <c r="D2992" t="s">
        <v>16</v>
      </c>
      <c r="E2992" t="s">
        <v>220</v>
      </c>
      <c r="F2992">
        <v>1</v>
      </c>
      <c r="G2992">
        <v>189.99</v>
      </c>
      <c r="H2992">
        <v>27.88</v>
      </c>
      <c r="I2992" t="s">
        <v>44</v>
      </c>
      <c r="J2992">
        <v>21</v>
      </c>
      <c r="K2992" t="s">
        <v>51</v>
      </c>
      <c r="L2992">
        <v>5</v>
      </c>
      <c r="M2992" t="str">
        <f>VLOOKUP(D2992,State_Lookup!$A$2:$B$28,2,FALSE)</f>
        <v>Sao Paulo</v>
      </c>
    </row>
    <row r="2993" spans="1:13" x14ac:dyDescent="0.45">
      <c r="A2993" t="s">
        <v>3552</v>
      </c>
      <c r="B2993" t="s">
        <v>3535</v>
      </c>
      <c r="C2993" t="s">
        <v>3206</v>
      </c>
      <c r="D2993" t="s">
        <v>21</v>
      </c>
      <c r="E2993" t="s">
        <v>1935</v>
      </c>
      <c r="F2993">
        <v>1</v>
      </c>
      <c r="G2993">
        <v>19.899999999999999</v>
      </c>
      <c r="H2993">
        <v>15.1</v>
      </c>
      <c r="I2993" t="s">
        <v>44</v>
      </c>
      <c r="J2993">
        <v>11</v>
      </c>
      <c r="K2993" t="s">
        <v>51</v>
      </c>
      <c r="L2993">
        <v>4</v>
      </c>
      <c r="M2993" t="str">
        <f>VLOOKUP(D2993,State_Lookup!$A$2:$B$28,2,FALSE)</f>
        <v>Santa Catarina</v>
      </c>
    </row>
    <row r="2994" spans="1:13" x14ac:dyDescent="0.45">
      <c r="A2994" t="s">
        <v>3553</v>
      </c>
      <c r="B2994" t="s">
        <v>3535</v>
      </c>
      <c r="C2994" t="s">
        <v>3206</v>
      </c>
      <c r="D2994" t="s">
        <v>632</v>
      </c>
      <c r="E2994" t="s">
        <v>61</v>
      </c>
      <c r="F2994">
        <v>2</v>
      </c>
      <c r="G2994">
        <v>63.8</v>
      </c>
      <c r="H2994">
        <v>68.3</v>
      </c>
      <c r="I2994" t="s">
        <v>50</v>
      </c>
      <c r="J2994">
        <v>36</v>
      </c>
      <c r="K2994" t="s">
        <v>51</v>
      </c>
      <c r="L2994">
        <v>1</v>
      </c>
      <c r="M2994" t="str">
        <f>VLOOKUP(D2994,State_Lookup!$A$2:$B$28,2,FALSE)</f>
        <v>Alagoas</v>
      </c>
    </row>
    <row r="2995" spans="1:13" x14ac:dyDescent="0.45">
      <c r="A2995" t="s">
        <v>3554</v>
      </c>
      <c r="B2995" t="s">
        <v>3535</v>
      </c>
      <c r="C2995" t="s">
        <v>3206</v>
      </c>
      <c r="D2995" t="s">
        <v>16</v>
      </c>
      <c r="E2995" t="s">
        <v>69</v>
      </c>
      <c r="F2995">
        <v>1</v>
      </c>
      <c r="G2995">
        <v>120</v>
      </c>
      <c r="H2995">
        <v>45.3</v>
      </c>
      <c r="I2995" t="s">
        <v>44</v>
      </c>
      <c r="J2995">
        <v>23</v>
      </c>
      <c r="K2995" t="s">
        <v>143</v>
      </c>
      <c r="L2995">
        <v>1</v>
      </c>
      <c r="M2995" t="str">
        <f>VLOOKUP(D2995,State_Lookup!$A$2:$B$28,2,FALSE)</f>
        <v>Sao Paulo</v>
      </c>
    </row>
    <row r="2996" spans="1:13" x14ac:dyDescent="0.45">
      <c r="A2996" t="s">
        <v>3555</v>
      </c>
      <c r="B2996" t="s">
        <v>3556</v>
      </c>
      <c r="C2996" t="s">
        <v>3206</v>
      </c>
      <c r="D2996" t="s">
        <v>16</v>
      </c>
      <c r="E2996" t="s">
        <v>61</v>
      </c>
      <c r="F2996">
        <v>1</v>
      </c>
      <c r="G2996">
        <v>149.9</v>
      </c>
      <c r="H2996">
        <v>15.8</v>
      </c>
      <c r="I2996" t="s">
        <v>50</v>
      </c>
      <c r="J2996">
        <v>35</v>
      </c>
      <c r="K2996" t="s">
        <v>143</v>
      </c>
      <c r="L2996">
        <v>1</v>
      </c>
      <c r="M2996" t="str">
        <f>VLOOKUP(D2996,State_Lookup!$A$2:$B$28,2,FALSE)</f>
        <v>Sao Paulo</v>
      </c>
    </row>
    <row r="2997" spans="1:13" x14ac:dyDescent="0.45">
      <c r="A2997" t="s">
        <v>3557</v>
      </c>
      <c r="B2997" t="s">
        <v>3556</v>
      </c>
      <c r="C2997" t="s">
        <v>3206</v>
      </c>
      <c r="D2997" t="s">
        <v>17</v>
      </c>
      <c r="E2997" t="s">
        <v>69</v>
      </c>
      <c r="F2997">
        <v>1</v>
      </c>
      <c r="G2997">
        <v>179</v>
      </c>
      <c r="H2997">
        <v>45.71</v>
      </c>
      <c r="I2997" t="s">
        <v>44</v>
      </c>
      <c r="J2997">
        <v>21</v>
      </c>
      <c r="K2997" t="s">
        <v>51</v>
      </c>
      <c r="L2997">
        <v>5</v>
      </c>
      <c r="M2997" t="str">
        <f>VLOOKUP(D2997,State_Lookup!$A$2:$B$28,2,FALSE)</f>
        <v>Rio de Janeiro</v>
      </c>
    </row>
    <row r="2998" spans="1:13" x14ac:dyDescent="0.45">
      <c r="A2998" t="s">
        <v>3558</v>
      </c>
      <c r="B2998" t="s">
        <v>3556</v>
      </c>
      <c r="C2998" t="s">
        <v>3206</v>
      </c>
      <c r="D2998" t="s">
        <v>16</v>
      </c>
      <c r="E2998" t="s">
        <v>125</v>
      </c>
      <c r="F2998">
        <v>1</v>
      </c>
      <c r="G2998">
        <v>11.55</v>
      </c>
      <c r="H2998">
        <v>7.78</v>
      </c>
      <c r="I2998" t="s">
        <v>44</v>
      </c>
      <c r="J2998">
        <v>2</v>
      </c>
      <c r="K2998" t="s">
        <v>51</v>
      </c>
      <c r="L2998">
        <v>1</v>
      </c>
      <c r="M2998" t="str">
        <f>VLOOKUP(D2998,State_Lookup!$A$2:$B$28,2,FALSE)</f>
        <v>Sao Paulo</v>
      </c>
    </row>
    <row r="2999" spans="1:13" x14ac:dyDescent="0.45">
      <c r="A2999" t="s">
        <v>3559</v>
      </c>
      <c r="B2999" t="s">
        <v>3556</v>
      </c>
      <c r="C2999" t="s">
        <v>3206</v>
      </c>
      <c r="D2999" t="s">
        <v>17</v>
      </c>
      <c r="E2999" t="s">
        <v>142</v>
      </c>
      <c r="F2999">
        <v>1</v>
      </c>
      <c r="G2999">
        <v>129</v>
      </c>
      <c r="H2999">
        <v>21.39</v>
      </c>
      <c r="I2999" t="s">
        <v>44</v>
      </c>
      <c r="J2999">
        <v>9</v>
      </c>
      <c r="K2999" t="s">
        <v>51</v>
      </c>
      <c r="L2999">
        <v>5</v>
      </c>
      <c r="M2999" t="str">
        <f>VLOOKUP(D2999,State_Lookup!$A$2:$B$28,2,FALSE)</f>
        <v>Rio de Janeiro</v>
      </c>
    </row>
    <row r="3000" spans="1:13" x14ac:dyDescent="0.45">
      <c r="A3000" t="s">
        <v>3560</v>
      </c>
      <c r="B3000" t="s">
        <v>3556</v>
      </c>
      <c r="C3000" t="s">
        <v>3206</v>
      </c>
      <c r="D3000" t="s">
        <v>16</v>
      </c>
      <c r="E3000" t="s">
        <v>157</v>
      </c>
      <c r="F3000">
        <v>1</v>
      </c>
      <c r="G3000">
        <v>38</v>
      </c>
      <c r="H3000">
        <v>7.78</v>
      </c>
      <c r="I3000" t="s">
        <v>44</v>
      </c>
      <c r="J3000">
        <v>1</v>
      </c>
      <c r="K3000" t="s">
        <v>51</v>
      </c>
      <c r="L3000">
        <v>5</v>
      </c>
      <c r="M3000" t="str">
        <f>VLOOKUP(D3000,State_Lookup!$A$2:$B$28,2,FALSE)</f>
        <v>Sao Paulo</v>
      </c>
    </row>
    <row r="3001" spans="1:13" x14ac:dyDescent="0.45">
      <c r="A3001" t="s">
        <v>3561</v>
      </c>
      <c r="B3001" t="s">
        <v>3556</v>
      </c>
      <c r="C3001" t="s">
        <v>3206</v>
      </c>
      <c r="D3001" t="s">
        <v>16</v>
      </c>
      <c r="E3001" t="s">
        <v>192</v>
      </c>
      <c r="F3001">
        <v>1</v>
      </c>
      <c r="G3001">
        <v>37.99</v>
      </c>
      <c r="H3001">
        <v>11.85</v>
      </c>
      <c r="I3001" t="s">
        <v>44</v>
      </c>
      <c r="J3001">
        <v>6</v>
      </c>
      <c r="K3001" t="s">
        <v>51</v>
      </c>
      <c r="L3001">
        <v>5</v>
      </c>
      <c r="M3001" t="str">
        <f>VLOOKUP(D3001,State_Lookup!$A$2:$B$28,2,FALSE)</f>
        <v>Sao Paulo</v>
      </c>
    </row>
    <row r="3002" spans="1:13" x14ac:dyDescent="0.45">
      <c r="A3002" t="s">
        <v>3562</v>
      </c>
      <c r="B3002" t="s">
        <v>3556</v>
      </c>
      <c r="C3002" t="s">
        <v>3206</v>
      </c>
      <c r="D3002" t="s">
        <v>23</v>
      </c>
      <c r="E3002" t="s">
        <v>49</v>
      </c>
      <c r="F3002">
        <v>1</v>
      </c>
      <c r="G3002">
        <v>152</v>
      </c>
      <c r="H3002">
        <v>18.309999999999999</v>
      </c>
      <c r="I3002" t="s">
        <v>108</v>
      </c>
      <c r="J3002">
        <v>7</v>
      </c>
      <c r="K3002" t="s">
        <v>51</v>
      </c>
      <c r="L3002">
        <v>5</v>
      </c>
      <c r="M3002" t="str">
        <f>VLOOKUP(D3002,State_Lookup!$A$2:$B$28,2,FALSE)</f>
        <v>Espirito Santo</v>
      </c>
    </row>
    <row r="3003" spans="1:13" x14ac:dyDescent="0.45">
      <c r="A3003" t="s">
        <v>3563</v>
      </c>
      <c r="B3003" t="s">
        <v>3556</v>
      </c>
      <c r="C3003" t="s">
        <v>3206</v>
      </c>
      <c r="D3003" t="s">
        <v>18</v>
      </c>
      <c r="E3003" t="s">
        <v>157</v>
      </c>
      <c r="F3003">
        <v>1</v>
      </c>
      <c r="G3003">
        <v>108</v>
      </c>
      <c r="H3003">
        <v>16.52</v>
      </c>
      <c r="I3003" t="s">
        <v>50</v>
      </c>
      <c r="J3003">
        <v>22</v>
      </c>
      <c r="K3003" t="s">
        <v>143</v>
      </c>
      <c r="L3003">
        <v>5</v>
      </c>
      <c r="M3003" t="str">
        <f>VLOOKUP(D3003,State_Lookup!$A$2:$B$28,2,FALSE)</f>
        <v>Minas Gerais</v>
      </c>
    </row>
    <row r="3004" spans="1:13" x14ac:dyDescent="0.45">
      <c r="A3004" t="s">
        <v>3564</v>
      </c>
      <c r="B3004" t="s">
        <v>3556</v>
      </c>
      <c r="C3004" t="s">
        <v>3206</v>
      </c>
      <c r="D3004" t="s">
        <v>16</v>
      </c>
      <c r="E3004" t="s">
        <v>110</v>
      </c>
      <c r="F3004">
        <v>1</v>
      </c>
      <c r="G3004">
        <v>92</v>
      </c>
      <c r="H3004">
        <v>13.66</v>
      </c>
      <c r="I3004" t="s">
        <v>44</v>
      </c>
      <c r="J3004">
        <v>30</v>
      </c>
      <c r="K3004" t="s">
        <v>143</v>
      </c>
      <c r="L3004">
        <v>1</v>
      </c>
      <c r="M3004" t="str">
        <f>VLOOKUP(D3004,State_Lookup!$A$2:$B$28,2,FALSE)</f>
        <v>Sao Paulo</v>
      </c>
    </row>
    <row r="3005" spans="1:13" x14ac:dyDescent="0.45">
      <c r="A3005" t="s">
        <v>3565</v>
      </c>
      <c r="B3005" t="s">
        <v>3556</v>
      </c>
      <c r="C3005" t="s">
        <v>3206</v>
      </c>
      <c r="D3005" t="s">
        <v>16</v>
      </c>
      <c r="E3005" t="s">
        <v>244</v>
      </c>
      <c r="F3005">
        <v>2</v>
      </c>
      <c r="G3005">
        <v>95.4</v>
      </c>
      <c r="H3005">
        <v>30.2</v>
      </c>
      <c r="I3005" t="s">
        <v>44</v>
      </c>
      <c r="J3005">
        <v>5</v>
      </c>
      <c r="K3005" t="s">
        <v>51</v>
      </c>
      <c r="L3005">
        <v>5</v>
      </c>
      <c r="M3005" t="str">
        <f>VLOOKUP(D3005,State_Lookup!$A$2:$B$28,2,FALSE)</f>
        <v>Sao Paulo</v>
      </c>
    </row>
    <row r="3006" spans="1:13" x14ac:dyDescent="0.45">
      <c r="A3006" t="s">
        <v>3566</v>
      </c>
      <c r="B3006" t="s">
        <v>3556</v>
      </c>
      <c r="C3006" t="s">
        <v>3206</v>
      </c>
      <c r="D3006" t="s">
        <v>16</v>
      </c>
      <c r="E3006" t="s">
        <v>49</v>
      </c>
      <c r="F3006">
        <v>1</v>
      </c>
      <c r="G3006">
        <v>139.9</v>
      </c>
      <c r="H3006">
        <v>15.73</v>
      </c>
      <c r="I3006" t="s">
        <v>50</v>
      </c>
      <c r="J3006">
        <v>10</v>
      </c>
      <c r="K3006" t="s">
        <v>51</v>
      </c>
      <c r="L3006">
        <v>5</v>
      </c>
      <c r="M3006" t="str">
        <f>VLOOKUP(D3006,State_Lookup!$A$2:$B$28,2,FALSE)</f>
        <v>Sao Paulo</v>
      </c>
    </row>
    <row r="3007" spans="1:13" x14ac:dyDescent="0.45">
      <c r="A3007" t="s">
        <v>3567</v>
      </c>
      <c r="B3007" t="s">
        <v>3556</v>
      </c>
      <c r="C3007" t="s">
        <v>3206</v>
      </c>
      <c r="D3007" t="s">
        <v>23</v>
      </c>
      <c r="E3007" t="s">
        <v>49</v>
      </c>
      <c r="F3007">
        <v>1</v>
      </c>
      <c r="G3007">
        <v>169.99</v>
      </c>
      <c r="H3007">
        <v>18.440000000000001</v>
      </c>
      <c r="I3007" t="s">
        <v>44</v>
      </c>
      <c r="J3007">
        <v>13</v>
      </c>
      <c r="K3007" t="s">
        <v>51</v>
      </c>
      <c r="L3007">
        <v>4</v>
      </c>
      <c r="M3007" t="str">
        <f>VLOOKUP(D3007,State_Lookup!$A$2:$B$28,2,FALSE)</f>
        <v>Espirito Santo</v>
      </c>
    </row>
    <row r="3008" spans="1:13" x14ac:dyDescent="0.45">
      <c r="A3008" t="s">
        <v>3568</v>
      </c>
      <c r="B3008" t="s">
        <v>3556</v>
      </c>
      <c r="C3008" t="s">
        <v>3206</v>
      </c>
      <c r="D3008" t="s">
        <v>16</v>
      </c>
      <c r="E3008" t="s">
        <v>79</v>
      </c>
      <c r="F3008">
        <v>1</v>
      </c>
      <c r="G3008">
        <v>30</v>
      </c>
      <c r="H3008">
        <v>7.78</v>
      </c>
      <c r="I3008" t="s">
        <v>44</v>
      </c>
      <c r="J3008">
        <v>1</v>
      </c>
      <c r="K3008" t="s">
        <v>51</v>
      </c>
      <c r="L3008">
        <v>5</v>
      </c>
      <c r="M3008" t="str">
        <f>VLOOKUP(D3008,State_Lookup!$A$2:$B$28,2,FALSE)</f>
        <v>Sao Paulo</v>
      </c>
    </row>
    <row r="3009" spans="1:13" x14ac:dyDescent="0.45">
      <c r="A3009" t="s">
        <v>3569</v>
      </c>
      <c r="B3009" t="s">
        <v>3570</v>
      </c>
      <c r="C3009" t="s">
        <v>3206</v>
      </c>
      <c r="D3009" t="s">
        <v>17</v>
      </c>
      <c r="E3009" t="s">
        <v>1031</v>
      </c>
      <c r="F3009">
        <v>1</v>
      </c>
      <c r="G3009">
        <v>99.9</v>
      </c>
      <c r="H3009">
        <v>14.45</v>
      </c>
      <c r="I3009" t="s">
        <v>44</v>
      </c>
      <c r="J3009">
        <v>19</v>
      </c>
      <c r="K3009" t="s">
        <v>51</v>
      </c>
      <c r="L3009">
        <v>5</v>
      </c>
      <c r="M3009" t="str">
        <f>VLOOKUP(D3009,State_Lookup!$A$2:$B$28,2,FALSE)</f>
        <v>Rio de Janeiro</v>
      </c>
    </row>
    <row r="3010" spans="1:13" x14ac:dyDescent="0.45">
      <c r="A3010" t="s">
        <v>3571</v>
      </c>
      <c r="B3010" t="s">
        <v>3570</v>
      </c>
      <c r="C3010" t="s">
        <v>3206</v>
      </c>
      <c r="D3010" t="s">
        <v>16</v>
      </c>
      <c r="E3010" t="s">
        <v>173</v>
      </c>
      <c r="F3010">
        <v>1</v>
      </c>
      <c r="G3010">
        <v>115</v>
      </c>
      <c r="H3010">
        <v>15.56</v>
      </c>
      <c r="I3010" t="s">
        <v>44</v>
      </c>
      <c r="J3010">
        <v>27</v>
      </c>
      <c r="K3010" t="s">
        <v>143</v>
      </c>
      <c r="L3010">
        <v>1</v>
      </c>
      <c r="M3010" t="str">
        <f>VLOOKUP(D3010,State_Lookup!$A$2:$B$28,2,FALSE)</f>
        <v>Sao Paulo</v>
      </c>
    </row>
    <row r="3011" spans="1:13" x14ac:dyDescent="0.45">
      <c r="A3011" t="s">
        <v>3572</v>
      </c>
      <c r="B3011" t="s">
        <v>3570</v>
      </c>
      <c r="C3011" t="s">
        <v>3206</v>
      </c>
      <c r="D3011" t="s">
        <v>16</v>
      </c>
      <c r="E3011" t="s">
        <v>79</v>
      </c>
      <c r="F3011">
        <v>1</v>
      </c>
      <c r="G3011">
        <v>59.9</v>
      </c>
      <c r="H3011">
        <v>15.17</v>
      </c>
      <c r="I3011" t="s">
        <v>44</v>
      </c>
      <c r="J3011">
        <v>16</v>
      </c>
      <c r="K3011" t="s">
        <v>51</v>
      </c>
      <c r="L3011">
        <v>5</v>
      </c>
      <c r="M3011" t="str">
        <f>VLOOKUP(D3011,State_Lookup!$A$2:$B$28,2,FALSE)</f>
        <v>Sao Paulo</v>
      </c>
    </row>
    <row r="3012" spans="1:13" x14ac:dyDescent="0.45">
      <c r="A3012" t="s">
        <v>3573</v>
      </c>
      <c r="B3012" t="s">
        <v>3570</v>
      </c>
      <c r="C3012" t="s">
        <v>3206</v>
      </c>
      <c r="D3012" t="s">
        <v>16</v>
      </c>
      <c r="E3012" t="s">
        <v>132</v>
      </c>
      <c r="F3012">
        <v>1</v>
      </c>
      <c r="G3012">
        <v>20.3</v>
      </c>
      <c r="H3012">
        <v>8.11</v>
      </c>
      <c r="I3012" t="s">
        <v>44</v>
      </c>
      <c r="J3012">
        <v>11</v>
      </c>
      <c r="K3012" t="s">
        <v>51</v>
      </c>
      <c r="L3012">
        <v>4</v>
      </c>
      <c r="M3012" t="str">
        <f>VLOOKUP(D3012,State_Lookup!$A$2:$B$28,2,FALSE)</f>
        <v>Sao Paulo</v>
      </c>
    </row>
    <row r="3013" spans="1:13" x14ac:dyDescent="0.45">
      <c r="A3013" t="s">
        <v>3574</v>
      </c>
      <c r="B3013" t="s">
        <v>3570</v>
      </c>
      <c r="C3013" t="s">
        <v>3206</v>
      </c>
      <c r="D3013" t="s">
        <v>16</v>
      </c>
      <c r="E3013" t="s">
        <v>53</v>
      </c>
      <c r="F3013">
        <v>1</v>
      </c>
      <c r="G3013">
        <v>30.5</v>
      </c>
      <c r="H3013">
        <v>7.78</v>
      </c>
      <c r="I3013" t="s">
        <v>44</v>
      </c>
      <c r="J3013">
        <v>5</v>
      </c>
      <c r="K3013" t="s">
        <v>51</v>
      </c>
      <c r="L3013">
        <v>5</v>
      </c>
      <c r="M3013" t="str">
        <f>VLOOKUP(D3013,State_Lookup!$A$2:$B$28,2,FALSE)</f>
        <v>Sao Paulo</v>
      </c>
    </row>
    <row r="3014" spans="1:13" x14ac:dyDescent="0.45">
      <c r="A3014" t="s">
        <v>3575</v>
      </c>
      <c r="B3014" t="s">
        <v>3570</v>
      </c>
      <c r="C3014" t="s">
        <v>3206</v>
      </c>
      <c r="D3014" t="s">
        <v>18</v>
      </c>
      <c r="E3014" t="s">
        <v>220</v>
      </c>
      <c r="F3014">
        <v>1</v>
      </c>
      <c r="G3014">
        <v>192.99</v>
      </c>
      <c r="H3014">
        <v>74.3</v>
      </c>
      <c r="I3014" t="s">
        <v>44</v>
      </c>
      <c r="J3014">
        <v>21</v>
      </c>
      <c r="K3014" t="s">
        <v>51</v>
      </c>
      <c r="L3014">
        <v>1</v>
      </c>
      <c r="M3014" t="str">
        <f>VLOOKUP(D3014,State_Lookup!$A$2:$B$28,2,FALSE)</f>
        <v>Minas Gerais</v>
      </c>
    </row>
    <row r="3015" spans="1:13" x14ac:dyDescent="0.45">
      <c r="A3015" t="s">
        <v>3576</v>
      </c>
      <c r="B3015" t="s">
        <v>3570</v>
      </c>
      <c r="C3015" t="s">
        <v>3206</v>
      </c>
      <c r="D3015" t="s">
        <v>18</v>
      </c>
      <c r="E3015" t="s">
        <v>110</v>
      </c>
      <c r="F3015">
        <v>1</v>
      </c>
      <c r="G3015">
        <v>259.89999999999998</v>
      </c>
      <c r="H3015">
        <v>26.66</v>
      </c>
      <c r="I3015" t="s">
        <v>44</v>
      </c>
      <c r="J3015">
        <v>28</v>
      </c>
      <c r="K3015" t="s">
        <v>143</v>
      </c>
      <c r="L3015">
        <v>1</v>
      </c>
      <c r="M3015" t="str">
        <f>VLOOKUP(D3015,State_Lookup!$A$2:$B$28,2,FALSE)</f>
        <v>Minas Gerais</v>
      </c>
    </row>
    <row r="3016" spans="1:13" x14ac:dyDescent="0.45">
      <c r="A3016" t="s">
        <v>3577</v>
      </c>
      <c r="B3016" t="s">
        <v>3570</v>
      </c>
      <c r="C3016" t="s">
        <v>3206</v>
      </c>
      <c r="D3016" t="s">
        <v>17</v>
      </c>
      <c r="E3016" t="s">
        <v>61</v>
      </c>
      <c r="F3016">
        <v>1</v>
      </c>
      <c r="G3016">
        <v>21.5</v>
      </c>
      <c r="H3016">
        <v>15.1</v>
      </c>
      <c r="I3016" t="s">
        <v>50</v>
      </c>
      <c r="J3016">
        <v>14</v>
      </c>
      <c r="K3016" t="s">
        <v>51</v>
      </c>
      <c r="L3016">
        <v>2</v>
      </c>
      <c r="M3016" t="str">
        <f>VLOOKUP(D3016,State_Lookup!$A$2:$B$28,2,FALSE)</f>
        <v>Rio de Janeiro</v>
      </c>
    </row>
    <row r="3017" spans="1:13" x14ac:dyDescent="0.45">
      <c r="A3017" t="s">
        <v>3578</v>
      </c>
      <c r="B3017" t="s">
        <v>3570</v>
      </c>
      <c r="C3017" t="s">
        <v>3206</v>
      </c>
      <c r="D3017" t="s">
        <v>16</v>
      </c>
      <c r="E3017" t="s">
        <v>110</v>
      </c>
      <c r="F3017">
        <v>1</v>
      </c>
      <c r="G3017">
        <v>24.9</v>
      </c>
      <c r="H3017">
        <v>9.09</v>
      </c>
      <c r="I3017" t="s">
        <v>44</v>
      </c>
      <c r="J3017">
        <v>2</v>
      </c>
      <c r="K3017" t="s">
        <v>51</v>
      </c>
      <c r="L3017">
        <v>5</v>
      </c>
      <c r="M3017" t="str">
        <f>VLOOKUP(D3017,State_Lookup!$A$2:$B$28,2,FALSE)</f>
        <v>Sao Paulo</v>
      </c>
    </row>
    <row r="3018" spans="1:13" x14ac:dyDescent="0.45">
      <c r="A3018" t="s">
        <v>3579</v>
      </c>
      <c r="B3018" t="s">
        <v>3570</v>
      </c>
      <c r="C3018" t="s">
        <v>3206</v>
      </c>
      <c r="D3018" t="s">
        <v>18</v>
      </c>
      <c r="E3018" t="s">
        <v>69</v>
      </c>
      <c r="F3018">
        <v>2</v>
      </c>
      <c r="G3018">
        <v>116.92</v>
      </c>
      <c r="H3018">
        <v>30.32</v>
      </c>
      <c r="I3018" t="s">
        <v>44</v>
      </c>
      <c r="J3018">
        <v>9</v>
      </c>
      <c r="K3018" t="s">
        <v>51</v>
      </c>
      <c r="L3018">
        <v>2</v>
      </c>
      <c r="M3018" t="str">
        <f>VLOOKUP(D3018,State_Lookup!$A$2:$B$28,2,FALSE)</f>
        <v>Minas Gerais</v>
      </c>
    </row>
    <row r="3019" spans="1:13" x14ac:dyDescent="0.45">
      <c r="A3019" t="s">
        <v>3580</v>
      </c>
      <c r="B3019" t="s">
        <v>3570</v>
      </c>
      <c r="C3019" t="s">
        <v>3206</v>
      </c>
      <c r="D3019" t="s">
        <v>17</v>
      </c>
      <c r="E3019" t="s">
        <v>66</v>
      </c>
      <c r="F3019">
        <v>1</v>
      </c>
      <c r="G3019">
        <v>314.89999999999998</v>
      </c>
      <c r="H3019">
        <v>16.95</v>
      </c>
      <c r="I3019" t="s">
        <v>44</v>
      </c>
      <c r="K3019" t="s">
        <v>45</v>
      </c>
      <c r="L3019">
        <v>1</v>
      </c>
      <c r="M3019" t="str">
        <f>VLOOKUP(D3019,State_Lookup!$A$2:$B$28,2,FALSE)</f>
        <v>Rio de Janeiro</v>
      </c>
    </row>
    <row r="3020" spans="1:13" x14ac:dyDescent="0.45">
      <c r="A3020" t="s">
        <v>3581</v>
      </c>
      <c r="B3020" t="s">
        <v>3570</v>
      </c>
      <c r="C3020" t="s">
        <v>3206</v>
      </c>
      <c r="D3020" t="s">
        <v>194</v>
      </c>
      <c r="E3020" t="s">
        <v>49</v>
      </c>
      <c r="F3020">
        <v>1</v>
      </c>
      <c r="G3020">
        <v>125</v>
      </c>
      <c r="H3020">
        <v>18.12</v>
      </c>
      <c r="I3020" t="s">
        <v>44</v>
      </c>
      <c r="J3020">
        <v>34</v>
      </c>
      <c r="K3020" t="s">
        <v>143</v>
      </c>
      <c r="L3020">
        <v>1</v>
      </c>
      <c r="M3020" t="str">
        <f>VLOOKUP(D3020,State_Lookup!$A$2:$B$28,2,FALSE)</f>
        <v>Mato Grosso do Sul</v>
      </c>
    </row>
    <row r="3021" spans="1:13" x14ac:dyDescent="0.45">
      <c r="A3021" t="s">
        <v>3582</v>
      </c>
      <c r="B3021" t="s">
        <v>3570</v>
      </c>
      <c r="C3021" t="s">
        <v>3206</v>
      </c>
      <c r="D3021" t="s">
        <v>17</v>
      </c>
      <c r="E3021" t="s">
        <v>61</v>
      </c>
      <c r="F3021">
        <v>1</v>
      </c>
      <c r="G3021">
        <v>499</v>
      </c>
      <c r="H3021">
        <v>19.25</v>
      </c>
      <c r="I3021" t="s">
        <v>44</v>
      </c>
      <c r="J3021">
        <v>19</v>
      </c>
      <c r="K3021" t="s">
        <v>51</v>
      </c>
      <c r="L3021">
        <v>1</v>
      </c>
      <c r="M3021" t="str">
        <f>VLOOKUP(D3021,State_Lookup!$A$2:$B$28,2,FALSE)</f>
        <v>Rio de Janeiro</v>
      </c>
    </row>
    <row r="3022" spans="1:13" x14ac:dyDescent="0.45">
      <c r="A3022" t="s">
        <v>3583</v>
      </c>
      <c r="B3022" t="s">
        <v>3570</v>
      </c>
      <c r="C3022" t="s">
        <v>3206</v>
      </c>
      <c r="D3022" t="s">
        <v>22</v>
      </c>
      <c r="E3022" t="s">
        <v>125</v>
      </c>
      <c r="F3022">
        <v>1</v>
      </c>
      <c r="G3022">
        <v>15</v>
      </c>
      <c r="H3022">
        <v>16.79</v>
      </c>
      <c r="I3022" t="s">
        <v>50</v>
      </c>
      <c r="J3022">
        <v>27</v>
      </c>
      <c r="K3022" t="s">
        <v>143</v>
      </c>
      <c r="L3022">
        <v>5</v>
      </c>
      <c r="M3022" t="str">
        <f>VLOOKUP(D3022,State_Lookup!$A$2:$B$28,2,FALSE)</f>
        <v>Bahia</v>
      </c>
    </row>
    <row r="3023" spans="1:13" x14ac:dyDescent="0.45">
      <c r="A3023" t="s">
        <v>3584</v>
      </c>
      <c r="B3023" t="s">
        <v>3570</v>
      </c>
      <c r="C3023" t="s">
        <v>3206</v>
      </c>
      <c r="D3023" t="s">
        <v>16</v>
      </c>
      <c r="E3023" t="s">
        <v>142</v>
      </c>
      <c r="F3023">
        <v>1</v>
      </c>
      <c r="G3023">
        <v>35</v>
      </c>
      <c r="H3023">
        <v>7.78</v>
      </c>
      <c r="I3023" t="s">
        <v>44</v>
      </c>
      <c r="J3023">
        <v>7</v>
      </c>
      <c r="K3023" t="s">
        <v>51</v>
      </c>
      <c r="L3023">
        <v>5</v>
      </c>
      <c r="M3023" t="str">
        <f>VLOOKUP(D3023,State_Lookup!$A$2:$B$28,2,FALSE)</f>
        <v>Sao Paulo</v>
      </c>
    </row>
    <row r="3024" spans="1:13" x14ac:dyDescent="0.45">
      <c r="A3024" t="s">
        <v>3585</v>
      </c>
      <c r="B3024" t="s">
        <v>3570</v>
      </c>
      <c r="C3024" t="s">
        <v>3206</v>
      </c>
      <c r="D3024" t="s">
        <v>16</v>
      </c>
      <c r="E3024" t="s">
        <v>110</v>
      </c>
      <c r="F3024">
        <v>1</v>
      </c>
      <c r="G3024">
        <v>70</v>
      </c>
      <c r="H3024">
        <v>12.83</v>
      </c>
      <c r="I3024" t="s">
        <v>50</v>
      </c>
      <c r="J3024">
        <v>19</v>
      </c>
      <c r="K3024" t="s">
        <v>143</v>
      </c>
      <c r="L3024">
        <v>3</v>
      </c>
      <c r="M3024" t="str">
        <f>VLOOKUP(D3024,State_Lookup!$A$2:$B$28,2,FALSE)</f>
        <v>Sao Paulo</v>
      </c>
    </row>
    <row r="3025" spans="1:13" x14ac:dyDescent="0.45">
      <c r="A3025" t="s">
        <v>3586</v>
      </c>
      <c r="B3025" t="s">
        <v>3570</v>
      </c>
      <c r="C3025" t="s">
        <v>3206</v>
      </c>
      <c r="D3025" t="s">
        <v>23</v>
      </c>
      <c r="E3025" t="s">
        <v>110</v>
      </c>
      <c r="F3025">
        <v>2</v>
      </c>
      <c r="G3025">
        <v>159.80000000000001</v>
      </c>
      <c r="H3025">
        <v>32.64</v>
      </c>
      <c r="I3025" t="s">
        <v>44</v>
      </c>
      <c r="J3025">
        <v>25</v>
      </c>
      <c r="K3025" t="s">
        <v>143</v>
      </c>
      <c r="L3025">
        <v>1</v>
      </c>
      <c r="M3025" t="str">
        <f>VLOOKUP(D3025,State_Lookup!$A$2:$B$28,2,FALSE)</f>
        <v>Espirito Santo</v>
      </c>
    </row>
    <row r="3026" spans="1:13" x14ac:dyDescent="0.45">
      <c r="A3026" t="s">
        <v>3587</v>
      </c>
      <c r="B3026" t="s">
        <v>3570</v>
      </c>
      <c r="C3026" t="s">
        <v>3206</v>
      </c>
      <c r="D3026" t="s">
        <v>16</v>
      </c>
      <c r="E3026" t="s">
        <v>49</v>
      </c>
      <c r="F3026">
        <v>1</v>
      </c>
      <c r="G3026">
        <v>60</v>
      </c>
      <c r="H3026">
        <v>7.78</v>
      </c>
      <c r="I3026" t="s">
        <v>44</v>
      </c>
      <c r="J3026">
        <v>1</v>
      </c>
      <c r="K3026" t="s">
        <v>51</v>
      </c>
      <c r="L3026">
        <v>5</v>
      </c>
      <c r="M3026" t="str">
        <f>VLOOKUP(D3026,State_Lookup!$A$2:$B$28,2,FALSE)</f>
        <v>Sao Paulo</v>
      </c>
    </row>
    <row r="3027" spans="1:13" x14ac:dyDescent="0.45">
      <c r="A3027" t="s">
        <v>3588</v>
      </c>
      <c r="B3027" t="s">
        <v>3570</v>
      </c>
      <c r="C3027" t="s">
        <v>3206</v>
      </c>
      <c r="D3027" t="s">
        <v>17</v>
      </c>
      <c r="E3027" t="s">
        <v>64</v>
      </c>
      <c r="F3027">
        <v>1</v>
      </c>
      <c r="G3027">
        <v>53.99</v>
      </c>
      <c r="H3027">
        <v>14.13</v>
      </c>
      <c r="I3027" t="s">
        <v>44</v>
      </c>
      <c r="J3027">
        <v>14</v>
      </c>
      <c r="K3027" t="s">
        <v>51</v>
      </c>
      <c r="L3027">
        <v>5</v>
      </c>
      <c r="M3027" t="str">
        <f>VLOOKUP(D3027,State_Lookup!$A$2:$B$28,2,FALSE)</f>
        <v>Rio de Janeiro</v>
      </c>
    </row>
    <row r="3028" spans="1:13" x14ac:dyDescent="0.45">
      <c r="A3028" t="s">
        <v>3589</v>
      </c>
      <c r="B3028" t="s">
        <v>3570</v>
      </c>
      <c r="C3028" t="s">
        <v>3206</v>
      </c>
      <c r="D3028" t="s">
        <v>16</v>
      </c>
      <c r="E3028" t="s">
        <v>64</v>
      </c>
      <c r="F3028">
        <v>3</v>
      </c>
      <c r="G3028">
        <v>19.5</v>
      </c>
      <c r="H3028">
        <v>23.34</v>
      </c>
      <c r="I3028" t="s">
        <v>44</v>
      </c>
      <c r="J3028">
        <v>5</v>
      </c>
      <c r="K3028" t="s">
        <v>51</v>
      </c>
      <c r="L3028">
        <v>4</v>
      </c>
      <c r="M3028" t="str">
        <f>VLOOKUP(D3028,State_Lookup!$A$2:$B$28,2,FALSE)</f>
        <v>Sao Paulo</v>
      </c>
    </row>
    <row r="3029" spans="1:13" x14ac:dyDescent="0.45">
      <c r="A3029" t="s">
        <v>3590</v>
      </c>
      <c r="B3029" t="s">
        <v>3570</v>
      </c>
      <c r="C3029" t="s">
        <v>3206</v>
      </c>
      <c r="D3029" t="s">
        <v>17</v>
      </c>
      <c r="E3029" t="s">
        <v>157</v>
      </c>
      <c r="F3029">
        <v>1</v>
      </c>
      <c r="G3029">
        <v>1200</v>
      </c>
      <c r="H3029">
        <v>22.15</v>
      </c>
      <c r="I3029" t="s">
        <v>44</v>
      </c>
      <c r="J3029">
        <v>16</v>
      </c>
      <c r="K3029" t="s">
        <v>51</v>
      </c>
      <c r="L3029">
        <v>5</v>
      </c>
      <c r="M3029" t="str">
        <f>VLOOKUP(D3029,State_Lookup!$A$2:$B$28,2,FALSE)</f>
        <v>Rio de Janeiro</v>
      </c>
    </row>
    <row r="3030" spans="1:13" x14ac:dyDescent="0.45">
      <c r="A3030" t="s">
        <v>3591</v>
      </c>
      <c r="B3030" t="s">
        <v>3592</v>
      </c>
      <c r="C3030" t="s">
        <v>3593</v>
      </c>
      <c r="D3030" t="s">
        <v>16</v>
      </c>
      <c r="E3030" t="s">
        <v>107</v>
      </c>
      <c r="F3030">
        <v>1</v>
      </c>
      <c r="G3030">
        <v>27.9</v>
      </c>
      <c r="H3030">
        <v>8.27</v>
      </c>
      <c r="I3030" t="s">
        <v>44</v>
      </c>
      <c r="J3030">
        <v>3</v>
      </c>
      <c r="K3030" t="s">
        <v>51</v>
      </c>
      <c r="L3030">
        <v>5</v>
      </c>
      <c r="M3030" t="str">
        <f>VLOOKUP(D3030,State_Lookup!$A$2:$B$28,2,FALSE)</f>
        <v>Sao Paulo</v>
      </c>
    </row>
    <row r="3031" spans="1:13" x14ac:dyDescent="0.45">
      <c r="A3031" t="s">
        <v>3594</v>
      </c>
      <c r="B3031" t="s">
        <v>3592</v>
      </c>
      <c r="C3031" t="s">
        <v>3593</v>
      </c>
      <c r="D3031" t="s">
        <v>22</v>
      </c>
      <c r="E3031" t="s">
        <v>61</v>
      </c>
      <c r="F3031">
        <v>1</v>
      </c>
      <c r="G3031">
        <v>27.9</v>
      </c>
      <c r="H3031">
        <v>16.79</v>
      </c>
      <c r="I3031" t="s">
        <v>50</v>
      </c>
      <c r="J3031">
        <v>36</v>
      </c>
      <c r="K3031" t="s">
        <v>143</v>
      </c>
      <c r="L3031">
        <v>5</v>
      </c>
      <c r="M3031" t="str">
        <f>VLOOKUP(D3031,State_Lookup!$A$2:$B$28,2,FALSE)</f>
        <v>Bahia</v>
      </c>
    </row>
    <row r="3032" spans="1:13" x14ac:dyDescent="0.45">
      <c r="A3032" t="s">
        <v>3595</v>
      </c>
      <c r="B3032" t="s">
        <v>3592</v>
      </c>
      <c r="C3032" t="s">
        <v>3593</v>
      </c>
      <c r="D3032" t="s">
        <v>19</v>
      </c>
      <c r="E3032" t="s">
        <v>1637</v>
      </c>
      <c r="F3032">
        <v>1</v>
      </c>
      <c r="G3032">
        <v>22.9</v>
      </c>
      <c r="H3032">
        <v>16.79</v>
      </c>
      <c r="I3032" t="s">
        <v>44</v>
      </c>
      <c r="J3032">
        <v>13</v>
      </c>
      <c r="K3032" t="s">
        <v>51</v>
      </c>
      <c r="L3032">
        <v>3</v>
      </c>
      <c r="M3032" t="str">
        <f>VLOOKUP(D3032,State_Lookup!$A$2:$B$28,2,FALSE)</f>
        <v>Rio Grande do Sul</v>
      </c>
    </row>
    <row r="3033" spans="1:13" x14ac:dyDescent="0.45">
      <c r="A3033" t="s">
        <v>3596</v>
      </c>
      <c r="B3033" t="s">
        <v>3592</v>
      </c>
      <c r="C3033" t="s">
        <v>3593</v>
      </c>
      <c r="D3033" t="s">
        <v>21</v>
      </c>
      <c r="E3033" t="s">
        <v>107</v>
      </c>
      <c r="F3033">
        <v>1</v>
      </c>
      <c r="G3033">
        <v>429.9</v>
      </c>
      <c r="H3033">
        <v>20.260000000000002</v>
      </c>
      <c r="I3033" t="s">
        <v>44</v>
      </c>
      <c r="J3033">
        <v>25</v>
      </c>
      <c r="K3033" t="s">
        <v>143</v>
      </c>
      <c r="L3033">
        <v>3</v>
      </c>
      <c r="M3033" t="str">
        <f>VLOOKUP(D3033,State_Lookup!$A$2:$B$28,2,FALSE)</f>
        <v>Santa Catarina</v>
      </c>
    </row>
    <row r="3034" spans="1:13" x14ac:dyDescent="0.45">
      <c r="A3034" t="s">
        <v>3597</v>
      </c>
      <c r="B3034" t="s">
        <v>3592</v>
      </c>
      <c r="C3034" t="s">
        <v>3593</v>
      </c>
      <c r="D3034" t="s">
        <v>20</v>
      </c>
      <c r="E3034" t="s">
        <v>61</v>
      </c>
      <c r="F3034">
        <v>1</v>
      </c>
      <c r="G3034">
        <v>30.21</v>
      </c>
      <c r="H3034">
        <v>15.1</v>
      </c>
      <c r="I3034" t="s">
        <v>44</v>
      </c>
      <c r="J3034">
        <v>32</v>
      </c>
      <c r="K3034" t="s">
        <v>143</v>
      </c>
      <c r="L3034">
        <v>1</v>
      </c>
      <c r="M3034" t="str">
        <f>VLOOKUP(D3034,State_Lookup!$A$2:$B$28,2,FALSE)</f>
        <v>Parana</v>
      </c>
    </row>
    <row r="3035" spans="1:13" x14ac:dyDescent="0.45">
      <c r="A3035" t="s">
        <v>3598</v>
      </c>
      <c r="B3035" t="s">
        <v>3592</v>
      </c>
      <c r="C3035" t="s">
        <v>3593</v>
      </c>
      <c r="D3035" t="s">
        <v>128</v>
      </c>
      <c r="E3035" t="s">
        <v>66</v>
      </c>
      <c r="F3035">
        <v>1</v>
      </c>
      <c r="G3035">
        <v>29.99</v>
      </c>
      <c r="H3035">
        <v>17.63</v>
      </c>
      <c r="I3035" t="s">
        <v>44</v>
      </c>
      <c r="J3035">
        <v>46</v>
      </c>
      <c r="K3035" t="s">
        <v>143</v>
      </c>
      <c r="L3035">
        <v>1</v>
      </c>
      <c r="M3035" t="str">
        <f>VLOOKUP(D3035,State_Lookup!$A$2:$B$28,2,FALSE)</f>
        <v>Ceara</v>
      </c>
    </row>
    <row r="3036" spans="1:13" x14ac:dyDescent="0.45">
      <c r="A3036" t="s">
        <v>3599</v>
      </c>
      <c r="B3036" t="s">
        <v>3592</v>
      </c>
      <c r="C3036" t="s">
        <v>3593</v>
      </c>
      <c r="D3036" t="s">
        <v>16</v>
      </c>
      <c r="E3036" t="s">
        <v>61</v>
      </c>
      <c r="F3036">
        <v>1</v>
      </c>
      <c r="G3036">
        <v>166.02</v>
      </c>
      <c r="H3036">
        <v>36.479999999999997</v>
      </c>
      <c r="I3036" t="s">
        <v>50</v>
      </c>
      <c r="J3036">
        <v>15</v>
      </c>
      <c r="K3036" t="s">
        <v>51</v>
      </c>
      <c r="L3036">
        <v>5</v>
      </c>
      <c r="M3036" t="str">
        <f>VLOOKUP(D3036,State_Lookup!$A$2:$B$28,2,FALSE)</f>
        <v>Sao Paulo</v>
      </c>
    </row>
    <row r="3037" spans="1:13" x14ac:dyDescent="0.45">
      <c r="A3037" t="s">
        <v>3600</v>
      </c>
      <c r="B3037" t="s">
        <v>3592</v>
      </c>
      <c r="C3037" t="s">
        <v>3593</v>
      </c>
      <c r="D3037" t="s">
        <v>83</v>
      </c>
      <c r="E3037" t="s">
        <v>66</v>
      </c>
      <c r="F3037">
        <v>1</v>
      </c>
      <c r="G3037">
        <v>29.98</v>
      </c>
      <c r="H3037">
        <v>21.15</v>
      </c>
      <c r="I3037" t="s">
        <v>44</v>
      </c>
      <c r="J3037">
        <v>27</v>
      </c>
      <c r="K3037" t="s">
        <v>143</v>
      </c>
      <c r="L3037">
        <v>1</v>
      </c>
      <c r="M3037" t="str">
        <f>VLOOKUP(D3037,State_Lookup!$A$2:$B$28,2,FALSE)</f>
        <v>Sergipe</v>
      </c>
    </row>
    <row r="3038" spans="1:13" x14ac:dyDescent="0.45">
      <c r="A3038" t="s">
        <v>3601</v>
      </c>
      <c r="B3038" t="s">
        <v>3592</v>
      </c>
      <c r="C3038" t="s">
        <v>3593</v>
      </c>
      <c r="D3038" t="s">
        <v>17</v>
      </c>
      <c r="E3038" t="s">
        <v>2467</v>
      </c>
      <c r="F3038">
        <v>1</v>
      </c>
      <c r="G3038">
        <v>9.9</v>
      </c>
      <c r="H3038">
        <v>15.1</v>
      </c>
      <c r="I3038" t="s">
        <v>44</v>
      </c>
      <c r="J3038">
        <v>32</v>
      </c>
      <c r="K3038" t="s">
        <v>143</v>
      </c>
      <c r="L3038">
        <v>2</v>
      </c>
      <c r="M3038" t="str">
        <f>VLOOKUP(D3038,State_Lookup!$A$2:$B$28,2,FALSE)</f>
        <v>Rio de Janeiro</v>
      </c>
    </row>
    <row r="3039" spans="1:13" x14ac:dyDescent="0.45">
      <c r="A3039" t="s">
        <v>3602</v>
      </c>
      <c r="B3039" t="s">
        <v>3592</v>
      </c>
      <c r="C3039" t="s">
        <v>3593</v>
      </c>
      <c r="D3039" t="s">
        <v>18</v>
      </c>
      <c r="E3039" t="s">
        <v>66</v>
      </c>
      <c r="F3039">
        <v>1</v>
      </c>
      <c r="G3039">
        <v>37.869999999999997</v>
      </c>
      <c r="H3039">
        <v>15.1</v>
      </c>
      <c r="I3039" t="s">
        <v>50</v>
      </c>
      <c r="J3039">
        <v>15</v>
      </c>
      <c r="K3039" t="s">
        <v>51</v>
      </c>
      <c r="L3039">
        <v>5</v>
      </c>
      <c r="M3039" t="str">
        <f>VLOOKUP(D3039,State_Lookup!$A$2:$B$28,2,FALSE)</f>
        <v>Minas Gerais</v>
      </c>
    </row>
    <row r="3040" spans="1:13" x14ac:dyDescent="0.45">
      <c r="A3040" t="s">
        <v>3603</v>
      </c>
      <c r="B3040" t="s">
        <v>3592</v>
      </c>
      <c r="C3040" t="s">
        <v>3593</v>
      </c>
      <c r="D3040" t="s">
        <v>487</v>
      </c>
      <c r="E3040" t="s">
        <v>132</v>
      </c>
      <c r="F3040">
        <v>1</v>
      </c>
      <c r="G3040">
        <v>699</v>
      </c>
      <c r="H3040">
        <v>25.69</v>
      </c>
      <c r="I3040" t="s">
        <v>44</v>
      </c>
      <c r="J3040">
        <v>18</v>
      </c>
      <c r="K3040" t="s">
        <v>51</v>
      </c>
      <c r="L3040">
        <v>3</v>
      </c>
      <c r="M3040" t="str">
        <f>VLOOKUP(D3040,State_Lookup!$A$2:$B$28,2,FALSE)</f>
        <v>Rio Grande do Norte</v>
      </c>
    </row>
    <row r="3041" spans="1:13" x14ac:dyDescent="0.45">
      <c r="A3041" t="s">
        <v>3604</v>
      </c>
      <c r="B3041" t="s">
        <v>3592</v>
      </c>
      <c r="C3041" t="s">
        <v>3593</v>
      </c>
      <c r="D3041" t="s">
        <v>18</v>
      </c>
      <c r="E3041" t="s">
        <v>244</v>
      </c>
      <c r="F3041">
        <v>1</v>
      </c>
      <c r="G3041">
        <v>39.99</v>
      </c>
      <c r="H3041">
        <v>15.1</v>
      </c>
      <c r="I3041" t="s">
        <v>50</v>
      </c>
      <c r="J3041">
        <v>21</v>
      </c>
      <c r="K3041" t="s">
        <v>143</v>
      </c>
      <c r="L3041">
        <v>4</v>
      </c>
      <c r="M3041" t="str">
        <f>VLOOKUP(D3041,State_Lookup!$A$2:$B$28,2,FALSE)</f>
        <v>Minas Gerais</v>
      </c>
    </row>
    <row r="3042" spans="1:13" x14ac:dyDescent="0.45">
      <c r="A3042" t="s">
        <v>3605</v>
      </c>
      <c r="B3042" t="s">
        <v>3592</v>
      </c>
      <c r="C3042" t="s">
        <v>3593</v>
      </c>
      <c r="D3042" t="s">
        <v>17</v>
      </c>
      <c r="E3042" t="s">
        <v>110</v>
      </c>
      <c r="F3042">
        <v>1</v>
      </c>
      <c r="G3042">
        <v>115</v>
      </c>
      <c r="H3042">
        <v>15.57</v>
      </c>
      <c r="I3042" t="s">
        <v>50</v>
      </c>
      <c r="J3042">
        <v>52</v>
      </c>
      <c r="K3042" t="s">
        <v>143</v>
      </c>
      <c r="L3042">
        <v>1</v>
      </c>
      <c r="M3042" t="str">
        <f>VLOOKUP(D3042,State_Lookup!$A$2:$B$28,2,FALSE)</f>
        <v>Rio de Janeiro</v>
      </c>
    </row>
    <row r="3043" spans="1:13" x14ac:dyDescent="0.45">
      <c r="A3043" t="s">
        <v>3606</v>
      </c>
      <c r="B3043" t="s">
        <v>3592</v>
      </c>
      <c r="C3043" t="s">
        <v>3593</v>
      </c>
      <c r="D3043" t="s">
        <v>23</v>
      </c>
      <c r="E3043" t="s">
        <v>43</v>
      </c>
      <c r="F3043">
        <v>3</v>
      </c>
      <c r="G3043">
        <v>135</v>
      </c>
      <c r="H3043">
        <v>52.8</v>
      </c>
      <c r="I3043" t="s">
        <v>44</v>
      </c>
      <c r="J3043">
        <v>43</v>
      </c>
      <c r="K3043" t="s">
        <v>143</v>
      </c>
      <c r="L3043">
        <v>1</v>
      </c>
      <c r="M3043" t="str">
        <f>VLOOKUP(D3043,State_Lookup!$A$2:$B$28,2,FALSE)</f>
        <v>Espirito Santo</v>
      </c>
    </row>
    <row r="3044" spans="1:13" x14ac:dyDescent="0.45">
      <c r="A3044" t="s">
        <v>3607</v>
      </c>
      <c r="B3044" t="s">
        <v>3592</v>
      </c>
      <c r="C3044" t="s">
        <v>3593</v>
      </c>
      <c r="D3044" t="s">
        <v>17</v>
      </c>
      <c r="E3044" t="s">
        <v>302</v>
      </c>
      <c r="F3044">
        <v>1</v>
      </c>
      <c r="G3044">
        <v>37</v>
      </c>
      <c r="H3044">
        <v>15.1</v>
      </c>
      <c r="I3044" t="s">
        <v>44</v>
      </c>
      <c r="J3044">
        <v>40</v>
      </c>
      <c r="K3044" t="s">
        <v>143</v>
      </c>
      <c r="L3044">
        <v>3</v>
      </c>
      <c r="M3044" t="str">
        <f>VLOOKUP(D3044,State_Lookup!$A$2:$B$28,2,FALSE)</f>
        <v>Rio de Janeiro</v>
      </c>
    </row>
    <row r="3045" spans="1:13" x14ac:dyDescent="0.45">
      <c r="A3045" t="s">
        <v>3608</v>
      </c>
      <c r="B3045" t="s">
        <v>3609</v>
      </c>
      <c r="C3045" t="s">
        <v>3593</v>
      </c>
      <c r="D3045" t="s">
        <v>21</v>
      </c>
      <c r="E3045" t="s">
        <v>107</v>
      </c>
      <c r="F3045">
        <v>1</v>
      </c>
      <c r="G3045">
        <v>45</v>
      </c>
      <c r="H3045">
        <v>15.1</v>
      </c>
      <c r="I3045" t="s">
        <v>44</v>
      </c>
      <c r="J3045">
        <v>14</v>
      </c>
      <c r="K3045" t="s">
        <v>51</v>
      </c>
      <c r="L3045">
        <v>1</v>
      </c>
      <c r="M3045" t="str">
        <f>VLOOKUP(D3045,State_Lookup!$A$2:$B$28,2,FALSE)</f>
        <v>Santa Catarina</v>
      </c>
    </row>
    <row r="3046" spans="1:13" x14ac:dyDescent="0.45">
      <c r="A3046" t="s">
        <v>3610</v>
      </c>
      <c r="B3046" t="s">
        <v>3609</v>
      </c>
      <c r="C3046" t="s">
        <v>3593</v>
      </c>
      <c r="D3046" t="s">
        <v>25</v>
      </c>
      <c r="E3046" t="s">
        <v>157</v>
      </c>
      <c r="F3046">
        <v>2</v>
      </c>
      <c r="G3046">
        <v>445</v>
      </c>
      <c r="H3046">
        <v>32.61</v>
      </c>
      <c r="I3046" t="s">
        <v>44</v>
      </c>
      <c r="J3046">
        <v>20</v>
      </c>
      <c r="K3046" t="s">
        <v>51</v>
      </c>
      <c r="L3046">
        <v>1</v>
      </c>
      <c r="M3046" t="str">
        <f>VLOOKUP(D3046,State_Lookup!$A$2:$B$28,2,FALSE)</f>
        <v>Goias</v>
      </c>
    </row>
    <row r="3047" spans="1:13" x14ac:dyDescent="0.45">
      <c r="A3047" t="s">
        <v>3611</v>
      </c>
      <c r="B3047" t="s">
        <v>3609</v>
      </c>
      <c r="C3047" t="s">
        <v>3593</v>
      </c>
      <c r="D3047" t="s">
        <v>63</v>
      </c>
      <c r="E3047" t="s">
        <v>1056</v>
      </c>
      <c r="F3047">
        <v>1</v>
      </c>
      <c r="G3047">
        <v>165</v>
      </c>
      <c r="H3047">
        <v>29.55</v>
      </c>
      <c r="I3047" t="s">
        <v>44</v>
      </c>
      <c r="J3047">
        <v>20</v>
      </c>
      <c r="K3047" t="s">
        <v>51</v>
      </c>
      <c r="L3047">
        <v>5</v>
      </c>
      <c r="M3047" t="str">
        <f>VLOOKUP(D3047,State_Lookup!$A$2:$B$28,2,FALSE)</f>
        <v>Pernambuco</v>
      </c>
    </row>
    <row r="3048" spans="1:13" x14ac:dyDescent="0.45">
      <c r="A3048" t="s">
        <v>3612</v>
      </c>
      <c r="B3048" t="s">
        <v>3609</v>
      </c>
      <c r="C3048" t="s">
        <v>3593</v>
      </c>
      <c r="D3048" t="s">
        <v>21</v>
      </c>
      <c r="E3048" t="s">
        <v>107</v>
      </c>
      <c r="F3048">
        <v>1</v>
      </c>
      <c r="G3048">
        <v>55.65</v>
      </c>
      <c r="H3048">
        <v>16.829999999999998</v>
      </c>
      <c r="I3048" t="s">
        <v>50</v>
      </c>
      <c r="J3048">
        <v>40</v>
      </c>
      <c r="K3048" t="s">
        <v>143</v>
      </c>
      <c r="L3048">
        <v>3</v>
      </c>
      <c r="M3048" t="str">
        <f>VLOOKUP(D3048,State_Lookup!$A$2:$B$28,2,FALSE)</f>
        <v>Santa Catarina</v>
      </c>
    </row>
    <row r="3049" spans="1:13" x14ac:dyDescent="0.45">
      <c r="A3049" t="s">
        <v>3613</v>
      </c>
      <c r="B3049" t="s">
        <v>3609</v>
      </c>
      <c r="C3049" t="s">
        <v>3593</v>
      </c>
      <c r="D3049" t="s">
        <v>16</v>
      </c>
      <c r="E3049" t="s">
        <v>148</v>
      </c>
      <c r="F3049">
        <v>1</v>
      </c>
      <c r="G3049">
        <v>41.9</v>
      </c>
      <c r="H3049">
        <v>12.23</v>
      </c>
      <c r="I3049" t="s">
        <v>44</v>
      </c>
      <c r="J3049">
        <v>3</v>
      </c>
      <c r="K3049" t="s">
        <v>51</v>
      </c>
      <c r="L3049">
        <v>5</v>
      </c>
      <c r="M3049" t="str">
        <f>VLOOKUP(D3049,State_Lookup!$A$2:$B$28,2,FALSE)</f>
        <v>Sao Paulo</v>
      </c>
    </row>
    <row r="3050" spans="1:13" x14ac:dyDescent="0.45">
      <c r="A3050" t="s">
        <v>3614</v>
      </c>
      <c r="B3050" t="s">
        <v>3609</v>
      </c>
      <c r="C3050" t="s">
        <v>3593</v>
      </c>
      <c r="D3050" t="s">
        <v>16</v>
      </c>
      <c r="E3050" t="s">
        <v>49</v>
      </c>
      <c r="F3050">
        <v>2</v>
      </c>
      <c r="G3050">
        <v>38.979999999999997</v>
      </c>
      <c r="H3050">
        <v>16.54</v>
      </c>
      <c r="I3050" t="s">
        <v>44</v>
      </c>
      <c r="J3050">
        <v>4</v>
      </c>
      <c r="K3050" t="s">
        <v>51</v>
      </c>
      <c r="L3050">
        <v>3</v>
      </c>
      <c r="M3050" t="str">
        <f>VLOOKUP(D3050,State_Lookup!$A$2:$B$28,2,FALSE)</f>
        <v>Sao Paulo</v>
      </c>
    </row>
    <row r="3051" spans="1:13" x14ac:dyDescent="0.45">
      <c r="A3051" t="s">
        <v>3615</v>
      </c>
      <c r="B3051" t="s">
        <v>3609</v>
      </c>
      <c r="C3051" t="s">
        <v>3593</v>
      </c>
      <c r="D3051" t="s">
        <v>16</v>
      </c>
      <c r="E3051" t="s">
        <v>79</v>
      </c>
      <c r="F3051">
        <v>1</v>
      </c>
      <c r="G3051">
        <v>49.9</v>
      </c>
      <c r="H3051">
        <v>7.78</v>
      </c>
      <c r="I3051" t="s">
        <v>44</v>
      </c>
      <c r="J3051">
        <v>4</v>
      </c>
      <c r="K3051" t="s">
        <v>51</v>
      </c>
      <c r="L3051">
        <v>5</v>
      </c>
      <c r="M3051" t="str">
        <f>VLOOKUP(D3051,State_Lookup!$A$2:$B$28,2,FALSE)</f>
        <v>Sao Paulo</v>
      </c>
    </row>
    <row r="3052" spans="1:13" x14ac:dyDescent="0.45">
      <c r="A3052" t="s">
        <v>3616</v>
      </c>
      <c r="B3052" t="s">
        <v>3609</v>
      </c>
      <c r="C3052" t="s">
        <v>3593</v>
      </c>
      <c r="D3052" t="s">
        <v>20</v>
      </c>
      <c r="E3052" t="s">
        <v>132</v>
      </c>
      <c r="F3052">
        <v>1</v>
      </c>
      <c r="G3052">
        <v>32</v>
      </c>
      <c r="H3052">
        <v>15.1</v>
      </c>
      <c r="I3052" t="s">
        <v>44</v>
      </c>
      <c r="J3052">
        <v>21</v>
      </c>
      <c r="K3052" t="s">
        <v>143</v>
      </c>
      <c r="L3052">
        <v>5</v>
      </c>
      <c r="M3052" t="str">
        <f>VLOOKUP(D3052,State_Lookup!$A$2:$B$28,2,FALSE)</f>
        <v>Parana</v>
      </c>
    </row>
    <row r="3053" spans="1:13" x14ac:dyDescent="0.45">
      <c r="A3053" t="s">
        <v>3617</v>
      </c>
      <c r="B3053" t="s">
        <v>3618</v>
      </c>
      <c r="C3053" t="s">
        <v>3593</v>
      </c>
      <c r="D3053" t="s">
        <v>21</v>
      </c>
      <c r="E3053" t="s">
        <v>157</v>
      </c>
      <c r="F3053">
        <v>1</v>
      </c>
      <c r="G3053">
        <v>134.9</v>
      </c>
      <c r="H3053">
        <v>18.190000000000001</v>
      </c>
      <c r="I3053" t="s">
        <v>44</v>
      </c>
      <c r="J3053">
        <v>22</v>
      </c>
      <c r="K3053" t="s">
        <v>143</v>
      </c>
      <c r="L3053">
        <v>4</v>
      </c>
      <c r="M3053" t="str">
        <f>VLOOKUP(D3053,State_Lookup!$A$2:$B$28,2,FALSE)</f>
        <v>Santa Catarina</v>
      </c>
    </row>
    <row r="3054" spans="1:13" x14ac:dyDescent="0.45">
      <c r="A3054" t="s">
        <v>3619</v>
      </c>
      <c r="B3054" t="s">
        <v>3618</v>
      </c>
      <c r="C3054" t="s">
        <v>3593</v>
      </c>
      <c r="D3054" t="s">
        <v>16</v>
      </c>
      <c r="E3054" t="s">
        <v>125</v>
      </c>
      <c r="F3054">
        <v>1</v>
      </c>
      <c r="G3054">
        <v>139.9</v>
      </c>
      <c r="H3054">
        <v>22.61</v>
      </c>
      <c r="I3054" t="s">
        <v>44</v>
      </c>
      <c r="J3054">
        <v>10</v>
      </c>
      <c r="K3054" t="s">
        <v>51</v>
      </c>
      <c r="L3054">
        <v>4</v>
      </c>
      <c r="M3054" t="str">
        <f>VLOOKUP(D3054,State_Lookup!$A$2:$B$28,2,FALSE)</f>
        <v>Sao Paulo</v>
      </c>
    </row>
    <row r="3055" spans="1:13" x14ac:dyDescent="0.45">
      <c r="A3055" t="s">
        <v>3620</v>
      </c>
      <c r="B3055" t="s">
        <v>3618</v>
      </c>
      <c r="C3055" t="s">
        <v>3593</v>
      </c>
      <c r="D3055" t="s">
        <v>18</v>
      </c>
      <c r="E3055" t="s">
        <v>61</v>
      </c>
      <c r="F3055">
        <v>1</v>
      </c>
      <c r="G3055">
        <v>98</v>
      </c>
      <c r="H3055">
        <v>16.45</v>
      </c>
      <c r="I3055" t="s">
        <v>44</v>
      </c>
      <c r="J3055">
        <v>29</v>
      </c>
      <c r="K3055" t="s">
        <v>143</v>
      </c>
      <c r="L3055">
        <v>1</v>
      </c>
      <c r="M3055" t="str">
        <f>VLOOKUP(D3055,State_Lookup!$A$2:$B$28,2,FALSE)</f>
        <v>Minas Gerais</v>
      </c>
    </row>
    <row r="3056" spans="1:13" x14ac:dyDescent="0.45">
      <c r="A3056" t="s">
        <v>3621</v>
      </c>
      <c r="B3056" t="s">
        <v>3618</v>
      </c>
      <c r="C3056" t="s">
        <v>3593</v>
      </c>
      <c r="D3056" t="s">
        <v>672</v>
      </c>
      <c r="E3056" t="s">
        <v>192</v>
      </c>
      <c r="F3056">
        <v>1</v>
      </c>
      <c r="G3056">
        <v>45.9</v>
      </c>
      <c r="H3056">
        <v>34.15</v>
      </c>
      <c r="I3056" t="s">
        <v>44</v>
      </c>
      <c r="J3056">
        <v>15</v>
      </c>
      <c r="K3056" t="s">
        <v>51</v>
      </c>
      <c r="L3056">
        <v>5</v>
      </c>
      <c r="M3056" t="str">
        <f>VLOOKUP(D3056,State_Lookup!$A$2:$B$28,2,FALSE)</f>
        <v>Paraiba</v>
      </c>
    </row>
    <row r="3057" spans="1:13" x14ac:dyDescent="0.45">
      <c r="A3057" t="s">
        <v>3622</v>
      </c>
      <c r="B3057" t="s">
        <v>3618</v>
      </c>
      <c r="C3057" t="s">
        <v>3593</v>
      </c>
      <c r="D3057" t="s">
        <v>22</v>
      </c>
      <c r="E3057" t="s">
        <v>79</v>
      </c>
      <c r="F3057">
        <v>1</v>
      </c>
      <c r="G3057">
        <v>33.799999999999997</v>
      </c>
      <c r="H3057">
        <v>19.59</v>
      </c>
      <c r="I3057" t="s">
        <v>44</v>
      </c>
      <c r="J3057">
        <v>39</v>
      </c>
      <c r="K3057" t="s">
        <v>143</v>
      </c>
      <c r="L3057">
        <v>1</v>
      </c>
      <c r="M3057" t="str">
        <f>VLOOKUP(D3057,State_Lookup!$A$2:$B$28,2,FALSE)</f>
        <v>Bahia</v>
      </c>
    </row>
    <row r="3058" spans="1:13" x14ac:dyDescent="0.45">
      <c r="A3058" t="s">
        <v>3623</v>
      </c>
      <c r="B3058" t="s">
        <v>3618</v>
      </c>
      <c r="C3058" t="s">
        <v>3593</v>
      </c>
      <c r="D3058" t="s">
        <v>25</v>
      </c>
      <c r="E3058" t="s">
        <v>49</v>
      </c>
      <c r="F3058">
        <v>1</v>
      </c>
      <c r="G3058">
        <v>59.99</v>
      </c>
      <c r="H3058">
        <v>15.18</v>
      </c>
      <c r="I3058" t="s">
        <v>44</v>
      </c>
      <c r="J3058">
        <v>35</v>
      </c>
      <c r="K3058" t="s">
        <v>143</v>
      </c>
      <c r="L3058">
        <v>3</v>
      </c>
      <c r="M3058" t="str">
        <f>VLOOKUP(D3058,State_Lookup!$A$2:$B$28,2,FALSE)</f>
        <v>Goias</v>
      </c>
    </row>
    <row r="3059" spans="1:13" x14ac:dyDescent="0.45">
      <c r="A3059" t="s">
        <v>3624</v>
      </c>
      <c r="B3059" t="s">
        <v>3618</v>
      </c>
      <c r="C3059" t="s">
        <v>3593</v>
      </c>
      <c r="D3059" t="s">
        <v>16</v>
      </c>
      <c r="E3059" t="s">
        <v>157</v>
      </c>
      <c r="F3059">
        <v>1</v>
      </c>
      <c r="G3059">
        <v>599</v>
      </c>
      <c r="H3059">
        <v>13.01</v>
      </c>
      <c r="I3059" t="s">
        <v>44</v>
      </c>
      <c r="J3059">
        <v>5</v>
      </c>
      <c r="K3059" t="s">
        <v>51</v>
      </c>
      <c r="L3059">
        <v>5</v>
      </c>
      <c r="M3059" t="str">
        <f>VLOOKUP(D3059,State_Lookup!$A$2:$B$28,2,FALSE)</f>
        <v>Sao Paulo</v>
      </c>
    </row>
    <row r="3060" spans="1:13" x14ac:dyDescent="0.45">
      <c r="A3060" t="s">
        <v>3625</v>
      </c>
      <c r="B3060" t="s">
        <v>3618</v>
      </c>
      <c r="C3060" t="s">
        <v>3593</v>
      </c>
      <c r="D3060" t="s">
        <v>16</v>
      </c>
      <c r="E3060" t="s">
        <v>302</v>
      </c>
      <c r="F3060">
        <v>1</v>
      </c>
      <c r="G3060">
        <v>35.9</v>
      </c>
      <c r="H3060">
        <v>8.7200000000000006</v>
      </c>
      <c r="I3060" t="s">
        <v>50</v>
      </c>
      <c r="J3060">
        <v>4</v>
      </c>
      <c r="K3060" t="s">
        <v>51</v>
      </c>
      <c r="L3060">
        <v>5</v>
      </c>
      <c r="M3060" t="str">
        <f>VLOOKUP(D3060,State_Lookup!$A$2:$B$28,2,FALSE)</f>
        <v>Sao Paulo</v>
      </c>
    </row>
    <row r="3061" spans="1:13" x14ac:dyDescent="0.45">
      <c r="A3061" t="s">
        <v>3626</v>
      </c>
      <c r="B3061" t="s">
        <v>3618</v>
      </c>
      <c r="C3061" t="s">
        <v>3593</v>
      </c>
      <c r="D3061" t="s">
        <v>17</v>
      </c>
      <c r="E3061" t="s">
        <v>125</v>
      </c>
      <c r="F3061">
        <v>1</v>
      </c>
      <c r="G3061">
        <v>19.899999999999999</v>
      </c>
      <c r="H3061">
        <v>16.79</v>
      </c>
      <c r="I3061" t="s">
        <v>44</v>
      </c>
      <c r="K3061" t="s">
        <v>45</v>
      </c>
      <c r="L3061">
        <v>1</v>
      </c>
      <c r="M3061" t="str">
        <f>VLOOKUP(D3061,State_Lookup!$A$2:$B$28,2,FALSE)</f>
        <v>Rio de Janeiro</v>
      </c>
    </row>
    <row r="3062" spans="1:13" x14ac:dyDescent="0.45">
      <c r="A3062" t="s">
        <v>3627</v>
      </c>
      <c r="B3062" t="s">
        <v>3628</v>
      </c>
      <c r="C3062" t="s">
        <v>3593</v>
      </c>
      <c r="D3062" t="s">
        <v>16</v>
      </c>
      <c r="E3062" t="s">
        <v>79</v>
      </c>
      <c r="F3062">
        <v>1</v>
      </c>
      <c r="G3062">
        <v>229.9</v>
      </c>
      <c r="H3062">
        <v>18.86</v>
      </c>
      <c r="I3062" t="s">
        <v>44</v>
      </c>
      <c r="J3062">
        <v>33</v>
      </c>
      <c r="K3062" t="s">
        <v>143</v>
      </c>
      <c r="L3062">
        <v>1</v>
      </c>
      <c r="M3062" t="str">
        <f>VLOOKUP(D3062,State_Lookup!$A$2:$B$28,2,FALSE)</f>
        <v>Sao Paulo</v>
      </c>
    </row>
    <row r="3063" spans="1:13" x14ac:dyDescent="0.45">
      <c r="A3063" t="s">
        <v>3629</v>
      </c>
      <c r="B3063" t="s">
        <v>3628</v>
      </c>
      <c r="C3063" t="s">
        <v>3593</v>
      </c>
      <c r="D3063" t="s">
        <v>16</v>
      </c>
      <c r="E3063" t="s">
        <v>69</v>
      </c>
      <c r="F3063">
        <v>1</v>
      </c>
      <c r="G3063">
        <v>39.9</v>
      </c>
      <c r="H3063">
        <v>11.85</v>
      </c>
      <c r="I3063" t="s">
        <v>44</v>
      </c>
      <c r="J3063">
        <v>5</v>
      </c>
      <c r="K3063" t="s">
        <v>51</v>
      </c>
      <c r="L3063">
        <v>3</v>
      </c>
      <c r="M3063" t="str">
        <f>VLOOKUP(D3063,State_Lookup!$A$2:$B$28,2,FALSE)</f>
        <v>Sao Paulo</v>
      </c>
    </row>
    <row r="3064" spans="1:13" x14ac:dyDescent="0.45">
      <c r="A3064" t="s">
        <v>3630</v>
      </c>
      <c r="B3064" t="s">
        <v>3628</v>
      </c>
      <c r="C3064" t="s">
        <v>3593</v>
      </c>
      <c r="D3064" t="s">
        <v>19</v>
      </c>
      <c r="E3064" t="s">
        <v>49</v>
      </c>
      <c r="F3064">
        <v>1</v>
      </c>
      <c r="G3064">
        <v>99.9</v>
      </c>
      <c r="H3064">
        <v>17.95</v>
      </c>
      <c r="I3064" t="s">
        <v>44</v>
      </c>
      <c r="J3064">
        <v>11</v>
      </c>
      <c r="K3064" t="s">
        <v>51</v>
      </c>
      <c r="L3064">
        <v>5</v>
      </c>
      <c r="M3064" t="str">
        <f>VLOOKUP(D3064,State_Lookup!$A$2:$B$28,2,FALSE)</f>
        <v>Rio Grande do Sul</v>
      </c>
    </row>
    <row r="3065" spans="1:13" x14ac:dyDescent="0.45">
      <c r="A3065" t="s">
        <v>3631</v>
      </c>
      <c r="B3065" t="s">
        <v>3628</v>
      </c>
      <c r="C3065" t="s">
        <v>3593</v>
      </c>
      <c r="D3065" t="s">
        <v>18</v>
      </c>
      <c r="E3065" t="s">
        <v>110</v>
      </c>
      <c r="F3065">
        <v>1</v>
      </c>
      <c r="G3065">
        <v>39.9</v>
      </c>
      <c r="H3065">
        <v>16.600000000000001</v>
      </c>
      <c r="I3065" t="s">
        <v>133</v>
      </c>
      <c r="J3065">
        <v>23</v>
      </c>
      <c r="K3065" t="s">
        <v>143</v>
      </c>
      <c r="L3065">
        <v>1</v>
      </c>
      <c r="M3065" t="str">
        <f>VLOOKUP(D3065,State_Lookup!$A$2:$B$28,2,FALSE)</f>
        <v>Minas Gerais</v>
      </c>
    </row>
    <row r="3066" spans="1:13" x14ac:dyDescent="0.45">
      <c r="A3066" t="s">
        <v>3632</v>
      </c>
      <c r="B3066" t="s">
        <v>3628</v>
      </c>
      <c r="C3066" t="s">
        <v>3593</v>
      </c>
      <c r="D3066" t="s">
        <v>23</v>
      </c>
      <c r="E3066" t="s">
        <v>66</v>
      </c>
      <c r="F3066">
        <v>1</v>
      </c>
      <c r="G3066">
        <v>27.99</v>
      </c>
      <c r="H3066">
        <v>15.1</v>
      </c>
      <c r="I3066" t="s">
        <v>44</v>
      </c>
      <c r="J3066">
        <v>37</v>
      </c>
      <c r="K3066" t="s">
        <v>143</v>
      </c>
      <c r="L3066">
        <v>1</v>
      </c>
      <c r="M3066" t="str">
        <f>VLOOKUP(D3066,State_Lookup!$A$2:$B$28,2,FALSE)</f>
        <v>Espirito Santo</v>
      </c>
    </row>
    <row r="3067" spans="1:13" x14ac:dyDescent="0.45">
      <c r="A3067" t="s">
        <v>3633</v>
      </c>
      <c r="B3067" t="s">
        <v>3628</v>
      </c>
      <c r="C3067" t="s">
        <v>3593</v>
      </c>
      <c r="D3067" t="s">
        <v>16</v>
      </c>
      <c r="E3067" t="s">
        <v>43</v>
      </c>
      <c r="F3067">
        <v>1</v>
      </c>
      <c r="G3067">
        <v>239.9</v>
      </c>
      <c r="H3067">
        <v>18.39</v>
      </c>
      <c r="I3067" t="s">
        <v>44</v>
      </c>
      <c r="J3067">
        <v>14</v>
      </c>
      <c r="K3067" t="s">
        <v>51</v>
      </c>
      <c r="L3067">
        <v>5</v>
      </c>
      <c r="M3067" t="str">
        <f>VLOOKUP(D3067,State_Lookup!$A$2:$B$28,2,FALSE)</f>
        <v>Sao Paulo</v>
      </c>
    </row>
    <row r="3068" spans="1:13" x14ac:dyDescent="0.45">
      <c r="A3068" t="s">
        <v>3634</v>
      </c>
      <c r="B3068" t="s">
        <v>3628</v>
      </c>
      <c r="C3068" t="s">
        <v>3593</v>
      </c>
      <c r="D3068" t="s">
        <v>22</v>
      </c>
      <c r="E3068" t="s">
        <v>125</v>
      </c>
      <c r="F3068">
        <v>1</v>
      </c>
      <c r="G3068">
        <v>12.95</v>
      </c>
      <c r="H3068">
        <v>16.79</v>
      </c>
      <c r="I3068" t="s">
        <v>44</v>
      </c>
      <c r="J3068">
        <v>12</v>
      </c>
      <c r="K3068" t="s">
        <v>51</v>
      </c>
      <c r="L3068">
        <v>5</v>
      </c>
      <c r="M3068" t="str">
        <f>VLOOKUP(D3068,State_Lookup!$A$2:$B$28,2,FALSE)</f>
        <v>Bahia</v>
      </c>
    </row>
    <row r="3069" spans="1:13" x14ac:dyDescent="0.45">
      <c r="A3069" t="s">
        <v>3635</v>
      </c>
      <c r="B3069" t="s">
        <v>3628</v>
      </c>
      <c r="C3069" t="s">
        <v>3593</v>
      </c>
      <c r="D3069" t="s">
        <v>16</v>
      </c>
      <c r="E3069" t="s">
        <v>49</v>
      </c>
      <c r="F3069">
        <v>1</v>
      </c>
      <c r="G3069">
        <v>54.9</v>
      </c>
      <c r="H3069">
        <v>7.78</v>
      </c>
      <c r="I3069" t="s">
        <v>44</v>
      </c>
      <c r="J3069">
        <v>2</v>
      </c>
      <c r="K3069" t="s">
        <v>51</v>
      </c>
      <c r="L3069">
        <v>5</v>
      </c>
      <c r="M3069" t="str">
        <f>VLOOKUP(D3069,State_Lookup!$A$2:$B$28,2,FALSE)</f>
        <v>Sao Paulo</v>
      </c>
    </row>
    <row r="3070" spans="1:13" x14ac:dyDescent="0.45">
      <c r="A3070" t="s">
        <v>3636</v>
      </c>
      <c r="B3070" t="s">
        <v>3628</v>
      </c>
      <c r="C3070" t="s">
        <v>3593</v>
      </c>
      <c r="D3070" t="s">
        <v>18</v>
      </c>
      <c r="E3070" t="s">
        <v>107</v>
      </c>
      <c r="F3070">
        <v>1</v>
      </c>
      <c r="G3070">
        <v>27.9</v>
      </c>
      <c r="H3070">
        <v>15.1</v>
      </c>
      <c r="I3070" t="s">
        <v>44</v>
      </c>
      <c r="J3070">
        <v>5</v>
      </c>
      <c r="K3070" t="s">
        <v>51</v>
      </c>
      <c r="L3070">
        <v>3</v>
      </c>
      <c r="M3070" t="str">
        <f>VLOOKUP(D3070,State_Lookup!$A$2:$B$28,2,FALSE)</f>
        <v>Minas Gerais</v>
      </c>
    </row>
    <row r="3071" spans="1:13" x14ac:dyDescent="0.45">
      <c r="A3071" t="s">
        <v>3637</v>
      </c>
      <c r="B3071" t="s">
        <v>3628</v>
      </c>
      <c r="C3071" t="s">
        <v>3593</v>
      </c>
      <c r="D3071" t="s">
        <v>17</v>
      </c>
      <c r="E3071" t="s">
        <v>66</v>
      </c>
      <c r="F3071">
        <v>1</v>
      </c>
      <c r="G3071">
        <v>24.99</v>
      </c>
      <c r="H3071">
        <v>14.1</v>
      </c>
      <c r="I3071" t="s">
        <v>44</v>
      </c>
      <c r="J3071">
        <v>28</v>
      </c>
      <c r="K3071" t="s">
        <v>143</v>
      </c>
      <c r="L3071">
        <v>1</v>
      </c>
      <c r="M3071" t="str">
        <f>VLOOKUP(D3071,State_Lookup!$A$2:$B$28,2,FALSE)</f>
        <v>Rio de Janeiro</v>
      </c>
    </row>
    <row r="3072" spans="1:13" x14ac:dyDescent="0.45">
      <c r="A3072" t="s">
        <v>3638</v>
      </c>
      <c r="B3072" t="s">
        <v>3628</v>
      </c>
      <c r="C3072" t="s">
        <v>3593</v>
      </c>
      <c r="D3072" t="s">
        <v>18</v>
      </c>
      <c r="E3072" t="s">
        <v>142</v>
      </c>
      <c r="F3072">
        <v>1</v>
      </c>
      <c r="G3072">
        <v>24</v>
      </c>
      <c r="H3072">
        <v>16.11</v>
      </c>
      <c r="I3072" t="s">
        <v>44</v>
      </c>
      <c r="J3072">
        <v>29</v>
      </c>
      <c r="K3072" t="s">
        <v>143</v>
      </c>
      <c r="L3072">
        <v>2</v>
      </c>
      <c r="M3072" t="str">
        <f>VLOOKUP(D3072,State_Lookup!$A$2:$B$28,2,FALSE)</f>
        <v>Minas Gerais</v>
      </c>
    </row>
    <row r="3073" spans="1:13" x14ac:dyDescent="0.45">
      <c r="A3073" t="s">
        <v>3639</v>
      </c>
      <c r="B3073" t="s">
        <v>3628</v>
      </c>
      <c r="C3073" t="s">
        <v>3593</v>
      </c>
      <c r="D3073" t="s">
        <v>16</v>
      </c>
      <c r="E3073" t="s">
        <v>49</v>
      </c>
      <c r="F3073">
        <v>1</v>
      </c>
      <c r="G3073">
        <v>49.9</v>
      </c>
      <c r="H3073">
        <v>14.1</v>
      </c>
      <c r="I3073" t="s">
        <v>108</v>
      </c>
      <c r="J3073">
        <v>15</v>
      </c>
      <c r="K3073" t="s">
        <v>51</v>
      </c>
      <c r="L3073">
        <v>3</v>
      </c>
      <c r="M3073" t="str">
        <f>VLOOKUP(D3073,State_Lookup!$A$2:$B$28,2,FALSE)</f>
        <v>Sao Paulo</v>
      </c>
    </row>
    <row r="3074" spans="1:13" x14ac:dyDescent="0.45">
      <c r="A3074" t="s">
        <v>3640</v>
      </c>
      <c r="B3074" t="s">
        <v>3628</v>
      </c>
      <c r="C3074" t="s">
        <v>3593</v>
      </c>
      <c r="D3074" t="s">
        <v>16</v>
      </c>
      <c r="E3074" t="s">
        <v>220</v>
      </c>
      <c r="F3074">
        <v>2</v>
      </c>
      <c r="G3074">
        <v>196.93</v>
      </c>
      <c r="H3074">
        <v>39.24</v>
      </c>
      <c r="I3074" t="s">
        <v>44</v>
      </c>
      <c r="J3074">
        <v>30</v>
      </c>
      <c r="K3074" t="s">
        <v>51</v>
      </c>
      <c r="L3074">
        <v>1</v>
      </c>
      <c r="M3074" t="str">
        <f>VLOOKUP(D3074,State_Lookup!$A$2:$B$28,2,FALSE)</f>
        <v>Sao Paulo</v>
      </c>
    </row>
    <row r="3075" spans="1:13" x14ac:dyDescent="0.45">
      <c r="A3075" t="s">
        <v>3641</v>
      </c>
      <c r="B3075" t="s">
        <v>3628</v>
      </c>
      <c r="C3075" t="s">
        <v>3593</v>
      </c>
      <c r="D3075" t="s">
        <v>16</v>
      </c>
      <c r="E3075" t="s">
        <v>79</v>
      </c>
      <c r="F3075">
        <v>1</v>
      </c>
      <c r="G3075">
        <v>29.9</v>
      </c>
      <c r="H3075">
        <v>8.11</v>
      </c>
      <c r="I3075" t="s">
        <v>44</v>
      </c>
      <c r="J3075">
        <v>4</v>
      </c>
      <c r="K3075" t="s">
        <v>51</v>
      </c>
      <c r="L3075">
        <v>5</v>
      </c>
      <c r="M3075" t="str">
        <f>VLOOKUP(D3075,State_Lookup!$A$2:$B$28,2,FALSE)</f>
        <v>Sao Paulo</v>
      </c>
    </row>
    <row r="3076" spans="1:13" x14ac:dyDescent="0.45">
      <c r="A3076" t="s">
        <v>3642</v>
      </c>
      <c r="B3076" t="s">
        <v>3628</v>
      </c>
      <c r="C3076" t="s">
        <v>3593</v>
      </c>
      <c r="D3076" t="s">
        <v>17</v>
      </c>
      <c r="E3076" t="s">
        <v>64</v>
      </c>
      <c r="F3076">
        <v>1</v>
      </c>
      <c r="G3076">
        <v>174.56</v>
      </c>
      <c r="H3076">
        <v>18.47</v>
      </c>
      <c r="I3076" t="s">
        <v>50</v>
      </c>
      <c r="J3076">
        <v>25</v>
      </c>
      <c r="K3076" t="s">
        <v>51</v>
      </c>
      <c r="L3076">
        <v>5</v>
      </c>
      <c r="M3076" t="str">
        <f>VLOOKUP(D3076,State_Lookup!$A$2:$B$28,2,FALSE)</f>
        <v>Rio de Janeiro</v>
      </c>
    </row>
    <row r="3077" spans="1:13" x14ac:dyDescent="0.45">
      <c r="A3077" t="s">
        <v>3643</v>
      </c>
      <c r="B3077" t="s">
        <v>3644</v>
      </c>
      <c r="C3077" t="s">
        <v>3593</v>
      </c>
      <c r="D3077" t="s">
        <v>17</v>
      </c>
      <c r="E3077" t="s">
        <v>157</v>
      </c>
      <c r="F3077">
        <v>1</v>
      </c>
      <c r="G3077">
        <v>599</v>
      </c>
      <c r="H3077">
        <v>17.940000000000001</v>
      </c>
      <c r="I3077" t="s">
        <v>44</v>
      </c>
      <c r="J3077">
        <v>45</v>
      </c>
      <c r="K3077" t="s">
        <v>143</v>
      </c>
      <c r="L3077">
        <v>1</v>
      </c>
      <c r="M3077" t="str">
        <f>VLOOKUP(D3077,State_Lookup!$A$2:$B$28,2,FALSE)</f>
        <v>Rio de Janeiro</v>
      </c>
    </row>
    <row r="3078" spans="1:13" x14ac:dyDescent="0.45">
      <c r="A3078" t="s">
        <v>3645</v>
      </c>
      <c r="B3078" t="s">
        <v>3644</v>
      </c>
      <c r="C3078" t="s">
        <v>3593</v>
      </c>
      <c r="D3078" t="s">
        <v>16</v>
      </c>
      <c r="E3078" t="s">
        <v>199</v>
      </c>
      <c r="F3078">
        <v>1</v>
      </c>
      <c r="G3078">
        <v>56</v>
      </c>
      <c r="H3078">
        <v>11.89</v>
      </c>
      <c r="I3078" t="s">
        <v>50</v>
      </c>
      <c r="J3078">
        <v>11</v>
      </c>
      <c r="K3078" t="s">
        <v>51</v>
      </c>
      <c r="L3078">
        <v>5</v>
      </c>
      <c r="M3078" t="str">
        <f>VLOOKUP(D3078,State_Lookup!$A$2:$B$28,2,FALSE)</f>
        <v>Sao Paulo</v>
      </c>
    </row>
    <row r="3079" spans="1:13" x14ac:dyDescent="0.45">
      <c r="A3079" t="s">
        <v>3646</v>
      </c>
      <c r="B3079" t="s">
        <v>3644</v>
      </c>
      <c r="C3079" t="s">
        <v>3593</v>
      </c>
      <c r="D3079" t="s">
        <v>16</v>
      </c>
      <c r="E3079" t="s">
        <v>61</v>
      </c>
      <c r="F3079">
        <v>1</v>
      </c>
      <c r="G3079">
        <v>10</v>
      </c>
      <c r="H3079">
        <v>12.79</v>
      </c>
      <c r="I3079" t="s">
        <v>108</v>
      </c>
      <c r="J3079">
        <v>30</v>
      </c>
      <c r="K3079" t="s">
        <v>143</v>
      </c>
      <c r="L3079">
        <v>3</v>
      </c>
      <c r="M3079" t="str">
        <f>VLOOKUP(D3079,State_Lookup!$A$2:$B$28,2,FALSE)</f>
        <v>Sao Paulo</v>
      </c>
    </row>
    <row r="3080" spans="1:13" x14ac:dyDescent="0.45">
      <c r="A3080" t="s">
        <v>3647</v>
      </c>
      <c r="B3080" t="s">
        <v>3644</v>
      </c>
      <c r="C3080" t="s">
        <v>3593</v>
      </c>
      <c r="D3080" t="s">
        <v>18</v>
      </c>
      <c r="E3080" t="s">
        <v>69</v>
      </c>
      <c r="F3080">
        <v>1</v>
      </c>
      <c r="G3080">
        <v>169</v>
      </c>
      <c r="H3080">
        <v>26.8</v>
      </c>
      <c r="I3080" t="s">
        <v>44</v>
      </c>
      <c r="J3080">
        <v>4</v>
      </c>
      <c r="K3080" t="s">
        <v>51</v>
      </c>
      <c r="L3080">
        <v>5</v>
      </c>
      <c r="M3080" t="str">
        <f>VLOOKUP(D3080,State_Lookup!$A$2:$B$28,2,FALSE)</f>
        <v>Minas Gerais</v>
      </c>
    </row>
    <row r="3081" spans="1:13" x14ac:dyDescent="0.45">
      <c r="A3081" t="s">
        <v>3648</v>
      </c>
      <c r="B3081" t="s">
        <v>3644</v>
      </c>
      <c r="C3081" t="s">
        <v>3593</v>
      </c>
      <c r="D3081" t="s">
        <v>18</v>
      </c>
      <c r="E3081" t="s">
        <v>244</v>
      </c>
      <c r="F3081">
        <v>1</v>
      </c>
      <c r="G3081">
        <v>65.900000000000006</v>
      </c>
      <c r="H3081">
        <v>18.03</v>
      </c>
      <c r="I3081" t="s">
        <v>133</v>
      </c>
      <c r="J3081">
        <v>15</v>
      </c>
      <c r="K3081" t="s">
        <v>51</v>
      </c>
      <c r="L3081">
        <v>4</v>
      </c>
      <c r="M3081" t="str">
        <f>VLOOKUP(D3081,State_Lookup!$A$2:$B$28,2,FALSE)</f>
        <v>Minas Gerais</v>
      </c>
    </row>
    <row r="3082" spans="1:13" x14ac:dyDescent="0.45">
      <c r="A3082" t="s">
        <v>3649</v>
      </c>
      <c r="B3082" t="s">
        <v>3644</v>
      </c>
      <c r="C3082" t="s">
        <v>3593</v>
      </c>
      <c r="D3082" t="s">
        <v>16</v>
      </c>
      <c r="E3082" t="s">
        <v>79</v>
      </c>
      <c r="F3082">
        <v>2</v>
      </c>
      <c r="G3082">
        <v>80</v>
      </c>
      <c r="H3082">
        <v>68.3</v>
      </c>
      <c r="I3082" t="s">
        <v>44</v>
      </c>
      <c r="J3082">
        <v>7</v>
      </c>
      <c r="K3082" t="s">
        <v>51</v>
      </c>
      <c r="L3082">
        <v>5</v>
      </c>
      <c r="M3082" t="str">
        <f>VLOOKUP(D3082,State_Lookup!$A$2:$B$28,2,FALSE)</f>
        <v>Sao Paulo</v>
      </c>
    </row>
    <row r="3083" spans="1:13" x14ac:dyDescent="0.45">
      <c r="A3083" t="s">
        <v>3650</v>
      </c>
      <c r="B3083" t="s">
        <v>3644</v>
      </c>
      <c r="C3083" t="s">
        <v>3593</v>
      </c>
      <c r="D3083" t="s">
        <v>16</v>
      </c>
      <c r="E3083" t="s">
        <v>132</v>
      </c>
      <c r="F3083">
        <v>1</v>
      </c>
      <c r="G3083">
        <v>154.9</v>
      </c>
      <c r="H3083">
        <v>18.329999999999998</v>
      </c>
      <c r="I3083" t="s">
        <v>50</v>
      </c>
      <c r="J3083">
        <v>28</v>
      </c>
      <c r="K3083" t="s">
        <v>51</v>
      </c>
      <c r="L3083">
        <v>5</v>
      </c>
      <c r="M3083" t="str">
        <f>VLOOKUP(D3083,State_Lookup!$A$2:$B$28,2,FALSE)</f>
        <v>Sao Paulo</v>
      </c>
    </row>
    <row r="3084" spans="1:13" x14ac:dyDescent="0.45">
      <c r="A3084" t="s">
        <v>3651</v>
      </c>
      <c r="B3084" t="s">
        <v>3644</v>
      </c>
      <c r="C3084" t="s">
        <v>3593</v>
      </c>
      <c r="D3084" t="s">
        <v>18</v>
      </c>
      <c r="E3084" t="s">
        <v>61</v>
      </c>
      <c r="F3084">
        <v>1</v>
      </c>
      <c r="G3084">
        <v>76.25</v>
      </c>
      <c r="H3084">
        <v>22.24</v>
      </c>
      <c r="I3084" t="s">
        <v>44</v>
      </c>
      <c r="J3084">
        <v>29</v>
      </c>
      <c r="K3084" t="s">
        <v>143</v>
      </c>
      <c r="L3084">
        <v>1</v>
      </c>
      <c r="M3084" t="str">
        <f>VLOOKUP(D3084,State_Lookup!$A$2:$B$28,2,FALSE)</f>
        <v>Minas Gerais</v>
      </c>
    </row>
    <row r="3085" spans="1:13" x14ac:dyDescent="0.45">
      <c r="A3085" t="s">
        <v>3652</v>
      </c>
      <c r="B3085" t="s">
        <v>3644</v>
      </c>
      <c r="C3085" t="s">
        <v>3593</v>
      </c>
      <c r="D3085" t="s">
        <v>16</v>
      </c>
      <c r="E3085" t="s">
        <v>61</v>
      </c>
      <c r="F3085">
        <v>1</v>
      </c>
      <c r="G3085">
        <v>76.25</v>
      </c>
      <c r="H3085">
        <v>12.66</v>
      </c>
      <c r="I3085" t="s">
        <v>44</v>
      </c>
      <c r="J3085">
        <v>15</v>
      </c>
      <c r="K3085" t="s">
        <v>51</v>
      </c>
      <c r="L3085">
        <v>5</v>
      </c>
      <c r="M3085" t="str">
        <f>VLOOKUP(D3085,State_Lookup!$A$2:$B$28,2,FALSE)</f>
        <v>Sao Paulo</v>
      </c>
    </row>
    <row r="3086" spans="1:13" x14ac:dyDescent="0.45">
      <c r="A3086" t="s">
        <v>3653</v>
      </c>
      <c r="B3086" t="s">
        <v>3644</v>
      </c>
      <c r="C3086" t="s">
        <v>3593</v>
      </c>
      <c r="D3086" t="s">
        <v>20</v>
      </c>
      <c r="E3086" t="s">
        <v>69</v>
      </c>
      <c r="F3086">
        <v>1</v>
      </c>
      <c r="G3086">
        <v>53.9</v>
      </c>
      <c r="H3086">
        <v>17.63</v>
      </c>
      <c r="I3086" t="s">
        <v>50</v>
      </c>
      <c r="J3086">
        <v>18</v>
      </c>
      <c r="K3086" t="s">
        <v>51</v>
      </c>
      <c r="L3086">
        <v>5</v>
      </c>
      <c r="M3086" t="str">
        <f>VLOOKUP(D3086,State_Lookup!$A$2:$B$28,2,FALSE)</f>
        <v>Parana</v>
      </c>
    </row>
    <row r="3087" spans="1:13" x14ac:dyDescent="0.45">
      <c r="A3087" t="s">
        <v>3654</v>
      </c>
      <c r="B3087" t="s">
        <v>3644</v>
      </c>
      <c r="C3087" t="s">
        <v>3593</v>
      </c>
      <c r="D3087" t="s">
        <v>17</v>
      </c>
      <c r="E3087" t="s">
        <v>142</v>
      </c>
      <c r="F3087">
        <v>1</v>
      </c>
      <c r="G3087">
        <v>199.9</v>
      </c>
      <c r="H3087">
        <v>15.15</v>
      </c>
      <c r="I3087" t="s">
        <v>44</v>
      </c>
      <c r="J3087">
        <v>36</v>
      </c>
      <c r="K3087" t="s">
        <v>143</v>
      </c>
      <c r="L3087">
        <v>1</v>
      </c>
      <c r="M3087" t="str">
        <f>VLOOKUP(D3087,State_Lookup!$A$2:$B$28,2,FALSE)</f>
        <v>Rio de Janeiro</v>
      </c>
    </row>
    <row r="3088" spans="1:13" x14ac:dyDescent="0.45">
      <c r="A3088" t="s">
        <v>3655</v>
      </c>
      <c r="B3088" t="s">
        <v>3644</v>
      </c>
      <c r="C3088" t="s">
        <v>3593</v>
      </c>
      <c r="D3088" t="s">
        <v>16</v>
      </c>
      <c r="E3088" t="s">
        <v>79</v>
      </c>
      <c r="F3088">
        <v>1</v>
      </c>
      <c r="G3088">
        <v>78</v>
      </c>
      <c r="H3088">
        <v>12.05</v>
      </c>
      <c r="I3088" t="s">
        <v>44</v>
      </c>
      <c r="J3088">
        <v>33</v>
      </c>
      <c r="K3088" t="s">
        <v>143</v>
      </c>
      <c r="L3088">
        <v>1</v>
      </c>
      <c r="M3088" t="str">
        <f>VLOOKUP(D3088,State_Lookup!$A$2:$B$28,2,FALSE)</f>
        <v>Sao Paulo</v>
      </c>
    </row>
    <row r="3089" spans="1:13" x14ac:dyDescent="0.45">
      <c r="A3089" t="s">
        <v>3656</v>
      </c>
      <c r="B3089" t="s">
        <v>3644</v>
      </c>
      <c r="C3089" t="s">
        <v>3593</v>
      </c>
      <c r="D3089" t="s">
        <v>16</v>
      </c>
      <c r="E3089" t="s">
        <v>110</v>
      </c>
      <c r="F3089">
        <v>1</v>
      </c>
      <c r="G3089">
        <v>119.9</v>
      </c>
      <c r="H3089">
        <v>14.93</v>
      </c>
      <c r="I3089" t="s">
        <v>44</v>
      </c>
      <c r="J3089">
        <v>14</v>
      </c>
      <c r="K3089" t="s">
        <v>51</v>
      </c>
      <c r="L3089">
        <v>5</v>
      </c>
      <c r="M3089" t="str">
        <f>VLOOKUP(D3089,State_Lookup!$A$2:$B$28,2,FALSE)</f>
        <v>Sao Paulo</v>
      </c>
    </row>
    <row r="3090" spans="1:13" x14ac:dyDescent="0.45">
      <c r="A3090" t="s">
        <v>3657</v>
      </c>
      <c r="B3090" t="s">
        <v>3644</v>
      </c>
      <c r="C3090" t="s">
        <v>3593</v>
      </c>
      <c r="D3090" t="s">
        <v>16</v>
      </c>
      <c r="E3090" t="s">
        <v>110</v>
      </c>
      <c r="F3090">
        <v>1</v>
      </c>
      <c r="G3090">
        <v>49.95</v>
      </c>
      <c r="H3090">
        <v>13.71</v>
      </c>
      <c r="I3090" t="s">
        <v>44</v>
      </c>
      <c r="J3090">
        <v>13</v>
      </c>
      <c r="K3090" t="s">
        <v>51</v>
      </c>
      <c r="L3090">
        <v>5</v>
      </c>
      <c r="M3090" t="str">
        <f>VLOOKUP(D3090,State_Lookup!$A$2:$B$28,2,FALSE)</f>
        <v>Sao Paulo</v>
      </c>
    </row>
    <row r="3091" spans="1:13" x14ac:dyDescent="0.45">
      <c r="A3091" t="s">
        <v>3658</v>
      </c>
      <c r="B3091" t="s">
        <v>3644</v>
      </c>
      <c r="C3091" t="s">
        <v>3593</v>
      </c>
      <c r="D3091" t="s">
        <v>16</v>
      </c>
      <c r="E3091" t="s">
        <v>61</v>
      </c>
      <c r="F3091">
        <v>2</v>
      </c>
      <c r="G3091">
        <v>238</v>
      </c>
      <c r="H3091">
        <v>24.66</v>
      </c>
      <c r="I3091" t="s">
        <v>44</v>
      </c>
      <c r="J3091">
        <v>2</v>
      </c>
      <c r="K3091" t="s">
        <v>51</v>
      </c>
      <c r="L3091">
        <v>5</v>
      </c>
      <c r="M3091" t="str">
        <f>VLOOKUP(D3091,State_Lookup!$A$2:$B$28,2,FALSE)</f>
        <v>Sao Paulo</v>
      </c>
    </row>
    <row r="3092" spans="1:13" x14ac:dyDescent="0.45">
      <c r="A3092" t="s">
        <v>3659</v>
      </c>
      <c r="B3092" t="s">
        <v>3644</v>
      </c>
      <c r="C3092" t="s">
        <v>3593</v>
      </c>
      <c r="D3092" t="s">
        <v>16</v>
      </c>
      <c r="E3092" t="s">
        <v>199</v>
      </c>
      <c r="F3092">
        <v>1</v>
      </c>
      <c r="G3092">
        <v>122.99</v>
      </c>
      <c r="H3092">
        <v>12.36</v>
      </c>
      <c r="I3092" t="s">
        <v>44</v>
      </c>
      <c r="J3092">
        <v>9</v>
      </c>
      <c r="K3092" t="s">
        <v>51</v>
      </c>
      <c r="L3092">
        <v>3</v>
      </c>
      <c r="M3092" t="str">
        <f>VLOOKUP(D3092,State_Lookup!$A$2:$B$28,2,FALSE)</f>
        <v>Sao Paulo</v>
      </c>
    </row>
    <row r="3093" spans="1:13" x14ac:dyDescent="0.45">
      <c r="A3093" t="s">
        <v>3660</v>
      </c>
      <c r="B3093" t="s">
        <v>3661</v>
      </c>
      <c r="C3093" t="s">
        <v>3593</v>
      </c>
      <c r="D3093" t="s">
        <v>16</v>
      </c>
      <c r="E3093" t="s">
        <v>79</v>
      </c>
      <c r="F3093">
        <v>1</v>
      </c>
      <c r="G3093">
        <v>123.88</v>
      </c>
      <c r="H3093">
        <v>13.01</v>
      </c>
      <c r="I3093" t="s">
        <v>44</v>
      </c>
      <c r="J3093">
        <v>14</v>
      </c>
      <c r="K3093" t="s">
        <v>143</v>
      </c>
      <c r="L3093">
        <v>5</v>
      </c>
      <c r="M3093" t="str">
        <f>VLOOKUP(D3093,State_Lookup!$A$2:$B$28,2,FALSE)</f>
        <v>Sao Paulo</v>
      </c>
    </row>
    <row r="3094" spans="1:13" x14ac:dyDescent="0.45">
      <c r="A3094" t="s">
        <v>3662</v>
      </c>
      <c r="B3094" t="s">
        <v>3661</v>
      </c>
      <c r="C3094" t="s">
        <v>3593</v>
      </c>
      <c r="D3094" t="s">
        <v>18</v>
      </c>
      <c r="E3094" t="s">
        <v>2079</v>
      </c>
      <c r="F3094">
        <v>2</v>
      </c>
      <c r="G3094">
        <v>79.8</v>
      </c>
      <c r="H3094">
        <v>36.46</v>
      </c>
      <c r="I3094" t="s">
        <v>44</v>
      </c>
      <c r="J3094">
        <v>28</v>
      </c>
      <c r="K3094" t="s">
        <v>143</v>
      </c>
      <c r="L3094">
        <v>1</v>
      </c>
      <c r="M3094" t="str">
        <f>VLOOKUP(D3094,State_Lookup!$A$2:$B$28,2,FALSE)</f>
        <v>Minas Gerais</v>
      </c>
    </row>
    <row r="3095" spans="1:13" x14ac:dyDescent="0.45">
      <c r="A3095" t="s">
        <v>3663</v>
      </c>
      <c r="B3095" t="s">
        <v>3661</v>
      </c>
      <c r="C3095" t="s">
        <v>3593</v>
      </c>
      <c r="D3095" t="s">
        <v>16</v>
      </c>
      <c r="E3095" t="s">
        <v>132</v>
      </c>
      <c r="F3095">
        <v>1</v>
      </c>
      <c r="G3095">
        <v>45</v>
      </c>
      <c r="H3095">
        <v>12.79</v>
      </c>
      <c r="I3095" t="s">
        <v>50</v>
      </c>
      <c r="J3095">
        <v>9</v>
      </c>
      <c r="K3095" t="s">
        <v>51</v>
      </c>
      <c r="L3095">
        <v>5</v>
      </c>
      <c r="M3095" t="str">
        <f>VLOOKUP(D3095,State_Lookup!$A$2:$B$28,2,FALSE)</f>
        <v>Sao Paulo</v>
      </c>
    </row>
    <row r="3096" spans="1:13" x14ac:dyDescent="0.45">
      <c r="A3096" t="s">
        <v>3664</v>
      </c>
      <c r="B3096" t="s">
        <v>3661</v>
      </c>
      <c r="C3096" t="s">
        <v>3593</v>
      </c>
      <c r="D3096" t="s">
        <v>22</v>
      </c>
      <c r="E3096" t="s">
        <v>366</v>
      </c>
      <c r="F3096">
        <v>1</v>
      </c>
      <c r="G3096">
        <v>66.7</v>
      </c>
      <c r="H3096">
        <v>22.18</v>
      </c>
      <c r="I3096" t="s">
        <v>44</v>
      </c>
      <c r="J3096">
        <v>17</v>
      </c>
      <c r="K3096" t="s">
        <v>51</v>
      </c>
      <c r="L3096">
        <v>4</v>
      </c>
      <c r="M3096" t="str">
        <f>VLOOKUP(D3096,State_Lookup!$A$2:$B$28,2,FALSE)</f>
        <v>Bahia</v>
      </c>
    </row>
    <row r="3097" spans="1:13" x14ac:dyDescent="0.45">
      <c r="A3097" t="s">
        <v>3665</v>
      </c>
      <c r="B3097" t="s">
        <v>3661</v>
      </c>
      <c r="C3097" t="s">
        <v>3593</v>
      </c>
      <c r="D3097" t="s">
        <v>22</v>
      </c>
      <c r="E3097" t="s">
        <v>49</v>
      </c>
      <c r="F3097">
        <v>1</v>
      </c>
      <c r="G3097">
        <v>217.56</v>
      </c>
      <c r="H3097">
        <v>19.45</v>
      </c>
      <c r="I3097" t="s">
        <v>44</v>
      </c>
      <c r="J3097">
        <v>23</v>
      </c>
      <c r="K3097" t="s">
        <v>143</v>
      </c>
      <c r="L3097">
        <v>5</v>
      </c>
      <c r="M3097" t="str">
        <f>VLOOKUP(D3097,State_Lookup!$A$2:$B$28,2,FALSE)</f>
        <v>Bahia</v>
      </c>
    </row>
    <row r="3098" spans="1:13" x14ac:dyDescent="0.45">
      <c r="A3098" t="s">
        <v>3666</v>
      </c>
      <c r="B3098" t="s">
        <v>3661</v>
      </c>
      <c r="C3098" t="s">
        <v>3593</v>
      </c>
      <c r="D3098" t="s">
        <v>17</v>
      </c>
      <c r="E3098" t="s">
        <v>53</v>
      </c>
      <c r="F3098">
        <v>1</v>
      </c>
      <c r="G3098">
        <v>49</v>
      </c>
      <c r="H3098">
        <v>19.32</v>
      </c>
      <c r="I3098" t="s">
        <v>44</v>
      </c>
      <c r="J3098">
        <v>20</v>
      </c>
      <c r="K3098" t="s">
        <v>51</v>
      </c>
      <c r="L3098">
        <v>4</v>
      </c>
      <c r="M3098" t="str">
        <f>VLOOKUP(D3098,State_Lookup!$A$2:$B$28,2,FALSE)</f>
        <v>Rio de Janeiro</v>
      </c>
    </row>
    <row r="3099" spans="1:13" x14ac:dyDescent="0.45">
      <c r="A3099" t="s">
        <v>3667</v>
      </c>
      <c r="B3099" t="s">
        <v>3661</v>
      </c>
      <c r="C3099" t="s">
        <v>3593</v>
      </c>
      <c r="D3099" t="s">
        <v>16</v>
      </c>
      <c r="E3099" t="s">
        <v>132</v>
      </c>
      <c r="F3099">
        <v>1</v>
      </c>
      <c r="G3099">
        <v>27.3</v>
      </c>
      <c r="H3099">
        <v>8.76</v>
      </c>
      <c r="I3099" t="s">
        <v>44</v>
      </c>
      <c r="K3099" t="s">
        <v>45</v>
      </c>
      <c r="L3099">
        <v>1</v>
      </c>
      <c r="M3099" t="str">
        <f>VLOOKUP(D3099,State_Lookup!$A$2:$B$28,2,FALSE)</f>
        <v>Sao Paulo</v>
      </c>
    </row>
    <row r="3100" spans="1:13" x14ac:dyDescent="0.45">
      <c r="A3100" t="s">
        <v>3668</v>
      </c>
      <c r="B3100" t="s">
        <v>3661</v>
      </c>
      <c r="C3100" t="s">
        <v>3593</v>
      </c>
      <c r="D3100" t="s">
        <v>17</v>
      </c>
      <c r="E3100" t="s">
        <v>69</v>
      </c>
      <c r="F3100">
        <v>1</v>
      </c>
      <c r="G3100">
        <v>110</v>
      </c>
      <c r="H3100">
        <v>67.14</v>
      </c>
      <c r="I3100" t="s">
        <v>50</v>
      </c>
      <c r="J3100">
        <v>14</v>
      </c>
      <c r="K3100" t="s">
        <v>51</v>
      </c>
      <c r="L3100">
        <v>4</v>
      </c>
      <c r="M3100" t="str">
        <f>VLOOKUP(D3100,State_Lookup!$A$2:$B$28,2,FALSE)</f>
        <v>Rio de Janeiro</v>
      </c>
    </row>
    <row r="3101" spans="1:13" x14ac:dyDescent="0.45">
      <c r="A3101" t="s">
        <v>3669</v>
      </c>
      <c r="B3101" t="s">
        <v>3661</v>
      </c>
      <c r="C3101" t="s">
        <v>3593</v>
      </c>
      <c r="D3101" t="s">
        <v>16</v>
      </c>
      <c r="E3101" t="s">
        <v>157</v>
      </c>
      <c r="F3101">
        <v>1</v>
      </c>
      <c r="G3101">
        <v>59.99</v>
      </c>
      <c r="H3101">
        <v>8.4</v>
      </c>
      <c r="I3101" t="s">
        <v>133</v>
      </c>
      <c r="J3101">
        <v>3</v>
      </c>
      <c r="K3101" t="s">
        <v>51</v>
      </c>
      <c r="L3101">
        <v>5</v>
      </c>
      <c r="M3101" t="str">
        <f>VLOOKUP(D3101,State_Lookup!$A$2:$B$28,2,FALSE)</f>
        <v>Sao Paulo</v>
      </c>
    </row>
    <row r="3102" spans="1:13" x14ac:dyDescent="0.45">
      <c r="A3102" t="s">
        <v>3670</v>
      </c>
      <c r="B3102" t="s">
        <v>3661</v>
      </c>
      <c r="C3102" t="s">
        <v>3593</v>
      </c>
      <c r="D3102" t="s">
        <v>22</v>
      </c>
      <c r="E3102" t="s">
        <v>152</v>
      </c>
      <c r="F3102">
        <v>1</v>
      </c>
      <c r="G3102">
        <v>52.9</v>
      </c>
      <c r="H3102">
        <v>23.3</v>
      </c>
      <c r="I3102" t="s">
        <v>50</v>
      </c>
      <c r="J3102">
        <v>17</v>
      </c>
      <c r="K3102" t="s">
        <v>51</v>
      </c>
      <c r="L3102">
        <v>5</v>
      </c>
      <c r="M3102" t="str">
        <f>VLOOKUP(D3102,State_Lookup!$A$2:$B$28,2,FALSE)</f>
        <v>Bahia</v>
      </c>
    </row>
    <row r="3103" spans="1:13" x14ac:dyDescent="0.45">
      <c r="A3103" t="s">
        <v>3671</v>
      </c>
      <c r="B3103" t="s">
        <v>3661</v>
      </c>
      <c r="C3103" t="s">
        <v>3593</v>
      </c>
      <c r="D3103" t="s">
        <v>16</v>
      </c>
      <c r="E3103" t="s">
        <v>662</v>
      </c>
      <c r="F3103">
        <v>1</v>
      </c>
      <c r="G3103">
        <v>86.9</v>
      </c>
      <c r="H3103">
        <v>14.7</v>
      </c>
      <c r="I3103" t="s">
        <v>50</v>
      </c>
      <c r="J3103">
        <v>18</v>
      </c>
      <c r="K3103" t="s">
        <v>143</v>
      </c>
      <c r="L3103">
        <v>4</v>
      </c>
      <c r="M3103" t="str">
        <f>VLOOKUP(D3103,State_Lookup!$A$2:$B$28,2,FALSE)</f>
        <v>Sao Paulo</v>
      </c>
    </row>
    <row r="3104" spans="1:13" x14ac:dyDescent="0.45">
      <c r="A3104" t="s">
        <v>3672</v>
      </c>
      <c r="B3104" t="s">
        <v>3661</v>
      </c>
      <c r="C3104" t="s">
        <v>3593</v>
      </c>
      <c r="D3104" t="s">
        <v>19</v>
      </c>
      <c r="E3104" t="s">
        <v>118</v>
      </c>
      <c r="F3104">
        <v>1</v>
      </c>
      <c r="G3104">
        <v>29.9</v>
      </c>
      <c r="H3104">
        <v>15.23</v>
      </c>
      <c r="I3104" t="s">
        <v>50</v>
      </c>
      <c r="J3104">
        <v>38</v>
      </c>
      <c r="K3104" t="s">
        <v>143</v>
      </c>
      <c r="L3104">
        <v>1</v>
      </c>
      <c r="M3104" t="str">
        <f>VLOOKUP(D3104,State_Lookup!$A$2:$B$28,2,FALSE)</f>
        <v>Rio Grande do Sul</v>
      </c>
    </row>
    <row r="3105" spans="1:13" x14ac:dyDescent="0.45">
      <c r="A3105" t="s">
        <v>3673</v>
      </c>
      <c r="B3105" t="s">
        <v>3661</v>
      </c>
      <c r="C3105" t="s">
        <v>3593</v>
      </c>
      <c r="D3105" t="s">
        <v>21</v>
      </c>
      <c r="E3105" t="s">
        <v>53</v>
      </c>
      <c r="F3105">
        <v>1</v>
      </c>
      <c r="G3105">
        <v>196.9</v>
      </c>
      <c r="H3105">
        <v>19.260000000000002</v>
      </c>
      <c r="I3105" t="s">
        <v>50</v>
      </c>
      <c r="J3105">
        <v>17</v>
      </c>
      <c r="K3105" t="s">
        <v>51</v>
      </c>
      <c r="L3105">
        <v>5</v>
      </c>
      <c r="M3105" t="str">
        <f>VLOOKUP(D3105,State_Lookup!$A$2:$B$28,2,FALSE)</f>
        <v>Santa Catarina</v>
      </c>
    </row>
    <row r="3106" spans="1:13" x14ac:dyDescent="0.45">
      <c r="A3106" t="s">
        <v>3674</v>
      </c>
      <c r="B3106" t="s">
        <v>3661</v>
      </c>
      <c r="C3106" t="s">
        <v>3593</v>
      </c>
      <c r="D3106" t="s">
        <v>16</v>
      </c>
      <c r="E3106" t="s">
        <v>260</v>
      </c>
      <c r="F3106">
        <v>1</v>
      </c>
      <c r="G3106">
        <v>27.9</v>
      </c>
      <c r="H3106">
        <v>8.94</v>
      </c>
      <c r="I3106" t="s">
        <v>50</v>
      </c>
      <c r="J3106">
        <v>4</v>
      </c>
      <c r="K3106" t="s">
        <v>51</v>
      </c>
      <c r="L3106">
        <v>5</v>
      </c>
      <c r="M3106" t="str">
        <f>VLOOKUP(D3106,State_Lookup!$A$2:$B$28,2,FALSE)</f>
        <v>Sao Paulo</v>
      </c>
    </row>
    <row r="3107" spans="1:13" x14ac:dyDescent="0.45">
      <c r="A3107" t="s">
        <v>3675</v>
      </c>
      <c r="B3107" t="s">
        <v>3661</v>
      </c>
      <c r="C3107" t="s">
        <v>3593</v>
      </c>
      <c r="D3107" t="s">
        <v>19</v>
      </c>
      <c r="E3107" t="s">
        <v>43</v>
      </c>
      <c r="F3107">
        <v>1</v>
      </c>
      <c r="G3107">
        <v>69.900000000000006</v>
      </c>
      <c r="H3107">
        <v>26.57</v>
      </c>
      <c r="I3107" t="s">
        <v>44</v>
      </c>
      <c r="J3107">
        <v>15</v>
      </c>
      <c r="K3107" t="s">
        <v>51</v>
      </c>
      <c r="L3107">
        <v>4</v>
      </c>
      <c r="M3107" t="str">
        <f>VLOOKUP(D3107,State_Lookup!$A$2:$B$28,2,FALSE)</f>
        <v>Rio Grande do Sul</v>
      </c>
    </row>
    <row r="3108" spans="1:13" x14ac:dyDescent="0.45">
      <c r="A3108" t="s">
        <v>3676</v>
      </c>
      <c r="B3108" t="s">
        <v>3661</v>
      </c>
      <c r="C3108" t="s">
        <v>3593</v>
      </c>
      <c r="D3108" t="s">
        <v>22</v>
      </c>
      <c r="E3108" t="s">
        <v>49</v>
      </c>
      <c r="F3108">
        <v>1</v>
      </c>
      <c r="G3108">
        <v>85</v>
      </c>
      <c r="H3108">
        <v>22.3</v>
      </c>
      <c r="I3108" t="s">
        <v>44</v>
      </c>
      <c r="J3108">
        <v>15</v>
      </c>
      <c r="K3108" t="s">
        <v>51</v>
      </c>
      <c r="L3108">
        <v>5</v>
      </c>
      <c r="M3108" t="str">
        <f>VLOOKUP(D3108,State_Lookup!$A$2:$B$28,2,FALSE)</f>
        <v>Bahia</v>
      </c>
    </row>
    <row r="3109" spans="1:13" x14ac:dyDescent="0.45">
      <c r="A3109" t="s">
        <v>3677</v>
      </c>
      <c r="B3109" t="s">
        <v>3661</v>
      </c>
      <c r="C3109" t="s">
        <v>3593</v>
      </c>
      <c r="D3109" t="s">
        <v>23</v>
      </c>
      <c r="E3109" t="s">
        <v>61</v>
      </c>
      <c r="F3109">
        <v>6</v>
      </c>
      <c r="G3109">
        <v>240</v>
      </c>
      <c r="H3109">
        <v>21</v>
      </c>
      <c r="I3109" t="s">
        <v>44</v>
      </c>
      <c r="J3109">
        <v>13</v>
      </c>
      <c r="K3109" t="s">
        <v>51</v>
      </c>
      <c r="L3109">
        <v>4</v>
      </c>
      <c r="M3109" t="str">
        <f>VLOOKUP(D3109,State_Lookup!$A$2:$B$28,2,FALSE)</f>
        <v>Espirito Santo</v>
      </c>
    </row>
    <row r="3110" spans="1:13" x14ac:dyDescent="0.45">
      <c r="A3110" t="s">
        <v>3678</v>
      </c>
      <c r="B3110" t="s">
        <v>3661</v>
      </c>
      <c r="C3110" t="s">
        <v>3593</v>
      </c>
      <c r="D3110" t="s">
        <v>24</v>
      </c>
      <c r="E3110" t="s">
        <v>148</v>
      </c>
      <c r="F3110">
        <v>2</v>
      </c>
      <c r="G3110">
        <v>430</v>
      </c>
      <c r="H3110">
        <v>45.18</v>
      </c>
      <c r="I3110" t="s">
        <v>44</v>
      </c>
      <c r="J3110">
        <v>11</v>
      </c>
      <c r="K3110" t="s">
        <v>51</v>
      </c>
      <c r="L3110">
        <v>3</v>
      </c>
      <c r="M3110" t="str">
        <f>VLOOKUP(D3110,State_Lookup!$A$2:$B$28,2,FALSE)</f>
        <v>Distrito Federal</v>
      </c>
    </row>
    <row r="3111" spans="1:13" x14ac:dyDescent="0.45">
      <c r="A3111" t="s">
        <v>3679</v>
      </c>
      <c r="B3111" t="s">
        <v>3661</v>
      </c>
      <c r="C3111" t="s">
        <v>3593</v>
      </c>
      <c r="D3111" t="s">
        <v>16</v>
      </c>
      <c r="E3111" t="s">
        <v>61</v>
      </c>
      <c r="F3111">
        <v>1</v>
      </c>
      <c r="G3111">
        <v>149.9</v>
      </c>
      <c r="H3111">
        <v>25.18</v>
      </c>
      <c r="I3111" t="s">
        <v>44</v>
      </c>
      <c r="J3111">
        <v>15</v>
      </c>
      <c r="K3111" t="s">
        <v>51</v>
      </c>
      <c r="L3111">
        <v>5</v>
      </c>
      <c r="M3111" t="str">
        <f>VLOOKUP(D3111,State_Lookup!$A$2:$B$28,2,FALSE)</f>
        <v>Sao Paulo</v>
      </c>
    </row>
    <row r="3112" spans="1:13" x14ac:dyDescent="0.45">
      <c r="A3112" t="s">
        <v>3680</v>
      </c>
      <c r="B3112" t="s">
        <v>3681</v>
      </c>
      <c r="C3112" t="s">
        <v>3593</v>
      </c>
      <c r="D3112" t="s">
        <v>20</v>
      </c>
      <c r="E3112" t="s">
        <v>49</v>
      </c>
      <c r="F3112">
        <v>1</v>
      </c>
      <c r="G3112">
        <v>104.9</v>
      </c>
      <c r="H3112">
        <v>15.58</v>
      </c>
      <c r="I3112" t="s">
        <v>44</v>
      </c>
      <c r="J3112">
        <v>7</v>
      </c>
      <c r="K3112" t="s">
        <v>51</v>
      </c>
      <c r="L3112">
        <v>4</v>
      </c>
      <c r="M3112" t="str">
        <f>VLOOKUP(D3112,State_Lookup!$A$2:$B$28,2,FALSE)</f>
        <v>Parana</v>
      </c>
    </row>
    <row r="3113" spans="1:13" x14ac:dyDescent="0.45">
      <c r="A3113" t="s">
        <v>3682</v>
      </c>
      <c r="B3113" t="s">
        <v>3681</v>
      </c>
      <c r="C3113" t="s">
        <v>3593</v>
      </c>
      <c r="D3113" t="s">
        <v>17</v>
      </c>
      <c r="E3113" t="s">
        <v>61</v>
      </c>
      <c r="F3113">
        <v>1</v>
      </c>
      <c r="G3113">
        <v>27.9</v>
      </c>
      <c r="H3113">
        <v>15.23</v>
      </c>
      <c r="I3113" t="s">
        <v>50</v>
      </c>
      <c r="J3113">
        <v>18</v>
      </c>
      <c r="K3113" t="s">
        <v>51</v>
      </c>
      <c r="L3113">
        <v>5</v>
      </c>
      <c r="M3113" t="str">
        <f>VLOOKUP(D3113,State_Lookup!$A$2:$B$28,2,FALSE)</f>
        <v>Rio de Janeiro</v>
      </c>
    </row>
    <row r="3114" spans="1:13" x14ac:dyDescent="0.45">
      <c r="A3114" t="s">
        <v>3683</v>
      </c>
      <c r="B3114" t="s">
        <v>3681</v>
      </c>
      <c r="C3114" t="s">
        <v>3593</v>
      </c>
      <c r="D3114" t="s">
        <v>16</v>
      </c>
      <c r="E3114" t="s">
        <v>220</v>
      </c>
      <c r="F3114">
        <v>1</v>
      </c>
      <c r="G3114">
        <v>119.99</v>
      </c>
      <c r="H3114">
        <v>18.95</v>
      </c>
      <c r="I3114" t="s">
        <v>44</v>
      </c>
      <c r="J3114">
        <v>15</v>
      </c>
      <c r="K3114" t="s">
        <v>51</v>
      </c>
      <c r="L3114">
        <v>5</v>
      </c>
      <c r="M3114" t="str">
        <f>VLOOKUP(D3114,State_Lookup!$A$2:$B$28,2,FALSE)</f>
        <v>Sao Paulo</v>
      </c>
    </row>
    <row r="3115" spans="1:13" x14ac:dyDescent="0.45">
      <c r="A3115" t="s">
        <v>3684</v>
      </c>
      <c r="B3115" t="s">
        <v>3681</v>
      </c>
      <c r="C3115" t="s">
        <v>3593</v>
      </c>
      <c r="D3115" t="s">
        <v>18</v>
      </c>
      <c r="E3115" t="s">
        <v>69</v>
      </c>
      <c r="F3115">
        <v>1</v>
      </c>
      <c r="G3115">
        <v>39.9</v>
      </c>
      <c r="H3115">
        <v>17.059999999999999</v>
      </c>
      <c r="I3115" t="s">
        <v>50</v>
      </c>
      <c r="J3115">
        <v>9</v>
      </c>
      <c r="K3115" t="s">
        <v>51</v>
      </c>
      <c r="L3115">
        <v>5</v>
      </c>
      <c r="M3115" t="str">
        <f>VLOOKUP(D3115,State_Lookup!$A$2:$B$28,2,FALSE)</f>
        <v>Minas Gerais</v>
      </c>
    </row>
    <row r="3116" spans="1:13" x14ac:dyDescent="0.45">
      <c r="A3116" t="s">
        <v>3685</v>
      </c>
      <c r="B3116" t="s">
        <v>3681</v>
      </c>
      <c r="C3116" t="s">
        <v>3593</v>
      </c>
      <c r="D3116" t="s">
        <v>16</v>
      </c>
      <c r="E3116" t="s">
        <v>110</v>
      </c>
      <c r="F3116">
        <v>1</v>
      </c>
      <c r="G3116">
        <v>56.99</v>
      </c>
      <c r="H3116">
        <v>14.49</v>
      </c>
      <c r="I3116" t="s">
        <v>44</v>
      </c>
      <c r="J3116">
        <v>7</v>
      </c>
      <c r="K3116" t="s">
        <v>51</v>
      </c>
      <c r="L3116">
        <v>5</v>
      </c>
      <c r="M3116" t="str">
        <f>VLOOKUP(D3116,State_Lookup!$A$2:$B$28,2,FALSE)</f>
        <v>Sao Paulo</v>
      </c>
    </row>
    <row r="3117" spans="1:13" x14ac:dyDescent="0.45">
      <c r="A3117" t="s">
        <v>3686</v>
      </c>
      <c r="B3117" t="s">
        <v>3681</v>
      </c>
      <c r="C3117" t="s">
        <v>3593</v>
      </c>
      <c r="D3117" t="s">
        <v>16</v>
      </c>
      <c r="E3117" t="s">
        <v>142</v>
      </c>
      <c r="F3117">
        <v>1</v>
      </c>
      <c r="G3117">
        <v>36</v>
      </c>
      <c r="H3117">
        <v>9.82</v>
      </c>
      <c r="I3117" t="s">
        <v>44</v>
      </c>
      <c r="J3117">
        <v>7</v>
      </c>
      <c r="K3117" t="s">
        <v>51</v>
      </c>
      <c r="L3117">
        <v>3</v>
      </c>
      <c r="M3117" t="str">
        <f>VLOOKUP(D3117,State_Lookup!$A$2:$B$28,2,FALSE)</f>
        <v>Sao Paulo</v>
      </c>
    </row>
    <row r="3118" spans="1:13" x14ac:dyDescent="0.45">
      <c r="A3118" t="s">
        <v>3687</v>
      </c>
      <c r="B3118" t="s">
        <v>3681</v>
      </c>
      <c r="C3118" t="s">
        <v>3593</v>
      </c>
      <c r="D3118" t="s">
        <v>25</v>
      </c>
      <c r="E3118" t="s">
        <v>110</v>
      </c>
      <c r="F3118">
        <v>1</v>
      </c>
      <c r="G3118">
        <v>79.900000000000006</v>
      </c>
      <c r="H3118">
        <v>19.53</v>
      </c>
      <c r="I3118" t="s">
        <v>50</v>
      </c>
      <c r="J3118">
        <v>26</v>
      </c>
      <c r="K3118" t="s">
        <v>143</v>
      </c>
      <c r="L3118">
        <v>5</v>
      </c>
      <c r="M3118" t="str">
        <f>VLOOKUP(D3118,State_Lookup!$A$2:$B$28,2,FALSE)</f>
        <v>Goias</v>
      </c>
    </row>
    <row r="3119" spans="1:13" x14ac:dyDescent="0.45">
      <c r="A3119" t="s">
        <v>3688</v>
      </c>
      <c r="B3119" t="s">
        <v>3681</v>
      </c>
      <c r="C3119" t="s">
        <v>3593</v>
      </c>
      <c r="D3119" t="s">
        <v>128</v>
      </c>
      <c r="E3119" t="s">
        <v>125</v>
      </c>
      <c r="F3119">
        <v>1</v>
      </c>
      <c r="G3119">
        <v>14.99</v>
      </c>
      <c r="H3119">
        <v>19.04</v>
      </c>
      <c r="I3119" t="s">
        <v>108</v>
      </c>
      <c r="J3119">
        <v>24</v>
      </c>
      <c r="K3119" t="s">
        <v>143</v>
      </c>
      <c r="L3119">
        <v>4</v>
      </c>
      <c r="M3119" t="str">
        <f>VLOOKUP(D3119,State_Lookup!$A$2:$B$28,2,FALSE)</f>
        <v>Ceara</v>
      </c>
    </row>
    <row r="3120" spans="1:13" x14ac:dyDescent="0.45">
      <c r="A3120" t="s">
        <v>3689</v>
      </c>
      <c r="B3120" t="s">
        <v>3681</v>
      </c>
      <c r="C3120" t="s">
        <v>3593</v>
      </c>
      <c r="D3120" t="s">
        <v>16</v>
      </c>
      <c r="E3120" t="s">
        <v>598</v>
      </c>
      <c r="F3120">
        <v>1</v>
      </c>
      <c r="G3120">
        <v>79.900000000000006</v>
      </c>
      <c r="H3120">
        <v>17.47</v>
      </c>
      <c r="I3120" t="s">
        <v>50</v>
      </c>
      <c r="J3120">
        <v>13</v>
      </c>
      <c r="K3120" t="s">
        <v>51</v>
      </c>
      <c r="L3120">
        <v>5</v>
      </c>
      <c r="M3120" t="str">
        <f>VLOOKUP(D3120,State_Lookup!$A$2:$B$28,2,FALSE)</f>
        <v>Sao Paulo</v>
      </c>
    </row>
    <row r="3121" spans="1:13" x14ac:dyDescent="0.45">
      <c r="A3121" t="s">
        <v>3690</v>
      </c>
      <c r="B3121" t="s">
        <v>3681</v>
      </c>
      <c r="C3121" t="s">
        <v>3593</v>
      </c>
      <c r="D3121" t="s">
        <v>22</v>
      </c>
      <c r="E3121" t="s">
        <v>148</v>
      </c>
      <c r="F3121">
        <v>1</v>
      </c>
      <c r="G3121">
        <v>269</v>
      </c>
      <c r="H3121">
        <v>23.59</v>
      </c>
      <c r="I3121" t="s">
        <v>44</v>
      </c>
      <c r="J3121">
        <v>33</v>
      </c>
      <c r="K3121" t="s">
        <v>51</v>
      </c>
      <c r="L3121">
        <v>5</v>
      </c>
      <c r="M3121" t="str">
        <f>VLOOKUP(D3121,State_Lookup!$A$2:$B$28,2,FALSE)</f>
        <v>Bahia</v>
      </c>
    </row>
    <row r="3122" spans="1:13" x14ac:dyDescent="0.45">
      <c r="A3122" t="s">
        <v>3691</v>
      </c>
      <c r="B3122" t="s">
        <v>3681</v>
      </c>
      <c r="C3122" t="s">
        <v>3593</v>
      </c>
      <c r="D3122" t="s">
        <v>16</v>
      </c>
      <c r="E3122" t="s">
        <v>49</v>
      </c>
      <c r="F3122">
        <v>1</v>
      </c>
      <c r="G3122">
        <v>55</v>
      </c>
      <c r="H3122">
        <v>19.079999999999998</v>
      </c>
      <c r="I3122" t="s">
        <v>50</v>
      </c>
      <c r="J3122">
        <v>16</v>
      </c>
      <c r="K3122" t="s">
        <v>51</v>
      </c>
      <c r="L3122">
        <v>5</v>
      </c>
      <c r="M3122" t="str">
        <f>VLOOKUP(D3122,State_Lookup!$A$2:$B$28,2,FALSE)</f>
        <v>Sao Paulo</v>
      </c>
    </row>
    <row r="3123" spans="1:13" x14ac:dyDescent="0.45">
      <c r="A3123" t="s">
        <v>3692</v>
      </c>
      <c r="B3123" t="s">
        <v>3681</v>
      </c>
      <c r="C3123" t="s">
        <v>3593</v>
      </c>
      <c r="D3123" t="s">
        <v>21</v>
      </c>
      <c r="E3123" t="s">
        <v>107</v>
      </c>
      <c r="F3123">
        <v>1</v>
      </c>
      <c r="G3123">
        <v>61.5</v>
      </c>
      <c r="H3123">
        <v>18.309999999999999</v>
      </c>
      <c r="I3123" t="s">
        <v>44</v>
      </c>
      <c r="J3123">
        <v>21</v>
      </c>
      <c r="K3123" t="s">
        <v>51</v>
      </c>
      <c r="L3123">
        <v>1</v>
      </c>
      <c r="M3123" t="str">
        <f>VLOOKUP(D3123,State_Lookup!$A$2:$B$28,2,FALSE)</f>
        <v>Santa Catarina</v>
      </c>
    </row>
    <row r="3124" spans="1:13" x14ac:dyDescent="0.45">
      <c r="A3124" t="s">
        <v>3693</v>
      </c>
      <c r="B3124" t="s">
        <v>3681</v>
      </c>
      <c r="C3124" t="s">
        <v>3593</v>
      </c>
      <c r="D3124" t="s">
        <v>16</v>
      </c>
      <c r="E3124" t="s">
        <v>79</v>
      </c>
      <c r="F3124">
        <v>1</v>
      </c>
      <c r="G3124">
        <v>47</v>
      </c>
      <c r="H3124">
        <v>8.4</v>
      </c>
      <c r="I3124" t="s">
        <v>44</v>
      </c>
      <c r="J3124">
        <v>1</v>
      </c>
      <c r="K3124" t="s">
        <v>51</v>
      </c>
      <c r="L3124">
        <v>5</v>
      </c>
      <c r="M3124" t="str">
        <f>VLOOKUP(D3124,State_Lookup!$A$2:$B$28,2,FALSE)</f>
        <v>Sao Paulo</v>
      </c>
    </row>
    <row r="3125" spans="1:13" x14ac:dyDescent="0.45">
      <c r="A3125" t="s">
        <v>3694</v>
      </c>
      <c r="B3125" t="s">
        <v>3681</v>
      </c>
      <c r="C3125" t="s">
        <v>3593</v>
      </c>
      <c r="D3125" t="s">
        <v>16</v>
      </c>
      <c r="E3125" t="s">
        <v>142</v>
      </c>
      <c r="F3125">
        <v>1</v>
      </c>
      <c r="G3125">
        <v>120</v>
      </c>
      <c r="H3125">
        <v>15.58</v>
      </c>
      <c r="I3125" t="s">
        <v>44</v>
      </c>
      <c r="J3125">
        <v>5</v>
      </c>
      <c r="K3125" t="s">
        <v>51</v>
      </c>
      <c r="L3125">
        <v>5</v>
      </c>
      <c r="M3125" t="str">
        <f>VLOOKUP(D3125,State_Lookup!$A$2:$B$28,2,FALSE)</f>
        <v>Sao Paulo</v>
      </c>
    </row>
    <row r="3126" spans="1:13" x14ac:dyDescent="0.45">
      <c r="A3126" t="s">
        <v>3695</v>
      </c>
      <c r="B3126" t="s">
        <v>3681</v>
      </c>
      <c r="C3126" t="s">
        <v>3593</v>
      </c>
      <c r="D3126" t="s">
        <v>17</v>
      </c>
      <c r="E3126" t="s">
        <v>61</v>
      </c>
      <c r="F3126">
        <v>1</v>
      </c>
      <c r="G3126">
        <v>149.9</v>
      </c>
      <c r="H3126">
        <v>21.1</v>
      </c>
      <c r="I3126" t="s">
        <v>44</v>
      </c>
      <c r="J3126">
        <v>13</v>
      </c>
      <c r="K3126" t="s">
        <v>51</v>
      </c>
      <c r="L3126">
        <v>5</v>
      </c>
      <c r="M3126" t="str">
        <f>VLOOKUP(D3126,State_Lookup!$A$2:$B$28,2,FALSE)</f>
        <v>Rio de Janeiro</v>
      </c>
    </row>
    <row r="3127" spans="1:13" x14ac:dyDescent="0.45">
      <c r="A3127" t="s">
        <v>3696</v>
      </c>
      <c r="B3127" t="s">
        <v>3681</v>
      </c>
      <c r="C3127" t="s">
        <v>3593</v>
      </c>
      <c r="D3127" t="s">
        <v>18</v>
      </c>
      <c r="E3127" t="s">
        <v>79</v>
      </c>
      <c r="F3127">
        <v>1</v>
      </c>
      <c r="G3127">
        <v>97.65</v>
      </c>
      <c r="H3127">
        <v>18.559999999999999</v>
      </c>
      <c r="I3127" t="s">
        <v>50</v>
      </c>
      <c r="J3127">
        <v>56</v>
      </c>
      <c r="K3127" t="s">
        <v>143</v>
      </c>
      <c r="L3127">
        <v>1</v>
      </c>
      <c r="M3127" t="str">
        <f>VLOOKUP(D3127,State_Lookup!$A$2:$B$28,2,FALSE)</f>
        <v>Minas Gerais</v>
      </c>
    </row>
    <row r="3128" spans="1:13" x14ac:dyDescent="0.45">
      <c r="A3128" t="s">
        <v>3697</v>
      </c>
      <c r="B3128" t="s">
        <v>3681</v>
      </c>
      <c r="C3128" t="s">
        <v>3593</v>
      </c>
      <c r="D3128" t="s">
        <v>16</v>
      </c>
      <c r="E3128" t="s">
        <v>58</v>
      </c>
      <c r="F3128">
        <v>1</v>
      </c>
      <c r="G3128">
        <v>32.5</v>
      </c>
      <c r="H3128">
        <v>12.79</v>
      </c>
      <c r="I3128" t="s">
        <v>44</v>
      </c>
      <c r="J3128">
        <v>16</v>
      </c>
      <c r="K3128" t="s">
        <v>143</v>
      </c>
      <c r="L3128">
        <v>3</v>
      </c>
      <c r="M3128" t="str">
        <f>VLOOKUP(D3128,State_Lookup!$A$2:$B$28,2,FALSE)</f>
        <v>Sao Paulo</v>
      </c>
    </row>
    <row r="3129" spans="1:13" x14ac:dyDescent="0.45">
      <c r="A3129" t="s">
        <v>3698</v>
      </c>
      <c r="B3129" t="s">
        <v>3699</v>
      </c>
      <c r="C3129" t="s">
        <v>3593</v>
      </c>
      <c r="D3129" t="s">
        <v>17</v>
      </c>
      <c r="E3129" t="s">
        <v>125</v>
      </c>
      <c r="F3129">
        <v>1</v>
      </c>
      <c r="G3129">
        <v>28.5</v>
      </c>
      <c r="H3129">
        <v>18.23</v>
      </c>
      <c r="I3129" t="s">
        <v>44</v>
      </c>
      <c r="J3129">
        <v>20</v>
      </c>
      <c r="K3129" t="s">
        <v>51</v>
      </c>
      <c r="L3129">
        <v>5</v>
      </c>
      <c r="M3129" t="str">
        <f>VLOOKUP(D3129,State_Lookup!$A$2:$B$28,2,FALSE)</f>
        <v>Rio de Janeiro</v>
      </c>
    </row>
    <row r="3130" spans="1:13" x14ac:dyDescent="0.45">
      <c r="A3130" t="s">
        <v>3700</v>
      </c>
      <c r="B3130" t="s">
        <v>3699</v>
      </c>
      <c r="C3130" t="s">
        <v>3593</v>
      </c>
      <c r="D3130" t="s">
        <v>22</v>
      </c>
      <c r="E3130" t="s">
        <v>49</v>
      </c>
      <c r="F3130">
        <v>1</v>
      </c>
      <c r="G3130">
        <v>249.99</v>
      </c>
      <c r="H3130">
        <v>52.25</v>
      </c>
      <c r="I3130" t="s">
        <v>44</v>
      </c>
      <c r="J3130">
        <v>30</v>
      </c>
      <c r="K3130" t="s">
        <v>143</v>
      </c>
      <c r="L3130">
        <v>1</v>
      </c>
      <c r="M3130" t="str">
        <f>VLOOKUP(D3130,State_Lookup!$A$2:$B$28,2,FALSE)</f>
        <v>Bahia</v>
      </c>
    </row>
    <row r="3131" spans="1:13" x14ac:dyDescent="0.45">
      <c r="A3131" t="s">
        <v>3701</v>
      </c>
      <c r="B3131" t="s">
        <v>3699</v>
      </c>
      <c r="C3131" t="s">
        <v>3593</v>
      </c>
      <c r="D3131" t="s">
        <v>16</v>
      </c>
      <c r="E3131" t="s">
        <v>49</v>
      </c>
      <c r="F3131">
        <v>1</v>
      </c>
      <c r="G3131">
        <v>50</v>
      </c>
      <c r="H3131">
        <v>12.79</v>
      </c>
      <c r="I3131" t="s">
        <v>50</v>
      </c>
      <c r="J3131">
        <v>12</v>
      </c>
      <c r="K3131" t="s">
        <v>51</v>
      </c>
      <c r="L3131">
        <v>5</v>
      </c>
      <c r="M3131" t="str">
        <f>VLOOKUP(D3131,State_Lookup!$A$2:$B$28,2,FALSE)</f>
        <v>Sao Paulo</v>
      </c>
    </row>
    <row r="3132" spans="1:13" x14ac:dyDescent="0.45">
      <c r="A3132" t="s">
        <v>3702</v>
      </c>
      <c r="B3132" t="s">
        <v>3699</v>
      </c>
      <c r="C3132" t="s">
        <v>3593</v>
      </c>
      <c r="D3132" t="s">
        <v>18</v>
      </c>
      <c r="E3132" t="s">
        <v>157</v>
      </c>
      <c r="F3132">
        <v>1</v>
      </c>
      <c r="G3132">
        <v>105</v>
      </c>
      <c r="H3132">
        <v>16.7</v>
      </c>
      <c r="I3132" t="s">
        <v>44</v>
      </c>
      <c r="J3132">
        <v>12</v>
      </c>
      <c r="K3132" t="s">
        <v>51</v>
      </c>
      <c r="L3132">
        <v>5</v>
      </c>
      <c r="M3132" t="str">
        <f>VLOOKUP(D3132,State_Lookup!$A$2:$B$28,2,FALSE)</f>
        <v>Minas Gerais</v>
      </c>
    </row>
    <row r="3133" spans="1:13" x14ac:dyDescent="0.45">
      <c r="A3133" t="s">
        <v>3703</v>
      </c>
      <c r="B3133" t="s">
        <v>3699</v>
      </c>
      <c r="C3133" t="s">
        <v>3593</v>
      </c>
      <c r="D3133" t="s">
        <v>20</v>
      </c>
      <c r="E3133" t="s">
        <v>79</v>
      </c>
      <c r="F3133">
        <v>1</v>
      </c>
      <c r="G3133">
        <v>68.5</v>
      </c>
      <c r="H3133">
        <v>18.36</v>
      </c>
      <c r="I3133" t="s">
        <v>108</v>
      </c>
      <c r="J3133">
        <v>7</v>
      </c>
      <c r="K3133" t="s">
        <v>51</v>
      </c>
      <c r="L3133">
        <v>5</v>
      </c>
      <c r="M3133" t="str">
        <f>VLOOKUP(D3133,State_Lookup!$A$2:$B$28,2,FALSE)</f>
        <v>Parana</v>
      </c>
    </row>
    <row r="3134" spans="1:13" x14ac:dyDescent="0.45">
      <c r="A3134" t="s">
        <v>3704</v>
      </c>
      <c r="B3134" t="s">
        <v>3699</v>
      </c>
      <c r="C3134" t="s">
        <v>3593</v>
      </c>
      <c r="D3134" t="s">
        <v>17</v>
      </c>
      <c r="E3134" t="s">
        <v>66</v>
      </c>
      <c r="F3134">
        <v>1</v>
      </c>
      <c r="G3134">
        <v>24.99</v>
      </c>
      <c r="H3134">
        <v>15.23</v>
      </c>
      <c r="I3134" t="s">
        <v>50</v>
      </c>
      <c r="J3134">
        <v>41</v>
      </c>
      <c r="K3134" t="s">
        <v>143</v>
      </c>
      <c r="L3134">
        <v>3</v>
      </c>
      <c r="M3134" t="str">
        <f>VLOOKUP(D3134,State_Lookup!$A$2:$B$28,2,FALSE)</f>
        <v>Rio de Janeiro</v>
      </c>
    </row>
    <row r="3135" spans="1:13" x14ac:dyDescent="0.45">
      <c r="A3135" t="s">
        <v>3705</v>
      </c>
      <c r="B3135" t="s">
        <v>3699</v>
      </c>
      <c r="C3135" t="s">
        <v>3593</v>
      </c>
      <c r="D3135" t="s">
        <v>16</v>
      </c>
      <c r="E3135" t="s">
        <v>79</v>
      </c>
      <c r="F3135">
        <v>1</v>
      </c>
      <c r="G3135">
        <v>29.9</v>
      </c>
      <c r="H3135">
        <v>9.42</v>
      </c>
      <c r="I3135" t="s">
        <v>133</v>
      </c>
      <c r="J3135">
        <v>4</v>
      </c>
      <c r="K3135" t="s">
        <v>51</v>
      </c>
      <c r="L3135">
        <v>5</v>
      </c>
      <c r="M3135" t="str">
        <f>VLOOKUP(D3135,State_Lookup!$A$2:$B$28,2,FALSE)</f>
        <v>Sao Paulo</v>
      </c>
    </row>
    <row r="3136" spans="1:13" x14ac:dyDescent="0.45">
      <c r="A3136" t="s">
        <v>3706</v>
      </c>
      <c r="B3136" t="s">
        <v>3707</v>
      </c>
      <c r="C3136" t="s">
        <v>3593</v>
      </c>
      <c r="D3136" t="s">
        <v>16</v>
      </c>
      <c r="E3136" t="s">
        <v>125</v>
      </c>
      <c r="F3136">
        <v>1</v>
      </c>
      <c r="G3136">
        <v>19.899999999999999</v>
      </c>
      <c r="H3136">
        <v>13.47</v>
      </c>
      <c r="I3136" t="s">
        <v>108</v>
      </c>
      <c r="J3136">
        <v>20</v>
      </c>
      <c r="K3136" t="s">
        <v>51</v>
      </c>
      <c r="L3136">
        <v>4</v>
      </c>
      <c r="M3136" t="str">
        <f>VLOOKUP(D3136,State_Lookup!$A$2:$B$28,2,FALSE)</f>
        <v>Sao Paulo</v>
      </c>
    </row>
    <row r="3137" spans="1:13" x14ac:dyDescent="0.45">
      <c r="A3137" t="s">
        <v>3708</v>
      </c>
      <c r="B3137" t="s">
        <v>3707</v>
      </c>
      <c r="C3137" t="s">
        <v>3593</v>
      </c>
      <c r="D3137" t="s">
        <v>16</v>
      </c>
      <c r="E3137" t="s">
        <v>1900</v>
      </c>
      <c r="F3137">
        <v>1</v>
      </c>
      <c r="G3137">
        <v>410</v>
      </c>
      <c r="H3137">
        <v>16.96</v>
      </c>
      <c r="I3137" t="s">
        <v>50</v>
      </c>
      <c r="J3137">
        <v>6</v>
      </c>
      <c r="K3137" t="s">
        <v>51</v>
      </c>
      <c r="L3137">
        <v>5</v>
      </c>
      <c r="M3137" t="str">
        <f>VLOOKUP(D3137,State_Lookup!$A$2:$B$28,2,FALSE)</f>
        <v>Sao Paulo</v>
      </c>
    </row>
    <row r="3138" spans="1:13" x14ac:dyDescent="0.45">
      <c r="A3138" t="s">
        <v>3709</v>
      </c>
      <c r="B3138" t="s">
        <v>3707</v>
      </c>
      <c r="C3138" t="s">
        <v>3593</v>
      </c>
      <c r="D3138" t="s">
        <v>19</v>
      </c>
      <c r="E3138" t="s">
        <v>199</v>
      </c>
      <c r="F3138">
        <v>1</v>
      </c>
      <c r="G3138">
        <v>79</v>
      </c>
      <c r="H3138">
        <v>18.13</v>
      </c>
      <c r="I3138" t="s">
        <v>44</v>
      </c>
      <c r="J3138">
        <v>19</v>
      </c>
      <c r="K3138" t="s">
        <v>51</v>
      </c>
      <c r="L3138">
        <v>4</v>
      </c>
      <c r="M3138" t="str">
        <f>VLOOKUP(D3138,State_Lookup!$A$2:$B$28,2,FALSE)</f>
        <v>Rio Grande do Sul</v>
      </c>
    </row>
    <row r="3139" spans="1:13" x14ac:dyDescent="0.45">
      <c r="A3139" t="s">
        <v>3710</v>
      </c>
      <c r="B3139" t="s">
        <v>3707</v>
      </c>
      <c r="C3139" t="s">
        <v>3593</v>
      </c>
      <c r="D3139" t="s">
        <v>16</v>
      </c>
      <c r="E3139" t="s">
        <v>148</v>
      </c>
      <c r="F3139">
        <v>1</v>
      </c>
      <c r="G3139">
        <v>210</v>
      </c>
      <c r="H3139">
        <v>18.38</v>
      </c>
      <c r="I3139" t="s">
        <v>44</v>
      </c>
      <c r="J3139">
        <v>13</v>
      </c>
      <c r="K3139" t="s">
        <v>51</v>
      </c>
      <c r="L3139">
        <v>5</v>
      </c>
      <c r="M3139" t="str">
        <f>VLOOKUP(D3139,State_Lookup!$A$2:$B$28,2,FALSE)</f>
        <v>Sao Paulo</v>
      </c>
    </row>
    <row r="3140" spans="1:13" x14ac:dyDescent="0.45">
      <c r="A3140" t="s">
        <v>3711</v>
      </c>
      <c r="B3140" t="s">
        <v>3707</v>
      </c>
      <c r="C3140" t="s">
        <v>3593</v>
      </c>
      <c r="D3140" t="s">
        <v>20</v>
      </c>
      <c r="E3140" t="s">
        <v>142</v>
      </c>
      <c r="F3140">
        <v>1</v>
      </c>
      <c r="G3140">
        <v>39</v>
      </c>
      <c r="H3140">
        <v>19.32</v>
      </c>
      <c r="I3140" t="s">
        <v>44</v>
      </c>
      <c r="J3140">
        <v>14</v>
      </c>
      <c r="K3140" t="s">
        <v>51</v>
      </c>
      <c r="L3140">
        <v>4</v>
      </c>
      <c r="M3140" t="str">
        <f>VLOOKUP(D3140,State_Lookup!$A$2:$B$28,2,FALSE)</f>
        <v>Parana</v>
      </c>
    </row>
    <row r="3141" spans="1:13" x14ac:dyDescent="0.45">
      <c r="A3141" t="s">
        <v>3712</v>
      </c>
      <c r="B3141" t="s">
        <v>3707</v>
      </c>
      <c r="C3141" t="s">
        <v>3593</v>
      </c>
      <c r="D3141" t="s">
        <v>16</v>
      </c>
      <c r="E3141" t="s">
        <v>107</v>
      </c>
      <c r="F3141">
        <v>1</v>
      </c>
      <c r="G3141">
        <v>27.9</v>
      </c>
      <c r="H3141">
        <v>7.87</v>
      </c>
      <c r="I3141" t="s">
        <v>50</v>
      </c>
      <c r="J3141">
        <v>13</v>
      </c>
      <c r="K3141" t="s">
        <v>143</v>
      </c>
      <c r="L3141">
        <v>5</v>
      </c>
      <c r="M3141" t="str">
        <f>VLOOKUP(D3141,State_Lookup!$A$2:$B$28,2,FALSE)</f>
        <v>Sao Paulo</v>
      </c>
    </row>
    <row r="3142" spans="1:13" x14ac:dyDescent="0.45">
      <c r="A3142" t="s">
        <v>3713</v>
      </c>
      <c r="B3142" t="s">
        <v>3707</v>
      </c>
      <c r="C3142" t="s">
        <v>3593</v>
      </c>
      <c r="D3142" t="s">
        <v>23</v>
      </c>
      <c r="E3142" t="s">
        <v>157</v>
      </c>
      <c r="F3142">
        <v>1</v>
      </c>
      <c r="G3142">
        <v>274.89999999999998</v>
      </c>
      <c r="H3142">
        <v>19.8</v>
      </c>
      <c r="I3142" t="s">
        <v>50</v>
      </c>
      <c r="J3142">
        <v>33</v>
      </c>
      <c r="K3142" t="s">
        <v>143</v>
      </c>
      <c r="L3142">
        <v>1</v>
      </c>
      <c r="M3142" t="str">
        <f>VLOOKUP(D3142,State_Lookup!$A$2:$B$28,2,FALSE)</f>
        <v>Espirito Santo</v>
      </c>
    </row>
    <row r="3143" spans="1:13" x14ac:dyDescent="0.45">
      <c r="A3143" t="s">
        <v>3714</v>
      </c>
      <c r="B3143" t="s">
        <v>3707</v>
      </c>
      <c r="C3143" t="s">
        <v>3593</v>
      </c>
      <c r="D3143" t="s">
        <v>21</v>
      </c>
      <c r="E3143" t="s">
        <v>148</v>
      </c>
      <c r="F3143">
        <v>1</v>
      </c>
      <c r="G3143">
        <v>199</v>
      </c>
      <c r="H3143">
        <v>23.9</v>
      </c>
      <c r="I3143" t="s">
        <v>44</v>
      </c>
      <c r="J3143">
        <v>11</v>
      </c>
      <c r="K3143" t="s">
        <v>51</v>
      </c>
      <c r="L3143">
        <v>5</v>
      </c>
      <c r="M3143" t="str">
        <f>VLOOKUP(D3143,State_Lookup!$A$2:$B$28,2,FALSE)</f>
        <v>Santa Catarina</v>
      </c>
    </row>
    <row r="3144" spans="1:13" x14ac:dyDescent="0.45">
      <c r="A3144" t="s">
        <v>3715</v>
      </c>
      <c r="B3144" t="s">
        <v>3707</v>
      </c>
      <c r="C3144" t="s">
        <v>3593</v>
      </c>
      <c r="D3144" t="s">
        <v>20</v>
      </c>
      <c r="E3144" t="s">
        <v>125</v>
      </c>
      <c r="F3144">
        <v>1</v>
      </c>
      <c r="G3144">
        <v>109.9</v>
      </c>
      <c r="H3144">
        <v>18.649999999999999</v>
      </c>
      <c r="I3144" t="s">
        <v>44</v>
      </c>
      <c r="J3144">
        <v>13</v>
      </c>
      <c r="K3144" t="s">
        <v>51</v>
      </c>
      <c r="L3144">
        <v>3</v>
      </c>
      <c r="M3144" t="str">
        <f>VLOOKUP(D3144,State_Lookup!$A$2:$B$28,2,FALSE)</f>
        <v>Parana</v>
      </c>
    </row>
    <row r="3145" spans="1:13" x14ac:dyDescent="0.45">
      <c r="A3145" t="s">
        <v>3716</v>
      </c>
      <c r="B3145" t="s">
        <v>3707</v>
      </c>
      <c r="C3145" t="s">
        <v>3593</v>
      </c>
      <c r="D3145" t="s">
        <v>20</v>
      </c>
      <c r="E3145" t="s">
        <v>366</v>
      </c>
      <c r="F3145">
        <v>1</v>
      </c>
      <c r="G3145">
        <v>141</v>
      </c>
      <c r="H3145">
        <v>34.53</v>
      </c>
      <c r="I3145" t="s">
        <v>44</v>
      </c>
      <c r="J3145">
        <v>12</v>
      </c>
      <c r="K3145" t="s">
        <v>51</v>
      </c>
      <c r="L3145">
        <v>5</v>
      </c>
      <c r="M3145" t="str">
        <f>VLOOKUP(D3145,State_Lookup!$A$2:$B$28,2,FALSE)</f>
        <v>Parana</v>
      </c>
    </row>
    <row r="3146" spans="1:13" x14ac:dyDescent="0.45">
      <c r="A3146" t="s">
        <v>3717</v>
      </c>
      <c r="B3146" t="s">
        <v>3707</v>
      </c>
      <c r="C3146" t="s">
        <v>3593</v>
      </c>
      <c r="D3146" t="s">
        <v>18</v>
      </c>
      <c r="E3146" t="s">
        <v>79</v>
      </c>
      <c r="F3146">
        <v>1</v>
      </c>
      <c r="G3146">
        <v>58.99</v>
      </c>
      <c r="H3146">
        <v>17.989999999999998</v>
      </c>
      <c r="I3146" t="s">
        <v>44</v>
      </c>
      <c r="J3146">
        <v>12</v>
      </c>
      <c r="K3146" t="s">
        <v>51</v>
      </c>
      <c r="L3146">
        <v>5</v>
      </c>
      <c r="M3146" t="str">
        <f>VLOOKUP(D3146,State_Lookup!$A$2:$B$28,2,FALSE)</f>
        <v>Minas Gerais</v>
      </c>
    </row>
    <row r="3147" spans="1:13" x14ac:dyDescent="0.45">
      <c r="A3147" t="s">
        <v>3718</v>
      </c>
      <c r="B3147" t="s">
        <v>3707</v>
      </c>
      <c r="C3147" t="s">
        <v>3593</v>
      </c>
      <c r="D3147" t="s">
        <v>16</v>
      </c>
      <c r="E3147" t="s">
        <v>43</v>
      </c>
      <c r="F3147">
        <v>1</v>
      </c>
      <c r="G3147">
        <v>140</v>
      </c>
      <c r="H3147">
        <v>23.3</v>
      </c>
      <c r="I3147" t="s">
        <v>44</v>
      </c>
      <c r="J3147">
        <v>4</v>
      </c>
      <c r="K3147" t="s">
        <v>51</v>
      </c>
      <c r="L3147">
        <v>5</v>
      </c>
      <c r="M3147" t="str">
        <f>VLOOKUP(D3147,State_Lookup!$A$2:$B$28,2,FALSE)</f>
        <v>Sao Paulo</v>
      </c>
    </row>
    <row r="3148" spans="1:13" x14ac:dyDescent="0.45">
      <c r="A3148" t="s">
        <v>3719</v>
      </c>
      <c r="B3148" t="s">
        <v>3720</v>
      </c>
      <c r="C3148" t="s">
        <v>3593</v>
      </c>
      <c r="D3148" t="s">
        <v>16</v>
      </c>
      <c r="E3148" t="s">
        <v>220</v>
      </c>
      <c r="F3148">
        <v>1</v>
      </c>
      <c r="G3148">
        <v>169.99</v>
      </c>
      <c r="H3148">
        <v>28.05</v>
      </c>
      <c r="I3148" t="s">
        <v>44</v>
      </c>
      <c r="J3148">
        <v>16</v>
      </c>
      <c r="K3148" t="s">
        <v>51</v>
      </c>
      <c r="L3148">
        <v>1</v>
      </c>
      <c r="M3148" t="str">
        <f>VLOOKUP(D3148,State_Lookup!$A$2:$B$28,2,FALSE)</f>
        <v>Sao Paulo</v>
      </c>
    </row>
    <row r="3149" spans="1:13" x14ac:dyDescent="0.45">
      <c r="A3149" t="s">
        <v>3721</v>
      </c>
      <c r="B3149" t="s">
        <v>3720</v>
      </c>
      <c r="C3149" t="s">
        <v>3593</v>
      </c>
      <c r="D3149" t="s">
        <v>208</v>
      </c>
      <c r="E3149" t="s">
        <v>79</v>
      </c>
      <c r="F3149">
        <v>1</v>
      </c>
      <c r="G3149">
        <v>190</v>
      </c>
      <c r="H3149">
        <v>28.06</v>
      </c>
      <c r="I3149" t="s">
        <v>44</v>
      </c>
      <c r="J3149">
        <v>10</v>
      </c>
      <c r="K3149" t="s">
        <v>51</v>
      </c>
      <c r="L3149">
        <v>4</v>
      </c>
      <c r="M3149" t="str">
        <f>VLOOKUP(D3149,State_Lookup!$A$2:$B$28,2,FALSE)</f>
        <v>Mato Grosso</v>
      </c>
    </row>
    <row r="3150" spans="1:13" x14ac:dyDescent="0.45">
      <c r="A3150" t="s">
        <v>3722</v>
      </c>
      <c r="B3150" t="s">
        <v>3720</v>
      </c>
      <c r="C3150" t="s">
        <v>3593</v>
      </c>
      <c r="D3150" t="s">
        <v>122</v>
      </c>
      <c r="E3150" t="s">
        <v>107</v>
      </c>
      <c r="F3150">
        <v>2</v>
      </c>
      <c r="G3150">
        <v>70.8</v>
      </c>
      <c r="H3150">
        <v>93.65</v>
      </c>
      <c r="I3150" t="s">
        <v>44</v>
      </c>
      <c r="J3150">
        <v>40</v>
      </c>
      <c r="K3150" t="s">
        <v>143</v>
      </c>
      <c r="L3150">
        <v>4</v>
      </c>
      <c r="M3150" t="str">
        <f>VLOOKUP(D3150,State_Lookup!$A$2:$B$28,2,FALSE)</f>
        <v>Para</v>
      </c>
    </row>
    <row r="3151" spans="1:13" x14ac:dyDescent="0.45">
      <c r="A3151" t="s">
        <v>3723</v>
      </c>
      <c r="B3151" t="s">
        <v>3720</v>
      </c>
      <c r="C3151" t="s">
        <v>3593</v>
      </c>
      <c r="D3151" t="s">
        <v>18</v>
      </c>
      <c r="E3151" t="s">
        <v>110</v>
      </c>
      <c r="F3151">
        <v>1</v>
      </c>
      <c r="G3151">
        <v>135</v>
      </c>
      <c r="H3151">
        <v>27.03</v>
      </c>
      <c r="I3151" t="s">
        <v>50</v>
      </c>
      <c r="J3151">
        <v>18</v>
      </c>
      <c r="K3151" t="s">
        <v>51</v>
      </c>
      <c r="L3151">
        <v>5</v>
      </c>
      <c r="M3151" t="str">
        <f>VLOOKUP(D3151,State_Lookup!$A$2:$B$28,2,FALSE)</f>
        <v>Minas Gerais</v>
      </c>
    </row>
    <row r="3152" spans="1:13" x14ac:dyDescent="0.45">
      <c r="A3152" t="s">
        <v>3724</v>
      </c>
      <c r="B3152" t="s">
        <v>3720</v>
      </c>
      <c r="C3152" t="s">
        <v>3593</v>
      </c>
      <c r="D3152" t="s">
        <v>24</v>
      </c>
      <c r="E3152" t="s">
        <v>103</v>
      </c>
      <c r="F3152">
        <v>1</v>
      </c>
      <c r="G3152">
        <v>39.9</v>
      </c>
      <c r="H3152">
        <v>15.23</v>
      </c>
      <c r="I3152" t="s">
        <v>50</v>
      </c>
      <c r="J3152">
        <v>17</v>
      </c>
      <c r="K3152" t="s">
        <v>51</v>
      </c>
      <c r="L3152">
        <v>1</v>
      </c>
      <c r="M3152" t="str">
        <f>VLOOKUP(D3152,State_Lookup!$A$2:$B$28,2,FALSE)</f>
        <v>Distrito Federal</v>
      </c>
    </row>
    <row r="3153" spans="1:13" x14ac:dyDescent="0.45">
      <c r="A3153" t="s">
        <v>3725</v>
      </c>
      <c r="B3153" t="s">
        <v>3720</v>
      </c>
      <c r="C3153" t="s">
        <v>3593</v>
      </c>
      <c r="D3153" t="s">
        <v>16</v>
      </c>
      <c r="E3153" t="s">
        <v>110</v>
      </c>
      <c r="F3153">
        <v>2</v>
      </c>
      <c r="G3153">
        <v>90.98</v>
      </c>
      <c r="H3153">
        <v>26.5</v>
      </c>
      <c r="I3153" t="s">
        <v>44</v>
      </c>
      <c r="K3153" t="s">
        <v>45</v>
      </c>
      <c r="L3153">
        <v>1</v>
      </c>
      <c r="M3153" t="str">
        <f>VLOOKUP(D3153,State_Lookup!$A$2:$B$28,2,FALSE)</f>
        <v>Sao Paulo</v>
      </c>
    </row>
    <row r="3154" spans="1:13" x14ac:dyDescent="0.45">
      <c r="A3154" t="s">
        <v>3726</v>
      </c>
      <c r="B3154" t="s">
        <v>3720</v>
      </c>
      <c r="C3154" t="s">
        <v>3593</v>
      </c>
      <c r="D3154" t="s">
        <v>25</v>
      </c>
      <c r="E3154" t="s">
        <v>157</v>
      </c>
      <c r="F3154">
        <v>1</v>
      </c>
      <c r="G3154">
        <v>151.9</v>
      </c>
      <c r="H3154">
        <v>27.14</v>
      </c>
      <c r="I3154" t="s">
        <v>44</v>
      </c>
      <c r="J3154">
        <v>29</v>
      </c>
      <c r="K3154" t="s">
        <v>143</v>
      </c>
      <c r="L3154">
        <v>3</v>
      </c>
      <c r="M3154" t="str">
        <f>VLOOKUP(D3154,State_Lookup!$A$2:$B$28,2,FALSE)</f>
        <v>Goias</v>
      </c>
    </row>
    <row r="3155" spans="1:13" x14ac:dyDescent="0.45">
      <c r="A3155" t="s">
        <v>3727</v>
      </c>
      <c r="B3155" t="s">
        <v>3720</v>
      </c>
      <c r="C3155" t="s">
        <v>3593</v>
      </c>
      <c r="D3155" t="s">
        <v>17</v>
      </c>
      <c r="E3155" t="s">
        <v>107</v>
      </c>
      <c r="F3155">
        <v>2</v>
      </c>
      <c r="G3155">
        <v>98</v>
      </c>
      <c r="H3155">
        <v>36.46</v>
      </c>
      <c r="I3155" t="s">
        <v>44</v>
      </c>
      <c r="J3155">
        <v>11</v>
      </c>
      <c r="K3155" t="s">
        <v>51</v>
      </c>
      <c r="L3155">
        <v>1</v>
      </c>
      <c r="M3155" t="str">
        <f>VLOOKUP(D3155,State_Lookup!$A$2:$B$28,2,FALSE)</f>
        <v>Rio de Janeiro</v>
      </c>
    </row>
    <row r="3156" spans="1:13" x14ac:dyDescent="0.45">
      <c r="A3156" t="s">
        <v>3728</v>
      </c>
      <c r="B3156" t="s">
        <v>3720</v>
      </c>
      <c r="C3156" t="s">
        <v>3593</v>
      </c>
      <c r="D3156" t="s">
        <v>16</v>
      </c>
      <c r="E3156" t="s">
        <v>148</v>
      </c>
      <c r="F3156">
        <v>1</v>
      </c>
      <c r="G3156">
        <v>176.99</v>
      </c>
      <c r="H3156">
        <v>13.14</v>
      </c>
      <c r="I3156" t="s">
        <v>44</v>
      </c>
      <c r="J3156">
        <v>5</v>
      </c>
      <c r="K3156" t="s">
        <v>51</v>
      </c>
      <c r="L3156">
        <v>5</v>
      </c>
      <c r="M3156" t="str">
        <f>VLOOKUP(D3156,State_Lookup!$A$2:$B$28,2,FALSE)</f>
        <v>Sao Paulo</v>
      </c>
    </row>
    <row r="3157" spans="1:13" x14ac:dyDescent="0.45">
      <c r="A3157" t="s">
        <v>3729</v>
      </c>
      <c r="B3157" t="s">
        <v>3720</v>
      </c>
      <c r="C3157" t="s">
        <v>3593</v>
      </c>
      <c r="D3157" t="s">
        <v>20</v>
      </c>
      <c r="E3157" t="s">
        <v>173</v>
      </c>
      <c r="F3157">
        <v>1</v>
      </c>
      <c r="G3157">
        <v>39.9</v>
      </c>
      <c r="H3157">
        <v>18.23</v>
      </c>
      <c r="I3157" t="s">
        <v>44</v>
      </c>
      <c r="J3157">
        <v>6</v>
      </c>
      <c r="K3157" t="s">
        <v>51</v>
      </c>
      <c r="L3157">
        <v>5</v>
      </c>
      <c r="M3157" t="str">
        <f>VLOOKUP(D3157,State_Lookup!$A$2:$B$28,2,FALSE)</f>
        <v>Parana</v>
      </c>
    </row>
    <row r="3158" spans="1:13" x14ac:dyDescent="0.45">
      <c r="A3158" t="s">
        <v>3730</v>
      </c>
      <c r="B3158" t="s">
        <v>3731</v>
      </c>
      <c r="C3158" t="s">
        <v>3593</v>
      </c>
      <c r="D3158" t="s">
        <v>632</v>
      </c>
      <c r="E3158" t="s">
        <v>66</v>
      </c>
      <c r="F3158">
        <v>1</v>
      </c>
      <c r="G3158">
        <v>49.99</v>
      </c>
      <c r="H3158">
        <v>22.85</v>
      </c>
      <c r="I3158" t="s">
        <v>44</v>
      </c>
      <c r="J3158">
        <v>37</v>
      </c>
      <c r="K3158" t="s">
        <v>143</v>
      </c>
      <c r="L3158">
        <v>3</v>
      </c>
      <c r="M3158" t="str">
        <f>VLOOKUP(D3158,State_Lookup!$A$2:$B$28,2,FALSE)</f>
        <v>Alagoas</v>
      </c>
    </row>
    <row r="3159" spans="1:13" x14ac:dyDescent="0.45">
      <c r="A3159" t="s">
        <v>3732</v>
      </c>
      <c r="B3159" t="s">
        <v>3731</v>
      </c>
      <c r="C3159" t="s">
        <v>3593</v>
      </c>
      <c r="D3159" t="s">
        <v>16</v>
      </c>
      <c r="E3159" t="s">
        <v>69</v>
      </c>
      <c r="F3159">
        <v>3</v>
      </c>
      <c r="G3159">
        <v>161.69999999999999</v>
      </c>
      <c r="H3159">
        <v>43.41</v>
      </c>
      <c r="I3159" t="s">
        <v>44</v>
      </c>
      <c r="J3159">
        <v>8</v>
      </c>
      <c r="K3159" t="s">
        <v>51</v>
      </c>
      <c r="L3159">
        <v>5</v>
      </c>
      <c r="M3159" t="str">
        <f>VLOOKUP(D3159,State_Lookup!$A$2:$B$28,2,FALSE)</f>
        <v>Sao Paulo</v>
      </c>
    </row>
    <row r="3160" spans="1:13" x14ac:dyDescent="0.45">
      <c r="A3160" t="s">
        <v>3733</v>
      </c>
      <c r="B3160" t="s">
        <v>3731</v>
      </c>
      <c r="C3160" t="s">
        <v>3593</v>
      </c>
      <c r="D3160" t="s">
        <v>16</v>
      </c>
      <c r="E3160" t="s">
        <v>107</v>
      </c>
      <c r="F3160">
        <v>1</v>
      </c>
      <c r="G3160">
        <v>14.9</v>
      </c>
      <c r="H3160">
        <v>7.39</v>
      </c>
      <c r="I3160" t="s">
        <v>44</v>
      </c>
      <c r="J3160">
        <v>3</v>
      </c>
      <c r="K3160" t="s">
        <v>51</v>
      </c>
      <c r="L3160">
        <v>4</v>
      </c>
      <c r="M3160" t="str">
        <f>VLOOKUP(D3160,State_Lookup!$A$2:$B$28,2,FALSE)</f>
        <v>Sao Paulo</v>
      </c>
    </row>
    <row r="3161" spans="1:13" x14ac:dyDescent="0.45">
      <c r="A3161" t="s">
        <v>3734</v>
      </c>
      <c r="B3161" t="s">
        <v>3731</v>
      </c>
      <c r="C3161" t="s">
        <v>3593</v>
      </c>
      <c r="D3161" t="s">
        <v>18</v>
      </c>
      <c r="E3161" t="s">
        <v>49</v>
      </c>
      <c r="F3161">
        <v>1</v>
      </c>
      <c r="G3161">
        <v>109.95</v>
      </c>
      <c r="H3161">
        <v>14.85</v>
      </c>
      <c r="I3161" t="s">
        <v>44</v>
      </c>
      <c r="J3161">
        <v>8</v>
      </c>
      <c r="K3161" t="s">
        <v>51</v>
      </c>
      <c r="L3161">
        <v>5</v>
      </c>
      <c r="M3161" t="str">
        <f>VLOOKUP(D3161,State_Lookup!$A$2:$B$28,2,FALSE)</f>
        <v>Minas Gerais</v>
      </c>
    </row>
    <row r="3162" spans="1:13" x14ac:dyDescent="0.45">
      <c r="A3162" t="s">
        <v>3735</v>
      </c>
      <c r="B3162" t="s">
        <v>3731</v>
      </c>
      <c r="C3162" t="s">
        <v>3593</v>
      </c>
      <c r="D3162" t="s">
        <v>20</v>
      </c>
      <c r="E3162" t="s">
        <v>49</v>
      </c>
      <c r="F3162">
        <v>1</v>
      </c>
      <c r="G3162">
        <v>49.9</v>
      </c>
      <c r="H3162">
        <v>18.23</v>
      </c>
      <c r="I3162" t="s">
        <v>44</v>
      </c>
      <c r="J3162">
        <v>9</v>
      </c>
      <c r="K3162" t="s">
        <v>51</v>
      </c>
      <c r="L3162">
        <v>2</v>
      </c>
      <c r="M3162" t="str">
        <f>VLOOKUP(D3162,State_Lookup!$A$2:$B$28,2,FALSE)</f>
        <v>Parana</v>
      </c>
    </row>
    <row r="3163" spans="1:13" x14ac:dyDescent="0.45">
      <c r="A3163" t="s">
        <v>3736</v>
      </c>
      <c r="B3163" t="s">
        <v>3731</v>
      </c>
      <c r="C3163" t="s">
        <v>3593</v>
      </c>
      <c r="D3163" t="s">
        <v>16</v>
      </c>
      <c r="E3163" t="s">
        <v>43</v>
      </c>
      <c r="F3163">
        <v>1</v>
      </c>
      <c r="G3163">
        <v>197.5</v>
      </c>
      <c r="H3163">
        <v>20.350000000000001</v>
      </c>
      <c r="I3163" t="s">
        <v>44</v>
      </c>
      <c r="J3163">
        <v>4</v>
      </c>
      <c r="K3163" t="s">
        <v>51</v>
      </c>
      <c r="L3163">
        <v>5</v>
      </c>
      <c r="M3163" t="str">
        <f>VLOOKUP(D3163,State_Lookup!$A$2:$B$28,2,FALSE)</f>
        <v>Sao Paulo</v>
      </c>
    </row>
    <row r="3164" spans="1:13" x14ac:dyDescent="0.45">
      <c r="A3164" t="s">
        <v>3737</v>
      </c>
      <c r="B3164" t="s">
        <v>3731</v>
      </c>
      <c r="C3164" t="s">
        <v>3593</v>
      </c>
      <c r="D3164" t="s">
        <v>16</v>
      </c>
      <c r="E3164" t="s">
        <v>49</v>
      </c>
      <c r="F3164">
        <v>1</v>
      </c>
      <c r="G3164">
        <v>28</v>
      </c>
      <c r="H3164">
        <v>12.79</v>
      </c>
      <c r="I3164" t="s">
        <v>44</v>
      </c>
      <c r="J3164">
        <v>26</v>
      </c>
      <c r="K3164" t="s">
        <v>143</v>
      </c>
      <c r="L3164">
        <v>3</v>
      </c>
      <c r="M3164" t="str">
        <f>VLOOKUP(D3164,State_Lookup!$A$2:$B$28,2,FALSE)</f>
        <v>Sao Paulo</v>
      </c>
    </row>
    <row r="3165" spans="1:13" x14ac:dyDescent="0.45">
      <c r="A3165" t="s">
        <v>3738</v>
      </c>
      <c r="B3165" t="s">
        <v>3731</v>
      </c>
      <c r="C3165" t="s">
        <v>3593</v>
      </c>
      <c r="D3165" t="s">
        <v>20</v>
      </c>
      <c r="E3165" t="s">
        <v>49</v>
      </c>
      <c r="F3165">
        <v>1</v>
      </c>
      <c r="G3165">
        <v>45</v>
      </c>
      <c r="H3165">
        <v>13.61</v>
      </c>
      <c r="I3165" t="s">
        <v>44</v>
      </c>
      <c r="J3165">
        <v>9</v>
      </c>
      <c r="K3165" t="s">
        <v>51</v>
      </c>
      <c r="L3165">
        <v>4</v>
      </c>
      <c r="M3165" t="str">
        <f>VLOOKUP(D3165,State_Lookup!$A$2:$B$28,2,FALSE)</f>
        <v>Parana</v>
      </c>
    </row>
    <row r="3166" spans="1:13" x14ac:dyDescent="0.45">
      <c r="A3166" t="s">
        <v>3739</v>
      </c>
      <c r="B3166" t="s">
        <v>3731</v>
      </c>
      <c r="C3166" t="s">
        <v>3593</v>
      </c>
      <c r="D3166" t="s">
        <v>19</v>
      </c>
      <c r="E3166" t="s">
        <v>49</v>
      </c>
      <c r="F3166">
        <v>1</v>
      </c>
      <c r="G3166">
        <v>389</v>
      </c>
      <c r="H3166">
        <v>55.25</v>
      </c>
      <c r="I3166" t="s">
        <v>44</v>
      </c>
      <c r="J3166">
        <v>30</v>
      </c>
      <c r="K3166" t="s">
        <v>143</v>
      </c>
      <c r="L3166">
        <v>3</v>
      </c>
      <c r="M3166" t="str">
        <f>VLOOKUP(D3166,State_Lookup!$A$2:$B$28,2,FALSE)</f>
        <v>Rio Grande do Sul</v>
      </c>
    </row>
    <row r="3167" spans="1:13" x14ac:dyDescent="0.45">
      <c r="A3167" t="s">
        <v>3740</v>
      </c>
      <c r="B3167" t="s">
        <v>3731</v>
      </c>
      <c r="C3167" t="s">
        <v>3593</v>
      </c>
      <c r="D3167" t="s">
        <v>16</v>
      </c>
      <c r="E3167" t="s">
        <v>192</v>
      </c>
      <c r="F3167">
        <v>1</v>
      </c>
      <c r="G3167">
        <v>115.9</v>
      </c>
      <c r="H3167">
        <v>13.25</v>
      </c>
      <c r="I3167" t="s">
        <v>44</v>
      </c>
      <c r="J3167">
        <v>8</v>
      </c>
      <c r="K3167" t="s">
        <v>51</v>
      </c>
      <c r="L3167">
        <v>4</v>
      </c>
      <c r="M3167" t="str">
        <f>VLOOKUP(D3167,State_Lookup!$A$2:$B$28,2,FALSE)</f>
        <v>Sao Paulo</v>
      </c>
    </row>
    <row r="3168" spans="1:13" x14ac:dyDescent="0.45">
      <c r="A3168" t="s">
        <v>3741</v>
      </c>
      <c r="B3168" t="s">
        <v>3742</v>
      </c>
      <c r="C3168" t="s">
        <v>3593</v>
      </c>
      <c r="D3168" t="s">
        <v>16</v>
      </c>
      <c r="E3168" t="s">
        <v>66</v>
      </c>
      <c r="F3168">
        <v>1</v>
      </c>
      <c r="G3168">
        <v>29.99</v>
      </c>
      <c r="H3168">
        <v>7.39</v>
      </c>
      <c r="I3168" t="s">
        <v>44</v>
      </c>
      <c r="J3168">
        <v>4</v>
      </c>
      <c r="K3168" t="s">
        <v>51</v>
      </c>
      <c r="L3168">
        <v>4</v>
      </c>
      <c r="M3168" t="str">
        <f>VLOOKUP(D3168,State_Lookup!$A$2:$B$28,2,FALSE)</f>
        <v>Sao Paulo</v>
      </c>
    </row>
    <row r="3169" spans="1:13" x14ac:dyDescent="0.45">
      <c r="A3169" t="s">
        <v>3743</v>
      </c>
      <c r="B3169" t="s">
        <v>3742</v>
      </c>
      <c r="C3169" t="s">
        <v>3593</v>
      </c>
      <c r="D3169" t="s">
        <v>18</v>
      </c>
      <c r="E3169" t="s">
        <v>43</v>
      </c>
      <c r="F3169">
        <v>1</v>
      </c>
      <c r="G3169">
        <v>119.9</v>
      </c>
      <c r="H3169">
        <v>20.99</v>
      </c>
      <c r="I3169" t="s">
        <v>44</v>
      </c>
      <c r="J3169">
        <v>30</v>
      </c>
      <c r="K3169" t="s">
        <v>51</v>
      </c>
      <c r="L3169">
        <v>4</v>
      </c>
      <c r="M3169" t="str">
        <f>VLOOKUP(D3169,State_Lookup!$A$2:$B$28,2,FALSE)</f>
        <v>Minas Gerais</v>
      </c>
    </row>
    <row r="3170" spans="1:13" x14ac:dyDescent="0.45">
      <c r="A3170" t="s">
        <v>3744</v>
      </c>
      <c r="B3170" t="s">
        <v>3742</v>
      </c>
      <c r="C3170" t="s">
        <v>3593</v>
      </c>
      <c r="D3170" t="s">
        <v>16</v>
      </c>
      <c r="E3170" t="s">
        <v>79</v>
      </c>
      <c r="F3170">
        <v>1</v>
      </c>
      <c r="G3170">
        <v>503.34</v>
      </c>
      <c r="H3170">
        <v>24.88</v>
      </c>
      <c r="I3170" t="s">
        <v>44</v>
      </c>
      <c r="J3170">
        <v>5</v>
      </c>
      <c r="K3170" t="s">
        <v>51</v>
      </c>
      <c r="L3170">
        <v>5</v>
      </c>
      <c r="M3170" t="str">
        <f>VLOOKUP(D3170,State_Lookup!$A$2:$B$28,2,FALSE)</f>
        <v>Sao Paulo</v>
      </c>
    </row>
    <row r="3171" spans="1:13" x14ac:dyDescent="0.45">
      <c r="A3171" t="s">
        <v>3745</v>
      </c>
      <c r="B3171" t="s">
        <v>3742</v>
      </c>
      <c r="C3171" t="s">
        <v>3593</v>
      </c>
      <c r="D3171" t="s">
        <v>16</v>
      </c>
      <c r="E3171" t="s">
        <v>49</v>
      </c>
      <c r="F3171">
        <v>1</v>
      </c>
      <c r="G3171">
        <v>119.9</v>
      </c>
      <c r="H3171">
        <v>20.18</v>
      </c>
      <c r="I3171" t="s">
        <v>50</v>
      </c>
      <c r="J3171">
        <v>7</v>
      </c>
      <c r="K3171" t="s">
        <v>51</v>
      </c>
      <c r="L3171">
        <v>5</v>
      </c>
      <c r="M3171" t="str">
        <f>VLOOKUP(D3171,State_Lookup!$A$2:$B$28,2,FALSE)</f>
        <v>Sao Paulo</v>
      </c>
    </row>
    <row r="3172" spans="1:13" x14ac:dyDescent="0.45">
      <c r="A3172" t="s">
        <v>3746</v>
      </c>
      <c r="B3172" t="s">
        <v>3742</v>
      </c>
      <c r="C3172" t="s">
        <v>3593</v>
      </c>
      <c r="D3172" t="s">
        <v>17</v>
      </c>
      <c r="E3172" t="s">
        <v>53</v>
      </c>
      <c r="F3172">
        <v>1</v>
      </c>
      <c r="G3172">
        <v>59.9</v>
      </c>
      <c r="H3172">
        <v>18.3</v>
      </c>
      <c r="I3172" t="s">
        <v>44</v>
      </c>
      <c r="J3172">
        <v>43</v>
      </c>
      <c r="K3172" t="s">
        <v>143</v>
      </c>
      <c r="M3172" t="str">
        <f>VLOOKUP(D3172,State_Lookup!$A$2:$B$28,2,FALSE)</f>
        <v>Rio de Janeiro</v>
      </c>
    </row>
    <row r="3173" spans="1:13" x14ac:dyDescent="0.45">
      <c r="A3173" t="s">
        <v>3747</v>
      </c>
      <c r="B3173" t="s">
        <v>3742</v>
      </c>
      <c r="C3173" t="s">
        <v>3593</v>
      </c>
      <c r="D3173" t="s">
        <v>17</v>
      </c>
      <c r="E3173" t="s">
        <v>186</v>
      </c>
      <c r="F3173">
        <v>1</v>
      </c>
      <c r="G3173">
        <v>179.9</v>
      </c>
      <c r="H3173">
        <v>36.39</v>
      </c>
      <c r="I3173" t="s">
        <v>44</v>
      </c>
      <c r="J3173">
        <v>8</v>
      </c>
      <c r="K3173" t="s">
        <v>51</v>
      </c>
      <c r="L3173">
        <v>5</v>
      </c>
      <c r="M3173" t="str">
        <f>VLOOKUP(D3173,State_Lookup!$A$2:$B$28,2,FALSE)</f>
        <v>Rio de Janeiro</v>
      </c>
    </row>
    <row r="3174" spans="1:13" x14ac:dyDescent="0.45">
      <c r="A3174" t="s">
        <v>3748</v>
      </c>
      <c r="B3174" t="s">
        <v>3742</v>
      </c>
      <c r="C3174" t="s">
        <v>3593</v>
      </c>
      <c r="D3174" t="s">
        <v>194</v>
      </c>
      <c r="E3174" t="s">
        <v>157</v>
      </c>
      <c r="F3174">
        <v>1</v>
      </c>
      <c r="G3174">
        <v>194.9</v>
      </c>
      <c r="H3174">
        <v>19.239999999999998</v>
      </c>
      <c r="I3174" t="s">
        <v>44</v>
      </c>
      <c r="J3174">
        <v>29</v>
      </c>
      <c r="K3174" t="s">
        <v>143</v>
      </c>
      <c r="L3174">
        <v>1</v>
      </c>
      <c r="M3174" t="str">
        <f>VLOOKUP(D3174,State_Lookup!$A$2:$B$28,2,FALSE)</f>
        <v>Mato Grosso do Sul</v>
      </c>
    </row>
    <row r="3175" spans="1:13" x14ac:dyDescent="0.45">
      <c r="A3175" t="s">
        <v>3749</v>
      </c>
      <c r="B3175" t="s">
        <v>3742</v>
      </c>
      <c r="C3175" t="s">
        <v>3593</v>
      </c>
      <c r="D3175" t="s">
        <v>16</v>
      </c>
      <c r="E3175" t="s">
        <v>125</v>
      </c>
      <c r="F3175">
        <v>1</v>
      </c>
      <c r="G3175">
        <v>12.25</v>
      </c>
      <c r="H3175">
        <v>7.39</v>
      </c>
      <c r="I3175" t="s">
        <v>44</v>
      </c>
      <c r="J3175">
        <v>2</v>
      </c>
      <c r="K3175" t="s">
        <v>51</v>
      </c>
      <c r="L3175">
        <v>5</v>
      </c>
      <c r="M3175" t="str">
        <f>VLOOKUP(D3175,State_Lookup!$A$2:$B$28,2,FALSE)</f>
        <v>Sao Paulo</v>
      </c>
    </row>
    <row r="3176" spans="1:13" x14ac:dyDescent="0.45">
      <c r="A3176" t="s">
        <v>3750</v>
      </c>
      <c r="B3176" t="s">
        <v>3742</v>
      </c>
      <c r="C3176" t="s">
        <v>3593</v>
      </c>
      <c r="D3176" t="s">
        <v>16</v>
      </c>
      <c r="E3176" t="s">
        <v>192</v>
      </c>
      <c r="F3176">
        <v>1</v>
      </c>
      <c r="G3176">
        <v>32.9</v>
      </c>
      <c r="H3176">
        <v>14.44</v>
      </c>
      <c r="I3176" t="s">
        <v>44</v>
      </c>
      <c r="J3176">
        <v>22</v>
      </c>
      <c r="K3176" t="s">
        <v>143</v>
      </c>
      <c r="L3176">
        <v>1</v>
      </c>
      <c r="M3176" t="str">
        <f>VLOOKUP(D3176,State_Lookup!$A$2:$B$28,2,FALSE)</f>
        <v>Sao Paulo</v>
      </c>
    </row>
    <row r="3177" spans="1:13" x14ac:dyDescent="0.45">
      <c r="A3177" t="s">
        <v>3751</v>
      </c>
      <c r="B3177" t="s">
        <v>3742</v>
      </c>
      <c r="C3177" t="s">
        <v>3593</v>
      </c>
      <c r="D3177" t="s">
        <v>18</v>
      </c>
      <c r="E3177" t="s">
        <v>61</v>
      </c>
      <c r="F3177">
        <v>1</v>
      </c>
      <c r="G3177">
        <v>95</v>
      </c>
      <c r="H3177">
        <v>22.38</v>
      </c>
      <c r="I3177" t="s">
        <v>44</v>
      </c>
      <c r="J3177">
        <v>27</v>
      </c>
      <c r="K3177" t="s">
        <v>51</v>
      </c>
      <c r="L3177">
        <v>2</v>
      </c>
      <c r="M3177" t="str">
        <f>VLOOKUP(D3177,State_Lookup!$A$2:$B$28,2,FALSE)</f>
        <v>Minas Gerais</v>
      </c>
    </row>
    <row r="3178" spans="1:13" x14ac:dyDescent="0.45">
      <c r="A3178" t="s">
        <v>3752</v>
      </c>
      <c r="B3178" t="s">
        <v>3742</v>
      </c>
      <c r="C3178" t="s">
        <v>3593</v>
      </c>
      <c r="D3178" t="s">
        <v>18</v>
      </c>
      <c r="E3178" t="s">
        <v>157</v>
      </c>
      <c r="F3178">
        <v>1</v>
      </c>
      <c r="G3178">
        <v>179</v>
      </c>
      <c r="H3178">
        <v>19.13</v>
      </c>
      <c r="I3178" t="s">
        <v>44</v>
      </c>
      <c r="J3178">
        <v>16</v>
      </c>
      <c r="K3178" t="s">
        <v>51</v>
      </c>
      <c r="L3178">
        <v>5</v>
      </c>
      <c r="M3178" t="str">
        <f>VLOOKUP(D3178,State_Lookup!$A$2:$B$28,2,FALSE)</f>
        <v>Minas Gerais</v>
      </c>
    </row>
    <row r="3179" spans="1:13" x14ac:dyDescent="0.45">
      <c r="A3179" t="s">
        <v>3753</v>
      </c>
      <c r="B3179" t="s">
        <v>3742</v>
      </c>
      <c r="C3179" t="s">
        <v>3593</v>
      </c>
      <c r="D3179" t="s">
        <v>22</v>
      </c>
      <c r="E3179" t="s">
        <v>110</v>
      </c>
      <c r="F3179">
        <v>1</v>
      </c>
      <c r="G3179">
        <v>122.9</v>
      </c>
      <c r="H3179">
        <v>23.79</v>
      </c>
      <c r="I3179" t="s">
        <v>44</v>
      </c>
      <c r="J3179">
        <v>37</v>
      </c>
      <c r="K3179" t="s">
        <v>143</v>
      </c>
      <c r="L3179">
        <v>1</v>
      </c>
      <c r="M3179" t="str">
        <f>VLOOKUP(D3179,State_Lookup!$A$2:$B$28,2,FALSE)</f>
        <v>Bahia</v>
      </c>
    </row>
    <row r="3180" spans="1:13" x14ac:dyDescent="0.45">
      <c r="A3180" t="s">
        <v>3754</v>
      </c>
      <c r="B3180" t="s">
        <v>3742</v>
      </c>
      <c r="C3180" t="s">
        <v>3593</v>
      </c>
      <c r="D3180" t="s">
        <v>16</v>
      </c>
      <c r="E3180" t="s">
        <v>132</v>
      </c>
      <c r="F3180">
        <v>2</v>
      </c>
      <c r="G3180">
        <v>75.8</v>
      </c>
      <c r="H3180">
        <v>17.760000000000002</v>
      </c>
      <c r="I3180" t="s">
        <v>44</v>
      </c>
      <c r="J3180">
        <v>2</v>
      </c>
      <c r="K3180" t="s">
        <v>51</v>
      </c>
      <c r="L3180">
        <v>5</v>
      </c>
      <c r="M3180" t="str">
        <f>VLOOKUP(D3180,State_Lookup!$A$2:$B$28,2,FALSE)</f>
        <v>Sao Paulo</v>
      </c>
    </row>
    <row r="3181" spans="1:13" x14ac:dyDescent="0.45">
      <c r="A3181" t="s">
        <v>3755</v>
      </c>
      <c r="B3181" t="s">
        <v>3742</v>
      </c>
      <c r="C3181" t="s">
        <v>3593</v>
      </c>
      <c r="D3181" t="s">
        <v>16</v>
      </c>
      <c r="E3181" t="s">
        <v>142</v>
      </c>
      <c r="F3181">
        <v>1</v>
      </c>
      <c r="G3181">
        <v>89.9</v>
      </c>
      <c r="H3181">
        <v>7.49</v>
      </c>
      <c r="I3181" t="s">
        <v>44</v>
      </c>
      <c r="J3181">
        <v>6</v>
      </c>
      <c r="K3181" t="s">
        <v>51</v>
      </c>
      <c r="L3181">
        <v>5</v>
      </c>
      <c r="M3181" t="str">
        <f>VLOOKUP(D3181,State_Lookup!$A$2:$B$28,2,FALSE)</f>
        <v>Sao Paulo</v>
      </c>
    </row>
    <row r="3182" spans="1:13" x14ac:dyDescent="0.45">
      <c r="A3182" t="s">
        <v>3756</v>
      </c>
      <c r="B3182" t="s">
        <v>3757</v>
      </c>
      <c r="C3182" t="s">
        <v>3593</v>
      </c>
      <c r="D3182" t="s">
        <v>17</v>
      </c>
      <c r="E3182" t="s">
        <v>110</v>
      </c>
      <c r="F3182">
        <v>2</v>
      </c>
      <c r="G3182">
        <v>200</v>
      </c>
      <c r="H3182">
        <v>33.93</v>
      </c>
      <c r="I3182" t="s">
        <v>44</v>
      </c>
      <c r="J3182">
        <v>21</v>
      </c>
      <c r="K3182" t="s">
        <v>51</v>
      </c>
      <c r="L3182">
        <v>5</v>
      </c>
      <c r="M3182" t="str">
        <f>VLOOKUP(D3182,State_Lookup!$A$2:$B$28,2,FALSE)</f>
        <v>Rio de Janeiro</v>
      </c>
    </row>
    <row r="3183" spans="1:13" x14ac:dyDescent="0.45">
      <c r="A3183" t="s">
        <v>3758</v>
      </c>
      <c r="B3183" t="s">
        <v>3757</v>
      </c>
      <c r="C3183" t="s">
        <v>3593</v>
      </c>
      <c r="D3183" t="s">
        <v>25</v>
      </c>
      <c r="E3183" t="s">
        <v>157</v>
      </c>
      <c r="F3183">
        <v>1</v>
      </c>
      <c r="G3183">
        <v>110.4</v>
      </c>
      <c r="H3183">
        <v>15.65</v>
      </c>
      <c r="I3183" t="s">
        <v>44</v>
      </c>
      <c r="J3183">
        <v>14</v>
      </c>
      <c r="K3183" t="s">
        <v>51</v>
      </c>
      <c r="L3183">
        <v>4</v>
      </c>
      <c r="M3183" t="str">
        <f>VLOOKUP(D3183,State_Lookup!$A$2:$B$28,2,FALSE)</f>
        <v>Goias</v>
      </c>
    </row>
    <row r="3184" spans="1:13" x14ac:dyDescent="0.45">
      <c r="A3184" t="s">
        <v>3759</v>
      </c>
      <c r="B3184" t="s">
        <v>3757</v>
      </c>
      <c r="C3184" t="s">
        <v>3593</v>
      </c>
      <c r="D3184" t="s">
        <v>19</v>
      </c>
      <c r="E3184" t="s">
        <v>43</v>
      </c>
      <c r="F3184">
        <v>3</v>
      </c>
      <c r="G3184">
        <v>225</v>
      </c>
      <c r="H3184">
        <v>55.23</v>
      </c>
      <c r="I3184" t="s">
        <v>44</v>
      </c>
      <c r="J3184">
        <v>21</v>
      </c>
      <c r="K3184" t="s">
        <v>51</v>
      </c>
      <c r="L3184">
        <v>3</v>
      </c>
      <c r="M3184" t="str">
        <f>VLOOKUP(D3184,State_Lookup!$A$2:$B$28,2,FALSE)</f>
        <v>Rio Grande do Sul</v>
      </c>
    </row>
    <row r="3185" spans="1:13" x14ac:dyDescent="0.45">
      <c r="A3185" t="s">
        <v>3760</v>
      </c>
      <c r="B3185" t="s">
        <v>3757</v>
      </c>
      <c r="C3185" t="s">
        <v>3593</v>
      </c>
      <c r="D3185" t="s">
        <v>16</v>
      </c>
      <c r="E3185" t="s">
        <v>79</v>
      </c>
      <c r="F3185">
        <v>1</v>
      </c>
      <c r="G3185">
        <v>249.9</v>
      </c>
      <c r="H3185">
        <v>19.63</v>
      </c>
      <c r="I3185" t="s">
        <v>44</v>
      </c>
      <c r="J3185">
        <v>22</v>
      </c>
      <c r="K3185" t="s">
        <v>143</v>
      </c>
      <c r="L3185">
        <v>1</v>
      </c>
      <c r="M3185" t="str">
        <f>VLOOKUP(D3185,State_Lookup!$A$2:$B$28,2,FALSE)</f>
        <v>Sao Paulo</v>
      </c>
    </row>
    <row r="3186" spans="1:13" x14ac:dyDescent="0.45">
      <c r="A3186" t="s">
        <v>3761</v>
      </c>
      <c r="B3186" t="s">
        <v>3757</v>
      </c>
      <c r="C3186" t="s">
        <v>3593</v>
      </c>
      <c r="D3186" t="s">
        <v>17</v>
      </c>
      <c r="E3186" t="s">
        <v>107</v>
      </c>
      <c r="F3186">
        <v>1</v>
      </c>
      <c r="G3186">
        <v>589</v>
      </c>
      <c r="H3186">
        <v>54.19</v>
      </c>
      <c r="I3186" t="s">
        <v>44</v>
      </c>
      <c r="J3186">
        <v>64</v>
      </c>
      <c r="K3186" t="s">
        <v>143</v>
      </c>
      <c r="M3186" t="str">
        <f>VLOOKUP(D3186,State_Lookup!$A$2:$B$28,2,FALSE)</f>
        <v>Rio de Janeiro</v>
      </c>
    </row>
    <row r="3187" spans="1:13" x14ac:dyDescent="0.45">
      <c r="A3187" t="s">
        <v>3762</v>
      </c>
      <c r="B3187" t="s">
        <v>3757</v>
      </c>
      <c r="C3187" t="s">
        <v>3593</v>
      </c>
      <c r="D3187" t="s">
        <v>22</v>
      </c>
      <c r="E3187" t="s">
        <v>148</v>
      </c>
      <c r="F3187">
        <v>1</v>
      </c>
      <c r="G3187">
        <v>99.99</v>
      </c>
      <c r="H3187">
        <v>27.43</v>
      </c>
      <c r="I3187" t="s">
        <v>50</v>
      </c>
      <c r="J3187">
        <v>31</v>
      </c>
      <c r="K3187" t="s">
        <v>143</v>
      </c>
      <c r="L3187">
        <v>3</v>
      </c>
      <c r="M3187" t="str">
        <f>VLOOKUP(D3187,State_Lookup!$A$2:$B$28,2,FALSE)</f>
        <v>Bahia</v>
      </c>
    </row>
    <row r="3188" spans="1:13" x14ac:dyDescent="0.45">
      <c r="A3188" t="s">
        <v>3763</v>
      </c>
      <c r="B3188" t="s">
        <v>3757</v>
      </c>
      <c r="C3188" t="s">
        <v>3593</v>
      </c>
      <c r="D3188" t="s">
        <v>17</v>
      </c>
      <c r="E3188" t="s">
        <v>142</v>
      </c>
      <c r="F3188">
        <v>1</v>
      </c>
      <c r="G3188">
        <v>180</v>
      </c>
      <c r="H3188">
        <v>57.52</v>
      </c>
      <c r="I3188" t="s">
        <v>44</v>
      </c>
      <c r="J3188">
        <v>9</v>
      </c>
      <c r="K3188" t="s">
        <v>51</v>
      </c>
      <c r="L3188">
        <v>4</v>
      </c>
      <c r="M3188" t="str">
        <f>VLOOKUP(D3188,State_Lookup!$A$2:$B$28,2,FALSE)</f>
        <v>Rio de Janeiro</v>
      </c>
    </row>
    <row r="3189" spans="1:13" x14ac:dyDescent="0.45">
      <c r="A3189" t="s">
        <v>3764</v>
      </c>
      <c r="B3189" t="s">
        <v>3757</v>
      </c>
      <c r="C3189" t="s">
        <v>3593</v>
      </c>
      <c r="D3189" t="s">
        <v>16</v>
      </c>
      <c r="E3189" t="s">
        <v>64</v>
      </c>
      <c r="F3189">
        <v>1</v>
      </c>
      <c r="G3189">
        <v>199</v>
      </c>
      <c r="H3189">
        <v>14.75</v>
      </c>
      <c r="I3189" t="s">
        <v>44</v>
      </c>
      <c r="J3189">
        <v>6</v>
      </c>
      <c r="K3189" t="s">
        <v>51</v>
      </c>
      <c r="L3189">
        <v>4</v>
      </c>
      <c r="M3189" t="str">
        <f>VLOOKUP(D3189,State_Lookup!$A$2:$B$28,2,FALSE)</f>
        <v>Sao Paulo</v>
      </c>
    </row>
    <row r="3190" spans="1:13" x14ac:dyDescent="0.45">
      <c r="A3190" t="s">
        <v>3765</v>
      </c>
      <c r="B3190" t="s">
        <v>3757</v>
      </c>
      <c r="C3190" t="s">
        <v>3593</v>
      </c>
      <c r="D3190" t="s">
        <v>16</v>
      </c>
      <c r="E3190" t="s">
        <v>142</v>
      </c>
      <c r="F3190">
        <v>2</v>
      </c>
      <c r="G3190">
        <v>176</v>
      </c>
      <c r="H3190">
        <v>36.4</v>
      </c>
      <c r="I3190" t="s">
        <v>50</v>
      </c>
      <c r="J3190">
        <v>24</v>
      </c>
      <c r="K3190" t="s">
        <v>51</v>
      </c>
      <c r="L3190">
        <v>2</v>
      </c>
      <c r="M3190" t="str">
        <f>VLOOKUP(D3190,State_Lookup!$A$2:$B$28,2,FALSE)</f>
        <v>Sao Paulo</v>
      </c>
    </row>
    <row r="3191" spans="1:13" x14ac:dyDescent="0.45">
      <c r="A3191" t="s">
        <v>3766</v>
      </c>
      <c r="B3191" t="s">
        <v>3757</v>
      </c>
      <c r="C3191" t="s">
        <v>3593</v>
      </c>
      <c r="D3191" t="s">
        <v>16</v>
      </c>
      <c r="E3191" t="s">
        <v>269</v>
      </c>
      <c r="F3191">
        <v>2</v>
      </c>
      <c r="G3191">
        <v>599.79999999999995</v>
      </c>
      <c r="H3191">
        <v>56.36</v>
      </c>
      <c r="I3191" t="s">
        <v>44</v>
      </c>
      <c r="K3191" t="s">
        <v>45</v>
      </c>
      <c r="L3191">
        <v>1</v>
      </c>
      <c r="M3191" t="str">
        <f>VLOOKUP(D3191,State_Lookup!$A$2:$B$28,2,FALSE)</f>
        <v>Sao Paulo</v>
      </c>
    </row>
    <row r="3192" spans="1:13" x14ac:dyDescent="0.45">
      <c r="A3192" t="s">
        <v>3767</v>
      </c>
      <c r="B3192" t="s">
        <v>3757</v>
      </c>
      <c r="C3192" t="s">
        <v>3593</v>
      </c>
      <c r="D3192" t="s">
        <v>19</v>
      </c>
      <c r="E3192" t="s">
        <v>43</v>
      </c>
      <c r="F3192">
        <v>1</v>
      </c>
      <c r="G3192">
        <v>790</v>
      </c>
      <c r="H3192">
        <v>52.8</v>
      </c>
      <c r="I3192" t="s">
        <v>44</v>
      </c>
      <c r="J3192">
        <v>12</v>
      </c>
      <c r="K3192" t="s">
        <v>51</v>
      </c>
      <c r="L3192">
        <v>5</v>
      </c>
      <c r="M3192" t="str">
        <f>VLOOKUP(D3192,State_Lookup!$A$2:$B$28,2,FALSE)</f>
        <v>Rio Grande do Sul</v>
      </c>
    </row>
    <row r="3193" spans="1:13" x14ac:dyDescent="0.45">
      <c r="A3193" t="s">
        <v>3768</v>
      </c>
      <c r="B3193" t="s">
        <v>3769</v>
      </c>
      <c r="C3193" t="s">
        <v>3593</v>
      </c>
      <c r="D3193" t="s">
        <v>18</v>
      </c>
      <c r="E3193" t="s">
        <v>103</v>
      </c>
      <c r="F3193">
        <v>1</v>
      </c>
      <c r="G3193">
        <v>39.99</v>
      </c>
      <c r="H3193">
        <v>17.059999999999999</v>
      </c>
      <c r="I3193" t="s">
        <v>50</v>
      </c>
      <c r="J3193">
        <v>12</v>
      </c>
      <c r="K3193" t="s">
        <v>51</v>
      </c>
      <c r="L3193">
        <v>1</v>
      </c>
      <c r="M3193" t="str">
        <f>VLOOKUP(D3193,State_Lookup!$A$2:$B$28,2,FALSE)</f>
        <v>Minas Gerais</v>
      </c>
    </row>
    <row r="3194" spans="1:13" x14ac:dyDescent="0.45">
      <c r="A3194" t="s">
        <v>3770</v>
      </c>
      <c r="B3194" t="s">
        <v>3769</v>
      </c>
      <c r="C3194" t="s">
        <v>3593</v>
      </c>
      <c r="D3194" t="s">
        <v>16</v>
      </c>
      <c r="E3194" t="s">
        <v>61</v>
      </c>
      <c r="F3194">
        <v>1</v>
      </c>
      <c r="G3194">
        <v>29.99</v>
      </c>
      <c r="H3194">
        <v>7.71</v>
      </c>
      <c r="I3194" t="s">
        <v>50</v>
      </c>
      <c r="J3194">
        <v>2</v>
      </c>
      <c r="K3194" t="s">
        <v>51</v>
      </c>
      <c r="L3194">
        <v>5</v>
      </c>
      <c r="M3194" t="str">
        <f>VLOOKUP(D3194,State_Lookup!$A$2:$B$28,2,FALSE)</f>
        <v>Sao Paulo</v>
      </c>
    </row>
    <row r="3195" spans="1:13" x14ac:dyDescent="0.45">
      <c r="A3195" t="s">
        <v>3771</v>
      </c>
      <c r="B3195" t="s">
        <v>3769</v>
      </c>
      <c r="C3195" t="s">
        <v>3593</v>
      </c>
      <c r="D3195" t="s">
        <v>141</v>
      </c>
      <c r="E3195" t="s">
        <v>61</v>
      </c>
      <c r="F3195">
        <v>1</v>
      </c>
      <c r="G3195">
        <v>99</v>
      </c>
      <c r="H3195">
        <v>23.19</v>
      </c>
      <c r="I3195" t="s">
        <v>133</v>
      </c>
      <c r="K3195" t="s">
        <v>45</v>
      </c>
      <c r="L3195">
        <v>3</v>
      </c>
      <c r="M3195" t="str">
        <f>VLOOKUP(D3195,State_Lookup!$A$2:$B$28,2,FALSE)</f>
        <v>Maranhao</v>
      </c>
    </row>
    <row r="3196" spans="1:13" x14ac:dyDescent="0.45">
      <c r="A3196" t="s">
        <v>3772</v>
      </c>
      <c r="B3196" t="s">
        <v>3769</v>
      </c>
      <c r="C3196" t="s">
        <v>3593</v>
      </c>
      <c r="D3196" t="s">
        <v>16</v>
      </c>
      <c r="E3196" t="s">
        <v>110</v>
      </c>
      <c r="F3196">
        <v>1</v>
      </c>
      <c r="G3196">
        <v>139.88999999999999</v>
      </c>
      <c r="H3196">
        <v>34.520000000000003</v>
      </c>
      <c r="I3196" t="s">
        <v>50</v>
      </c>
      <c r="J3196">
        <v>21</v>
      </c>
      <c r="K3196" t="s">
        <v>51</v>
      </c>
      <c r="L3196">
        <v>3</v>
      </c>
      <c r="M3196" t="str">
        <f>VLOOKUP(D3196,State_Lookup!$A$2:$B$28,2,FALSE)</f>
        <v>Sao Paulo</v>
      </c>
    </row>
    <row r="3197" spans="1:13" x14ac:dyDescent="0.45">
      <c r="A3197" t="s">
        <v>3773</v>
      </c>
      <c r="B3197" t="s">
        <v>3769</v>
      </c>
      <c r="C3197" t="s">
        <v>3593</v>
      </c>
      <c r="D3197" t="s">
        <v>16</v>
      </c>
      <c r="E3197" t="s">
        <v>220</v>
      </c>
      <c r="F3197">
        <v>1</v>
      </c>
      <c r="G3197">
        <v>149.99</v>
      </c>
      <c r="H3197">
        <v>16.920000000000002</v>
      </c>
      <c r="I3197" t="s">
        <v>44</v>
      </c>
      <c r="J3197">
        <v>19</v>
      </c>
      <c r="K3197" t="s">
        <v>51</v>
      </c>
      <c r="L3197">
        <v>3</v>
      </c>
      <c r="M3197" t="str">
        <f>VLOOKUP(D3197,State_Lookup!$A$2:$B$28,2,FALSE)</f>
        <v>Sao Paulo</v>
      </c>
    </row>
    <row r="3198" spans="1:13" x14ac:dyDescent="0.45">
      <c r="A3198" t="s">
        <v>3774</v>
      </c>
      <c r="B3198" t="s">
        <v>3769</v>
      </c>
      <c r="C3198" t="s">
        <v>3593</v>
      </c>
      <c r="D3198" t="s">
        <v>18</v>
      </c>
      <c r="E3198" t="s">
        <v>49</v>
      </c>
      <c r="F3198">
        <v>1</v>
      </c>
      <c r="G3198">
        <v>39.9</v>
      </c>
      <c r="H3198">
        <v>15.23</v>
      </c>
      <c r="I3198" t="s">
        <v>50</v>
      </c>
      <c r="J3198">
        <v>22</v>
      </c>
      <c r="K3198" t="s">
        <v>143</v>
      </c>
      <c r="L3198">
        <v>5</v>
      </c>
      <c r="M3198" t="str">
        <f>VLOOKUP(D3198,State_Lookup!$A$2:$B$28,2,FALSE)</f>
        <v>Minas Gerais</v>
      </c>
    </row>
    <row r="3199" spans="1:13" x14ac:dyDescent="0.45">
      <c r="A3199" t="s">
        <v>3775</v>
      </c>
      <c r="B3199" t="s">
        <v>3769</v>
      </c>
      <c r="C3199" t="s">
        <v>3593</v>
      </c>
      <c r="D3199" t="s">
        <v>18</v>
      </c>
      <c r="E3199" t="s">
        <v>142</v>
      </c>
      <c r="F3199">
        <v>1</v>
      </c>
      <c r="G3199">
        <v>21</v>
      </c>
      <c r="H3199">
        <v>19.32</v>
      </c>
      <c r="I3199" t="s">
        <v>44</v>
      </c>
      <c r="J3199">
        <v>28</v>
      </c>
      <c r="K3199" t="s">
        <v>51</v>
      </c>
      <c r="L3199">
        <v>5</v>
      </c>
      <c r="M3199" t="str">
        <f>VLOOKUP(D3199,State_Lookup!$A$2:$B$28,2,FALSE)</f>
        <v>Minas Gerais</v>
      </c>
    </row>
    <row r="3200" spans="1:13" x14ac:dyDescent="0.45">
      <c r="A3200" t="s">
        <v>3776</v>
      </c>
      <c r="B3200" t="s">
        <v>3769</v>
      </c>
      <c r="C3200" t="s">
        <v>3593</v>
      </c>
      <c r="D3200" t="s">
        <v>16</v>
      </c>
      <c r="E3200" t="s">
        <v>110</v>
      </c>
      <c r="F3200">
        <v>1</v>
      </c>
      <c r="G3200">
        <v>79.900000000000006</v>
      </c>
      <c r="H3200">
        <v>13.92</v>
      </c>
      <c r="I3200" t="s">
        <v>50</v>
      </c>
      <c r="J3200">
        <v>7</v>
      </c>
      <c r="K3200" t="s">
        <v>51</v>
      </c>
      <c r="L3200">
        <v>5</v>
      </c>
      <c r="M3200" t="str">
        <f>VLOOKUP(D3200,State_Lookup!$A$2:$B$28,2,FALSE)</f>
        <v>Sao Paulo</v>
      </c>
    </row>
    <row r="3201" spans="1:13" x14ac:dyDescent="0.45">
      <c r="A3201" t="s">
        <v>3777</v>
      </c>
      <c r="B3201" t="s">
        <v>3778</v>
      </c>
      <c r="C3201" t="s">
        <v>3593</v>
      </c>
      <c r="D3201" t="s">
        <v>22</v>
      </c>
      <c r="E3201" t="s">
        <v>49</v>
      </c>
      <c r="F3201">
        <v>2</v>
      </c>
      <c r="G3201">
        <v>215.8</v>
      </c>
      <c r="H3201">
        <v>34.94</v>
      </c>
      <c r="I3201" t="s">
        <v>44</v>
      </c>
      <c r="J3201">
        <v>13</v>
      </c>
      <c r="K3201" t="s">
        <v>51</v>
      </c>
      <c r="L3201">
        <v>4</v>
      </c>
      <c r="M3201" t="str">
        <f>VLOOKUP(D3201,State_Lookup!$A$2:$B$28,2,FALSE)</f>
        <v>Bahia</v>
      </c>
    </row>
    <row r="3202" spans="1:13" x14ac:dyDescent="0.45">
      <c r="A3202" t="s">
        <v>3779</v>
      </c>
      <c r="B3202" t="s">
        <v>3778</v>
      </c>
      <c r="C3202" t="s">
        <v>3593</v>
      </c>
      <c r="D3202" t="s">
        <v>16</v>
      </c>
      <c r="E3202" t="s">
        <v>366</v>
      </c>
      <c r="F3202">
        <v>1</v>
      </c>
      <c r="G3202">
        <v>69.900000000000006</v>
      </c>
      <c r="H3202">
        <v>14.58</v>
      </c>
      <c r="I3202" t="s">
        <v>44</v>
      </c>
      <c r="J3202">
        <v>6</v>
      </c>
      <c r="K3202" t="s">
        <v>51</v>
      </c>
      <c r="L3202">
        <v>2</v>
      </c>
      <c r="M3202" t="str">
        <f>VLOOKUP(D3202,State_Lookup!$A$2:$B$28,2,FALSE)</f>
        <v>Sao Paulo</v>
      </c>
    </row>
    <row r="3203" spans="1:13" x14ac:dyDescent="0.45">
      <c r="A3203" t="s">
        <v>3780</v>
      </c>
      <c r="B3203" t="s">
        <v>3778</v>
      </c>
      <c r="C3203" t="s">
        <v>3593</v>
      </c>
      <c r="D3203" t="s">
        <v>17</v>
      </c>
      <c r="E3203" t="s">
        <v>79</v>
      </c>
      <c r="F3203">
        <v>1</v>
      </c>
      <c r="G3203">
        <v>160</v>
      </c>
      <c r="H3203">
        <v>19</v>
      </c>
      <c r="I3203" t="s">
        <v>44</v>
      </c>
      <c r="J3203">
        <v>96</v>
      </c>
      <c r="K3203" t="s">
        <v>143</v>
      </c>
      <c r="L3203">
        <v>1</v>
      </c>
      <c r="M3203" t="str">
        <f>VLOOKUP(D3203,State_Lookup!$A$2:$B$28,2,FALSE)</f>
        <v>Rio de Janeiro</v>
      </c>
    </row>
    <row r="3204" spans="1:13" x14ac:dyDescent="0.45">
      <c r="A3204" t="s">
        <v>3781</v>
      </c>
      <c r="B3204" t="s">
        <v>3778</v>
      </c>
      <c r="C3204" t="s">
        <v>3593</v>
      </c>
      <c r="D3204" t="s">
        <v>18</v>
      </c>
      <c r="E3204" t="s">
        <v>49</v>
      </c>
      <c r="F3204">
        <v>1</v>
      </c>
      <c r="G3204">
        <v>28</v>
      </c>
      <c r="H3204">
        <v>18.23</v>
      </c>
      <c r="I3204" t="s">
        <v>44</v>
      </c>
      <c r="J3204">
        <v>12</v>
      </c>
      <c r="K3204" t="s">
        <v>51</v>
      </c>
      <c r="L3204">
        <v>5</v>
      </c>
      <c r="M3204" t="str">
        <f>VLOOKUP(D3204,State_Lookup!$A$2:$B$28,2,FALSE)</f>
        <v>Minas Gerais</v>
      </c>
    </row>
    <row r="3205" spans="1:13" x14ac:dyDescent="0.45">
      <c r="A3205" t="s">
        <v>3782</v>
      </c>
      <c r="B3205" t="s">
        <v>3778</v>
      </c>
      <c r="C3205" t="s">
        <v>3593</v>
      </c>
      <c r="D3205" t="s">
        <v>17</v>
      </c>
      <c r="E3205" t="s">
        <v>1935</v>
      </c>
      <c r="F3205">
        <v>1</v>
      </c>
      <c r="G3205">
        <v>78</v>
      </c>
      <c r="H3205">
        <v>18.43</v>
      </c>
      <c r="I3205" t="s">
        <v>50</v>
      </c>
      <c r="J3205">
        <v>25</v>
      </c>
      <c r="K3205" t="s">
        <v>143</v>
      </c>
      <c r="L3205">
        <v>5</v>
      </c>
      <c r="M3205" t="str">
        <f>VLOOKUP(D3205,State_Lookup!$A$2:$B$28,2,FALSE)</f>
        <v>Rio de Janeiro</v>
      </c>
    </row>
    <row r="3206" spans="1:13" x14ac:dyDescent="0.45">
      <c r="A3206" t="s">
        <v>3783</v>
      </c>
      <c r="B3206" t="s">
        <v>3778</v>
      </c>
      <c r="C3206" t="s">
        <v>3593</v>
      </c>
      <c r="D3206" t="s">
        <v>17</v>
      </c>
      <c r="E3206" t="s">
        <v>79</v>
      </c>
      <c r="F3206">
        <v>1</v>
      </c>
      <c r="G3206">
        <v>529.9</v>
      </c>
      <c r="H3206">
        <v>25.42</v>
      </c>
      <c r="I3206" t="s">
        <v>44</v>
      </c>
      <c r="J3206">
        <v>19</v>
      </c>
      <c r="K3206" t="s">
        <v>51</v>
      </c>
      <c r="L3206">
        <v>2</v>
      </c>
      <c r="M3206" t="str">
        <f>VLOOKUP(D3206,State_Lookup!$A$2:$B$28,2,FALSE)</f>
        <v>Rio de Janeiro</v>
      </c>
    </row>
    <row r="3207" spans="1:13" x14ac:dyDescent="0.45">
      <c r="A3207" t="s">
        <v>3784</v>
      </c>
      <c r="B3207" t="s">
        <v>3778</v>
      </c>
      <c r="C3207" t="s">
        <v>3593</v>
      </c>
      <c r="D3207" t="s">
        <v>18</v>
      </c>
      <c r="E3207" t="s">
        <v>125</v>
      </c>
      <c r="F3207">
        <v>1</v>
      </c>
      <c r="G3207">
        <v>15</v>
      </c>
      <c r="H3207">
        <v>18.23</v>
      </c>
      <c r="I3207" t="s">
        <v>44</v>
      </c>
      <c r="J3207">
        <v>10</v>
      </c>
      <c r="K3207" t="s">
        <v>51</v>
      </c>
      <c r="L3207">
        <v>5</v>
      </c>
      <c r="M3207" t="str">
        <f>VLOOKUP(D3207,State_Lookup!$A$2:$B$28,2,FALSE)</f>
        <v>Minas Gerais</v>
      </c>
    </row>
    <row r="3208" spans="1:13" x14ac:dyDescent="0.45">
      <c r="A3208" t="s">
        <v>3785</v>
      </c>
      <c r="B3208" t="s">
        <v>3778</v>
      </c>
      <c r="C3208" t="s">
        <v>3593</v>
      </c>
      <c r="D3208" t="s">
        <v>16</v>
      </c>
      <c r="E3208" t="s">
        <v>49</v>
      </c>
      <c r="F3208">
        <v>1</v>
      </c>
      <c r="G3208">
        <v>92</v>
      </c>
      <c r="H3208">
        <v>13.08</v>
      </c>
      <c r="I3208" t="s">
        <v>50</v>
      </c>
      <c r="J3208">
        <v>6</v>
      </c>
      <c r="K3208" t="s">
        <v>51</v>
      </c>
      <c r="L3208">
        <v>5</v>
      </c>
      <c r="M3208" t="str">
        <f>VLOOKUP(D3208,State_Lookup!$A$2:$B$28,2,FALSE)</f>
        <v>Sao Paulo</v>
      </c>
    </row>
    <row r="3209" spans="1:13" x14ac:dyDescent="0.45">
      <c r="A3209" t="s">
        <v>3786</v>
      </c>
      <c r="B3209" t="s">
        <v>3778</v>
      </c>
      <c r="C3209" t="s">
        <v>3593</v>
      </c>
      <c r="D3209" t="s">
        <v>63</v>
      </c>
      <c r="E3209" t="s">
        <v>110</v>
      </c>
      <c r="F3209">
        <v>1</v>
      </c>
      <c r="G3209">
        <v>59</v>
      </c>
      <c r="H3209">
        <v>19.100000000000001</v>
      </c>
      <c r="I3209" t="s">
        <v>50</v>
      </c>
      <c r="J3209">
        <v>7</v>
      </c>
      <c r="K3209" t="s">
        <v>51</v>
      </c>
      <c r="L3209">
        <v>5</v>
      </c>
      <c r="M3209" t="str">
        <f>VLOOKUP(D3209,State_Lookup!$A$2:$B$28,2,FALSE)</f>
        <v>Pernambuco</v>
      </c>
    </row>
    <row r="3210" spans="1:13" x14ac:dyDescent="0.45">
      <c r="A3210" t="s">
        <v>3787</v>
      </c>
      <c r="B3210" t="s">
        <v>3778</v>
      </c>
      <c r="C3210" t="s">
        <v>3593</v>
      </c>
      <c r="D3210" t="s">
        <v>19</v>
      </c>
      <c r="E3210" t="s">
        <v>43</v>
      </c>
      <c r="F3210">
        <v>1</v>
      </c>
      <c r="G3210">
        <v>37</v>
      </c>
      <c r="H3210">
        <v>16.32</v>
      </c>
      <c r="I3210" t="s">
        <v>44</v>
      </c>
      <c r="K3210" t="s">
        <v>45</v>
      </c>
      <c r="L3210">
        <v>3</v>
      </c>
      <c r="M3210" t="str">
        <f>VLOOKUP(D3210,State_Lookup!$A$2:$B$28,2,FALSE)</f>
        <v>Rio Grande do Sul</v>
      </c>
    </row>
    <row r="3211" spans="1:13" x14ac:dyDescent="0.45">
      <c r="A3211" t="s">
        <v>3788</v>
      </c>
      <c r="B3211" t="s">
        <v>3778</v>
      </c>
      <c r="C3211" t="s">
        <v>3593</v>
      </c>
      <c r="D3211" t="s">
        <v>128</v>
      </c>
      <c r="E3211" t="s">
        <v>53</v>
      </c>
      <c r="F3211">
        <v>1</v>
      </c>
      <c r="G3211">
        <v>45.99</v>
      </c>
      <c r="H3211">
        <v>19.04</v>
      </c>
      <c r="I3211" t="s">
        <v>50</v>
      </c>
      <c r="K3211" t="s">
        <v>45</v>
      </c>
      <c r="L3211">
        <v>1</v>
      </c>
      <c r="M3211" t="str">
        <f>VLOOKUP(D3211,State_Lookup!$A$2:$B$28,2,FALSE)</f>
        <v>Ceara</v>
      </c>
    </row>
    <row r="3212" spans="1:13" x14ac:dyDescent="0.45">
      <c r="A3212" t="s">
        <v>3789</v>
      </c>
      <c r="B3212" t="s">
        <v>3790</v>
      </c>
      <c r="C3212" t="s">
        <v>3593</v>
      </c>
      <c r="D3212" t="s">
        <v>17</v>
      </c>
      <c r="E3212" t="s">
        <v>53</v>
      </c>
      <c r="F3212">
        <v>1</v>
      </c>
      <c r="G3212">
        <v>119.99</v>
      </c>
      <c r="H3212">
        <v>26.92</v>
      </c>
      <c r="I3212" t="s">
        <v>44</v>
      </c>
      <c r="J3212">
        <v>5</v>
      </c>
      <c r="K3212" t="s">
        <v>51</v>
      </c>
      <c r="L3212">
        <v>5</v>
      </c>
      <c r="M3212" t="str">
        <f>VLOOKUP(D3212,State_Lookup!$A$2:$B$28,2,FALSE)</f>
        <v>Rio de Janeiro</v>
      </c>
    </row>
    <row r="3213" spans="1:13" x14ac:dyDescent="0.45">
      <c r="A3213" t="s">
        <v>3791</v>
      </c>
      <c r="B3213" t="s">
        <v>3790</v>
      </c>
      <c r="C3213" t="s">
        <v>3593</v>
      </c>
      <c r="D3213" t="s">
        <v>17</v>
      </c>
      <c r="E3213" t="s">
        <v>302</v>
      </c>
      <c r="F3213">
        <v>1</v>
      </c>
      <c r="G3213">
        <v>88.9</v>
      </c>
      <c r="H3213">
        <v>18.2</v>
      </c>
      <c r="I3213" t="s">
        <v>44</v>
      </c>
      <c r="J3213">
        <v>25</v>
      </c>
      <c r="K3213" t="s">
        <v>51</v>
      </c>
      <c r="L3213">
        <v>4</v>
      </c>
      <c r="M3213" t="str">
        <f>VLOOKUP(D3213,State_Lookup!$A$2:$B$28,2,FALSE)</f>
        <v>Rio de Janeiro</v>
      </c>
    </row>
    <row r="3214" spans="1:13" x14ac:dyDescent="0.45">
      <c r="A3214" t="s">
        <v>3792</v>
      </c>
      <c r="B3214" t="s">
        <v>3790</v>
      </c>
      <c r="C3214" t="s">
        <v>3593</v>
      </c>
      <c r="D3214" t="s">
        <v>22</v>
      </c>
      <c r="E3214" t="s">
        <v>302</v>
      </c>
      <c r="F3214">
        <v>1</v>
      </c>
      <c r="G3214">
        <v>285</v>
      </c>
      <c r="H3214">
        <v>28.72</v>
      </c>
      <c r="I3214" t="s">
        <v>44</v>
      </c>
      <c r="J3214">
        <v>10</v>
      </c>
      <c r="K3214" t="s">
        <v>51</v>
      </c>
      <c r="L3214">
        <v>4</v>
      </c>
      <c r="M3214" t="str">
        <f>VLOOKUP(D3214,State_Lookup!$A$2:$B$28,2,FALSE)</f>
        <v>Bahia</v>
      </c>
    </row>
    <row r="3215" spans="1:13" x14ac:dyDescent="0.45">
      <c r="A3215" t="s">
        <v>3793</v>
      </c>
      <c r="B3215" t="s">
        <v>3790</v>
      </c>
      <c r="C3215" t="s">
        <v>3593</v>
      </c>
      <c r="D3215" t="s">
        <v>16</v>
      </c>
      <c r="E3215" t="s">
        <v>125</v>
      </c>
      <c r="F3215">
        <v>1</v>
      </c>
      <c r="G3215">
        <v>12.9</v>
      </c>
      <c r="H3215">
        <v>7.39</v>
      </c>
      <c r="I3215" t="s">
        <v>44</v>
      </c>
      <c r="J3215">
        <v>3</v>
      </c>
      <c r="K3215" t="s">
        <v>51</v>
      </c>
      <c r="L3215">
        <v>4</v>
      </c>
      <c r="M3215" t="str">
        <f>VLOOKUP(D3215,State_Lookup!$A$2:$B$28,2,FALSE)</f>
        <v>Sao Paulo</v>
      </c>
    </row>
    <row r="3216" spans="1:13" x14ac:dyDescent="0.45">
      <c r="A3216" t="s">
        <v>3794</v>
      </c>
      <c r="B3216" t="s">
        <v>3790</v>
      </c>
      <c r="C3216" t="s">
        <v>3593</v>
      </c>
      <c r="D3216" t="s">
        <v>20</v>
      </c>
      <c r="E3216" t="s">
        <v>110</v>
      </c>
      <c r="F3216">
        <v>1</v>
      </c>
      <c r="G3216">
        <v>148.9</v>
      </c>
      <c r="H3216">
        <v>23.58</v>
      </c>
      <c r="I3216" t="s">
        <v>44</v>
      </c>
      <c r="J3216">
        <v>7</v>
      </c>
      <c r="K3216" t="s">
        <v>51</v>
      </c>
      <c r="L3216">
        <v>4</v>
      </c>
      <c r="M3216" t="str">
        <f>VLOOKUP(D3216,State_Lookup!$A$2:$B$28,2,FALSE)</f>
        <v>Parana</v>
      </c>
    </row>
    <row r="3217" spans="1:13" x14ac:dyDescent="0.45">
      <c r="A3217" t="s">
        <v>3795</v>
      </c>
      <c r="B3217" t="s">
        <v>3790</v>
      </c>
      <c r="C3217" t="s">
        <v>3593</v>
      </c>
      <c r="D3217" t="s">
        <v>20</v>
      </c>
      <c r="E3217" t="s">
        <v>53</v>
      </c>
      <c r="F3217">
        <v>1</v>
      </c>
      <c r="G3217">
        <v>45.99</v>
      </c>
      <c r="H3217">
        <v>18.23</v>
      </c>
      <c r="I3217" t="s">
        <v>44</v>
      </c>
      <c r="J3217">
        <v>16</v>
      </c>
      <c r="K3217" t="s">
        <v>51</v>
      </c>
      <c r="L3217">
        <v>1</v>
      </c>
      <c r="M3217" t="str">
        <f>VLOOKUP(D3217,State_Lookup!$A$2:$B$28,2,FALSE)</f>
        <v>Parana</v>
      </c>
    </row>
    <row r="3218" spans="1:13" x14ac:dyDescent="0.45">
      <c r="A3218" t="s">
        <v>3796</v>
      </c>
      <c r="B3218" t="s">
        <v>3790</v>
      </c>
      <c r="C3218" t="s">
        <v>3593</v>
      </c>
      <c r="D3218" t="s">
        <v>16</v>
      </c>
      <c r="E3218" t="s">
        <v>103</v>
      </c>
      <c r="F3218">
        <v>1</v>
      </c>
      <c r="G3218">
        <v>52</v>
      </c>
      <c r="H3218">
        <v>11.15</v>
      </c>
      <c r="I3218" t="s">
        <v>44</v>
      </c>
      <c r="J3218">
        <v>4</v>
      </c>
      <c r="K3218" t="s">
        <v>51</v>
      </c>
      <c r="L3218">
        <v>5</v>
      </c>
      <c r="M3218" t="str">
        <f>VLOOKUP(D3218,State_Lookup!$A$2:$B$28,2,FALSE)</f>
        <v>Sao Paulo</v>
      </c>
    </row>
    <row r="3219" spans="1:13" x14ac:dyDescent="0.45">
      <c r="A3219" t="s">
        <v>3797</v>
      </c>
      <c r="B3219" t="s">
        <v>3790</v>
      </c>
      <c r="C3219" t="s">
        <v>3593</v>
      </c>
      <c r="D3219" t="s">
        <v>24</v>
      </c>
      <c r="E3219" t="s">
        <v>79</v>
      </c>
      <c r="F3219">
        <v>1</v>
      </c>
      <c r="G3219">
        <v>88.89</v>
      </c>
      <c r="H3219">
        <v>37.31</v>
      </c>
      <c r="I3219" t="s">
        <v>50</v>
      </c>
      <c r="J3219">
        <v>13</v>
      </c>
      <c r="K3219" t="s">
        <v>51</v>
      </c>
      <c r="L3219">
        <v>5</v>
      </c>
      <c r="M3219" t="str">
        <f>VLOOKUP(D3219,State_Lookup!$A$2:$B$28,2,FALSE)</f>
        <v>Distrito Federal</v>
      </c>
    </row>
    <row r="3220" spans="1:13" x14ac:dyDescent="0.45">
      <c r="A3220" t="s">
        <v>3798</v>
      </c>
      <c r="B3220" t="s">
        <v>3790</v>
      </c>
      <c r="C3220" t="s">
        <v>3593</v>
      </c>
      <c r="D3220" t="s">
        <v>18</v>
      </c>
      <c r="E3220" t="s">
        <v>79</v>
      </c>
      <c r="F3220">
        <v>1</v>
      </c>
      <c r="G3220">
        <v>79.989999999999995</v>
      </c>
      <c r="H3220">
        <v>16.53</v>
      </c>
      <c r="I3220" t="s">
        <v>50</v>
      </c>
      <c r="J3220">
        <v>13</v>
      </c>
      <c r="K3220" t="s">
        <v>51</v>
      </c>
      <c r="L3220">
        <v>3</v>
      </c>
      <c r="M3220" t="str">
        <f>VLOOKUP(D3220,State_Lookup!$A$2:$B$28,2,FALSE)</f>
        <v>Minas Gerais</v>
      </c>
    </row>
    <row r="3221" spans="1:13" x14ac:dyDescent="0.45">
      <c r="A3221" t="s">
        <v>3799</v>
      </c>
      <c r="B3221" t="s">
        <v>3790</v>
      </c>
      <c r="C3221" t="s">
        <v>3593</v>
      </c>
      <c r="D3221" t="s">
        <v>19</v>
      </c>
      <c r="E3221" t="s">
        <v>110</v>
      </c>
      <c r="F3221">
        <v>1</v>
      </c>
      <c r="G3221">
        <v>24.9</v>
      </c>
      <c r="H3221">
        <v>18.23</v>
      </c>
      <c r="I3221" t="s">
        <v>44</v>
      </c>
      <c r="J3221">
        <v>26</v>
      </c>
      <c r="K3221" t="s">
        <v>51</v>
      </c>
      <c r="L3221">
        <v>1</v>
      </c>
      <c r="M3221" t="str">
        <f>VLOOKUP(D3221,State_Lookup!$A$2:$B$28,2,FALSE)</f>
        <v>Rio Grande do Sul</v>
      </c>
    </row>
    <row r="3222" spans="1:13" x14ac:dyDescent="0.45">
      <c r="A3222" t="s">
        <v>3800</v>
      </c>
      <c r="B3222" t="s">
        <v>3790</v>
      </c>
      <c r="C3222" t="s">
        <v>3593</v>
      </c>
      <c r="D3222" t="s">
        <v>16</v>
      </c>
      <c r="E3222" t="s">
        <v>49</v>
      </c>
      <c r="F3222">
        <v>2</v>
      </c>
      <c r="G3222">
        <v>107.36</v>
      </c>
      <c r="H3222">
        <v>14.78</v>
      </c>
      <c r="I3222" t="s">
        <v>44</v>
      </c>
      <c r="J3222">
        <v>1</v>
      </c>
      <c r="K3222" t="s">
        <v>51</v>
      </c>
      <c r="L3222">
        <v>5</v>
      </c>
      <c r="M3222" t="str">
        <f>VLOOKUP(D3222,State_Lookup!$A$2:$B$28,2,FALSE)</f>
        <v>Sao Paulo</v>
      </c>
    </row>
    <row r="3223" spans="1:13" x14ac:dyDescent="0.45">
      <c r="A3223" t="s">
        <v>3801</v>
      </c>
      <c r="B3223" t="s">
        <v>3802</v>
      </c>
      <c r="C3223" t="s">
        <v>3593</v>
      </c>
      <c r="D3223" t="s">
        <v>19</v>
      </c>
      <c r="E3223" t="s">
        <v>125</v>
      </c>
      <c r="F3223">
        <v>1</v>
      </c>
      <c r="G3223">
        <v>19.899999999999999</v>
      </c>
      <c r="H3223">
        <v>16.95</v>
      </c>
      <c r="I3223" t="s">
        <v>44</v>
      </c>
      <c r="J3223">
        <v>11</v>
      </c>
      <c r="K3223" t="s">
        <v>51</v>
      </c>
      <c r="L3223">
        <v>5</v>
      </c>
      <c r="M3223" t="str">
        <f>VLOOKUP(D3223,State_Lookup!$A$2:$B$28,2,FALSE)</f>
        <v>Rio Grande do Sul</v>
      </c>
    </row>
    <row r="3224" spans="1:13" x14ac:dyDescent="0.45">
      <c r="A3224" t="s">
        <v>3803</v>
      </c>
      <c r="B3224" t="s">
        <v>3802</v>
      </c>
      <c r="C3224" t="s">
        <v>3593</v>
      </c>
      <c r="D3224" t="s">
        <v>18</v>
      </c>
      <c r="E3224" t="s">
        <v>302</v>
      </c>
      <c r="F3224">
        <v>1</v>
      </c>
      <c r="G3224">
        <v>83.9</v>
      </c>
      <c r="H3224">
        <v>23.17</v>
      </c>
      <c r="I3224" t="s">
        <v>44</v>
      </c>
      <c r="J3224">
        <v>17</v>
      </c>
      <c r="K3224" t="s">
        <v>51</v>
      </c>
      <c r="L3224">
        <v>5</v>
      </c>
      <c r="M3224" t="str">
        <f>VLOOKUP(D3224,State_Lookup!$A$2:$B$28,2,FALSE)</f>
        <v>Minas Gerais</v>
      </c>
    </row>
    <row r="3225" spans="1:13" x14ac:dyDescent="0.45">
      <c r="A3225" t="s">
        <v>3804</v>
      </c>
      <c r="B3225" t="s">
        <v>3802</v>
      </c>
      <c r="C3225" t="s">
        <v>3593</v>
      </c>
      <c r="D3225" t="s">
        <v>16</v>
      </c>
      <c r="E3225" t="s">
        <v>66</v>
      </c>
      <c r="F3225">
        <v>1</v>
      </c>
      <c r="G3225">
        <v>28.99</v>
      </c>
      <c r="H3225">
        <v>12.79</v>
      </c>
      <c r="I3225" t="s">
        <v>44</v>
      </c>
      <c r="J3225">
        <v>18</v>
      </c>
      <c r="K3225" t="s">
        <v>51</v>
      </c>
      <c r="L3225">
        <v>3</v>
      </c>
      <c r="M3225" t="str">
        <f>VLOOKUP(D3225,State_Lookup!$A$2:$B$28,2,FALSE)</f>
        <v>Sao Paulo</v>
      </c>
    </row>
    <row r="3226" spans="1:13" x14ac:dyDescent="0.45">
      <c r="A3226" t="s">
        <v>3805</v>
      </c>
      <c r="B3226" t="s">
        <v>3802</v>
      </c>
      <c r="C3226" t="s">
        <v>3593</v>
      </c>
      <c r="D3226" t="s">
        <v>21</v>
      </c>
      <c r="E3226" t="s">
        <v>125</v>
      </c>
      <c r="F3226">
        <v>1</v>
      </c>
      <c r="G3226">
        <v>15.12</v>
      </c>
      <c r="H3226">
        <v>16.95</v>
      </c>
      <c r="I3226" t="s">
        <v>44</v>
      </c>
      <c r="J3226">
        <v>11</v>
      </c>
      <c r="K3226" t="s">
        <v>51</v>
      </c>
      <c r="L3226">
        <v>5</v>
      </c>
      <c r="M3226" t="str">
        <f>VLOOKUP(D3226,State_Lookup!$A$2:$B$28,2,FALSE)</f>
        <v>Santa Catarina</v>
      </c>
    </row>
    <row r="3227" spans="1:13" x14ac:dyDescent="0.45">
      <c r="A3227" t="s">
        <v>3806</v>
      </c>
      <c r="B3227" t="s">
        <v>3802</v>
      </c>
      <c r="C3227" t="s">
        <v>3593</v>
      </c>
      <c r="D3227" t="s">
        <v>16</v>
      </c>
      <c r="E3227" t="s">
        <v>49</v>
      </c>
      <c r="F3227">
        <v>1</v>
      </c>
      <c r="G3227">
        <v>55.9</v>
      </c>
      <c r="H3227">
        <v>13.51</v>
      </c>
      <c r="I3227" t="s">
        <v>44</v>
      </c>
      <c r="J3227">
        <v>5</v>
      </c>
      <c r="K3227" t="s">
        <v>51</v>
      </c>
      <c r="L3227">
        <v>5</v>
      </c>
      <c r="M3227" t="str">
        <f>VLOOKUP(D3227,State_Lookup!$A$2:$B$28,2,FALSE)</f>
        <v>Sao Paulo</v>
      </c>
    </row>
    <row r="3228" spans="1:13" x14ac:dyDescent="0.45">
      <c r="A3228" t="s">
        <v>3807</v>
      </c>
      <c r="B3228" t="s">
        <v>3802</v>
      </c>
      <c r="C3228" t="s">
        <v>3593</v>
      </c>
      <c r="D3228" t="s">
        <v>22</v>
      </c>
      <c r="E3228" t="s">
        <v>107</v>
      </c>
      <c r="F3228">
        <v>1</v>
      </c>
      <c r="G3228">
        <v>234.9</v>
      </c>
      <c r="H3228">
        <v>23.35</v>
      </c>
      <c r="I3228" t="s">
        <v>44</v>
      </c>
      <c r="K3228" t="s">
        <v>45</v>
      </c>
      <c r="L3228">
        <v>1</v>
      </c>
      <c r="M3228" t="str">
        <f>VLOOKUP(D3228,State_Lookup!$A$2:$B$28,2,FALSE)</f>
        <v>Bahia</v>
      </c>
    </row>
    <row r="3229" spans="1:13" x14ac:dyDescent="0.45">
      <c r="A3229" t="s">
        <v>3808</v>
      </c>
      <c r="B3229" t="s">
        <v>3802</v>
      </c>
      <c r="C3229" t="s">
        <v>3593</v>
      </c>
      <c r="D3229" t="s">
        <v>21</v>
      </c>
      <c r="E3229" t="s">
        <v>157</v>
      </c>
      <c r="F3229">
        <v>1</v>
      </c>
      <c r="G3229">
        <v>97.9</v>
      </c>
      <c r="H3229">
        <v>22.4</v>
      </c>
      <c r="I3229" t="s">
        <v>50</v>
      </c>
      <c r="J3229">
        <v>10</v>
      </c>
      <c r="K3229" t="s">
        <v>51</v>
      </c>
      <c r="L3229">
        <v>4</v>
      </c>
      <c r="M3229" t="str">
        <f>VLOOKUP(D3229,State_Lookup!$A$2:$B$28,2,FALSE)</f>
        <v>Santa Catarina</v>
      </c>
    </row>
    <row r="3230" spans="1:13" x14ac:dyDescent="0.45">
      <c r="A3230" t="s">
        <v>3809</v>
      </c>
      <c r="B3230" t="s">
        <v>3802</v>
      </c>
      <c r="C3230" t="s">
        <v>3593</v>
      </c>
      <c r="D3230" t="s">
        <v>19</v>
      </c>
      <c r="E3230" t="s">
        <v>66</v>
      </c>
      <c r="F3230">
        <v>1</v>
      </c>
      <c r="G3230">
        <v>24.07</v>
      </c>
      <c r="H3230">
        <v>15.23</v>
      </c>
      <c r="I3230" t="s">
        <v>44</v>
      </c>
      <c r="J3230">
        <v>16</v>
      </c>
      <c r="K3230" t="s">
        <v>51</v>
      </c>
      <c r="L3230">
        <v>5</v>
      </c>
      <c r="M3230" t="str">
        <f>VLOOKUP(D3230,State_Lookup!$A$2:$B$28,2,FALSE)</f>
        <v>Rio Grande do Sul</v>
      </c>
    </row>
    <row r="3231" spans="1:13" x14ac:dyDescent="0.45">
      <c r="A3231" t="s">
        <v>3810</v>
      </c>
      <c r="B3231" t="s">
        <v>3811</v>
      </c>
      <c r="C3231" t="s">
        <v>3593</v>
      </c>
      <c r="D3231" t="s">
        <v>21</v>
      </c>
      <c r="E3231" t="s">
        <v>142</v>
      </c>
      <c r="F3231">
        <v>1</v>
      </c>
      <c r="G3231">
        <v>89.9</v>
      </c>
      <c r="H3231">
        <v>23.56</v>
      </c>
      <c r="I3231" t="s">
        <v>44</v>
      </c>
      <c r="J3231">
        <v>16</v>
      </c>
      <c r="K3231" t="s">
        <v>51</v>
      </c>
      <c r="L3231">
        <v>4</v>
      </c>
      <c r="M3231" t="str">
        <f>VLOOKUP(D3231,State_Lookup!$A$2:$B$28,2,FALSE)</f>
        <v>Santa Catarina</v>
      </c>
    </row>
    <row r="3232" spans="1:13" x14ac:dyDescent="0.45">
      <c r="A3232" t="s">
        <v>3812</v>
      </c>
      <c r="B3232" t="s">
        <v>3811</v>
      </c>
      <c r="C3232" t="s">
        <v>3593</v>
      </c>
      <c r="D3232" t="s">
        <v>16</v>
      </c>
      <c r="E3232" t="s">
        <v>107</v>
      </c>
      <c r="F3232">
        <v>1</v>
      </c>
      <c r="G3232">
        <v>69.900000000000006</v>
      </c>
      <c r="H3232">
        <v>14.58</v>
      </c>
      <c r="I3232" t="s">
        <v>50</v>
      </c>
      <c r="J3232">
        <v>19</v>
      </c>
      <c r="K3232" t="s">
        <v>143</v>
      </c>
      <c r="L3232">
        <v>4</v>
      </c>
      <c r="M3232" t="str">
        <f>VLOOKUP(D3232,State_Lookup!$A$2:$B$28,2,FALSE)</f>
        <v>Sao Paulo</v>
      </c>
    </row>
    <row r="3233" spans="1:13" x14ac:dyDescent="0.45">
      <c r="A3233" t="s">
        <v>3813</v>
      </c>
      <c r="B3233" t="s">
        <v>3811</v>
      </c>
      <c r="C3233" t="s">
        <v>3593</v>
      </c>
      <c r="D3233" t="s">
        <v>16</v>
      </c>
      <c r="E3233" t="s">
        <v>220</v>
      </c>
      <c r="F3233">
        <v>1</v>
      </c>
      <c r="G3233">
        <v>79.989999999999995</v>
      </c>
      <c r="H3233">
        <v>14.55</v>
      </c>
      <c r="I3233" t="s">
        <v>44</v>
      </c>
      <c r="J3233">
        <v>12</v>
      </c>
      <c r="K3233" t="s">
        <v>51</v>
      </c>
      <c r="L3233">
        <v>1</v>
      </c>
      <c r="M3233" t="str">
        <f>VLOOKUP(D3233,State_Lookup!$A$2:$B$28,2,FALSE)</f>
        <v>Sao Paulo</v>
      </c>
    </row>
    <row r="3234" spans="1:13" x14ac:dyDescent="0.45">
      <c r="A3234" t="s">
        <v>3814</v>
      </c>
      <c r="B3234" t="s">
        <v>3811</v>
      </c>
      <c r="C3234" t="s">
        <v>3593</v>
      </c>
      <c r="D3234" t="s">
        <v>16</v>
      </c>
      <c r="E3234" t="s">
        <v>110</v>
      </c>
      <c r="F3234">
        <v>2</v>
      </c>
      <c r="G3234">
        <v>65.8</v>
      </c>
      <c r="H3234">
        <v>14.78</v>
      </c>
      <c r="I3234" t="s">
        <v>133</v>
      </c>
      <c r="J3234">
        <v>8</v>
      </c>
      <c r="K3234" t="s">
        <v>51</v>
      </c>
      <c r="L3234">
        <v>4</v>
      </c>
      <c r="M3234" t="str">
        <f>VLOOKUP(D3234,State_Lookup!$A$2:$B$28,2,FALSE)</f>
        <v>Sao Paulo</v>
      </c>
    </row>
    <row r="3235" spans="1:13" x14ac:dyDescent="0.45">
      <c r="A3235" t="s">
        <v>3815</v>
      </c>
      <c r="B3235" t="s">
        <v>3811</v>
      </c>
      <c r="C3235" t="s">
        <v>3593</v>
      </c>
      <c r="D3235" t="s">
        <v>17</v>
      </c>
      <c r="E3235" t="s">
        <v>3816</v>
      </c>
      <c r="F3235">
        <v>1</v>
      </c>
      <c r="G3235">
        <v>79.900000000000006</v>
      </c>
      <c r="H3235">
        <v>18.440000000000001</v>
      </c>
      <c r="I3235" t="s">
        <v>44</v>
      </c>
      <c r="J3235">
        <v>10</v>
      </c>
      <c r="K3235" t="s">
        <v>51</v>
      </c>
      <c r="L3235">
        <v>5</v>
      </c>
      <c r="M3235" t="str">
        <f>VLOOKUP(D3235,State_Lookup!$A$2:$B$28,2,FALSE)</f>
        <v>Rio de Janeiro</v>
      </c>
    </row>
    <row r="3236" spans="1:13" x14ac:dyDescent="0.45">
      <c r="A3236" t="s">
        <v>3817</v>
      </c>
      <c r="B3236" t="s">
        <v>3811</v>
      </c>
      <c r="C3236" t="s">
        <v>3593</v>
      </c>
      <c r="D3236" t="s">
        <v>16</v>
      </c>
      <c r="E3236" t="s">
        <v>142</v>
      </c>
      <c r="F3236">
        <v>1</v>
      </c>
      <c r="G3236">
        <v>62.9</v>
      </c>
      <c r="H3236">
        <v>8.8800000000000008</v>
      </c>
      <c r="I3236" t="s">
        <v>44</v>
      </c>
      <c r="J3236">
        <v>4</v>
      </c>
      <c r="K3236" t="s">
        <v>51</v>
      </c>
      <c r="L3236">
        <v>5</v>
      </c>
      <c r="M3236" t="str">
        <f>VLOOKUP(D3236,State_Lookup!$A$2:$B$28,2,FALSE)</f>
        <v>Sao Paulo</v>
      </c>
    </row>
    <row r="3237" spans="1:13" x14ac:dyDescent="0.45">
      <c r="A3237" t="s">
        <v>3818</v>
      </c>
      <c r="B3237" t="s">
        <v>3819</v>
      </c>
      <c r="C3237" t="s">
        <v>3593</v>
      </c>
      <c r="D3237" t="s">
        <v>16</v>
      </c>
      <c r="E3237" t="s">
        <v>79</v>
      </c>
      <c r="F3237">
        <v>1</v>
      </c>
      <c r="G3237">
        <v>9.8000000000000007</v>
      </c>
      <c r="H3237">
        <v>15.23</v>
      </c>
      <c r="I3237" t="s">
        <v>44</v>
      </c>
      <c r="J3237">
        <v>21</v>
      </c>
      <c r="K3237" t="s">
        <v>143</v>
      </c>
      <c r="L3237">
        <v>1</v>
      </c>
      <c r="M3237" t="str">
        <f>VLOOKUP(D3237,State_Lookup!$A$2:$B$28,2,FALSE)</f>
        <v>Sao Paulo</v>
      </c>
    </row>
    <row r="3238" spans="1:13" x14ac:dyDescent="0.45">
      <c r="A3238" t="s">
        <v>3820</v>
      </c>
      <c r="B3238" t="s">
        <v>3819</v>
      </c>
      <c r="C3238" t="s">
        <v>3593</v>
      </c>
      <c r="D3238" t="s">
        <v>18</v>
      </c>
      <c r="E3238" t="s">
        <v>79</v>
      </c>
      <c r="F3238">
        <v>1</v>
      </c>
      <c r="G3238">
        <v>108.99</v>
      </c>
      <c r="H3238">
        <v>24.89</v>
      </c>
      <c r="I3238" t="s">
        <v>44</v>
      </c>
      <c r="J3238">
        <v>20</v>
      </c>
      <c r="K3238" t="s">
        <v>51</v>
      </c>
      <c r="L3238">
        <v>5</v>
      </c>
      <c r="M3238" t="str">
        <f>VLOOKUP(D3238,State_Lookup!$A$2:$B$28,2,FALSE)</f>
        <v>Minas Gerais</v>
      </c>
    </row>
    <row r="3239" spans="1:13" x14ac:dyDescent="0.45">
      <c r="A3239" t="s">
        <v>3821</v>
      </c>
      <c r="B3239" t="s">
        <v>3819</v>
      </c>
      <c r="C3239" t="s">
        <v>3593</v>
      </c>
      <c r="D3239" t="s">
        <v>16</v>
      </c>
      <c r="E3239" t="s">
        <v>260</v>
      </c>
      <c r="F3239">
        <v>1</v>
      </c>
      <c r="G3239">
        <v>70.47</v>
      </c>
      <c r="H3239">
        <v>13.85</v>
      </c>
      <c r="I3239" t="s">
        <v>44</v>
      </c>
      <c r="J3239">
        <v>9</v>
      </c>
      <c r="K3239" t="s">
        <v>51</v>
      </c>
      <c r="L3239">
        <v>4</v>
      </c>
      <c r="M3239" t="str">
        <f>VLOOKUP(D3239,State_Lookup!$A$2:$B$28,2,FALSE)</f>
        <v>Sao Paulo</v>
      </c>
    </row>
    <row r="3240" spans="1:13" x14ac:dyDescent="0.45">
      <c r="A3240" t="s">
        <v>3822</v>
      </c>
      <c r="B3240" t="s">
        <v>3819</v>
      </c>
      <c r="C3240" t="s">
        <v>3593</v>
      </c>
      <c r="D3240" t="s">
        <v>16</v>
      </c>
      <c r="E3240" t="s">
        <v>186</v>
      </c>
      <c r="F3240">
        <v>1</v>
      </c>
      <c r="G3240">
        <v>139.9</v>
      </c>
      <c r="H3240">
        <v>25.63</v>
      </c>
      <c r="I3240" t="s">
        <v>50</v>
      </c>
      <c r="J3240">
        <v>10</v>
      </c>
      <c r="K3240" t="s">
        <v>51</v>
      </c>
      <c r="L3240">
        <v>5</v>
      </c>
      <c r="M3240" t="str">
        <f>VLOOKUP(D3240,State_Lookup!$A$2:$B$28,2,FALSE)</f>
        <v>Sao Paulo</v>
      </c>
    </row>
    <row r="3241" spans="1:13" x14ac:dyDescent="0.45">
      <c r="A3241" t="s">
        <v>3823</v>
      </c>
      <c r="B3241" t="s">
        <v>3819</v>
      </c>
      <c r="C3241" t="s">
        <v>3593</v>
      </c>
      <c r="D3241" t="s">
        <v>17</v>
      </c>
      <c r="E3241" t="s">
        <v>61</v>
      </c>
      <c r="F3241">
        <v>1</v>
      </c>
      <c r="G3241">
        <v>129</v>
      </c>
      <c r="H3241">
        <v>54.65</v>
      </c>
      <c r="I3241" t="s">
        <v>44</v>
      </c>
      <c r="J3241">
        <v>8</v>
      </c>
      <c r="K3241" t="s">
        <v>51</v>
      </c>
      <c r="L3241">
        <v>5</v>
      </c>
      <c r="M3241" t="str">
        <f>VLOOKUP(D3241,State_Lookup!$A$2:$B$28,2,FALSE)</f>
        <v>Rio de Janeiro</v>
      </c>
    </row>
    <row r="3242" spans="1:13" x14ac:dyDescent="0.45">
      <c r="A3242" t="s">
        <v>3824</v>
      </c>
      <c r="B3242" t="s">
        <v>3819</v>
      </c>
      <c r="C3242" t="s">
        <v>3593</v>
      </c>
      <c r="D3242" t="s">
        <v>18</v>
      </c>
      <c r="E3242" t="s">
        <v>43</v>
      </c>
      <c r="F3242">
        <v>2</v>
      </c>
      <c r="G3242">
        <v>33.799999999999997</v>
      </c>
      <c r="H3242">
        <v>44.12</v>
      </c>
      <c r="I3242" t="s">
        <v>44</v>
      </c>
      <c r="J3242">
        <v>14</v>
      </c>
      <c r="K3242" t="s">
        <v>51</v>
      </c>
      <c r="L3242">
        <v>4</v>
      </c>
      <c r="M3242" t="str">
        <f>VLOOKUP(D3242,State_Lookup!$A$2:$B$28,2,FALSE)</f>
        <v>Minas Gerais</v>
      </c>
    </row>
    <row r="3243" spans="1:13" x14ac:dyDescent="0.45">
      <c r="A3243" t="s">
        <v>3825</v>
      </c>
      <c r="B3243" t="s">
        <v>3819</v>
      </c>
      <c r="C3243" t="s">
        <v>3593</v>
      </c>
      <c r="D3243" t="s">
        <v>20</v>
      </c>
      <c r="E3243" t="s">
        <v>110</v>
      </c>
      <c r="F3243">
        <v>1</v>
      </c>
      <c r="G3243">
        <v>52.9</v>
      </c>
      <c r="H3243">
        <v>22.95</v>
      </c>
      <c r="I3243" t="s">
        <v>50</v>
      </c>
      <c r="J3243">
        <v>26</v>
      </c>
      <c r="K3243" t="s">
        <v>143</v>
      </c>
      <c r="L3243">
        <v>2</v>
      </c>
      <c r="M3243" t="str">
        <f>VLOOKUP(D3243,State_Lookup!$A$2:$B$28,2,FALSE)</f>
        <v>Parana</v>
      </c>
    </row>
    <row r="3244" spans="1:13" x14ac:dyDescent="0.45">
      <c r="A3244" t="s">
        <v>3826</v>
      </c>
      <c r="B3244" t="s">
        <v>3819</v>
      </c>
      <c r="C3244" t="s">
        <v>3593</v>
      </c>
      <c r="D3244" t="s">
        <v>18</v>
      </c>
      <c r="E3244" t="s">
        <v>61</v>
      </c>
      <c r="F3244">
        <v>1</v>
      </c>
      <c r="G3244">
        <v>51.99</v>
      </c>
      <c r="H3244">
        <v>13.48</v>
      </c>
      <c r="I3244" t="s">
        <v>44</v>
      </c>
      <c r="J3244">
        <v>4</v>
      </c>
      <c r="K3244" t="s">
        <v>51</v>
      </c>
      <c r="L3244">
        <v>3</v>
      </c>
      <c r="M3244" t="str">
        <f>VLOOKUP(D3244,State_Lookup!$A$2:$B$28,2,FALSE)</f>
        <v>Minas Gerais</v>
      </c>
    </row>
    <row r="3245" spans="1:13" x14ac:dyDescent="0.45">
      <c r="A3245" t="s">
        <v>3827</v>
      </c>
      <c r="B3245" t="s">
        <v>3819</v>
      </c>
      <c r="C3245" t="s">
        <v>3593</v>
      </c>
      <c r="D3245" t="s">
        <v>17</v>
      </c>
      <c r="E3245" t="s">
        <v>66</v>
      </c>
      <c r="F3245">
        <v>1</v>
      </c>
      <c r="G3245">
        <v>24.98</v>
      </c>
      <c r="H3245">
        <v>15.23</v>
      </c>
      <c r="I3245" t="s">
        <v>50</v>
      </c>
      <c r="J3245">
        <v>8</v>
      </c>
      <c r="K3245" t="s">
        <v>51</v>
      </c>
      <c r="L3245">
        <v>5</v>
      </c>
      <c r="M3245" t="str">
        <f>VLOOKUP(D3245,State_Lookup!$A$2:$B$28,2,FALSE)</f>
        <v>Rio de Janeiro</v>
      </c>
    </row>
    <row r="3246" spans="1:13" x14ac:dyDescent="0.45">
      <c r="A3246" t="s">
        <v>3828</v>
      </c>
      <c r="B3246" t="s">
        <v>3819</v>
      </c>
      <c r="C3246" t="s">
        <v>3593</v>
      </c>
      <c r="D3246" t="s">
        <v>21</v>
      </c>
      <c r="E3246" t="s">
        <v>157</v>
      </c>
      <c r="F3246">
        <v>1</v>
      </c>
      <c r="G3246">
        <v>219</v>
      </c>
      <c r="H3246">
        <v>24.11</v>
      </c>
      <c r="I3246" t="s">
        <v>44</v>
      </c>
      <c r="J3246">
        <v>21</v>
      </c>
      <c r="K3246" t="s">
        <v>51</v>
      </c>
      <c r="L3246">
        <v>3</v>
      </c>
      <c r="M3246" t="str">
        <f>VLOOKUP(D3246,State_Lookup!$A$2:$B$28,2,FALSE)</f>
        <v>Santa Catarina</v>
      </c>
    </row>
    <row r="3247" spans="1:13" x14ac:dyDescent="0.45">
      <c r="A3247" t="s">
        <v>3829</v>
      </c>
      <c r="B3247" t="s">
        <v>3819</v>
      </c>
      <c r="C3247" t="s">
        <v>3593</v>
      </c>
      <c r="D3247" t="s">
        <v>16</v>
      </c>
      <c r="E3247" t="s">
        <v>142</v>
      </c>
      <c r="F3247">
        <v>1</v>
      </c>
      <c r="G3247">
        <v>47.19</v>
      </c>
      <c r="H3247">
        <v>11.15</v>
      </c>
      <c r="I3247" t="s">
        <v>44</v>
      </c>
      <c r="J3247">
        <v>6</v>
      </c>
      <c r="K3247" t="s">
        <v>51</v>
      </c>
      <c r="L3247">
        <v>5</v>
      </c>
      <c r="M3247" t="str">
        <f>VLOOKUP(D3247,State_Lookup!$A$2:$B$28,2,FALSE)</f>
        <v>Sao Paulo</v>
      </c>
    </row>
    <row r="3248" spans="1:13" x14ac:dyDescent="0.45">
      <c r="A3248" t="s">
        <v>3830</v>
      </c>
      <c r="B3248" t="s">
        <v>3819</v>
      </c>
      <c r="C3248" t="s">
        <v>3593</v>
      </c>
      <c r="D3248" t="s">
        <v>63</v>
      </c>
      <c r="E3248" t="s">
        <v>49</v>
      </c>
      <c r="F3248">
        <v>1</v>
      </c>
      <c r="G3248">
        <v>255</v>
      </c>
      <c r="H3248">
        <v>40.01</v>
      </c>
      <c r="I3248" t="s">
        <v>44</v>
      </c>
      <c r="J3248">
        <v>15</v>
      </c>
      <c r="K3248" t="s">
        <v>51</v>
      </c>
      <c r="L3248">
        <v>5</v>
      </c>
      <c r="M3248" t="str">
        <f>VLOOKUP(D3248,State_Lookup!$A$2:$B$28,2,FALSE)</f>
        <v>Pernambuco</v>
      </c>
    </row>
    <row r="3249" spans="1:13" x14ac:dyDescent="0.45">
      <c r="A3249" t="s">
        <v>3831</v>
      </c>
      <c r="B3249" t="s">
        <v>3819</v>
      </c>
      <c r="C3249" t="s">
        <v>3593</v>
      </c>
      <c r="D3249" t="s">
        <v>16</v>
      </c>
      <c r="E3249" t="s">
        <v>49</v>
      </c>
      <c r="F3249">
        <v>1</v>
      </c>
      <c r="G3249">
        <v>59.9</v>
      </c>
      <c r="H3249">
        <v>13.78</v>
      </c>
      <c r="I3249" t="s">
        <v>44</v>
      </c>
      <c r="J3249">
        <v>17</v>
      </c>
      <c r="K3249" t="s">
        <v>51</v>
      </c>
      <c r="L3249">
        <v>4</v>
      </c>
      <c r="M3249" t="str">
        <f>VLOOKUP(D3249,State_Lookup!$A$2:$B$28,2,FALSE)</f>
        <v>Sao Paulo</v>
      </c>
    </row>
    <row r="3250" spans="1:13" x14ac:dyDescent="0.45">
      <c r="A3250" t="s">
        <v>3832</v>
      </c>
      <c r="B3250" t="s">
        <v>3819</v>
      </c>
      <c r="C3250" t="s">
        <v>3593</v>
      </c>
      <c r="D3250" t="s">
        <v>23</v>
      </c>
      <c r="E3250" t="s">
        <v>157</v>
      </c>
      <c r="F3250">
        <v>1</v>
      </c>
      <c r="G3250">
        <v>115</v>
      </c>
      <c r="H3250">
        <v>18.690000000000001</v>
      </c>
      <c r="I3250" t="s">
        <v>133</v>
      </c>
      <c r="J3250">
        <v>19</v>
      </c>
      <c r="K3250" t="s">
        <v>51</v>
      </c>
      <c r="L3250">
        <v>5</v>
      </c>
      <c r="M3250" t="str">
        <f>VLOOKUP(D3250,State_Lookup!$A$2:$B$28,2,FALSE)</f>
        <v>Espirito Santo</v>
      </c>
    </row>
    <row r="3251" spans="1:13" x14ac:dyDescent="0.45">
      <c r="A3251" t="s">
        <v>3833</v>
      </c>
      <c r="B3251" t="s">
        <v>3819</v>
      </c>
      <c r="C3251" t="s">
        <v>3593</v>
      </c>
      <c r="D3251" t="s">
        <v>16</v>
      </c>
      <c r="E3251" t="s">
        <v>157</v>
      </c>
      <c r="F3251">
        <v>2</v>
      </c>
      <c r="G3251">
        <v>78.900000000000006</v>
      </c>
      <c r="H3251">
        <v>24.64</v>
      </c>
      <c r="I3251" t="s">
        <v>50</v>
      </c>
      <c r="J3251">
        <v>3</v>
      </c>
      <c r="K3251" t="s">
        <v>51</v>
      </c>
      <c r="L3251">
        <v>1</v>
      </c>
      <c r="M3251" t="str">
        <f>VLOOKUP(D3251,State_Lookup!$A$2:$B$28,2,FALSE)</f>
        <v>Sao Paulo</v>
      </c>
    </row>
    <row r="3252" spans="1:13" x14ac:dyDescent="0.45">
      <c r="A3252" t="s">
        <v>3834</v>
      </c>
      <c r="B3252" t="s">
        <v>3819</v>
      </c>
      <c r="C3252" t="s">
        <v>3593</v>
      </c>
      <c r="D3252" t="s">
        <v>19</v>
      </c>
      <c r="E3252" t="s">
        <v>61</v>
      </c>
      <c r="F3252">
        <v>1</v>
      </c>
      <c r="G3252">
        <v>84.89</v>
      </c>
      <c r="H3252">
        <v>18.47</v>
      </c>
      <c r="I3252" t="s">
        <v>50</v>
      </c>
      <c r="J3252">
        <v>18</v>
      </c>
      <c r="K3252" t="s">
        <v>51</v>
      </c>
      <c r="L3252">
        <v>5</v>
      </c>
      <c r="M3252" t="str">
        <f>VLOOKUP(D3252,State_Lookup!$A$2:$B$28,2,FALSE)</f>
        <v>Rio Grande do Sul</v>
      </c>
    </row>
    <row r="3253" spans="1:13" x14ac:dyDescent="0.45">
      <c r="A3253" t="s">
        <v>3835</v>
      </c>
      <c r="B3253" t="s">
        <v>3819</v>
      </c>
      <c r="C3253" t="s">
        <v>3593</v>
      </c>
      <c r="D3253" t="s">
        <v>16</v>
      </c>
      <c r="E3253" t="s">
        <v>142</v>
      </c>
      <c r="F3253">
        <v>4</v>
      </c>
      <c r="G3253">
        <v>139.6</v>
      </c>
      <c r="H3253">
        <v>51.84</v>
      </c>
      <c r="I3253" t="s">
        <v>50</v>
      </c>
      <c r="J3253">
        <v>3</v>
      </c>
      <c r="K3253" t="s">
        <v>51</v>
      </c>
      <c r="L3253">
        <v>5</v>
      </c>
      <c r="M3253" t="str">
        <f>VLOOKUP(D3253,State_Lookup!$A$2:$B$28,2,FALSE)</f>
        <v>Sao Paulo</v>
      </c>
    </row>
    <row r="3254" spans="1:13" x14ac:dyDescent="0.45">
      <c r="A3254" t="s">
        <v>3836</v>
      </c>
      <c r="B3254" t="s">
        <v>3819</v>
      </c>
      <c r="C3254" t="s">
        <v>3593</v>
      </c>
      <c r="D3254" t="s">
        <v>16</v>
      </c>
      <c r="E3254" t="s">
        <v>192</v>
      </c>
      <c r="F3254">
        <v>1</v>
      </c>
      <c r="G3254">
        <v>46.9</v>
      </c>
      <c r="H3254">
        <v>12.79</v>
      </c>
      <c r="I3254" t="s">
        <v>44</v>
      </c>
      <c r="J3254">
        <v>8</v>
      </c>
      <c r="K3254" t="s">
        <v>51</v>
      </c>
      <c r="L3254">
        <v>5</v>
      </c>
      <c r="M3254" t="str">
        <f>VLOOKUP(D3254,State_Lookup!$A$2:$B$28,2,FALSE)</f>
        <v>Sao Paulo</v>
      </c>
    </row>
    <row r="3255" spans="1:13" x14ac:dyDescent="0.45">
      <c r="A3255" t="s">
        <v>3837</v>
      </c>
      <c r="B3255" t="s">
        <v>3819</v>
      </c>
      <c r="C3255" t="s">
        <v>3593</v>
      </c>
      <c r="D3255" t="s">
        <v>17</v>
      </c>
      <c r="E3255" t="s">
        <v>64</v>
      </c>
      <c r="F3255">
        <v>1</v>
      </c>
      <c r="G3255">
        <v>8.9</v>
      </c>
      <c r="H3255">
        <v>18.23</v>
      </c>
      <c r="I3255" t="s">
        <v>44</v>
      </c>
      <c r="J3255">
        <v>17</v>
      </c>
      <c r="K3255" t="s">
        <v>51</v>
      </c>
      <c r="L3255">
        <v>5</v>
      </c>
      <c r="M3255" t="str">
        <f>VLOOKUP(D3255,State_Lookup!$A$2:$B$28,2,FALSE)</f>
        <v>Rio de Janeiro</v>
      </c>
    </row>
    <row r="3256" spans="1:13" x14ac:dyDescent="0.45">
      <c r="A3256" t="s">
        <v>3838</v>
      </c>
      <c r="B3256" t="s">
        <v>3839</v>
      </c>
      <c r="C3256" t="s">
        <v>3593</v>
      </c>
      <c r="D3256" t="s">
        <v>16</v>
      </c>
      <c r="E3256" t="s">
        <v>366</v>
      </c>
      <c r="F3256">
        <v>1</v>
      </c>
      <c r="G3256">
        <v>157.5</v>
      </c>
      <c r="H3256">
        <v>9.4</v>
      </c>
      <c r="I3256" t="s">
        <v>44</v>
      </c>
      <c r="J3256">
        <v>3</v>
      </c>
      <c r="K3256" t="s">
        <v>51</v>
      </c>
      <c r="L3256">
        <v>5</v>
      </c>
      <c r="M3256" t="str">
        <f>VLOOKUP(D3256,State_Lookup!$A$2:$B$28,2,FALSE)</f>
        <v>Sao Paulo</v>
      </c>
    </row>
    <row r="3257" spans="1:13" x14ac:dyDescent="0.45">
      <c r="A3257" t="s">
        <v>3840</v>
      </c>
      <c r="B3257" t="s">
        <v>3839</v>
      </c>
      <c r="C3257" t="s">
        <v>3593</v>
      </c>
      <c r="D3257" t="s">
        <v>18</v>
      </c>
      <c r="E3257" t="s">
        <v>49</v>
      </c>
      <c r="F3257">
        <v>1</v>
      </c>
      <c r="G3257">
        <v>59.99</v>
      </c>
      <c r="H3257">
        <v>16.39</v>
      </c>
      <c r="I3257" t="s">
        <v>50</v>
      </c>
      <c r="J3257">
        <v>23</v>
      </c>
      <c r="K3257" t="s">
        <v>143</v>
      </c>
      <c r="L3257">
        <v>4</v>
      </c>
      <c r="M3257" t="str">
        <f>VLOOKUP(D3257,State_Lookup!$A$2:$B$28,2,FALSE)</f>
        <v>Minas Gerais</v>
      </c>
    </row>
    <row r="3258" spans="1:13" x14ac:dyDescent="0.45">
      <c r="A3258" t="s">
        <v>3841</v>
      </c>
      <c r="B3258" t="s">
        <v>3839</v>
      </c>
      <c r="C3258" t="s">
        <v>3593</v>
      </c>
      <c r="D3258" t="s">
        <v>19</v>
      </c>
      <c r="E3258" t="s">
        <v>43</v>
      </c>
      <c r="F3258">
        <v>1</v>
      </c>
      <c r="G3258">
        <v>70</v>
      </c>
      <c r="H3258">
        <v>23.07</v>
      </c>
      <c r="I3258" t="s">
        <v>50</v>
      </c>
      <c r="J3258">
        <v>13</v>
      </c>
      <c r="K3258" t="s">
        <v>51</v>
      </c>
      <c r="L3258">
        <v>5</v>
      </c>
      <c r="M3258" t="str">
        <f>VLOOKUP(D3258,State_Lookup!$A$2:$B$28,2,FALSE)</f>
        <v>Rio Grande do Sul</v>
      </c>
    </row>
    <row r="3259" spans="1:13" x14ac:dyDescent="0.45">
      <c r="A3259" t="s">
        <v>3842</v>
      </c>
      <c r="B3259" t="s">
        <v>3839</v>
      </c>
      <c r="C3259" t="s">
        <v>3593</v>
      </c>
      <c r="D3259" t="s">
        <v>16</v>
      </c>
      <c r="E3259" t="s">
        <v>61</v>
      </c>
      <c r="F3259">
        <v>1</v>
      </c>
      <c r="G3259">
        <v>299.99</v>
      </c>
      <c r="H3259">
        <v>28.96</v>
      </c>
      <c r="I3259" t="s">
        <v>50</v>
      </c>
      <c r="J3259">
        <v>8</v>
      </c>
      <c r="K3259" t="s">
        <v>51</v>
      </c>
      <c r="L3259">
        <v>4</v>
      </c>
      <c r="M3259" t="str">
        <f>VLOOKUP(D3259,State_Lookup!$A$2:$B$28,2,FALSE)</f>
        <v>Sao Paulo</v>
      </c>
    </row>
    <row r="3260" spans="1:13" x14ac:dyDescent="0.45">
      <c r="A3260" t="s">
        <v>3843</v>
      </c>
      <c r="B3260" t="s">
        <v>3839</v>
      </c>
      <c r="C3260" t="s">
        <v>3593</v>
      </c>
      <c r="D3260" t="s">
        <v>17</v>
      </c>
      <c r="E3260" t="s">
        <v>79</v>
      </c>
      <c r="F3260">
        <v>1</v>
      </c>
      <c r="G3260">
        <v>19.899999999999999</v>
      </c>
      <c r="H3260">
        <v>17.059999999999999</v>
      </c>
      <c r="I3260" t="s">
        <v>44</v>
      </c>
      <c r="J3260">
        <v>9</v>
      </c>
      <c r="K3260" t="s">
        <v>51</v>
      </c>
      <c r="L3260">
        <v>5</v>
      </c>
      <c r="M3260" t="str">
        <f>VLOOKUP(D3260,State_Lookup!$A$2:$B$28,2,FALSE)</f>
        <v>Rio de Janeiro</v>
      </c>
    </row>
    <row r="3261" spans="1:13" x14ac:dyDescent="0.45">
      <c r="A3261" t="s">
        <v>3844</v>
      </c>
      <c r="B3261" t="s">
        <v>3839</v>
      </c>
      <c r="C3261" t="s">
        <v>3593</v>
      </c>
      <c r="D3261" t="s">
        <v>18</v>
      </c>
      <c r="E3261" t="s">
        <v>43</v>
      </c>
      <c r="F3261">
        <v>1</v>
      </c>
      <c r="G3261">
        <v>79.989999999999995</v>
      </c>
      <c r="H3261">
        <v>23.14</v>
      </c>
      <c r="I3261" t="s">
        <v>44</v>
      </c>
      <c r="J3261">
        <v>16</v>
      </c>
      <c r="K3261" t="s">
        <v>51</v>
      </c>
      <c r="L3261">
        <v>5</v>
      </c>
      <c r="M3261" t="str">
        <f>VLOOKUP(D3261,State_Lookup!$A$2:$B$28,2,FALSE)</f>
        <v>Minas Gerais</v>
      </c>
    </row>
    <row r="3262" spans="1:13" x14ac:dyDescent="0.45">
      <c r="A3262" t="s">
        <v>3845</v>
      </c>
      <c r="B3262" t="s">
        <v>3839</v>
      </c>
      <c r="C3262" t="s">
        <v>3593</v>
      </c>
      <c r="D3262" t="s">
        <v>16</v>
      </c>
      <c r="E3262" t="s">
        <v>64</v>
      </c>
      <c r="F3262">
        <v>2</v>
      </c>
      <c r="G3262">
        <v>67.599999999999994</v>
      </c>
      <c r="H3262">
        <v>25.57</v>
      </c>
      <c r="I3262" t="s">
        <v>44</v>
      </c>
      <c r="J3262">
        <v>6</v>
      </c>
      <c r="K3262" t="s">
        <v>51</v>
      </c>
      <c r="L3262">
        <v>5</v>
      </c>
      <c r="M3262" t="str">
        <f>VLOOKUP(D3262,State_Lookup!$A$2:$B$28,2,FALSE)</f>
        <v>Sao Paulo</v>
      </c>
    </row>
    <row r="3263" spans="1:13" x14ac:dyDescent="0.45">
      <c r="A3263" t="s">
        <v>3846</v>
      </c>
      <c r="B3263" t="s">
        <v>3839</v>
      </c>
      <c r="C3263" t="s">
        <v>3593</v>
      </c>
      <c r="D3263" t="s">
        <v>16</v>
      </c>
      <c r="E3263" t="s">
        <v>107</v>
      </c>
      <c r="F3263">
        <v>1</v>
      </c>
      <c r="G3263">
        <v>17</v>
      </c>
      <c r="H3263">
        <v>8.8800000000000008</v>
      </c>
      <c r="I3263" t="s">
        <v>50</v>
      </c>
      <c r="J3263">
        <v>3</v>
      </c>
      <c r="K3263" t="s">
        <v>51</v>
      </c>
      <c r="L3263">
        <v>5</v>
      </c>
      <c r="M3263" t="str">
        <f>VLOOKUP(D3263,State_Lookup!$A$2:$B$28,2,FALSE)</f>
        <v>Sao Paulo</v>
      </c>
    </row>
    <row r="3264" spans="1:13" x14ac:dyDescent="0.45">
      <c r="A3264" t="s">
        <v>3847</v>
      </c>
      <c r="B3264" t="s">
        <v>3839</v>
      </c>
      <c r="C3264" t="s">
        <v>3593</v>
      </c>
      <c r="D3264" t="s">
        <v>21</v>
      </c>
      <c r="E3264" t="s">
        <v>61</v>
      </c>
      <c r="F3264">
        <v>1</v>
      </c>
      <c r="G3264">
        <v>50.99</v>
      </c>
      <c r="H3264">
        <v>22.07</v>
      </c>
      <c r="I3264" t="s">
        <v>44</v>
      </c>
      <c r="J3264">
        <v>7</v>
      </c>
      <c r="K3264" t="s">
        <v>51</v>
      </c>
      <c r="L3264">
        <v>5</v>
      </c>
      <c r="M3264" t="str">
        <f>VLOOKUP(D3264,State_Lookup!$A$2:$B$28,2,FALSE)</f>
        <v>Santa Catarina</v>
      </c>
    </row>
    <row r="3265" spans="1:13" x14ac:dyDescent="0.45">
      <c r="A3265" t="s">
        <v>3848</v>
      </c>
      <c r="B3265" t="s">
        <v>3849</v>
      </c>
      <c r="C3265" t="s">
        <v>3593</v>
      </c>
      <c r="D3265" t="s">
        <v>17</v>
      </c>
      <c r="E3265" t="s">
        <v>302</v>
      </c>
      <c r="F3265">
        <v>1</v>
      </c>
      <c r="G3265">
        <v>59</v>
      </c>
      <c r="H3265">
        <v>15.29</v>
      </c>
      <c r="I3265" t="s">
        <v>44</v>
      </c>
      <c r="J3265">
        <v>35</v>
      </c>
      <c r="K3265" t="s">
        <v>51</v>
      </c>
      <c r="L3265">
        <v>4</v>
      </c>
      <c r="M3265" t="str">
        <f>VLOOKUP(D3265,State_Lookup!$A$2:$B$28,2,FALSE)</f>
        <v>Rio de Janeiro</v>
      </c>
    </row>
    <row r="3266" spans="1:13" x14ac:dyDescent="0.45">
      <c r="A3266" t="s">
        <v>3850</v>
      </c>
      <c r="B3266" t="s">
        <v>3849</v>
      </c>
      <c r="C3266" t="s">
        <v>3593</v>
      </c>
      <c r="D3266" t="s">
        <v>16</v>
      </c>
      <c r="E3266" t="s">
        <v>66</v>
      </c>
      <c r="F3266">
        <v>1</v>
      </c>
      <c r="G3266">
        <v>989</v>
      </c>
      <c r="H3266">
        <v>13.79</v>
      </c>
      <c r="I3266" t="s">
        <v>44</v>
      </c>
      <c r="J3266">
        <v>33</v>
      </c>
      <c r="K3266" t="s">
        <v>143</v>
      </c>
      <c r="L3266">
        <v>1</v>
      </c>
      <c r="M3266" t="str">
        <f>VLOOKUP(D3266,State_Lookup!$A$2:$B$28,2,FALSE)</f>
        <v>Sao Paulo</v>
      </c>
    </row>
    <row r="3267" spans="1:13" x14ac:dyDescent="0.45">
      <c r="A3267" t="s">
        <v>3851</v>
      </c>
      <c r="B3267" t="s">
        <v>3849</v>
      </c>
      <c r="C3267" t="s">
        <v>3593</v>
      </c>
      <c r="D3267" t="s">
        <v>16</v>
      </c>
      <c r="E3267" t="s">
        <v>43</v>
      </c>
      <c r="F3267">
        <v>1</v>
      </c>
      <c r="G3267">
        <v>17.899999999999999</v>
      </c>
      <c r="H3267">
        <v>15.23</v>
      </c>
      <c r="I3267" t="s">
        <v>133</v>
      </c>
      <c r="J3267">
        <v>7</v>
      </c>
      <c r="K3267" t="s">
        <v>51</v>
      </c>
      <c r="L3267">
        <v>4</v>
      </c>
      <c r="M3267" t="str">
        <f>VLOOKUP(D3267,State_Lookup!$A$2:$B$28,2,FALSE)</f>
        <v>Sao Paulo</v>
      </c>
    </row>
    <row r="3268" spans="1:13" x14ac:dyDescent="0.45">
      <c r="A3268" t="s">
        <v>3852</v>
      </c>
      <c r="B3268" t="s">
        <v>3849</v>
      </c>
      <c r="C3268" t="s">
        <v>3593</v>
      </c>
      <c r="D3268" t="s">
        <v>17</v>
      </c>
      <c r="E3268" t="s">
        <v>340</v>
      </c>
      <c r="F3268">
        <v>1</v>
      </c>
      <c r="G3268">
        <v>119</v>
      </c>
      <c r="H3268">
        <v>40.9</v>
      </c>
      <c r="I3268" t="s">
        <v>44</v>
      </c>
      <c r="J3268">
        <v>46</v>
      </c>
      <c r="K3268" t="s">
        <v>143</v>
      </c>
      <c r="L3268">
        <v>1</v>
      </c>
      <c r="M3268" t="str">
        <f>VLOOKUP(D3268,State_Lookup!$A$2:$B$28,2,FALSE)</f>
        <v>Rio de Janeiro</v>
      </c>
    </row>
    <row r="3269" spans="1:13" x14ac:dyDescent="0.45">
      <c r="A3269" t="s">
        <v>3853</v>
      </c>
      <c r="B3269" t="s">
        <v>3849</v>
      </c>
      <c r="C3269" t="s">
        <v>3593</v>
      </c>
      <c r="D3269" t="s">
        <v>16</v>
      </c>
      <c r="E3269" t="s">
        <v>220</v>
      </c>
      <c r="F3269">
        <v>1</v>
      </c>
      <c r="G3269">
        <v>179.9</v>
      </c>
      <c r="H3269">
        <v>30.38</v>
      </c>
      <c r="I3269" t="s">
        <v>44</v>
      </c>
      <c r="J3269">
        <v>23</v>
      </c>
      <c r="K3269" t="s">
        <v>51</v>
      </c>
      <c r="L3269">
        <v>4</v>
      </c>
      <c r="M3269" t="str">
        <f>VLOOKUP(D3269,State_Lookup!$A$2:$B$28,2,FALSE)</f>
        <v>Sao Paulo</v>
      </c>
    </row>
    <row r="3270" spans="1:13" x14ac:dyDescent="0.45">
      <c r="A3270" t="s">
        <v>3854</v>
      </c>
      <c r="B3270" t="s">
        <v>3849</v>
      </c>
      <c r="C3270" t="s">
        <v>3593</v>
      </c>
      <c r="D3270" t="s">
        <v>18</v>
      </c>
      <c r="E3270" t="s">
        <v>69</v>
      </c>
      <c r="F3270">
        <v>1</v>
      </c>
      <c r="G3270">
        <v>55</v>
      </c>
      <c r="H3270">
        <v>19.36</v>
      </c>
      <c r="I3270" t="s">
        <v>50</v>
      </c>
      <c r="J3270">
        <v>14</v>
      </c>
      <c r="K3270" t="s">
        <v>51</v>
      </c>
      <c r="L3270">
        <v>5</v>
      </c>
      <c r="M3270" t="str">
        <f>VLOOKUP(D3270,State_Lookup!$A$2:$B$28,2,FALSE)</f>
        <v>Minas Gerais</v>
      </c>
    </row>
    <row r="3271" spans="1:13" x14ac:dyDescent="0.45">
      <c r="A3271" t="s">
        <v>3855</v>
      </c>
      <c r="B3271" t="s">
        <v>3849</v>
      </c>
      <c r="C3271" t="s">
        <v>3593</v>
      </c>
      <c r="D3271" t="s">
        <v>19</v>
      </c>
      <c r="E3271" t="s">
        <v>49</v>
      </c>
      <c r="F3271">
        <v>1</v>
      </c>
      <c r="G3271">
        <v>149.9</v>
      </c>
      <c r="H3271">
        <v>23.63</v>
      </c>
      <c r="I3271" t="s">
        <v>50</v>
      </c>
      <c r="J3271">
        <v>24</v>
      </c>
      <c r="K3271" t="s">
        <v>51</v>
      </c>
      <c r="L3271">
        <v>3</v>
      </c>
      <c r="M3271" t="str">
        <f>VLOOKUP(D3271,State_Lookup!$A$2:$B$28,2,FALSE)</f>
        <v>Rio Grande do Sul</v>
      </c>
    </row>
    <row r="3272" spans="1:13" x14ac:dyDescent="0.45">
      <c r="A3272" t="s">
        <v>3856</v>
      </c>
      <c r="B3272" t="s">
        <v>3849</v>
      </c>
      <c r="C3272" t="s">
        <v>3593</v>
      </c>
      <c r="D3272" t="s">
        <v>16</v>
      </c>
      <c r="E3272" t="s">
        <v>267</v>
      </c>
      <c r="F3272">
        <v>1</v>
      </c>
      <c r="G3272">
        <v>24.9</v>
      </c>
      <c r="H3272">
        <v>12.79</v>
      </c>
      <c r="I3272" t="s">
        <v>44</v>
      </c>
      <c r="J3272">
        <v>16</v>
      </c>
      <c r="K3272" t="s">
        <v>51</v>
      </c>
      <c r="L3272">
        <v>5</v>
      </c>
      <c r="M3272" t="str">
        <f>VLOOKUP(D3272,State_Lookup!$A$2:$B$28,2,FALSE)</f>
        <v>Sao Paulo</v>
      </c>
    </row>
    <row r="3273" spans="1:13" x14ac:dyDescent="0.45">
      <c r="A3273" t="s">
        <v>3857</v>
      </c>
      <c r="B3273" t="s">
        <v>3849</v>
      </c>
      <c r="C3273" t="s">
        <v>3593</v>
      </c>
      <c r="D3273" t="s">
        <v>21</v>
      </c>
      <c r="E3273" t="s">
        <v>132</v>
      </c>
      <c r="F3273">
        <v>1</v>
      </c>
      <c r="G3273">
        <v>29.99</v>
      </c>
      <c r="H3273">
        <v>15.23</v>
      </c>
      <c r="I3273" t="s">
        <v>44</v>
      </c>
      <c r="J3273">
        <v>5</v>
      </c>
      <c r="K3273" t="s">
        <v>51</v>
      </c>
      <c r="L3273">
        <v>4</v>
      </c>
      <c r="M3273" t="str">
        <f>VLOOKUP(D3273,State_Lookup!$A$2:$B$28,2,FALSE)</f>
        <v>Santa Catarina</v>
      </c>
    </row>
    <row r="3274" spans="1:13" x14ac:dyDescent="0.45">
      <c r="A3274" t="s">
        <v>3858</v>
      </c>
      <c r="B3274" t="s">
        <v>3849</v>
      </c>
      <c r="C3274" t="s">
        <v>3593</v>
      </c>
      <c r="D3274" t="s">
        <v>19</v>
      </c>
      <c r="E3274" t="s">
        <v>66</v>
      </c>
      <c r="F3274">
        <v>1</v>
      </c>
      <c r="G3274">
        <v>23.99</v>
      </c>
      <c r="H3274">
        <v>18.23</v>
      </c>
      <c r="I3274" t="s">
        <v>44</v>
      </c>
      <c r="J3274">
        <v>8</v>
      </c>
      <c r="K3274" t="s">
        <v>51</v>
      </c>
      <c r="L3274">
        <v>5</v>
      </c>
      <c r="M3274" t="str">
        <f>VLOOKUP(D3274,State_Lookup!$A$2:$B$28,2,FALSE)</f>
        <v>Rio Grande do Sul</v>
      </c>
    </row>
    <row r="3275" spans="1:13" x14ac:dyDescent="0.45">
      <c r="A3275" t="s">
        <v>3859</v>
      </c>
      <c r="B3275" t="s">
        <v>3849</v>
      </c>
      <c r="C3275" t="s">
        <v>3593</v>
      </c>
      <c r="D3275" t="s">
        <v>16</v>
      </c>
      <c r="E3275" t="s">
        <v>267</v>
      </c>
      <c r="F3275">
        <v>1</v>
      </c>
      <c r="G3275">
        <v>233.99</v>
      </c>
      <c r="H3275">
        <v>49.5</v>
      </c>
      <c r="I3275" t="s">
        <v>44</v>
      </c>
      <c r="J3275">
        <v>6</v>
      </c>
      <c r="K3275" t="s">
        <v>51</v>
      </c>
      <c r="L3275">
        <v>3</v>
      </c>
      <c r="M3275" t="str">
        <f>VLOOKUP(D3275,State_Lookup!$A$2:$B$28,2,FALSE)</f>
        <v>Sao Paulo</v>
      </c>
    </row>
    <row r="3276" spans="1:13" x14ac:dyDescent="0.45">
      <c r="A3276" t="s">
        <v>3860</v>
      </c>
      <c r="B3276" t="s">
        <v>3849</v>
      </c>
      <c r="C3276" t="s">
        <v>3593</v>
      </c>
      <c r="D3276" t="s">
        <v>17</v>
      </c>
      <c r="E3276" t="s">
        <v>142</v>
      </c>
      <c r="F3276">
        <v>2</v>
      </c>
      <c r="G3276">
        <v>237</v>
      </c>
      <c r="H3276">
        <v>61.28</v>
      </c>
      <c r="I3276" t="s">
        <v>44</v>
      </c>
      <c r="J3276">
        <v>7</v>
      </c>
      <c r="K3276" t="s">
        <v>51</v>
      </c>
      <c r="L3276">
        <v>1</v>
      </c>
      <c r="M3276" t="str">
        <f>VLOOKUP(D3276,State_Lookup!$A$2:$B$28,2,FALSE)</f>
        <v>Rio de Janeiro</v>
      </c>
    </row>
    <row r="3277" spans="1:13" x14ac:dyDescent="0.45">
      <c r="A3277" t="s">
        <v>3861</v>
      </c>
      <c r="B3277" t="s">
        <v>3849</v>
      </c>
      <c r="C3277" t="s">
        <v>3593</v>
      </c>
      <c r="D3277" t="s">
        <v>22</v>
      </c>
      <c r="E3277" t="s">
        <v>64</v>
      </c>
      <c r="F3277">
        <v>1</v>
      </c>
      <c r="G3277">
        <v>44.9</v>
      </c>
      <c r="H3277">
        <v>17.059999999999999</v>
      </c>
      <c r="I3277" t="s">
        <v>133</v>
      </c>
      <c r="J3277">
        <v>10</v>
      </c>
      <c r="K3277" t="s">
        <v>51</v>
      </c>
      <c r="L3277">
        <v>5</v>
      </c>
      <c r="M3277" t="str">
        <f>VLOOKUP(D3277,State_Lookup!$A$2:$B$28,2,FALSE)</f>
        <v>Bahia</v>
      </c>
    </row>
    <row r="3278" spans="1:13" x14ac:dyDescent="0.45">
      <c r="A3278" t="s">
        <v>3862</v>
      </c>
      <c r="B3278" t="s">
        <v>3849</v>
      </c>
      <c r="C3278" t="s">
        <v>3593</v>
      </c>
      <c r="D3278" t="s">
        <v>25</v>
      </c>
      <c r="E3278" t="s">
        <v>43</v>
      </c>
      <c r="F3278">
        <v>1</v>
      </c>
      <c r="G3278">
        <v>69.900000000000006</v>
      </c>
      <c r="H3278">
        <v>20.059999999999999</v>
      </c>
      <c r="I3278" t="s">
        <v>50</v>
      </c>
      <c r="J3278">
        <v>12</v>
      </c>
      <c r="K3278" t="s">
        <v>51</v>
      </c>
      <c r="L3278">
        <v>1</v>
      </c>
      <c r="M3278" t="str">
        <f>VLOOKUP(D3278,State_Lookup!$A$2:$B$28,2,FALSE)</f>
        <v>Goias</v>
      </c>
    </row>
    <row r="3279" spans="1:13" x14ac:dyDescent="0.45">
      <c r="A3279" t="s">
        <v>3863</v>
      </c>
      <c r="B3279" t="s">
        <v>3849</v>
      </c>
      <c r="C3279" t="s">
        <v>3593</v>
      </c>
      <c r="D3279" t="s">
        <v>16</v>
      </c>
      <c r="E3279" t="s">
        <v>61</v>
      </c>
      <c r="F3279">
        <v>1</v>
      </c>
      <c r="G3279">
        <v>39.99</v>
      </c>
      <c r="H3279">
        <v>8.2899999999999991</v>
      </c>
      <c r="I3279" t="s">
        <v>44</v>
      </c>
      <c r="J3279">
        <v>6</v>
      </c>
      <c r="K3279" t="s">
        <v>51</v>
      </c>
      <c r="L3279">
        <v>4</v>
      </c>
      <c r="M3279" t="str">
        <f>VLOOKUP(D3279,State_Lookup!$A$2:$B$28,2,FALSE)</f>
        <v>Sao Paulo</v>
      </c>
    </row>
    <row r="3280" spans="1:13" x14ac:dyDescent="0.45">
      <c r="A3280" t="s">
        <v>3864</v>
      </c>
      <c r="B3280" t="s">
        <v>3865</v>
      </c>
      <c r="C3280" t="s">
        <v>3593</v>
      </c>
      <c r="D3280" t="s">
        <v>16</v>
      </c>
      <c r="E3280" t="s">
        <v>302</v>
      </c>
      <c r="F3280">
        <v>1</v>
      </c>
      <c r="G3280">
        <v>94.9</v>
      </c>
      <c r="H3280">
        <v>15.54</v>
      </c>
      <c r="I3280" t="s">
        <v>44</v>
      </c>
      <c r="J3280">
        <v>12</v>
      </c>
      <c r="K3280" t="s">
        <v>51</v>
      </c>
      <c r="L3280">
        <v>5</v>
      </c>
      <c r="M3280" t="str">
        <f>VLOOKUP(D3280,State_Lookup!$A$2:$B$28,2,FALSE)</f>
        <v>Sao Paulo</v>
      </c>
    </row>
    <row r="3281" spans="1:13" x14ac:dyDescent="0.45">
      <c r="A3281" t="s">
        <v>3866</v>
      </c>
      <c r="B3281" t="s">
        <v>3865</v>
      </c>
      <c r="C3281" t="s">
        <v>3593</v>
      </c>
      <c r="D3281" t="s">
        <v>16</v>
      </c>
      <c r="E3281" t="s">
        <v>107</v>
      </c>
      <c r="F3281">
        <v>1</v>
      </c>
      <c r="G3281">
        <v>59.58</v>
      </c>
      <c r="H3281">
        <v>14.51</v>
      </c>
      <c r="I3281" t="s">
        <v>44</v>
      </c>
      <c r="J3281">
        <v>13</v>
      </c>
      <c r="K3281" t="s">
        <v>51</v>
      </c>
      <c r="L3281">
        <v>5</v>
      </c>
      <c r="M3281" t="str">
        <f>VLOOKUP(D3281,State_Lookup!$A$2:$B$28,2,FALSE)</f>
        <v>Sao Paulo</v>
      </c>
    </row>
    <row r="3282" spans="1:13" x14ac:dyDescent="0.45">
      <c r="A3282" t="s">
        <v>3867</v>
      </c>
      <c r="B3282" t="s">
        <v>3865</v>
      </c>
      <c r="C3282" t="s">
        <v>3593</v>
      </c>
      <c r="D3282" t="s">
        <v>16</v>
      </c>
      <c r="E3282" t="s">
        <v>1839</v>
      </c>
      <c r="F3282">
        <v>1</v>
      </c>
      <c r="G3282">
        <v>261</v>
      </c>
      <c r="H3282">
        <v>8.69</v>
      </c>
      <c r="I3282" t="s">
        <v>44</v>
      </c>
      <c r="J3282">
        <v>6</v>
      </c>
      <c r="K3282" t="s">
        <v>51</v>
      </c>
      <c r="L3282">
        <v>5</v>
      </c>
      <c r="M3282" t="str">
        <f>VLOOKUP(D3282,State_Lookup!$A$2:$B$28,2,FALSE)</f>
        <v>Sao Paulo</v>
      </c>
    </row>
    <row r="3283" spans="1:13" x14ac:dyDescent="0.45">
      <c r="A3283" t="s">
        <v>3868</v>
      </c>
      <c r="B3283" t="s">
        <v>3865</v>
      </c>
      <c r="C3283" t="s">
        <v>3593</v>
      </c>
      <c r="D3283" t="s">
        <v>16</v>
      </c>
      <c r="E3283" t="s">
        <v>53</v>
      </c>
      <c r="F3283">
        <v>1</v>
      </c>
      <c r="G3283">
        <v>49.99</v>
      </c>
      <c r="H3283">
        <v>7.39</v>
      </c>
      <c r="I3283" t="s">
        <v>44</v>
      </c>
      <c r="J3283">
        <v>7</v>
      </c>
      <c r="K3283" t="s">
        <v>51</v>
      </c>
      <c r="L3283">
        <v>5</v>
      </c>
      <c r="M3283" t="str">
        <f>VLOOKUP(D3283,State_Lookup!$A$2:$B$28,2,FALSE)</f>
        <v>Sao Paulo</v>
      </c>
    </row>
    <row r="3284" spans="1:13" x14ac:dyDescent="0.45">
      <c r="A3284" t="s">
        <v>3869</v>
      </c>
      <c r="B3284" t="s">
        <v>3865</v>
      </c>
      <c r="C3284" t="s">
        <v>3593</v>
      </c>
      <c r="D3284" t="s">
        <v>122</v>
      </c>
      <c r="E3284" t="s">
        <v>66</v>
      </c>
      <c r="F3284">
        <v>1</v>
      </c>
      <c r="G3284">
        <v>21.99</v>
      </c>
      <c r="H3284">
        <v>37.04</v>
      </c>
      <c r="I3284" t="s">
        <v>44</v>
      </c>
      <c r="J3284">
        <v>45</v>
      </c>
      <c r="K3284" t="s">
        <v>143</v>
      </c>
      <c r="L3284">
        <v>1</v>
      </c>
      <c r="M3284" t="str">
        <f>VLOOKUP(D3284,State_Lookup!$A$2:$B$28,2,FALSE)</f>
        <v>Para</v>
      </c>
    </row>
    <row r="3285" spans="1:13" x14ac:dyDescent="0.45">
      <c r="A3285" t="s">
        <v>3870</v>
      </c>
      <c r="B3285" t="s">
        <v>3865</v>
      </c>
      <c r="C3285" t="s">
        <v>3593</v>
      </c>
      <c r="D3285" t="s">
        <v>16</v>
      </c>
      <c r="E3285" t="s">
        <v>125</v>
      </c>
      <c r="F3285">
        <v>1</v>
      </c>
      <c r="G3285">
        <v>148</v>
      </c>
      <c r="H3285">
        <v>8.3800000000000008</v>
      </c>
      <c r="I3285" t="s">
        <v>50</v>
      </c>
      <c r="J3285">
        <v>13</v>
      </c>
      <c r="K3285" t="s">
        <v>51</v>
      </c>
      <c r="L3285">
        <v>4</v>
      </c>
      <c r="M3285" t="str">
        <f>VLOOKUP(D3285,State_Lookup!$A$2:$B$28,2,FALSE)</f>
        <v>Sao Paulo</v>
      </c>
    </row>
    <row r="3286" spans="1:13" x14ac:dyDescent="0.45">
      <c r="A3286" t="s">
        <v>3871</v>
      </c>
      <c r="B3286" t="s">
        <v>3865</v>
      </c>
      <c r="C3286" t="s">
        <v>3593</v>
      </c>
      <c r="D3286" t="s">
        <v>19</v>
      </c>
      <c r="E3286" t="s">
        <v>204</v>
      </c>
      <c r="F3286">
        <v>1</v>
      </c>
      <c r="G3286">
        <v>940.5</v>
      </c>
      <c r="H3286">
        <v>21.46</v>
      </c>
      <c r="I3286" t="s">
        <v>44</v>
      </c>
      <c r="J3286">
        <v>6</v>
      </c>
      <c r="K3286" t="s">
        <v>51</v>
      </c>
      <c r="L3286">
        <v>5</v>
      </c>
      <c r="M3286" t="str">
        <f>VLOOKUP(D3286,State_Lookup!$A$2:$B$28,2,FALSE)</f>
        <v>Rio Grande do Sul</v>
      </c>
    </row>
    <row r="3287" spans="1:13" x14ac:dyDescent="0.45">
      <c r="A3287" t="s">
        <v>3872</v>
      </c>
      <c r="B3287" t="s">
        <v>3873</v>
      </c>
      <c r="C3287" t="s">
        <v>3593</v>
      </c>
      <c r="D3287" t="s">
        <v>17</v>
      </c>
      <c r="E3287" t="s">
        <v>107</v>
      </c>
      <c r="F3287">
        <v>2</v>
      </c>
      <c r="G3287">
        <v>51.12</v>
      </c>
      <c r="H3287">
        <v>36.46</v>
      </c>
      <c r="I3287" t="s">
        <v>44</v>
      </c>
      <c r="J3287">
        <v>21</v>
      </c>
      <c r="K3287" t="s">
        <v>143</v>
      </c>
      <c r="L3287">
        <v>5</v>
      </c>
      <c r="M3287" t="str">
        <f>VLOOKUP(D3287,State_Lookup!$A$2:$B$28,2,FALSE)</f>
        <v>Rio de Janeiro</v>
      </c>
    </row>
    <row r="3288" spans="1:13" x14ac:dyDescent="0.45">
      <c r="A3288" t="s">
        <v>3874</v>
      </c>
      <c r="B3288" t="s">
        <v>3873</v>
      </c>
      <c r="C3288" t="s">
        <v>3593</v>
      </c>
      <c r="D3288" t="s">
        <v>17</v>
      </c>
      <c r="E3288" t="s">
        <v>950</v>
      </c>
      <c r="F3288">
        <v>1</v>
      </c>
      <c r="G3288">
        <v>170</v>
      </c>
      <c r="H3288">
        <v>27.27</v>
      </c>
      <c r="I3288" t="s">
        <v>44</v>
      </c>
      <c r="J3288">
        <v>16</v>
      </c>
      <c r="K3288" t="s">
        <v>51</v>
      </c>
      <c r="L3288">
        <v>4</v>
      </c>
      <c r="M3288" t="str">
        <f>VLOOKUP(D3288,State_Lookup!$A$2:$B$28,2,FALSE)</f>
        <v>Rio de Janeiro</v>
      </c>
    </row>
    <row r="3289" spans="1:13" x14ac:dyDescent="0.45">
      <c r="A3289" t="s">
        <v>3875</v>
      </c>
      <c r="B3289" t="s">
        <v>3873</v>
      </c>
      <c r="C3289" t="s">
        <v>3593</v>
      </c>
      <c r="D3289" t="s">
        <v>19</v>
      </c>
      <c r="E3289" t="s">
        <v>69</v>
      </c>
      <c r="F3289">
        <v>1</v>
      </c>
      <c r="G3289">
        <v>99.9</v>
      </c>
      <c r="H3289">
        <v>21.65</v>
      </c>
      <c r="I3289" t="s">
        <v>44</v>
      </c>
      <c r="J3289">
        <v>9</v>
      </c>
      <c r="K3289" t="s">
        <v>51</v>
      </c>
      <c r="L3289">
        <v>5</v>
      </c>
      <c r="M3289" t="str">
        <f>VLOOKUP(D3289,State_Lookup!$A$2:$B$28,2,FALSE)</f>
        <v>Rio Grande do Sul</v>
      </c>
    </row>
    <row r="3290" spans="1:13" x14ac:dyDescent="0.45">
      <c r="A3290" t="s">
        <v>3876</v>
      </c>
      <c r="B3290" t="s">
        <v>3873</v>
      </c>
      <c r="C3290" t="s">
        <v>3593</v>
      </c>
      <c r="D3290" t="s">
        <v>16</v>
      </c>
      <c r="E3290" t="s">
        <v>76</v>
      </c>
      <c r="F3290">
        <v>2</v>
      </c>
      <c r="G3290">
        <v>214</v>
      </c>
      <c r="H3290">
        <v>26.1</v>
      </c>
      <c r="I3290" t="s">
        <v>44</v>
      </c>
      <c r="J3290">
        <v>9</v>
      </c>
      <c r="K3290" t="s">
        <v>51</v>
      </c>
      <c r="L3290">
        <v>5</v>
      </c>
      <c r="M3290" t="str">
        <f>VLOOKUP(D3290,State_Lookup!$A$2:$B$28,2,FALSE)</f>
        <v>Sao Paulo</v>
      </c>
    </row>
    <row r="3291" spans="1:13" x14ac:dyDescent="0.45">
      <c r="A3291" t="s">
        <v>3877</v>
      </c>
      <c r="B3291" t="s">
        <v>3873</v>
      </c>
      <c r="C3291" t="s">
        <v>3593</v>
      </c>
      <c r="D3291" t="s">
        <v>16</v>
      </c>
      <c r="E3291" t="s">
        <v>61</v>
      </c>
      <c r="F3291">
        <v>2</v>
      </c>
      <c r="G3291">
        <v>146.9</v>
      </c>
      <c r="H3291">
        <v>27.26</v>
      </c>
      <c r="I3291" t="s">
        <v>44</v>
      </c>
      <c r="J3291">
        <v>10</v>
      </c>
      <c r="K3291" t="s">
        <v>51</v>
      </c>
      <c r="L3291">
        <v>5</v>
      </c>
      <c r="M3291" t="str">
        <f>VLOOKUP(D3291,State_Lookup!$A$2:$B$28,2,FALSE)</f>
        <v>Sao Paulo</v>
      </c>
    </row>
    <row r="3292" spans="1:13" x14ac:dyDescent="0.45">
      <c r="A3292" t="s">
        <v>3878</v>
      </c>
      <c r="B3292" t="s">
        <v>3873</v>
      </c>
      <c r="C3292" t="s">
        <v>3593</v>
      </c>
      <c r="D3292" t="s">
        <v>23</v>
      </c>
      <c r="E3292" t="s">
        <v>132</v>
      </c>
      <c r="F3292">
        <v>1</v>
      </c>
      <c r="G3292">
        <v>44</v>
      </c>
      <c r="H3292">
        <v>18.23</v>
      </c>
      <c r="I3292" t="s">
        <v>44</v>
      </c>
      <c r="J3292">
        <v>12</v>
      </c>
      <c r="K3292" t="s">
        <v>51</v>
      </c>
      <c r="L3292">
        <v>5</v>
      </c>
      <c r="M3292" t="str">
        <f>VLOOKUP(D3292,State_Lookup!$A$2:$B$28,2,FALSE)</f>
        <v>Espirito Santo</v>
      </c>
    </row>
    <row r="3293" spans="1:13" x14ac:dyDescent="0.45">
      <c r="A3293" t="s">
        <v>3879</v>
      </c>
      <c r="B3293" t="s">
        <v>3873</v>
      </c>
      <c r="C3293" t="s">
        <v>3593</v>
      </c>
      <c r="D3293" t="s">
        <v>16</v>
      </c>
      <c r="E3293" t="s">
        <v>69</v>
      </c>
      <c r="F3293">
        <v>1</v>
      </c>
      <c r="G3293">
        <v>99</v>
      </c>
      <c r="H3293">
        <v>12.6</v>
      </c>
      <c r="I3293" t="s">
        <v>44</v>
      </c>
      <c r="J3293">
        <v>3</v>
      </c>
      <c r="K3293" t="s">
        <v>51</v>
      </c>
      <c r="L3293">
        <v>5</v>
      </c>
      <c r="M3293" t="str">
        <f>VLOOKUP(D3293,State_Lookup!$A$2:$B$28,2,FALSE)</f>
        <v>Sao Paulo</v>
      </c>
    </row>
    <row r="3294" spans="1:13" x14ac:dyDescent="0.45">
      <c r="A3294" t="s">
        <v>3880</v>
      </c>
      <c r="B3294" t="s">
        <v>3873</v>
      </c>
      <c r="C3294" t="s">
        <v>3593</v>
      </c>
      <c r="D3294" t="s">
        <v>16</v>
      </c>
      <c r="E3294" t="s">
        <v>69</v>
      </c>
      <c r="F3294">
        <v>1</v>
      </c>
      <c r="G3294">
        <v>466</v>
      </c>
      <c r="H3294">
        <v>64.17</v>
      </c>
      <c r="I3294" t="s">
        <v>44</v>
      </c>
      <c r="J3294">
        <v>5</v>
      </c>
      <c r="K3294" t="s">
        <v>51</v>
      </c>
      <c r="L3294">
        <v>5</v>
      </c>
      <c r="M3294" t="str">
        <f>VLOOKUP(D3294,State_Lookup!$A$2:$B$28,2,FALSE)</f>
        <v>Sao Paulo</v>
      </c>
    </row>
    <row r="3295" spans="1:13" x14ac:dyDescent="0.45">
      <c r="A3295" t="s">
        <v>3881</v>
      </c>
      <c r="B3295" t="s">
        <v>3882</v>
      </c>
      <c r="C3295" t="s">
        <v>3593</v>
      </c>
      <c r="D3295" t="s">
        <v>16</v>
      </c>
      <c r="E3295" t="s">
        <v>244</v>
      </c>
      <c r="F3295">
        <v>1</v>
      </c>
      <c r="G3295">
        <v>99</v>
      </c>
      <c r="H3295">
        <v>14.78</v>
      </c>
      <c r="I3295" t="s">
        <v>44</v>
      </c>
      <c r="J3295">
        <v>21</v>
      </c>
      <c r="K3295" t="s">
        <v>143</v>
      </c>
      <c r="L3295">
        <v>5</v>
      </c>
      <c r="M3295" t="str">
        <f>VLOOKUP(D3295,State_Lookup!$A$2:$B$28,2,FALSE)</f>
        <v>Sao Paulo</v>
      </c>
    </row>
    <row r="3296" spans="1:13" x14ac:dyDescent="0.45">
      <c r="A3296" t="s">
        <v>3883</v>
      </c>
      <c r="B3296" t="s">
        <v>3882</v>
      </c>
      <c r="C3296" t="s">
        <v>3593</v>
      </c>
      <c r="D3296" t="s">
        <v>21</v>
      </c>
      <c r="E3296" t="s">
        <v>157</v>
      </c>
      <c r="F3296">
        <v>1</v>
      </c>
      <c r="G3296">
        <v>1299</v>
      </c>
      <c r="H3296">
        <v>23.97</v>
      </c>
      <c r="I3296" t="s">
        <v>44</v>
      </c>
      <c r="J3296">
        <v>20</v>
      </c>
      <c r="K3296" t="s">
        <v>51</v>
      </c>
      <c r="L3296">
        <v>3</v>
      </c>
      <c r="M3296" t="str">
        <f>VLOOKUP(D3296,State_Lookup!$A$2:$B$28,2,FALSE)</f>
        <v>Santa Catarina</v>
      </c>
    </row>
    <row r="3297" spans="1:13" x14ac:dyDescent="0.45">
      <c r="A3297" t="s">
        <v>3884</v>
      </c>
      <c r="B3297" t="s">
        <v>3882</v>
      </c>
      <c r="C3297" t="s">
        <v>3593</v>
      </c>
      <c r="D3297" t="s">
        <v>18</v>
      </c>
      <c r="E3297" t="s">
        <v>107</v>
      </c>
      <c r="F3297">
        <v>1</v>
      </c>
      <c r="G3297">
        <v>57.6</v>
      </c>
      <c r="H3297">
        <v>19.37</v>
      </c>
      <c r="I3297" t="s">
        <v>44</v>
      </c>
      <c r="J3297">
        <v>10</v>
      </c>
      <c r="K3297" t="s">
        <v>51</v>
      </c>
      <c r="L3297">
        <v>5</v>
      </c>
      <c r="M3297" t="str">
        <f>VLOOKUP(D3297,State_Lookup!$A$2:$B$28,2,FALSE)</f>
        <v>Minas Gerais</v>
      </c>
    </row>
    <row r="3298" spans="1:13" x14ac:dyDescent="0.45">
      <c r="A3298" t="s">
        <v>3885</v>
      </c>
      <c r="B3298" t="s">
        <v>3882</v>
      </c>
      <c r="C3298" t="s">
        <v>3593</v>
      </c>
      <c r="D3298" t="s">
        <v>18</v>
      </c>
      <c r="E3298" t="s">
        <v>69</v>
      </c>
      <c r="F3298">
        <v>1</v>
      </c>
      <c r="G3298">
        <v>179</v>
      </c>
      <c r="H3298">
        <v>27.49</v>
      </c>
      <c r="I3298" t="s">
        <v>44</v>
      </c>
      <c r="J3298">
        <v>9</v>
      </c>
      <c r="K3298" t="s">
        <v>51</v>
      </c>
      <c r="L3298">
        <v>4</v>
      </c>
      <c r="M3298" t="str">
        <f>VLOOKUP(D3298,State_Lookup!$A$2:$B$28,2,FALSE)</f>
        <v>Minas Gerais</v>
      </c>
    </row>
    <row r="3299" spans="1:13" x14ac:dyDescent="0.45">
      <c r="A3299" t="s">
        <v>3886</v>
      </c>
      <c r="B3299" t="s">
        <v>3882</v>
      </c>
      <c r="C3299" t="s">
        <v>3593</v>
      </c>
      <c r="D3299" t="s">
        <v>22</v>
      </c>
      <c r="E3299" t="s">
        <v>66</v>
      </c>
      <c r="F3299">
        <v>1</v>
      </c>
      <c r="G3299">
        <v>22.99</v>
      </c>
      <c r="H3299">
        <v>22.06</v>
      </c>
      <c r="I3299" t="s">
        <v>44</v>
      </c>
      <c r="J3299">
        <v>25</v>
      </c>
      <c r="K3299" t="s">
        <v>51</v>
      </c>
      <c r="L3299">
        <v>1</v>
      </c>
      <c r="M3299" t="str">
        <f>VLOOKUP(D3299,State_Lookup!$A$2:$B$28,2,FALSE)</f>
        <v>Bahia</v>
      </c>
    </row>
    <row r="3300" spans="1:13" x14ac:dyDescent="0.45">
      <c r="A3300" t="s">
        <v>3887</v>
      </c>
      <c r="B3300" t="s">
        <v>3882</v>
      </c>
      <c r="C3300" t="s">
        <v>3593</v>
      </c>
      <c r="D3300" t="s">
        <v>141</v>
      </c>
      <c r="E3300" t="s">
        <v>157</v>
      </c>
      <c r="F3300">
        <v>1</v>
      </c>
      <c r="G3300">
        <v>123</v>
      </c>
      <c r="H3300">
        <v>51.36</v>
      </c>
      <c r="I3300" t="s">
        <v>44</v>
      </c>
      <c r="K3300" t="s">
        <v>45</v>
      </c>
      <c r="L3300">
        <v>1</v>
      </c>
      <c r="M3300" t="str">
        <f>VLOOKUP(D3300,State_Lookup!$A$2:$B$28,2,FALSE)</f>
        <v>Maranhao</v>
      </c>
    </row>
    <row r="3301" spans="1:13" x14ac:dyDescent="0.45">
      <c r="A3301" t="s">
        <v>3888</v>
      </c>
      <c r="B3301" t="s">
        <v>3889</v>
      </c>
      <c r="C3301" t="s">
        <v>3593</v>
      </c>
      <c r="D3301" t="s">
        <v>16</v>
      </c>
      <c r="E3301" t="s">
        <v>66</v>
      </c>
      <c r="F3301">
        <v>1</v>
      </c>
      <c r="G3301">
        <v>22.99</v>
      </c>
      <c r="H3301">
        <v>7.39</v>
      </c>
      <c r="I3301" t="s">
        <v>44</v>
      </c>
      <c r="J3301">
        <v>3</v>
      </c>
      <c r="K3301" t="s">
        <v>51</v>
      </c>
      <c r="L3301">
        <v>4</v>
      </c>
      <c r="M3301" t="str">
        <f>VLOOKUP(D3301,State_Lookup!$A$2:$B$28,2,FALSE)</f>
        <v>Sao Paulo</v>
      </c>
    </row>
    <row r="3302" spans="1:13" x14ac:dyDescent="0.45">
      <c r="A3302" t="s">
        <v>3890</v>
      </c>
      <c r="B3302" t="s">
        <v>3889</v>
      </c>
      <c r="C3302" t="s">
        <v>3593</v>
      </c>
      <c r="D3302" t="s">
        <v>19</v>
      </c>
      <c r="E3302" t="s">
        <v>49</v>
      </c>
      <c r="F3302">
        <v>1</v>
      </c>
      <c r="G3302">
        <v>46</v>
      </c>
      <c r="H3302">
        <v>18.23</v>
      </c>
      <c r="I3302" t="s">
        <v>44</v>
      </c>
      <c r="J3302">
        <v>8</v>
      </c>
      <c r="K3302" t="s">
        <v>51</v>
      </c>
      <c r="L3302">
        <v>5</v>
      </c>
      <c r="M3302" t="str">
        <f>VLOOKUP(D3302,State_Lookup!$A$2:$B$28,2,FALSE)</f>
        <v>Rio Grande do Sul</v>
      </c>
    </row>
    <row r="3303" spans="1:13" x14ac:dyDescent="0.45">
      <c r="A3303" t="s">
        <v>3891</v>
      </c>
      <c r="B3303" t="s">
        <v>3889</v>
      </c>
      <c r="C3303" t="s">
        <v>3593</v>
      </c>
      <c r="D3303" t="s">
        <v>16</v>
      </c>
      <c r="E3303" t="s">
        <v>76</v>
      </c>
      <c r="F3303">
        <v>1</v>
      </c>
      <c r="G3303">
        <v>104</v>
      </c>
      <c r="H3303">
        <v>14.72</v>
      </c>
      <c r="I3303" t="s">
        <v>44</v>
      </c>
      <c r="J3303">
        <v>4</v>
      </c>
      <c r="K3303" t="s">
        <v>51</v>
      </c>
      <c r="L3303">
        <v>5</v>
      </c>
      <c r="M3303" t="str">
        <f>VLOOKUP(D3303,State_Lookup!$A$2:$B$28,2,FALSE)</f>
        <v>Sao Paulo</v>
      </c>
    </row>
    <row r="3304" spans="1:13" x14ac:dyDescent="0.45">
      <c r="A3304" t="s">
        <v>3892</v>
      </c>
      <c r="B3304" t="s">
        <v>3889</v>
      </c>
      <c r="C3304" t="s">
        <v>3593</v>
      </c>
      <c r="D3304" t="s">
        <v>16</v>
      </c>
      <c r="E3304" t="s">
        <v>157</v>
      </c>
      <c r="F3304">
        <v>1</v>
      </c>
      <c r="G3304">
        <v>519</v>
      </c>
      <c r="H3304">
        <v>16.989999999999998</v>
      </c>
      <c r="I3304" t="s">
        <v>44</v>
      </c>
      <c r="J3304">
        <v>8</v>
      </c>
      <c r="K3304" t="s">
        <v>51</v>
      </c>
      <c r="L3304">
        <v>5</v>
      </c>
      <c r="M3304" t="str">
        <f>VLOOKUP(D3304,State_Lookup!$A$2:$B$28,2,FALSE)</f>
        <v>Sao Paulo</v>
      </c>
    </row>
    <row r="3305" spans="1:13" x14ac:dyDescent="0.45">
      <c r="A3305" t="s">
        <v>3893</v>
      </c>
      <c r="B3305" t="s">
        <v>3889</v>
      </c>
      <c r="C3305" t="s">
        <v>3593</v>
      </c>
      <c r="D3305" t="s">
        <v>128</v>
      </c>
      <c r="E3305" t="s">
        <v>66</v>
      </c>
      <c r="F3305">
        <v>1</v>
      </c>
      <c r="G3305">
        <v>39.99</v>
      </c>
      <c r="H3305">
        <v>37.04</v>
      </c>
      <c r="I3305" t="s">
        <v>44</v>
      </c>
      <c r="J3305">
        <v>18</v>
      </c>
      <c r="K3305" t="s">
        <v>51</v>
      </c>
      <c r="L3305">
        <v>5</v>
      </c>
      <c r="M3305" t="str">
        <f>VLOOKUP(D3305,State_Lookup!$A$2:$B$28,2,FALSE)</f>
        <v>Ceara</v>
      </c>
    </row>
    <row r="3306" spans="1:13" x14ac:dyDescent="0.45">
      <c r="A3306" t="s">
        <v>3894</v>
      </c>
      <c r="B3306" t="s">
        <v>3889</v>
      </c>
      <c r="C3306" t="s">
        <v>3593</v>
      </c>
      <c r="D3306" t="s">
        <v>16</v>
      </c>
      <c r="E3306" t="s">
        <v>269</v>
      </c>
      <c r="F3306">
        <v>1</v>
      </c>
      <c r="G3306">
        <v>69</v>
      </c>
      <c r="H3306">
        <v>18.36</v>
      </c>
      <c r="I3306" t="s">
        <v>44</v>
      </c>
      <c r="J3306">
        <v>10</v>
      </c>
      <c r="K3306" t="s">
        <v>51</v>
      </c>
      <c r="L3306">
        <v>4</v>
      </c>
      <c r="M3306" t="str">
        <f>VLOOKUP(D3306,State_Lookup!$A$2:$B$28,2,FALSE)</f>
        <v>Sao Paulo</v>
      </c>
    </row>
    <row r="3307" spans="1:13" x14ac:dyDescent="0.45">
      <c r="A3307" t="s">
        <v>3895</v>
      </c>
      <c r="B3307" t="s">
        <v>3889</v>
      </c>
      <c r="C3307" t="s">
        <v>3593</v>
      </c>
      <c r="D3307" t="s">
        <v>16</v>
      </c>
      <c r="E3307" t="s">
        <v>142</v>
      </c>
      <c r="F3307">
        <v>2</v>
      </c>
      <c r="G3307">
        <v>85.8</v>
      </c>
      <c r="H3307">
        <v>32.64</v>
      </c>
      <c r="I3307" t="s">
        <v>44</v>
      </c>
      <c r="J3307">
        <v>8</v>
      </c>
      <c r="K3307" t="s">
        <v>51</v>
      </c>
      <c r="L3307">
        <v>5</v>
      </c>
      <c r="M3307" t="str">
        <f>VLOOKUP(D3307,State_Lookup!$A$2:$B$28,2,FALSE)</f>
        <v>Sao Paulo</v>
      </c>
    </row>
    <row r="3308" spans="1:13" x14ac:dyDescent="0.45">
      <c r="A3308" t="s">
        <v>3896</v>
      </c>
      <c r="B3308" t="s">
        <v>3889</v>
      </c>
      <c r="C3308" t="s">
        <v>3593</v>
      </c>
      <c r="D3308" t="s">
        <v>16</v>
      </c>
      <c r="E3308" t="s">
        <v>53</v>
      </c>
      <c r="F3308">
        <v>1</v>
      </c>
      <c r="G3308">
        <v>139.9</v>
      </c>
      <c r="H3308">
        <v>7.84</v>
      </c>
      <c r="I3308" t="s">
        <v>44</v>
      </c>
      <c r="J3308">
        <v>3</v>
      </c>
      <c r="K3308" t="s">
        <v>51</v>
      </c>
      <c r="L3308">
        <v>1</v>
      </c>
      <c r="M3308" t="str">
        <f>VLOOKUP(D3308,State_Lookup!$A$2:$B$28,2,FALSE)</f>
        <v>Sao Paulo</v>
      </c>
    </row>
    <row r="3309" spans="1:13" x14ac:dyDescent="0.45">
      <c r="A3309" t="s">
        <v>3897</v>
      </c>
      <c r="B3309" t="s">
        <v>3889</v>
      </c>
      <c r="C3309" t="s">
        <v>3593</v>
      </c>
      <c r="D3309" t="s">
        <v>17</v>
      </c>
      <c r="E3309" t="s">
        <v>148</v>
      </c>
      <c r="F3309">
        <v>1</v>
      </c>
      <c r="G3309">
        <v>499.99</v>
      </c>
      <c r="H3309">
        <v>165.55</v>
      </c>
      <c r="I3309" t="s">
        <v>44</v>
      </c>
      <c r="J3309">
        <v>31</v>
      </c>
      <c r="K3309" t="s">
        <v>143</v>
      </c>
      <c r="L3309">
        <v>1</v>
      </c>
      <c r="M3309" t="str">
        <f>VLOOKUP(D3309,State_Lookup!$A$2:$B$28,2,FALSE)</f>
        <v>Rio de Janeiro</v>
      </c>
    </row>
    <row r="3310" spans="1:13" x14ac:dyDescent="0.45">
      <c r="A3310" t="s">
        <v>3898</v>
      </c>
      <c r="B3310" t="s">
        <v>3889</v>
      </c>
      <c r="C3310" t="s">
        <v>3593</v>
      </c>
      <c r="D3310" t="s">
        <v>19</v>
      </c>
      <c r="E3310" t="s">
        <v>199</v>
      </c>
      <c r="F3310">
        <v>1</v>
      </c>
      <c r="G3310">
        <v>159.77000000000001</v>
      </c>
      <c r="H3310">
        <v>17.670000000000002</v>
      </c>
      <c r="I3310" t="s">
        <v>44</v>
      </c>
      <c r="J3310">
        <v>23</v>
      </c>
      <c r="K3310" t="s">
        <v>51</v>
      </c>
      <c r="L3310">
        <v>4</v>
      </c>
      <c r="M3310" t="str">
        <f>VLOOKUP(D3310,State_Lookup!$A$2:$B$28,2,FALSE)</f>
        <v>Rio Grande do Sul</v>
      </c>
    </row>
    <row r="3311" spans="1:13" x14ac:dyDescent="0.45">
      <c r="A3311" t="s">
        <v>3899</v>
      </c>
      <c r="B3311" t="s">
        <v>3889</v>
      </c>
      <c r="C3311" t="s">
        <v>3593</v>
      </c>
      <c r="D3311" t="s">
        <v>16</v>
      </c>
      <c r="E3311" t="s">
        <v>49</v>
      </c>
      <c r="F3311">
        <v>1</v>
      </c>
      <c r="G3311">
        <v>74.989999999999995</v>
      </c>
      <c r="H3311">
        <v>13.59</v>
      </c>
      <c r="I3311" t="s">
        <v>44</v>
      </c>
      <c r="J3311">
        <v>4</v>
      </c>
      <c r="K3311" t="s">
        <v>51</v>
      </c>
      <c r="L3311">
        <v>5</v>
      </c>
      <c r="M3311" t="str">
        <f>VLOOKUP(D3311,State_Lookup!$A$2:$B$28,2,FALSE)</f>
        <v>Sao Paulo</v>
      </c>
    </row>
    <row r="3312" spans="1:13" x14ac:dyDescent="0.45">
      <c r="A3312" t="s">
        <v>3900</v>
      </c>
      <c r="B3312" t="s">
        <v>3889</v>
      </c>
      <c r="C3312" t="s">
        <v>3593</v>
      </c>
      <c r="D3312" t="s">
        <v>16</v>
      </c>
      <c r="E3312" t="s">
        <v>110</v>
      </c>
      <c r="F3312">
        <v>3</v>
      </c>
      <c r="G3312">
        <v>209.97</v>
      </c>
      <c r="H3312">
        <v>39.71</v>
      </c>
      <c r="I3312" t="s">
        <v>44</v>
      </c>
      <c r="J3312">
        <v>7</v>
      </c>
      <c r="K3312" t="s">
        <v>51</v>
      </c>
      <c r="L3312">
        <v>5</v>
      </c>
      <c r="M3312" t="str">
        <f>VLOOKUP(D3312,State_Lookup!$A$2:$B$28,2,FALSE)</f>
        <v>Sao Paulo</v>
      </c>
    </row>
    <row r="3313" spans="1:13" x14ac:dyDescent="0.45">
      <c r="A3313" t="s">
        <v>3901</v>
      </c>
      <c r="B3313" t="s">
        <v>3889</v>
      </c>
      <c r="C3313" t="s">
        <v>3593</v>
      </c>
      <c r="D3313" t="s">
        <v>16</v>
      </c>
      <c r="E3313" t="s">
        <v>49</v>
      </c>
      <c r="F3313">
        <v>1</v>
      </c>
      <c r="G3313">
        <v>115</v>
      </c>
      <c r="H3313">
        <v>17.72</v>
      </c>
      <c r="I3313" t="s">
        <v>44</v>
      </c>
      <c r="J3313">
        <v>15</v>
      </c>
      <c r="K3313" t="s">
        <v>51</v>
      </c>
      <c r="L3313">
        <v>4</v>
      </c>
      <c r="M3313" t="str">
        <f>VLOOKUP(D3313,State_Lookup!$A$2:$B$28,2,FALSE)</f>
        <v>Sao Paulo</v>
      </c>
    </row>
    <row r="3314" spans="1:13" x14ac:dyDescent="0.45">
      <c r="A3314" t="s">
        <v>3902</v>
      </c>
      <c r="B3314" t="s">
        <v>3889</v>
      </c>
      <c r="C3314" t="s">
        <v>3593</v>
      </c>
      <c r="D3314" t="s">
        <v>17</v>
      </c>
      <c r="E3314" t="s">
        <v>148</v>
      </c>
      <c r="F3314">
        <v>1</v>
      </c>
      <c r="G3314">
        <v>120</v>
      </c>
      <c r="H3314">
        <v>18.72</v>
      </c>
      <c r="I3314" t="s">
        <v>44</v>
      </c>
      <c r="J3314">
        <v>24</v>
      </c>
      <c r="K3314" t="s">
        <v>51</v>
      </c>
      <c r="L3314">
        <v>1</v>
      </c>
      <c r="M3314" t="str">
        <f>VLOOKUP(D3314,State_Lookup!$A$2:$B$28,2,FALSE)</f>
        <v>Rio de Janeiro</v>
      </c>
    </row>
    <row r="3315" spans="1:13" x14ac:dyDescent="0.45">
      <c r="A3315" t="s">
        <v>3903</v>
      </c>
      <c r="B3315" t="s">
        <v>3889</v>
      </c>
      <c r="C3315" t="s">
        <v>3593</v>
      </c>
      <c r="D3315" t="s">
        <v>24</v>
      </c>
      <c r="E3315" t="s">
        <v>110</v>
      </c>
      <c r="F3315">
        <v>1</v>
      </c>
      <c r="G3315">
        <v>110</v>
      </c>
      <c r="H3315">
        <v>18.350000000000001</v>
      </c>
      <c r="I3315" t="s">
        <v>44</v>
      </c>
      <c r="J3315">
        <v>17</v>
      </c>
      <c r="K3315" t="s">
        <v>51</v>
      </c>
      <c r="L3315">
        <v>5</v>
      </c>
      <c r="M3315" t="str">
        <f>VLOOKUP(D3315,State_Lookup!$A$2:$B$28,2,FALSE)</f>
        <v>Distrito Federal</v>
      </c>
    </row>
    <row r="3316" spans="1:13" x14ac:dyDescent="0.45">
      <c r="A3316" t="s">
        <v>3904</v>
      </c>
      <c r="B3316" t="s">
        <v>3889</v>
      </c>
      <c r="C3316" t="s">
        <v>3593</v>
      </c>
      <c r="D3316" t="s">
        <v>18</v>
      </c>
      <c r="E3316" t="s">
        <v>148</v>
      </c>
      <c r="F3316">
        <v>1</v>
      </c>
      <c r="G3316">
        <v>159.94999999999999</v>
      </c>
      <c r="H3316">
        <v>16</v>
      </c>
      <c r="I3316" t="s">
        <v>44</v>
      </c>
      <c r="J3316">
        <v>9</v>
      </c>
      <c r="K3316" t="s">
        <v>51</v>
      </c>
      <c r="L3316">
        <v>4</v>
      </c>
      <c r="M3316" t="str">
        <f>VLOOKUP(D3316,State_Lookup!$A$2:$B$28,2,FALSE)</f>
        <v>Minas Gerais</v>
      </c>
    </row>
    <row r="3317" spans="1:13" x14ac:dyDescent="0.45">
      <c r="A3317" t="s">
        <v>3905</v>
      </c>
      <c r="B3317" t="s">
        <v>3889</v>
      </c>
      <c r="C3317" t="s">
        <v>3593</v>
      </c>
      <c r="D3317" t="s">
        <v>632</v>
      </c>
      <c r="E3317" t="s">
        <v>43</v>
      </c>
      <c r="F3317">
        <v>1</v>
      </c>
      <c r="G3317">
        <v>89.18</v>
      </c>
      <c r="H3317">
        <v>24.75</v>
      </c>
      <c r="I3317" t="s">
        <v>50</v>
      </c>
      <c r="J3317">
        <v>31</v>
      </c>
      <c r="K3317" t="s">
        <v>143</v>
      </c>
      <c r="L3317">
        <v>1</v>
      </c>
      <c r="M3317" t="str">
        <f>VLOOKUP(D3317,State_Lookup!$A$2:$B$28,2,FALSE)</f>
        <v>Alagoas</v>
      </c>
    </row>
    <row r="3318" spans="1:13" x14ac:dyDescent="0.45">
      <c r="A3318" t="s">
        <v>3906</v>
      </c>
      <c r="B3318" t="s">
        <v>3889</v>
      </c>
      <c r="C3318" t="s">
        <v>3593</v>
      </c>
      <c r="D3318" t="s">
        <v>17</v>
      </c>
      <c r="E3318" t="s">
        <v>110</v>
      </c>
      <c r="F3318">
        <v>2</v>
      </c>
      <c r="G3318">
        <v>105.98</v>
      </c>
      <c r="H3318">
        <v>38.68</v>
      </c>
      <c r="I3318" t="s">
        <v>44</v>
      </c>
      <c r="J3318">
        <v>38</v>
      </c>
      <c r="K3318" t="s">
        <v>143</v>
      </c>
      <c r="L3318">
        <v>1</v>
      </c>
      <c r="M3318" t="str">
        <f>VLOOKUP(D3318,State_Lookup!$A$2:$B$28,2,FALSE)</f>
        <v>Rio de Janeiro</v>
      </c>
    </row>
    <row r="3319" spans="1:13" x14ac:dyDescent="0.45">
      <c r="A3319" t="s">
        <v>3907</v>
      </c>
      <c r="B3319" t="s">
        <v>3908</v>
      </c>
      <c r="C3319" t="s">
        <v>3593</v>
      </c>
      <c r="D3319" t="s">
        <v>17</v>
      </c>
      <c r="E3319" t="s">
        <v>64</v>
      </c>
      <c r="F3319">
        <v>1</v>
      </c>
      <c r="G3319">
        <v>119.7</v>
      </c>
      <c r="H3319">
        <v>14.78</v>
      </c>
      <c r="I3319" t="s">
        <v>44</v>
      </c>
      <c r="J3319">
        <v>17</v>
      </c>
      <c r="K3319" t="s">
        <v>143</v>
      </c>
      <c r="L3319">
        <v>5</v>
      </c>
      <c r="M3319" t="str">
        <f>VLOOKUP(D3319,State_Lookup!$A$2:$B$28,2,FALSE)</f>
        <v>Rio de Janeiro</v>
      </c>
    </row>
    <row r="3320" spans="1:13" x14ac:dyDescent="0.45">
      <c r="A3320" t="s">
        <v>3909</v>
      </c>
      <c r="B3320" t="s">
        <v>3908</v>
      </c>
      <c r="C3320" t="s">
        <v>3593</v>
      </c>
      <c r="D3320" t="s">
        <v>16</v>
      </c>
      <c r="E3320" t="s">
        <v>61</v>
      </c>
      <c r="F3320">
        <v>1</v>
      </c>
      <c r="G3320">
        <v>47.75</v>
      </c>
      <c r="H3320">
        <v>8.2899999999999991</v>
      </c>
      <c r="I3320" t="s">
        <v>44</v>
      </c>
      <c r="J3320">
        <v>3</v>
      </c>
      <c r="K3320" t="s">
        <v>51</v>
      </c>
      <c r="L3320">
        <v>5</v>
      </c>
      <c r="M3320" t="str">
        <f>VLOOKUP(D3320,State_Lookup!$A$2:$B$28,2,FALSE)</f>
        <v>Sao Paulo</v>
      </c>
    </row>
    <row r="3321" spans="1:13" x14ac:dyDescent="0.45">
      <c r="A3321" t="s">
        <v>3910</v>
      </c>
      <c r="B3321" t="s">
        <v>3908</v>
      </c>
      <c r="C3321" t="s">
        <v>3593</v>
      </c>
      <c r="D3321" t="s">
        <v>16</v>
      </c>
      <c r="E3321" t="s">
        <v>79</v>
      </c>
      <c r="F3321">
        <v>2</v>
      </c>
      <c r="G3321">
        <v>147.6</v>
      </c>
      <c r="H3321">
        <v>25.92</v>
      </c>
      <c r="I3321" t="s">
        <v>44</v>
      </c>
      <c r="J3321">
        <v>7</v>
      </c>
      <c r="K3321" t="s">
        <v>51</v>
      </c>
      <c r="L3321">
        <v>5</v>
      </c>
      <c r="M3321" t="str">
        <f>VLOOKUP(D3321,State_Lookup!$A$2:$B$28,2,FALSE)</f>
        <v>Sao Paulo</v>
      </c>
    </row>
    <row r="3322" spans="1:13" x14ac:dyDescent="0.45">
      <c r="A3322" t="s">
        <v>3911</v>
      </c>
      <c r="B3322" t="s">
        <v>3908</v>
      </c>
      <c r="C3322" t="s">
        <v>3593</v>
      </c>
      <c r="D3322" t="s">
        <v>19</v>
      </c>
      <c r="E3322" t="s">
        <v>66</v>
      </c>
      <c r="F3322">
        <v>1</v>
      </c>
      <c r="G3322">
        <v>22.99</v>
      </c>
      <c r="H3322">
        <v>18.23</v>
      </c>
      <c r="I3322" t="s">
        <v>44</v>
      </c>
      <c r="J3322">
        <v>19</v>
      </c>
      <c r="K3322" t="s">
        <v>51</v>
      </c>
      <c r="L3322">
        <v>4</v>
      </c>
      <c r="M3322" t="str">
        <f>VLOOKUP(D3322,State_Lookup!$A$2:$B$28,2,FALSE)</f>
        <v>Rio Grande do Sul</v>
      </c>
    </row>
    <row r="3323" spans="1:13" x14ac:dyDescent="0.45">
      <c r="A3323" t="s">
        <v>3912</v>
      </c>
      <c r="B3323" t="s">
        <v>3908</v>
      </c>
      <c r="C3323" t="s">
        <v>3593</v>
      </c>
      <c r="D3323" t="s">
        <v>219</v>
      </c>
      <c r="E3323" t="s">
        <v>49</v>
      </c>
      <c r="F3323">
        <v>1</v>
      </c>
      <c r="G3323">
        <v>349</v>
      </c>
      <c r="H3323">
        <v>29.5</v>
      </c>
      <c r="I3323" t="s">
        <v>44</v>
      </c>
      <c r="J3323">
        <v>11</v>
      </c>
      <c r="K3323" t="s">
        <v>51</v>
      </c>
      <c r="L3323">
        <v>4</v>
      </c>
      <c r="M3323" t="str">
        <f>VLOOKUP(D3323,State_Lookup!$A$2:$B$28,2,FALSE)</f>
        <v>Rondonia</v>
      </c>
    </row>
    <row r="3324" spans="1:13" x14ac:dyDescent="0.45">
      <c r="A3324" t="s">
        <v>3913</v>
      </c>
      <c r="B3324" t="s">
        <v>3908</v>
      </c>
      <c r="C3324" t="s">
        <v>3593</v>
      </c>
      <c r="D3324" t="s">
        <v>18</v>
      </c>
      <c r="E3324" t="s">
        <v>61</v>
      </c>
      <c r="F3324">
        <v>1</v>
      </c>
      <c r="G3324">
        <v>69.900000000000006</v>
      </c>
      <c r="H3324">
        <v>83.34</v>
      </c>
      <c r="I3324" t="s">
        <v>50</v>
      </c>
      <c r="J3324">
        <v>11</v>
      </c>
      <c r="K3324" t="s">
        <v>51</v>
      </c>
      <c r="L3324">
        <v>5</v>
      </c>
      <c r="M3324" t="str">
        <f>VLOOKUP(D3324,State_Lookup!$A$2:$B$28,2,FALSE)</f>
        <v>Minas Gerais</v>
      </c>
    </row>
    <row r="3325" spans="1:13" x14ac:dyDescent="0.45">
      <c r="A3325" t="s">
        <v>3914</v>
      </c>
      <c r="B3325" t="s">
        <v>3908</v>
      </c>
      <c r="C3325" t="s">
        <v>3593</v>
      </c>
      <c r="D3325" t="s">
        <v>16</v>
      </c>
      <c r="E3325" t="s">
        <v>49</v>
      </c>
      <c r="F3325">
        <v>1</v>
      </c>
      <c r="G3325">
        <v>89.5</v>
      </c>
      <c r="H3325">
        <v>13.75</v>
      </c>
      <c r="I3325" t="s">
        <v>44</v>
      </c>
      <c r="J3325">
        <v>7</v>
      </c>
      <c r="K3325" t="s">
        <v>51</v>
      </c>
      <c r="L3325">
        <v>5</v>
      </c>
      <c r="M3325" t="str">
        <f>VLOOKUP(D3325,State_Lookup!$A$2:$B$28,2,FALSE)</f>
        <v>Sao Paulo</v>
      </c>
    </row>
    <row r="3326" spans="1:13" x14ac:dyDescent="0.45">
      <c r="A3326" t="s">
        <v>3915</v>
      </c>
      <c r="B3326" t="s">
        <v>3908</v>
      </c>
      <c r="C3326" t="s">
        <v>3593</v>
      </c>
      <c r="D3326" t="s">
        <v>16</v>
      </c>
      <c r="E3326" t="s">
        <v>49</v>
      </c>
      <c r="F3326">
        <v>1</v>
      </c>
      <c r="G3326">
        <v>106</v>
      </c>
      <c r="H3326">
        <v>13.18</v>
      </c>
      <c r="I3326" t="s">
        <v>50</v>
      </c>
      <c r="J3326">
        <v>9</v>
      </c>
      <c r="K3326" t="s">
        <v>51</v>
      </c>
      <c r="L3326">
        <v>4</v>
      </c>
      <c r="M3326" t="str">
        <f>VLOOKUP(D3326,State_Lookup!$A$2:$B$28,2,FALSE)</f>
        <v>Sao Paulo</v>
      </c>
    </row>
    <row r="3327" spans="1:13" x14ac:dyDescent="0.45">
      <c r="A3327" t="s">
        <v>3916</v>
      </c>
      <c r="B3327" t="s">
        <v>3908</v>
      </c>
      <c r="C3327" t="s">
        <v>3593</v>
      </c>
      <c r="D3327" t="s">
        <v>16</v>
      </c>
      <c r="E3327" t="s">
        <v>79</v>
      </c>
      <c r="F3327">
        <v>1</v>
      </c>
      <c r="G3327">
        <v>29.9</v>
      </c>
      <c r="H3327">
        <v>7.71</v>
      </c>
      <c r="I3327" t="s">
        <v>50</v>
      </c>
      <c r="J3327">
        <v>7</v>
      </c>
      <c r="K3327" t="s">
        <v>51</v>
      </c>
      <c r="L3327">
        <v>5</v>
      </c>
      <c r="M3327" t="str">
        <f>VLOOKUP(D3327,State_Lookup!$A$2:$B$28,2,FALSE)</f>
        <v>Sao Paulo</v>
      </c>
    </row>
    <row r="3328" spans="1:13" x14ac:dyDescent="0.45">
      <c r="A3328" t="s">
        <v>3917</v>
      </c>
      <c r="B3328" t="s">
        <v>3908</v>
      </c>
      <c r="C3328" t="s">
        <v>3593</v>
      </c>
      <c r="D3328" t="s">
        <v>21</v>
      </c>
      <c r="E3328" t="s">
        <v>125</v>
      </c>
      <c r="F3328">
        <v>1</v>
      </c>
      <c r="G3328">
        <v>13.65</v>
      </c>
      <c r="H3328">
        <v>18.23</v>
      </c>
      <c r="I3328" t="s">
        <v>44</v>
      </c>
      <c r="J3328">
        <v>15</v>
      </c>
      <c r="K3328" t="s">
        <v>51</v>
      </c>
      <c r="L3328">
        <v>4</v>
      </c>
      <c r="M3328" t="str">
        <f>VLOOKUP(D3328,State_Lookup!$A$2:$B$28,2,FALSE)</f>
        <v>Santa Catarina</v>
      </c>
    </row>
    <row r="3329" spans="1:13" x14ac:dyDescent="0.45">
      <c r="A3329" t="s">
        <v>3918</v>
      </c>
      <c r="B3329" t="s">
        <v>3908</v>
      </c>
      <c r="C3329" t="s">
        <v>3593</v>
      </c>
      <c r="D3329" t="s">
        <v>21</v>
      </c>
      <c r="E3329" t="s">
        <v>107</v>
      </c>
      <c r="F3329">
        <v>1</v>
      </c>
      <c r="G3329">
        <v>59.9</v>
      </c>
      <c r="H3329">
        <v>23</v>
      </c>
      <c r="I3329" t="s">
        <v>50</v>
      </c>
      <c r="J3329">
        <v>14</v>
      </c>
      <c r="K3329" t="s">
        <v>51</v>
      </c>
      <c r="L3329">
        <v>5</v>
      </c>
      <c r="M3329" t="str">
        <f>VLOOKUP(D3329,State_Lookup!$A$2:$B$28,2,FALSE)</f>
        <v>Santa Catarina</v>
      </c>
    </row>
    <row r="3330" spans="1:13" x14ac:dyDescent="0.45">
      <c r="A3330" t="s">
        <v>3919</v>
      </c>
      <c r="B3330" t="s">
        <v>3908</v>
      </c>
      <c r="C3330" t="s">
        <v>3593</v>
      </c>
      <c r="D3330" t="s">
        <v>24</v>
      </c>
      <c r="E3330" t="s">
        <v>58</v>
      </c>
      <c r="F3330">
        <v>1</v>
      </c>
      <c r="G3330">
        <v>34.200000000000003</v>
      </c>
      <c r="H3330">
        <v>16.95</v>
      </c>
      <c r="I3330" t="s">
        <v>50</v>
      </c>
      <c r="J3330">
        <v>7</v>
      </c>
      <c r="K3330" t="s">
        <v>51</v>
      </c>
      <c r="L3330">
        <v>5</v>
      </c>
      <c r="M3330" t="str">
        <f>VLOOKUP(D3330,State_Lookup!$A$2:$B$28,2,FALSE)</f>
        <v>Distrito Federal</v>
      </c>
    </row>
    <row r="3331" spans="1:13" x14ac:dyDescent="0.45">
      <c r="A3331" t="s">
        <v>3920</v>
      </c>
      <c r="B3331" t="s">
        <v>3908</v>
      </c>
      <c r="C3331" t="s">
        <v>3593</v>
      </c>
      <c r="D3331" t="s">
        <v>16</v>
      </c>
      <c r="E3331" t="s">
        <v>43</v>
      </c>
      <c r="F3331">
        <v>1</v>
      </c>
      <c r="G3331">
        <v>35</v>
      </c>
      <c r="H3331">
        <v>8.2899999999999991</v>
      </c>
      <c r="I3331" t="s">
        <v>44</v>
      </c>
      <c r="J3331">
        <v>8</v>
      </c>
      <c r="K3331" t="s">
        <v>51</v>
      </c>
      <c r="L3331">
        <v>5</v>
      </c>
      <c r="M3331" t="str">
        <f>VLOOKUP(D3331,State_Lookup!$A$2:$B$28,2,FALSE)</f>
        <v>Sao Paulo</v>
      </c>
    </row>
    <row r="3332" spans="1:13" x14ac:dyDescent="0.45">
      <c r="A3332" t="s">
        <v>3921</v>
      </c>
      <c r="B3332" t="s">
        <v>3922</v>
      </c>
      <c r="C3332" t="s">
        <v>3593</v>
      </c>
      <c r="D3332" t="s">
        <v>17</v>
      </c>
      <c r="E3332" t="s">
        <v>125</v>
      </c>
      <c r="F3332">
        <v>1</v>
      </c>
      <c r="G3332">
        <v>18.899999999999999</v>
      </c>
      <c r="H3332">
        <v>22.06</v>
      </c>
      <c r="I3332" t="s">
        <v>44</v>
      </c>
      <c r="J3332">
        <v>36</v>
      </c>
      <c r="K3332" t="s">
        <v>143</v>
      </c>
      <c r="L3332">
        <v>1</v>
      </c>
      <c r="M3332" t="str">
        <f>VLOOKUP(D3332,State_Lookup!$A$2:$B$28,2,FALSE)</f>
        <v>Rio de Janeiro</v>
      </c>
    </row>
    <row r="3333" spans="1:13" x14ac:dyDescent="0.45">
      <c r="A3333" t="s">
        <v>3923</v>
      </c>
      <c r="B3333" t="s">
        <v>3922</v>
      </c>
      <c r="C3333" t="s">
        <v>3593</v>
      </c>
      <c r="D3333" t="s">
        <v>16</v>
      </c>
      <c r="E3333" t="s">
        <v>1056</v>
      </c>
      <c r="F3333">
        <v>3</v>
      </c>
      <c r="G3333">
        <v>123</v>
      </c>
      <c r="H3333">
        <v>29.62</v>
      </c>
      <c r="I3333" t="s">
        <v>44</v>
      </c>
      <c r="J3333">
        <v>2</v>
      </c>
      <c r="K3333" t="s">
        <v>51</v>
      </c>
      <c r="L3333">
        <v>5</v>
      </c>
      <c r="M3333" t="str">
        <f>VLOOKUP(D3333,State_Lookup!$A$2:$B$28,2,FALSE)</f>
        <v>Sao Paulo</v>
      </c>
    </row>
    <row r="3334" spans="1:13" x14ac:dyDescent="0.45">
      <c r="A3334" t="s">
        <v>3924</v>
      </c>
      <c r="B3334" t="s">
        <v>3922</v>
      </c>
      <c r="C3334" t="s">
        <v>3593</v>
      </c>
      <c r="D3334" t="s">
        <v>20</v>
      </c>
      <c r="E3334" t="s">
        <v>269</v>
      </c>
      <c r="F3334">
        <v>1</v>
      </c>
      <c r="G3334">
        <v>129.9</v>
      </c>
      <c r="H3334">
        <v>16.88</v>
      </c>
      <c r="I3334" t="s">
        <v>44</v>
      </c>
      <c r="J3334">
        <v>14</v>
      </c>
      <c r="K3334" t="s">
        <v>51</v>
      </c>
      <c r="L3334">
        <v>5</v>
      </c>
      <c r="M3334" t="str">
        <f>VLOOKUP(D3334,State_Lookup!$A$2:$B$28,2,FALSE)</f>
        <v>Parana</v>
      </c>
    </row>
    <row r="3335" spans="1:13" x14ac:dyDescent="0.45">
      <c r="A3335" t="s">
        <v>3925</v>
      </c>
      <c r="B3335" t="s">
        <v>3922</v>
      </c>
      <c r="C3335" t="s">
        <v>3593</v>
      </c>
      <c r="D3335" t="s">
        <v>17</v>
      </c>
      <c r="E3335" t="s">
        <v>107</v>
      </c>
      <c r="F3335">
        <v>2</v>
      </c>
      <c r="G3335">
        <v>40.799999999999997</v>
      </c>
      <c r="H3335">
        <v>30.46</v>
      </c>
      <c r="I3335" t="s">
        <v>50</v>
      </c>
      <c r="J3335">
        <v>13</v>
      </c>
      <c r="K3335" t="s">
        <v>51</v>
      </c>
      <c r="L3335">
        <v>3</v>
      </c>
      <c r="M3335" t="str">
        <f>VLOOKUP(D3335,State_Lookup!$A$2:$B$28,2,FALSE)</f>
        <v>Rio de Janeiro</v>
      </c>
    </row>
    <row r="3336" spans="1:13" x14ac:dyDescent="0.45">
      <c r="A3336" t="s">
        <v>3926</v>
      </c>
      <c r="B3336" t="s">
        <v>3922</v>
      </c>
      <c r="C3336" t="s">
        <v>3593</v>
      </c>
      <c r="D3336" t="s">
        <v>208</v>
      </c>
      <c r="E3336" t="s">
        <v>148</v>
      </c>
      <c r="F3336">
        <v>1</v>
      </c>
      <c r="G3336">
        <v>169.99</v>
      </c>
      <c r="H3336">
        <v>29.61</v>
      </c>
      <c r="I3336" t="s">
        <v>44</v>
      </c>
      <c r="J3336">
        <v>9</v>
      </c>
      <c r="K3336" t="s">
        <v>51</v>
      </c>
      <c r="L3336">
        <v>4</v>
      </c>
      <c r="M3336" t="str">
        <f>VLOOKUP(D3336,State_Lookup!$A$2:$B$28,2,FALSE)</f>
        <v>Mato Grosso</v>
      </c>
    </row>
    <row r="3337" spans="1:13" x14ac:dyDescent="0.45">
      <c r="A3337" t="s">
        <v>3927</v>
      </c>
      <c r="B3337" t="s">
        <v>3922</v>
      </c>
      <c r="C3337" t="s">
        <v>3593</v>
      </c>
      <c r="D3337" t="s">
        <v>21</v>
      </c>
      <c r="E3337" t="s">
        <v>220</v>
      </c>
      <c r="F3337">
        <v>4</v>
      </c>
      <c r="G3337">
        <v>479.96</v>
      </c>
      <c r="H3337">
        <v>110.4</v>
      </c>
      <c r="I3337" t="s">
        <v>50</v>
      </c>
      <c r="J3337">
        <v>28</v>
      </c>
      <c r="K3337" t="s">
        <v>51</v>
      </c>
      <c r="L3337">
        <v>1</v>
      </c>
      <c r="M3337" t="str">
        <f>VLOOKUP(D3337,State_Lookup!$A$2:$B$28,2,FALSE)</f>
        <v>Santa Catarina</v>
      </c>
    </row>
    <row r="3338" spans="1:13" x14ac:dyDescent="0.45">
      <c r="A3338" t="s">
        <v>3928</v>
      </c>
      <c r="B3338" t="s">
        <v>3922</v>
      </c>
      <c r="C3338" t="s">
        <v>3593</v>
      </c>
      <c r="D3338" t="s">
        <v>17</v>
      </c>
      <c r="E3338" t="s">
        <v>43</v>
      </c>
      <c r="F3338">
        <v>1</v>
      </c>
      <c r="G3338">
        <v>50</v>
      </c>
      <c r="H3338">
        <v>22.93</v>
      </c>
      <c r="I3338" t="s">
        <v>44</v>
      </c>
      <c r="J3338">
        <v>21</v>
      </c>
      <c r="K3338" t="s">
        <v>143</v>
      </c>
      <c r="L3338">
        <v>5</v>
      </c>
      <c r="M3338" t="str">
        <f>VLOOKUP(D3338,State_Lookup!$A$2:$B$28,2,FALSE)</f>
        <v>Rio de Janeiro</v>
      </c>
    </row>
    <row r="3339" spans="1:13" x14ac:dyDescent="0.45">
      <c r="A3339" t="s">
        <v>3929</v>
      </c>
      <c r="B3339" t="s">
        <v>3922</v>
      </c>
      <c r="C3339" t="s">
        <v>3593</v>
      </c>
      <c r="D3339" t="s">
        <v>17</v>
      </c>
      <c r="E3339" t="s">
        <v>103</v>
      </c>
      <c r="F3339">
        <v>1</v>
      </c>
      <c r="G3339">
        <v>115</v>
      </c>
      <c r="H3339">
        <v>15.69</v>
      </c>
      <c r="I3339" t="s">
        <v>44</v>
      </c>
      <c r="J3339">
        <v>13</v>
      </c>
      <c r="K3339" t="s">
        <v>51</v>
      </c>
      <c r="L3339">
        <v>4</v>
      </c>
      <c r="M3339" t="str">
        <f>VLOOKUP(D3339,State_Lookup!$A$2:$B$28,2,FALSE)</f>
        <v>Rio de Janeiro</v>
      </c>
    </row>
    <row r="3340" spans="1:13" x14ac:dyDescent="0.45">
      <c r="A3340" t="s">
        <v>3930</v>
      </c>
      <c r="B3340" t="s">
        <v>3922</v>
      </c>
      <c r="C3340" t="s">
        <v>3593</v>
      </c>
      <c r="D3340" t="s">
        <v>17</v>
      </c>
      <c r="E3340" t="s">
        <v>192</v>
      </c>
      <c r="F3340">
        <v>1</v>
      </c>
      <c r="G3340">
        <v>94.9</v>
      </c>
      <c r="H3340">
        <v>19.63</v>
      </c>
      <c r="I3340" t="s">
        <v>44</v>
      </c>
      <c r="J3340">
        <v>16</v>
      </c>
      <c r="K3340" t="s">
        <v>51</v>
      </c>
      <c r="L3340">
        <v>4</v>
      </c>
      <c r="M3340" t="str">
        <f>VLOOKUP(D3340,State_Lookup!$A$2:$B$28,2,FALSE)</f>
        <v>Rio de Janeiro</v>
      </c>
    </row>
    <row r="3341" spans="1:13" x14ac:dyDescent="0.45">
      <c r="A3341" t="s">
        <v>3931</v>
      </c>
      <c r="B3341" t="s">
        <v>3922</v>
      </c>
      <c r="C3341" t="s">
        <v>3593</v>
      </c>
      <c r="D3341" t="s">
        <v>18</v>
      </c>
      <c r="E3341" t="s">
        <v>69</v>
      </c>
      <c r="F3341">
        <v>1</v>
      </c>
      <c r="G3341">
        <v>179</v>
      </c>
      <c r="H3341">
        <v>27.49</v>
      </c>
      <c r="I3341" t="s">
        <v>44</v>
      </c>
      <c r="J3341">
        <v>13</v>
      </c>
      <c r="K3341" t="s">
        <v>51</v>
      </c>
      <c r="L3341">
        <v>4</v>
      </c>
      <c r="M3341" t="str">
        <f>VLOOKUP(D3341,State_Lookup!$A$2:$B$28,2,FALSE)</f>
        <v>Minas Gerais</v>
      </c>
    </row>
    <row r="3342" spans="1:13" x14ac:dyDescent="0.45">
      <c r="A3342" t="s">
        <v>3932</v>
      </c>
      <c r="B3342" t="s">
        <v>3933</v>
      </c>
      <c r="C3342" t="s">
        <v>3593</v>
      </c>
      <c r="D3342" t="s">
        <v>16</v>
      </c>
      <c r="E3342" t="s">
        <v>107</v>
      </c>
      <c r="F3342">
        <v>1</v>
      </c>
      <c r="G3342">
        <v>119.9</v>
      </c>
      <c r="H3342">
        <v>13.74</v>
      </c>
      <c r="I3342" t="s">
        <v>50</v>
      </c>
      <c r="J3342">
        <v>6</v>
      </c>
      <c r="K3342" t="s">
        <v>51</v>
      </c>
      <c r="L3342">
        <v>5</v>
      </c>
      <c r="M3342" t="str">
        <f>VLOOKUP(D3342,State_Lookup!$A$2:$B$28,2,FALSE)</f>
        <v>Sao Paulo</v>
      </c>
    </row>
    <row r="3343" spans="1:13" x14ac:dyDescent="0.45">
      <c r="A3343" t="s">
        <v>3934</v>
      </c>
      <c r="B3343" t="s">
        <v>3933</v>
      </c>
      <c r="C3343" t="s">
        <v>3593</v>
      </c>
      <c r="D3343" t="s">
        <v>25</v>
      </c>
      <c r="E3343" t="s">
        <v>220</v>
      </c>
      <c r="F3343">
        <v>1</v>
      </c>
      <c r="G3343">
        <v>169.99</v>
      </c>
      <c r="H3343">
        <v>37.74</v>
      </c>
      <c r="I3343" t="s">
        <v>44</v>
      </c>
      <c r="J3343">
        <v>31</v>
      </c>
      <c r="K3343" t="s">
        <v>51</v>
      </c>
      <c r="L3343">
        <v>4</v>
      </c>
      <c r="M3343" t="str">
        <f>VLOOKUP(D3343,State_Lookup!$A$2:$B$28,2,FALSE)</f>
        <v>Goias</v>
      </c>
    </row>
    <row r="3344" spans="1:13" x14ac:dyDescent="0.45">
      <c r="A3344" t="s">
        <v>3935</v>
      </c>
      <c r="B3344" t="s">
        <v>3933</v>
      </c>
      <c r="C3344" t="s">
        <v>3593</v>
      </c>
      <c r="D3344" t="s">
        <v>16</v>
      </c>
      <c r="E3344" t="s">
        <v>107</v>
      </c>
      <c r="F3344">
        <v>1</v>
      </c>
      <c r="G3344">
        <v>89.9</v>
      </c>
      <c r="H3344">
        <v>17.54</v>
      </c>
      <c r="I3344" t="s">
        <v>44</v>
      </c>
      <c r="J3344">
        <v>21</v>
      </c>
      <c r="K3344" t="s">
        <v>51</v>
      </c>
      <c r="L3344">
        <v>3</v>
      </c>
      <c r="M3344" t="str">
        <f>VLOOKUP(D3344,State_Lookup!$A$2:$B$28,2,FALSE)</f>
        <v>Sao Paulo</v>
      </c>
    </row>
    <row r="3345" spans="1:13" x14ac:dyDescent="0.45">
      <c r="A3345" t="s">
        <v>3936</v>
      </c>
      <c r="B3345" t="s">
        <v>3933</v>
      </c>
      <c r="C3345" t="s">
        <v>3593</v>
      </c>
      <c r="D3345" t="s">
        <v>16</v>
      </c>
      <c r="E3345" t="s">
        <v>157</v>
      </c>
      <c r="F3345">
        <v>1</v>
      </c>
      <c r="G3345">
        <v>115</v>
      </c>
      <c r="H3345">
        <v>13.25</v>
      </c>
      <c r="I3345" t="s">
        <v>44</v>
      </c>
      <c r="J3345">
        <v>7</v>
      </c>
      <c r="K3345" t="s">
        <v>51</v>
      </c>
      <c r="L3345">
        <v>1</v>
      </c>
      <c r="M3345" t="str">
        <f>VLOOKUP(D3345,State_Lookup!$A$2:$B$28,2,FALSE)</f>
        <v>Sao Paulo</v>
      </c>
    </row>
    <row r="3346" spans="1:13" x14ac:dyDescent="0.45">
      <c r="A3346" t="s">
        <v>3937</v>
      </c>
      <c r="B3346" t="s">
        <v>3933</v>
      </c>
      <c r="C3346" t="s">
        <v>3593</v>
      </c>
      <c r="D3346" t="s">
        <v>16</v>
      </c>
      <c r="E3346" t="s">
        <v>43</v>
      </c>
      <c r="F3346">
        <v>1</v>
      </c>
      <c r="G3346">
        <v>89.18</v>
      </c>
      <c r="H3346">
        <v>8.98</v>
      </c>
      <c r="I3346" t="s">
        <v>44</v>
      </c>
      <c r="J3346">
        <v>6</v>
      </c>
      <c r="K3346" t="s">
        <v>51</v>
      </c>
      <c r="L3346">
        <v>1</v>
      </c>
      <c r="M3346" t="str">
        <f>VLOOKUP(D3346,State_Lookup!$A$2:$B$28,2,FALSE)</f>
        <v>Sao Paulo</v>
      </c>
    </row>
    <row r="3347" spans="1:13" x14ac:dyDescent="0.45">
      <c r="A3347" t="s">
        <v>3938</v>
      </c>
      <c r="B3347" t="s">
        <v>3933</v>
      </c>
      <c r="C3347" t="s">
        <v>3593</v>
      </c>
      <c r="D3347" t="s">
        <v>21</v>
      </c>
      <c r="E3347" t="s">
        <v>61</v>
      </c>
      <c r="F3347">
        <v>1</v>
      </c>
      <c r="G3347">
        <v>180</v>
      </c>
      <c r="H3347">
        <v>17.8</v>
      </c>
      <c r="I3347" t="s">
        <v>50</v>
      </c>
      <c r="J3347">
        <v>15</v>
      </c>
      <c r="K3347" t="s">
        <v>51</v>
      </c>
      <c r="L3347">
        <v>5</v>
      </c>
      <c r="M3347" t="str">
        <f>VLOOKUP(D3347,State_Lookup!$A$2:$B$28,2,FALSE)</f>
        <v>Santa Catarina</v>
      </c>
    </row>
    <row r="3348" spans="1:13" x14ac:dyDescent="0.45">
      <c r="A3348" t="s">
        <v>3939</v>
      </c>
      <c r="B3348" t="s">
        <v>3933</v>
      </c>
      <c r="C3348" t="s">
        <v>3593</v>
      </c>
      <c r="D3348" t="s">
        <v>16</v>
      </c>
      <c r="E3348" t="s">
        <v>157</v>
      </c>
      <c r="F3348">
        <v>1</v>
      </c>
      <c r="G3348">
        <v>899</v>
      </c>
      <c r="H3348">
        <v>18.73</v>
      </c>
      <c r="I3348" t="s">
        <v>50</v>
      </c>
      <c r="J3348">
        <v>20</v>
      </c>
      <c r="K3348" t="s">
        <v>143</v>
      </c>
      <c r="L3348">
        <v>3</v>
      </c>
      <c r="M3348" t="str">
        <f>VLOOKUP(D3348,State_Lookup!$A$2:$B$28,2,FALSE)</f>
        <v>Sao Paulo</v>
      </c>
    </row>
    <row r="3349" spans="1:13" x14ac:dyDescent="0.45">
      <c r="A3349" t="s">
        <v>3940</v>
      </c>
      <c r="B3349" t="s">
        <v>3933</v>
      </c>
      <c r="C3349" t="s">
        <v>3593</v>
      </c>
      <c r="D3349" t="s">
        <v>21</v>
      </c>
      <c r="E3349" t="s">
        <v>244</v>
      </c>
      <c r="F3349">
        <v>1</v>
      </c>
      <c r="G3349">
        <v>19.989999999999998</v>
      </c>
      <c r="H3349">
        <v>15.23</v>
      </c>
      <c r="I3349" t="s">
        <v>50</v>
      </c>
      <c r="J3349">
        <v>14</v>
      </c>
      <c r="K3349" t="s">
        <v>51</v>
      </c>
      <c r="L3349">
        <v>5</v>
      </c>
      <c r="M3349" t="str">
        <f>VLOOKUP(D3349,State_Lookup!$A$2:$B$28,2,FALSE)</f>
        <v>Santa Catarina</v>
      </c>
    </row>
    <row r="3350" spans="1:13" x14ac:dyDescent="0.45">
      <c r="A3350" t="s">
        <v>3941</v>
      </c>
      <c r="B3350" t="s">
        <v>3933</v>
      </c>
      <c r="C3350" t="s">
        <v>3593</v>
      </c>
      <c r="D3350" t="s">
        <v>20</v>
      </c>
      <c r="E3350" t="s">
        <v>61</v>
      </c>
      <c r="F3350">
        <v>1</v>
      </c>
      <c r="G3350">
        <v>29.35</v>
      </c>
      <c r="H3350">
        <v>18.23</v>
      </c>
      <c r="I3350" t="s">
        <v>44</v>
      </c>
      <c r="J3350">
        <v>14</v>
      </c>
      <c r="K3350" t="s">
        <v>51</v>
      </c>
      <c r="L3350">
        <v>2</v>
      </c>
      <c r="M3350" t="str">
        <f>VLOOKUP(D3350,State_Lookup!$A$2:$B$28,2,FALSE)</f>
        <v>Parana</v>
      </c>
    </row>
    <row r="3351" spans="1:13" x14ac:dyDescent="0.45">
      <c r="A3351" t="s">
        <v>3942</v>
      </c>
      <c r="B3351" t="s">
        <v>3933</v>
      </c>
      <c r="C3351" t="s">
        <v>3593</v>
      </c>
      <c r="D3351" t="s">
        <v>18</v>
      </c>
      <c r="E3351" t="s">
        <v>107</v>
      </c>
      <c r="F3351">
        <v>1</v>
      </c>
      <c r="G3351">
        <v>117.3</v>
      </c>
      <c r="H3351">
        <v>21.73</v>
      </c>
      <c r="I3351" t="s">
        <v>44</v>
      </c>
      <c r="K3351" t="s">
        <v>45</v>
      </c>
      <c r="L3351">
        <v>1</v>
      </c>
      <c r="M3351" t="str">
        <f>VLOOKUP(D3351,State_Lookup!$A$2:$B$28,2,FALSE)</f>
        <v>Minas Gerais</v>
      </c>
    </row>
    <row r="3352" spans="1:13" x14ac:dyDescent="0.45">
      <c r="A3352" t="s">
        <v>3943</v>
      </c>
      <c r="B3352" t="s">
        <v>3944</v>
      </c>
      <c r="C3352" t="s">
        <v>3593</v>
      </c>
      <c r="D3352" t="s">
        <v>672</v>
      </c>
      <c r="E3352" t="s">
        <v>79</v>
      </c>
      <c r="F3352">
        <v>1</v>
      </c>
      <c r="G3352">
        <v>110.99</v>
      </c>
      <c r="H3352">
        <v>20.83</v>
      </c>
      <c r="I3352" t="s">
        <v>44</v>
      </c>
      <c r="J3352">
        <v>54</v>
      </c>
      <c r="K3352" t="s">
        <v>143</v>
      </c>
      <c r="L3352">
        <v>1</v>
      </c>
      <c r="M3352" t="str">
        <f>VLOOKUP(D3352,State_Lookup!$A$2:$B$28,2,FALSE)</f>
        <v>Paraiba</v>
      </c>
    </row>
    <row r="3353" spans="1:13" x14ac:dyDescent="0.45">
      <c r="A3353" t="s">
        <v>3945</v>
      </c>
      <c r="B3353" t="s">
        <v>3944</v>
      </c>
      <c r="C3353" t="s">
        <v>3593</v>
      </c>
      <c r="D3353" t="s">
        <v>16</v>
      </c>
      <c r="E3353" t="s">
        <v>662</v>
      </c>
      <c r="F3353">
        <v>1</v>
      </c>
      <c r="G3353">
        <v>159.99</v>
      </c>
      <c r="H3353">
        <v>27.2</v>
      </c>
      <c r="I3353" t="s">
        <v>50</v>
      </c>
      <c r="J3353">
        <v>10</v>
      </c>
      <c r="K3353" t="s">
        <v>51</v>
      </c>
      <c r="L3353">
        <v>3</v>
      </c>
      <c r="M3353" t="str">
        <f>VLOOKUP(D3353,State_Lookup!$A$2:$B$28,2,FALSE)</f>
        <v>Sao Paulo</v>
      </c>
    </row>
    <row r="3354" spans="1:13" x14ac:dyDescent="0.45">
      <c r="A3354" t="s">
        <v>3946</v>
      </c>
      <c r="B3354" t="s">
        <v>3944</v>
      </c>
      <c r="C3354" t="s">
        <v>3593</v>
      </c>
      <c r="D3354" t="s">
        <v>17</v>
      </c>
      <c r="E3354" t="s">
        <v>157</v>
      </c>
      <c r="F3354">
        <v>1</v>
      </c>
      <c r="G3354">
        <v>54.99</v>
      </c>
      <c r="H3354">
        <v>7.55</v>
      </c>
      <c r="I3354" t="s">
        <v>44</v>
      </c>
      <c r="J3354">
        <v>8</v>
      </c>
      <c r="K3354" t="s">
        <v>51</v>
      </c>
      <c r="L3354">
        <v>5</v>
      </c>
      <c r="M3354" t="str">
        <f>VLOOKUP(D3354,State_Lookup!$A$2:$B$28,2,FALSE)</f>
        <v>Rio de Janeiro</v>
      </c>
    </row>
    <row r="3355" spans="1:13" x14ac:dyDescent="0.45">
      <c r="A3355" t="s">
        <v>3947</v>
      </c>
      <c r="B3355" t="s">
        <v>3944</v>
      </c>
      <c r="C3355" t="s">
        <v>3593</v>
      </c>
      <c r="D3355" t="s">
        <v>16</v>
      </c>
      <c r="E3355" t="s">
        <v>49</v>
      </c>
      <c r="F3355">
        <v>1</v>
      </c>
      <c r="G3355">
        <v>86.99</v>
      </c>
      <c r="H3355">
        <v>11.23</v>
      </c>
      <c r="I3355" t="s">
        <v>44</v>
      </c>
      <c r="J3355">
        <v>11</v>
      </c>
      <c r="K3355" t="s">
        <v>51</v>
      </c>
      <c r="L3355">
        <v>4</v>
      </c>
      <c r="M3355" t="str">
        <f>VLOOKUP(D3355,State_Lookup!$A$2:$B$28,2,FALSE)</f>
        <v>Sao Paulo</v>
      </c>
    </row>
    <row r="3356" spans="1:13" x14ac:dyDescent="0.45">
      <c r="A3356" t="s">
        <v>3948</v>
      </c>
      <c r="B3356" t="s">
        <v>3944</v>
      </c>
      <c r="C3356" t="s">
        <v>3593</v>
      </c>
      <c r="D3356" t="s">
        <v>18</v>
      </c>
      <c r="E3356" t="s">
        <v>142</v>
      </c>
      <c r="F3356">
        <v>1</v>
      </c>
      <c r="G3356">
        <v>85</v>
      </c>
      <c r="H3356">
        <v>23.17</v>
      </c>
      <c r="I3356" t="s">
        <v>44</v>
      </c>
      <c r="J3356">
        <v>13</v>
      </c>
      <c r="K3356" t="s">
        <v>51</v>
      </c>
      <c r="L3356">
        <v>5</v>
      </c>
      <c r="M3356" t="str">
        <f>VLOOKUP(D3356,State_Lookup!$A$2:$B$28,2,FALSE)</f>
        <v>Minas Gerais</v>
      </c>
    </row>
    <row r="3357" spans="1:13" x14ac:dyDescent="0.45">
      <c r="A3357" t="s">
        <v>3949</v>
      </c>
      <c r="B3357" t="s">
        <v>3944</v>
      </c>
      <c r="C3357" t="s">
        <v>3593</v>
      </c>
      <c r="D3357" t="s">
        <v>23</v>
      </c>
      <c r="E3357" t="s">
        <v>668</v>
      </c>
      <c r="F3357">
        <v>1</v>
      </c>
      <c r="G3357">
        <v>173</v>
      </c>
      <c r="H3357">
        <v>19.09</v>
      </c>
      <c r="I3357" t="s">
        <v>133</v>
      </c>
      <c r="J3357">
        <v>36</v>
      </c>
      <c r="K3357" t="s">
        <v>143</v>
      </c>
      <c r="L3357">
        <v>2</v>
      </c>
      <c r="M3357" t="str">
        <f>VLOOKUP(D3357,State_Lookup!$A$2:$B$28,2,FALSE)</f>
        <v>Espirito Santo</v>
      </c>
    </row>
    <row r="3358" spans="1:13" x14ac:dyDescent="0.45">
      <c r="A3358" t="s">
        <v>3950</v>
      </c>
      <c r="B3358" t="s">
        <v>3944</v>
      </c>
      <c r="C3358" t="s">
        <v>3593</v>
      </c>
      <c r="D3358" t="s">
        <v>113</v>
      </c>
      <c r="E3358" t="s">
        <v>125</v>
      </c>
      <c r="F3358">
        <v>1</v>
      </c>
      <c r="G3358">
        <v>17.89</v>
      </c>
      <c r="H3358">
        <v>19.04</v>
      </c>
      <c r="I3358" t="s">
        <v>133</v>
      </c>
      <c r="J3358">
        <v>25</v>
      </c>
      <c r="K3358" t="s">
        <v>143</v>
      </c>
      <c r="L3358">
        <v>1</v>
      </c>
      <c r="M3358" t="str">
        <f>VLOOKUP(D3358,State_Lookup!$A$2:$B$28,2,FALSE)</f>
        <v>Piaui</v>
      </c>
    </row>
    <row r="3359" spans="1:13" x14ac:dyDescent="0.45">
      <c r="A3359" t="s">
        <v>3951</v>
      </c>
      <c r="B3359" t="s">
        <v>3944</v>
      </c>
      <c r="C3359" t="s">
        <v>3593</v>
      </c>
      <c r="D3359" t="s">
        <v>16</v>
      </c>
      <c r="E3359" t="s">
        <v>43</v>
      </c>
      <c r="F3359">
        <v>2</v>
      </c>
      <c r="G3359">
        <v>199</v>
      </c>
      <c r="H3359">
        <v>46.54</v>
      </c>
      <c r="I3359" t="s">
        <v>50</v>
      </c>
      <c r="J3359">
        <v>11</v>
      </c>
      <c r="K3359" t="s">
        <v>51</v>
      </c>
      <c r="L3359">
        <v>5</v>
      </c>
      <c r="M3359" t="str">
        <f>VLOOKUP(D3359,State_Lookup!$A$2:$B$28,2,FALSE)</f>
        <v>Sao Paulo</v>
      </c>
    </row>
    <row r="3360" spans="1:13" x14ac:dyDescent="0.45">
      <c r="A3360" t="s">
        <v>3952</v>
      </c>
      <c r="B3360" t="s">
        <v>3944</v>
      </c>
      <c r="C3360" t="s">
        <v>3593</v>
      </c>
      <c r="D3360" t="s">
        <v>16</v>
      </c>
      <c r="E3360" t="s">
        <v>61</v>
      </c>
      <c r="F3360">
        <v>1</v>
      </c>
      <c r="G3360">
        <v>61.9</v>
      </c>
      <c r="H3360">
        <v>13.55</v>
      </c>
      <c r="I3360" t="s">
        <v>44</v>
      </c>
      <c r="J3360">
        <v>11</v>
      </c>
      <c r="K3360" t="s">
        <v>51</v>
      </c>
      <c r="L3360">
        <v>4</v>
      </c>
      <c r="M3360" t="str">
        <f>VLOOKUP(D3360,State_Lookup!$A$2:$B$28,2,FALSE)</f>
        <v>Sao Paulo</v>
      </c>
    </row>
    <row r="3361" spans="1:13" x14ac:dyDescent="0.45">
      <c r="A3361" t="s">
        <v>3953</v>
      </c>
      <c r="B3361" t="s">
        <v>3944</v>
      </c>
      <c r="C3361" t="s">
        <v>3593</v>
      </c>
      <c r="D3361" t="s">
        <v>17</v>
      </c>
      <c r="E3361" t="s">
        <v>110</v>
      </c>
      <c r="F3361">
        <v>2</v>
      </c>
      <c r="G3361">
        <v>35.979999999999997</v>
      </c>
      <c r="H3361">
        <v>38.64</v>
      </c>
      <c r="I3361" t="s">
        <v>44</v>
      </c>
      <c r="J3361">
        <v>26</v>
      </c>
      <c r="K3361" t="s">
        <v>51</v>
      </c>
      <c r="L3361">
        <v>5</v>
      </c>
      <c r="M3361" t="str">
        <f>VLOOKUP(D3361,State_Lookup!$A$2:$B$28,2,FALSE)</f>
        <v>Rio de Janeiro</v>
      </c>
    </row>
    <row r="3362" spans="1:13" x14ac:dyDescent="0.45">
      <c r="A3362" t="s">
        <v>3954</v>
      </c>
      <c r="B3362" t="s">
        <v>3944</v>
      </c>
      <c r="C3362" t="s">
        <v>3593</v>
      </c>
      <c r="D3362" t="s">
        <v>16</v>
      </c>
      <c r="E3362" t="s">
        <v>79</v>
      </c>
      <c r="F3362">
        <v>1</v>
      </c>
      <c r="G3362">
        <v>49.9</v>
      </c>
      <c r="H3362">
        <v>18.23</v>
      </c>
      <c r="I3362" t="s">
        <v>44</v>
      </c>
      <c r="J3362">
        <v>42</v>
      </c>
      <c r="K3362" t="s">
        <v>143</v>
      </c>
      <c r="L3362">
        <v>1</v>
      </c>
      <c r="M3362" t="str">
        <f>VLOOKUP(D3362,State_Lookup!$A$2:$B$28,2,FALSE)</f>
        <v>Sao Paulo</v>
      </c>
    </row>
    <row r="3363" spans="1:13" x14ac:dyDescent="0.45">
      <c r="A3363" t="s">
        <v>3955</v>
      </c>
      <c r="B3363" t="s">
        <v>3944</v>
      </c>
      <c r="C3363" t="s">
        <v>3593</v>
      </c>
      <c r="D3363" t="s">
        <v>17</v>
      </c>
      <c r="E3363" t="s">
        <v>53</v>
      </c>
      <c r="F3363">
        <v>1</v>
      </c>
      <c r="G3363">
        <v>45.99</v>
      </c>
      <c r="H3363">
        <v>15.23</v>
      </c>
      <c r="I3363" t="s">
        <v>44</v>
      </c>
      <c r="J3363">
        <v>13</v>
      </c>
      <c r="K3363" t="s">
        <v>51</v>
      </c>
      <c r="L3363">
        <v>3</v>
      </c>
      <c r="M3363" t="str">
        <f>VLOOKUP(D3363,State_Lookup!$A$2:$B$28,2,FALSE)</f>
        <v>Rio de Janeiro</v>
      </c>
    </row>
    <row r="3364" spans="1:13" x14ac:dyDescent="0.45">
      <c r="A3364" t="s">
        <v>3956</v>
      </c>
      <c r="B3364" t="s">
        <v>3944</v>
      </c>
      <c r="C3364" t="s">
        <v>3593</v>
      </c>
      <c r="D3364" t="s">
        <v>16</v>
      </c>
      <c r="E3364" t="s">
        <v>79</v>
      </c>
      <c r="F3364">
        <v>1</v>
      </c>
      <c r="G3364">
        <v>152</v>
      </c>
      <c r="H3364">
        <v>12.55</v>
      </c>
      <c r="I3364" t="s">
        <v>50</v>
      </c>
      <c r="J3364">
        <v>14</v>
      </c>
      <c r="K3364" t="s">
        <v>51</v>
      </c>
      <c r="L3364">
        <v>4</v>
      </c>
      <c r="M3364" t="str">
        <f>VLOOKUP(D3364,State_Lookup!$A$2:$B$28,2,FALSE)</f>
        <v>Sao Paulo</v>
      </c>
    </row>
    <row r="3365" spans="1:13" x14ac:dyDescent="0.45">
      <c r="A3365" t="s">
        <v>3957</v>
      </c>
      <c r="B3365" t="s">
        <v>3944</v>
      </c>
      <c r="C3365" t="s">
        <v>3593</v>
      </c>
      <c r="D3365" t="s">
        <v>16</v>
      </c>
      <c r="E3365" t="s">
        <v>61</v>
      </c>
      <c r="F3365">
        <v>1</v>
      </c>
      <c r="G3365">
        <v>149.9</v>
      </c>
      <c r="H3365">
        <v>14.17</v>
      </c>
      <c r="I3365" t="s">
        <v>44</v>
      </c>
      <c r="J3365">
        <v>11</v>
      </c>
      <c r="K3365" t="s">
        <v>51</v>
      </c>
      <c r="L3365">
        <v>5</v>
      </c>
      <c r="M3365" t="str">
        <f>VLOOKUP(D3365,State_Lookup!$A$2:$B$28,2,FALSE)</f>
        <v>Sao Paulo</v>
      </c>
    </row>
    <row r="3366" spans="1:13" x14ac:dyDescent="0.45">
      <c r="A3366" t="s">
        <v>3958</v>
      </c>
      <c r="B3366" t="s">
        <v>3944</v>
      </c>
      <c r="C3366" t="s">
        <v>3593</v>
      </c>
      <c r="D3366" t="s">
        <v>20</v>
      </c>
      <c r="E3366" t="s">
        <v>61</v>
      </c>
      <c r="F3366">
        <v>1</v>
      </c>
      <c r="G3366">
        <v>135</v>
      </c>
      <c r="H3366">
        <v>17.510000000000002</v>
      </c>
      <c r="I3366" t="s">
        <v>44</v>
      </c>
      <c r="J3366">
        <v>7</v>
      </c>
      <c r="K3366" t="s">
        <v>51</v>
      </c>
      <c r="L3366">
        <v>5</v>
      </c>
      <c r="M3366" t="str">
        <f>VLOOKUP(D3366,State_Lookup!$A$2:$B$28,2,FALSE)</f>
        <v>Parana</v>
      </c>
    </row>
    <row r="3367" spans="1:13" x14ac:dyDescent="0.45">
      <c r="A3367" t="s">
        <v>3959</v>
      </c>
      <c r="B3367" t="s">
        <v>3944</v>
      </c>
      <c r="C3367" t="s">
        <v>3593</v>
      </c>
      <c r="D3367" t="s">
        <v>20</v>
      </c>
      <c r="E3367" t="s">
        <v>662</v>
      </c>
      <c r="F3367">
        <v>1</v>
      </c>
      <c r="G3367">
        <v>86.9</v>
      </c>
      <c r="H3367">
        <v>21.56</v>
      </c>
      <c r="I3367" t="s">
        <v>108</v>
      </c>
      <c r="J3367">
        <v>19</v>
      </c>
      <c r="K3367" t="s">
        <v>51</v>
      </c>
      <c r="L3367">
        <v>5</v>
      </c>
      <c r="M3367" t="str">
        <f>VLOOKUP(D3367,State_Lookup!$A$2:$B$28,2,FALSE)</f>
        <v>Parana</v>
      </c>
    </row>
    <row r="3368" spans="1:13" x14ac:dyDescent="0.45">
      <c r="A3368" t="s">
        <v>3960</v>
      </c>
      <c r="B3368" t="s">
        <v>3961</v>
      </c>
      <c r="C3368" t="s">
        <v>3593</v>
      </c>
      <c r="D3368" t="s">
        <v>16</v>
      </c>
      <c r="E3368" t="s">
        <v>43</v>
      </c>
      <c r="F3368">
        <v>1</v>
      </c>
      <c r="G3368">
        <v>69.900000000000006</v>
      </c>
      <c r="H3368">
        <v>12.43</v>
      </c>
      <c r="I3368" t="s">
        <v>50</v>
      </c>
      <c r="J3368">
        <v>9</v>
      </c>
      <c r="K3368" t="s">
        <v>51</v>
      </c>
      <c r="L3368">
        <v>5</v>
      </c>
      <c r="M3368" t="str">
        <f>VLOOKUP(D3368,State_Lookup!$A$2:$B$28,2,FALSE)</f>
        <v>Sao Paulo</v>
      </c>
    </row>
    <row r="3369" spans="1:13" x14ac:dyDescent="0.45">
      <c r="A3369" t="s">
        <v>3962</v>
      </c>
      <c r="B3369" t="s">
        <v>3961</v>
      </c>
      <c r="C3369" t="s">
        <v>3593</v>
      </c>
      <c r="D3369" t="s">
        <v>16</v>
      </c>
      <c r="E3369" t="s">
        <v>49</v>
      </c>
      <c r="F3369">
        <v>1</v>
      </c>
      <c r="G3369">
        <v>10.49</v>
      </c>
      <c r="H3369">
        <v>7.87</v>
      </c>
      <c r="I3369" t="s">
        <v>44</v>
      </c>
      <c r="J3369">
        <v>3</v>
      </c>
      <c r="K3369" t="s">
        <v>51</v>
      </c>
      <c r="L3369">
        <v>4</v>
      </c>
      <c r="M3369" t="str">
        <f>VLOOKUP(D3369,State_Lookup!$A$2:$B$28,2,FALSE)</f>
        <v>Sao Paulo</v>
      </c>
    </row>
    <row r="3370" spans="1:13" x14ac:dyDescent="0.45">
      <c r="A3370" t="s">
        <v>3963</v>
      </c>
      <c r="B3370" t="s">
        <v>3961</v>
      </c>
      <c r="C3370" t="s">
        <v>3593</v>
      </c>
      <c r="D3370" t="s">
        <v>18</v>
      </c>
      <c r="E3370" t="s">
        <v>49</v>
      </c>
      <c r="F3370">
        <v>1</v>
      </c>
      <c r="G3370">
        <v>69.900000000000006</v>
      </c>
      <c r="H3370">
        <v>26.57</v>
      </c>
      <c r="I3370" t="s">
        <v>44</v>
      </c>
      <c r="J3370">
        <v>11</v>
      </c>
      <c r="K3370" t="s">
        <v>51</v>
      </c>
      <c r="L3370">
        <v>5</v>
      </c>
      <c r="M3370" t="str">
        <f>VLOOKUP(D3370,State_Lookup!$A$2:$B$28,2,FALSE)</f>
        <v>Minas Gerais</v>
      </c>
    </row>
    <row r="3371" spans="1:13" x14ac:dyDescent="0.45">
      <c r="A3371" t="s">
        <v>3964</v>
      </c>
      <c r="B3371" t="s">
        <v>3961</v>
      </c>
      <c r="C3371" t="s">
        <v>3593</v>
      </c>
      <c r="D3371" t="s">
        <v>16</v>
      </c>
      <c r="E3371" t="s">
        <v>244</v>
      </c>
      <c r="F3371">
        <v>1</v>
      </c>
      <c r="G3371">
        <v>159</v>
      </c>
      <c r="H3371">
        <v>15.2</v>
      </c>
      <c r="I3371" t="s">
        <v>44</v>
      </c>
      <c r="J3371">
        <v>18</v>
      </c>
      <c r="K3371" t="s">
        <v>51</v>
      </c>
      <c r="L3371">
        <v>4</v>
      </c>
      <c r="M3371" t="str">
        <f>VLOOKUP(D3371,State_Lookup!$A$2:$B$28,2,FALSE)</f>
        <v>Sao Paulo</v>
      </c>
    </row>
    <row r="3372" spans="1:13" x14ac:dyDescent="0.45">
      <c r="A3372" t="s">
        <v>3965</v>
      </c>
      <c r="B3372" t="s">
        <v>3961</v>
      </c>
      <c r="C3372" t="s">
        <v>3593</v>
      </c>
      <c r="D3372" t="s">
        <v>17</v>
      </c>
      <c r="E3372" t="s">
        <v>3816</v>
      </c>
      <c r="F3372">
        <v>1</v>
      </c>
      <c r="G3372">
        <v>68.900000000000006</v>
      </c>
      <c r="H3372">
        <v>16.45</v>
      </c>
      <c r="I3372" t="s">
        <v>44</v>
      </c>
      <c r="J3372">
        <v>28</v>
      </c>
      <c r="K3372" t="s">
        <v>51</v>
      </c>
      <c r="L3372">
        <v>4</v>
      </c>
      <c r="M3372" t="str">
        <f>VLOOKUP(D3372,State_Lookup!$A$2:$B$28,2,FALSE)</f>
        <v>Rio de Janeiro</v>
      </c>
    </row>
    <row r="3373" spans="1:13" x14ac:dyDescent="0.45">
      <c r="A3373" t="s">
        <v>3966</v>
      </c>
      <c r="B3373" t="s">
        <v>3961</v>
      </c>
      <c r="C3373" t="s">
        <v>3593</v>
      </c>
      <c r="D3373" t="s">
        <v>20</v>
      </c>
      <c r="E3373" t="s">
        <v>103</v>
      </c>
      <c r="F3373">
        <v>1</v>
      </c>
      <c r="G3373">
        <v>428</v>
      </c>
      <c r="H3373">
        <v>22.39</v>
      </c>
      <c r="I3373" t="s">
        <v>44</v>
      </c>
      <c r="J3373">
        <v>25</v>
      </c>
      <c r="K3373" t="s">
        <v>51</v>
      </c>
      <c r="L3373">
        <v>5</v>
      </c>
      <c r="M3373" t="str">
        <f>VLOOKUP(D3373,State_Lookup!$A$2:$B$28,2,FALSE)</f>
        <v>Parana</v>
      </c>
    </row>
    <row r="3374" spans="1:13" x14ac:dyDescent="0.45">
      <c r="A3374" t="s">
        <v>3967</v>
      </c>
      <c r="B3374" t="s">
        <v>3961</v>
      </c>
      <c r="C3374" t="s">
        <v>3593</v>
      </c>
      <c r="D3374" t="s">
        <v>20</v>
      </c>
      <c r="E3374" t="s">
        <v>110</v>
      </c>
      <c r="F3374">
        <v>1</v>
      </c>
      <c r="G3374">
        <v>21.99</v>
      </c>
      <c r="H3374">
        <v>18.23</v>
      </c>
      <c r="I3374" t="s">
        <v>44</v>
      </c>
      <c r="J3374">
        <v>14</v>
      </c>
      <c r="K3374" t="s">
        <v>51</v>
      </c>
      <c r="L3374">
        <v>5</v>
      </c>
      <c r="M3374" t="str">
        <f>VLOOKUP(D3374,State_Lookup!$A$2:$B$28,2,FALSE)</f>
        <v>Parana</v>
      </c>
    </row>
    <row r="3375" spans="1:13" x14ac:dyDescent="0.45">
      <c r="A3375" t="s">
        <v>3968</v>
      </c>
      <c r="B3375" t="s">
        <v>3961</v>
      </c>
      <c r="C3375" t="s">
        <v>3593</v>
      </c>
      <c r="D3375" t="s">
        <v>23</v>
      </c>
      <c r="E3375" t="s">
        <v>79</v>
      </c>
      <c r="F3375">
        <v>1</v>
      </c>
      <c r="G3375">
        <v>61.99</v>
      </c>
      <c r="H3375">
        <v>22.93</v>
      </c>
      <c r="I3375" t="s">
        <v>50</v>
      </c>
      <c r="J3375">
        <v>45</v>
      </c>
      <c r="K3375" t="s">
        <v>143</v>
      </c>
      <c r="L3375">
        <v>1</v>
      </c>
      <c r="M3375" t="str">
        <f>VLOOKUP(D3375,State_Lookup!$A$2:$B$28,2,FALSE)</f>
        <v>Espirito Santo</v>
      </c>
    </row>
    <row r="3376" spans="1:13" x14ac:dyDescent="0.45">
      <c r="A3376" t="s">
        <v>3969</v>
      </c>
      <c r="B3376" t="s">
        <v>3961</v>
      </c>
      <c r="C3376" t="s">
        <v>3593</v>
      </c>
      <c r="D3376" t="s">
        <v>208</v>
      </c>
      <c r="E3376" t="s">
        <v>43</v>
      </c>
      <c r="F3376">
        <v>3</v>
      </c>
      <c r="G3376">
        <v>149.69999999999999</v>
      </c>
      <c r="H3376">
        <v>69.84</v>
      </c>
      <c r="I3376" t="s">
        <v>44</v>
      </c>
      <c r="J3376">
        <v>18</v>
      </c>
      <c r="K3376" t="s">
        <v>51</v>
      </c>
      <c r="L3376">
        <v>5</v>
      </c>
      <c r="M3376" t="str">
        <f>VLOOKUP(D3376,State_Lookup!$A$2:$B$28,2,FALSE)</f>
        <v>Mato Grosso</v>
      </c>
    </row>
    <row r="3377" spans="1:13" x14ac:dyDescent="0.45">
      <c r="A3377" t="s">
        <v>3970</v>
      </c>
      <c r="B3377" t="s">
        <v>3961</v>
      </c>
      <c r="C3377" t="s">
        <v>3593</v>
      </c>
      <c r="D3377" t="s">
        <v>17</v>
      </c>
      <c r="E3377" t="s">
        <v>43</v>
      </c>
      <c r="F3377">
        <v>1</v>
      </c>
      <c r="G3377">
        <v>189.9</v>
      </c>
      <c r="H3377">
        <v>19.260000000000002</v>
      </c>
      <c r="I3377" t="s">
        <v>44</v>
      </c>
      <c r="J3377">
        <v>6</v>
      </c>
      <c r="K3377" t="s">
        <v>51</v>
      </c>
      <c r="L3377">
        <v>5</v>
      </c>
      <c r="M3377" t="str">
        <f>VLOOKUP(D3377,State_Lookup!$A$2:$B$28,2,FALSE)</f>
        <v>Rio de Janeiro</v>
      </c>
    </row>
    <row r="3378" spans="1:13" x14ac:dyDescent="0.45">
      <c r="A3378" t="s">
        <v>3971</v>
      </c>
      <c r="B3378" t="s">
        <v>3961</v>
      </c>
      <c r="C3378" t="s">
        <v>3593</v>
      </c>
      <c r="D3378" t="s">
        <v>17</v>
      </c>
      <c r="E3378" t="s">
        <v>53</v>
      </c>
      <c r="F3378">
        <v>1</v>
      </c>
      <c r="G3378">
        <v>229.99</v>
      </c>
      <c r="H3378">
        <v>15.55</v>
      </c>
      <c r="I3378" t="s">
        <v>133</v>
      </c>
      <c r="J3378">
        <v>4</v>
      </c>
      <c r="K3378" t="s">
        <v>51</v>
      </c>
      <c r="L3378">
        <v>5</v>
      </c>
      <c r="M3378" t="str">
        <f>VLOOKUP(D3378,State_Lookup!$A$2:$B$28,2,FALSE)</f>
        <v>Rio de Janeiro</v>
      </c>
    </row>
    <row r="3379" spans="1:13" x14ac:dyDescent="0.45">
      <c r="A3379" t="s">
        <v>3972</v>
      </c>
      <c r="B3379" t="s">
        <v>3961</v>
      </c>
      <c r="C3379" t="s">
        <v>3593</v>
      </c>
      <c r="D3379" t="s">
        <v>18</v>
      </c>
      <c r="E3379" t="s">
        <v>110</v>
      </c>
      <c r="F3379">
        <v>1</v>
      </c>
      <c r="G3379">
        <v>109</v>
      </c>
      <c r="H3379">
        <v>23.3</v>
      </c>
      <c r="I3379" t="s">
        <v>44</v>
      </c>
      <c r="J3379">
        <v>8</v>
      </c>
      <c r="K3379" t="s">
        <v>51</v>
      </c>
      <c r="M3379" t="str">
        <f>VLOOKUP(D3379,State_Lookup!$A$2:$B$28,2,FALSE)</f>
        <v>Minas Gerais</v>
      </c>
    </row>
    <row r="3380" spans="1:13" x14ac:dyDescent="0.45">
      <c r="A3380" t="s">
        <v>3973</v>
      </c>
      <c r="B3380" t="s">
        <v>3961</v>
      </c>
      <c r="C3380" t="s">
        <v>3593</v>
      </c>
      <c r="D3380" t="s">
        <v>672</v>
      </c>
      <c r="E3380" t="s">
        <v>61</v>
      </c>
      <c r="F3380">
        <v>1</v>
      </c>
      <c r="G3380">
        <v>149.9</v>
      </c>
      <c r="H3380">
        <v>20.02</v>
      </c>
      <c r="I3380" t="s">
        <v>44</v>
      </c>
      <c r="J3380">
        <v>6</v>
      </c>
      <c r="K3380" t="s">
        <v>51</v>
      </c>
      <c r="L3380">
        <v>4</v>
      </c>
      <c r="M3380" t="str">
        <f>VLOOKUP(D3380,State_Lookup!$A$2:$B$28,2,FALSE)</f>
        <v>Paraiba</v>
      </c>
    </row>
    <row r="3381" spans="1:13" x14ac:dyDescent="0.45">
      <c r="A3381" t="s">
        <v>3974</v>
      </c>
      <c r="B3381" t="s">
        <v>3975</v>
      </c>
      <c r="C3381" t="s">
        <v>3593</v>
      </c>
      <c r="D3381" t="s">
        <v>16</v>
      </c>
      <c r="E3381" t="s">
        <v>2467</v>
      </c>
      <c r="F3381">
        <v>1</v>
      </c>
      <c r="G3381">
        <v>44.95</v>
      </c>
      <c r="H3381">
        <v>7.39</v>
      </c>
      <c r="I3381" t="s">
        <v>44</v>
      </c>
      <c r="J3381">
        <v>23</v>
      </c>
      <c r="K3381" t="s">
        <v>143</v>
      </c>
      <c r="L3381">
        <v>1</v>
      </c>
      <c r="M3381" t="str">
        <f>VLOOKUP(D3381,State_Lookup!$A$2:$B$28,2,FALSE)</f>
        <v>Sao Paulo</v>
      </c>
    </row>
    <row r="3382" spans="1:13" x14ac:dyDescent="0.45">
      <c r="A3382" t="s">
        <v>3976</v>
      </c>
      <c r="B3382" t="s">
        <v>3975</v>
      </c>
      <c r="C3382" t="s">
        <v>3593</v>
      </c>
      <c r="D3382" t="s">
        <v>16</v>
      </c>
      <c r="E3382" t="s">
        <v>110</v>
      </c>
      <c r="F3382">
        <v>1</v>
      </c>
      <c r="G3382">
        <v>286</v>
      </c>
      <c r="H3382">
        <v>14.44</v>
      </c>
      <c r="I3382" t="s">
        <v>44</v>
      </c>
      <c r="J3382">
        <v>25</v>
      </c>
      <c r="K3382" t="s">
        <v>143</v>
      </c>
      <c r="L3382">
        <v>1</v>
      </c>
      <c r="M3382" t="str">
        <f>VLOOKUP(D3382,State_Lookup!$A$2:$B$28,2,FALSE)</f>
        <v>Sao Paulo</v>
      </c>
    </row>
    <row r="3383" spans="1:13" x14ac:dyDescent="0.45">
      <c r="A3383" t="s">
        <v>3977</v>
      </c>
      <c r="B3383" t="s">
        <v>3975</v>
      </c>
      <c r="C3383" t="s">
        <v>3593</v>
      </c>
      <c r="D3383" t="s">
        <v>16</v>
      </c>
      <c r="E3383" t="s">
        <v>192</v>
      </c>
      <c r="F3383">
        <v>1</v>
      </c>
      <c r="G3383">
        <v>56</v>
      </c>
      <c r="H3383">
        <v>17.97</v>
      </c>
      <c r="I3383" t="s">
        <v>44</v>
      </c>
      <c r="J3383">
        <v>9</v>
      </c>
      <c r="K3383" t="s">
        <v>51</v>
      </c>
      <c r="L3383">
        <v>5</v>
      </c>
      <c r="M3383" t="str">
        <f>VLOOKUP(D3383,State_Lookup!$A$2:$B$28,2,FALSE)</f>
        <v>Sao Paulo</v>
      </c>
    </row>
    <row r="3384" spans="1:13" x14ac:dyDescent="0.45">
      <c r="A3384" t="s">
        <v>3978</v>
      </c>
      <c r="B3384" t="s">
        <v>3975</v>
      </c>
      <c r="C3384" t="s">
        <v>3593</v>
      </c>
      <c r="D3384" t="s">
        <v>16</v>
      </c>
      <c r="E3384" t="s">
        <v>69</v>
      </c>
      <c r="F3384">
        <v>1</v>
      </c>
      <c r="G3384">
        <v>55</v>
      </c>
      <c r="H3384">
        <v>8.8800000000000008</v>
      </c>
      <c r="I3384" t="s">
        <v>44</v>
      </c>
      <c r="J3384">
        <v>8</v>
      </c>
      <c r="K3384" t="s">
        <v>51</v>
      </c>
      <c r="L3384">
        <v>3</v>
      </c>
      <c r="M3384" t="str">
        <f>VLOOKUP(D3384,State_Lookup!$A$2:$B$28,2,FALSE)</f>
        <v>Sao Paulo</v>
      </c>
    </row>
    <row r="3385" spans="1:13" x14ac:dyDescent="0.45">
      <c r="A3385" t="s">
        <v>3979</v>
      </c>
      <c r="B3385" t="s">
        <v>3975</v>
      </c>
      <c r="C3385" t="s">
        <v>3593</v>
      </c>
      <c r="D3385" t="s">
        <v>16</v>
      </c>
      <c r="E3385" t="s">
        <v>302</v>
      </c>
      <c r="F3385">
        <v>1</v>
      </c>
      <c r="G3385">
        <v>54.87</v>
      </c>
      <c r="H3385">
        <v>19.350000000000001</v>
      </c>
      <c r="I3385" t="s">
        <v>50</v>
      </c>
      <c r="J3385">
        <v>9</v>
      </c>
      <c r="K3385" t="s">
        <v>51</v>
      </c>
      <c r="L3385">
        <v>5</v>
      </c>
      <c r="M3385" t="str">
        <f>VLOOKUP(D3385,State_Lookup!$A$2:$B$28,2,FALSE)</f>
        <v>Sao Paulo</v>
      </c>
    </row>
    <row r="3386" spans="1:13" x14ac:dyDescent="0.45">
      <c r="A3386" t="s">
        <v>3980</v>
      </c>
      <c r="B3386" t="s">
        <v>3975</v>
      </c>
      <c r="C3386" t="s">
        <v>3593</v>
      </c>
      <c r="D3386" t="s">
        <v>19</v>
      </c>
      <c r="E3386" t="s">
        <v>244</v>
      </c>
      <c r="F3386">
        <v>1</v>
      </c>
      <c r="G3386">
        <v>159.9</v>
      </c>
      <c r="H3386">
        <v>17.09</v>
      </c>
      <c r="I3386" t="s">
        <v>44</v>
      </c>
      <c r="J3386">
        <v>13</v>
      </c>
      <c r="K3386" t="s">
        <v>51</v>
      </c>
      <c r="L3386">
        <v>5</v>
      </c>
      <c r="M3386" t="str">
        <f>VLOOKUP(D3386,State_Lookup!$A$2:$B$28,2,FALSE)</f>
        <v>Rio Grande do Sul</v>
      </c>
    </row>
    <row r="3387" spans="1:13" x14ac:dyDescent="0.45">
      <c r="A3387" t="s">
        <v>3981</v>
      </c>
      <c r="B3387" t="s">
        <v>3982</v>
      </c>
      <c r="C3387" t="s">
        <v>3983</v>
      </c>
      <c r="D3387" t="s">
        <v>16</v>
      </c>
      <c r="E3387" t="s">
        <v>49</v>
      </c>
      <c r="F3387">
        <v>1</v>
      </c>
      <c r="G3387">
        <v>45</v>
      </c>
      <c r="H3387">
        <v>18.23</v>
      </c>
      <c r="I3387" t="s">
        <v>44</v>
      </c>
      <c r="J3387">
        <v>8</v>
      </c>
      <c r="K3387" t="s">
        <v>51</v>
      </c>
      <c r="L3387">
        <v>5</v>
      </c>
      <c r="M3387" t="str">
        <f>VLOOKUP(D3387,State_Lookup!$A$2:$B$28,2,FALSE)</f>
        <v>Sao Paulo</v>
      </c>
    </row>
    <row r="3388" spans="1:13" x14ac:dyDescent="0.45">
      <c r="A3388" t="s">
        <v>3984</v>
      </c>
      <c r="B3388" t="s">
        <v>3982</v>
      </c>
      <c r="C3388" t="s">
        <v>3983</v>
      </c>
      <c r="D3388" t="s">
        <v>16</v>
      </c>
      <c r="E3388" t="s">
        <v>142</v>
      </c>
      <c r="F3388">
        <v>1</v>
      </c>
      <c r="G3388">
        <v>49.9</v>
      </c>
      <c r="H3388">
        <v>7.39</v>
      </c>
      <c r="I3388" t="s">
        <v>44</v>
      </c>
      <c r="J3388">
        <v>3</v>
      </c>
      <c r="K3388" t="s">
        <v>51</v>
      </c>
      <c r="L3388">
        <v>4</v>
      </c>
      <c r="M3388" t="str">
        <f>VLOOKUP(D3388,State_Lookup!$A$2:$B$28,2,FALSE)</f>
        <v>Sao Paulo</v>
      </c>
    </row>
    <row r="3389" spans="1:13" x14ac:dyDescent="0.45">
      <c r="A3389" t="s">
        <v>3985</v>
      </c>
      <c r="B3389" t="s">
        <v>3982</v>
      </c>
      <c r="C3389" t="s">
        <v>3983</v>
      </c>
      <c r="D3389" t="s">
        <v>16</v>
      </c>
      <c r="E3389" t="s">
        <v>142</v>
      </c>
      <c r="F3389">
        <v>1</v>
      </c>
      <c r="G3389">
        <v>75</v>
      </c>
      <c r="H3389">
        <v>8.8800000000000008</v>
      </c>
      <c r="I3389" t="s">
        <v>44</v>
      </c>
      <c r="J3389">
        <v>3</v>
      </c>
      <c r="K3389" t="s">
        <v>51</v>
      </c>
      <c r="L3389">
        <v>5</v>
      </c>
      <c r="M3389" t="str">
        <f>VLOOKUP(D3389,State_Lookup!$A$2:$B$28,2,FALSE)</f>
        <v>Sao Paulo</v>
      </c>
    </row>
    <row r="3390" spans="1:13" x14ac:dyDescent="0.45">
      <c r="A3390" t="s">
        <v>3986</v>
      </c>
      <c r="B3390" t="s">
        <v>3982</v>
      </c>
      <c r="C3390" t="s">
        <v>3983</v>
      </c>
      <c r="D3390" t="s">
        <v>20</v>
      </c>
      <c r="E3390" t="s">
        <v>132</v>
      </c>
      <c r="F3390">
        <v>1</v>
      </c>
      <c r="G3390">
        <v>199.9</v>
      </c>
      <c r="H3390">
        <v>38.090000000000003</v>
      </c>
      <c r="I3390" t="s">
        <v>50</v>
      </c>
      <c r="J3390">
        <v>12</v>
      </c>
      <c r="K3390" t="s">
        <v>51</v>
      </c>
      <c r="L3390">
        <v>4</v>
      </c>
      <c r="M3390" t="str">
        <f>VLOOKUP(D3390,State_Lookup!$A$2:$B$28,2,FALSE)</f>
        <v>Parana</v>
      </c>
    </row>
    <row r="3391" spans="1:13" x14ac:dyDescent="0.45">
      <c r="A3391" t="s">
        <v>3987</v>
      </c>
      <c r="B3391" t="s">
        <v>3982</v>
      </c>
      <c r="C3391" t="s">
        <v>3983</v>
      </c>
      <c r="D3391" t="s">
        <v>17</v>
      </c>
      <c r="E3391" t="s">
        <v>110</v>
      </c>
      <c r="F3391">
        <v>1</v>
      </c>
      <c r="G3391">
        <v>149.9</v>
      </c>
      <c r="H3391">
        <v>18.93</v>
      </c>
      <c r="I3391" t="s">
        <v>108</v>
      </c>
      <c r="J3391">
        <v>29</v>
      </c>
      <c r="K3391" t="s">
        <v>143</v>
      </c>
      <c r="L3391">
        <v>1</v>
      </c>
      <c r="M3391" t="str">
        <f>VLOOKUP(D3391,State_Lookup!$A$2:$B$28,2,FALSE)</f>
        <v>Rio de Janeiro</v>
      </c>
    </row>
    <row r="3392" spans="1:13" x14ac:dyDescent="0.45">
      <c r="A3392" t="s">
        <v>3988</v>
      </c>
      <c r="B3392" t="s">
        <v>3982</v>
      </c>
      <c r="C3392" t="s">
        <v>3983</v>
      </c>
      <c r="D3392" t="s">
        <v>16</v>
      </c>
      <c r="E3392" t="s">
        <v>43</v>
      </c>
      <c r="F3392">
        <v>1</v>
      </c>
      <c r="G3392">
        <v>69.900000000000006</v>
      </c>
      <c r="H3392">
        <v>16.18</v>
      </c>
      <c r="I3392" t="s">
        <v>44</v>
      </c>
      <c r="J3392">
        <v>14</v>
      </c>
      <c r="K3392" t="s">
        <v>51</v>
      </c>
      <c r="L3392">
        <v>5</v>
      </c>
      <c r="M3392" t="str">
        <f>VLOOKUP(D3392,State_Lookup!$A$2:$B$28,2,FALSE)</f>
        <v>Sao Paulo</v>
      </c>
    </row>
    <row r="3393" spans="1:13" x14ac:dyDescent="0.45">
      <c r="A3393" t="s">
        <v>3989</v>
      </c>
      <c r="B3393" t="s">
        <v>3982</v>
      </c>
      <c r="C3393" t="s">
        <v>3983</v>
      </c>
      <c r="D3393" t="s">
        <v>16</v>
      </c>
      <c r="E3393" t="s">
        <v>69</v>
      </c>
      <c r="F3393">
        <v>1</v>
      </c>
      <c r="G3393">
        <v>29.9</v>
      </c>
      <c r="H3393">
        <v>8.2899999999999991</v>
      </c>
      <c r="I3393" t="s">
        <v>44</v>
      </c>
      <c r="J3393">
        <v>5</v>
      </c>
      <c r="K3393" t="s">
        <v>51</v>
      </c>
      <c r="L3393">
        <v>4</v>
      </c>
      <c r="M3393" t="str">
        <f>VLOOKUP(D3393,State_Lookup!$A$2:$B$28,2,FALSE)</f>
        <v>Sao Paulo</v>
      </c>
    </row>
    <row r="3394" spans="1:13" x14ac:dyDescent="0.45">
      <c r="A3394" t="s">
        <v>3990</v>
      </c>
      <c r="B3394" t="s">
        <v>3982</v>
      </c>
      <c r="C3394" t="s">
        <v>3983</v>
      </c>
      <c r="D3394" t="s">
        <v>16</v>
      </c>
      <c r="E3394" t="s">
        <v>107</v>
      </c>
      <c r="F3394">
        <v>1</v>
      </c>
      <c r="G3394">
        <v>109.9</v>
      </c>
      <c r="H3394">
        <v>18.850000000000001</v>
      </c>
      <c r="I3394" t="s">
        <v>133</v>
      </c>
      <c r="J3394">
        <v>9</v>
      </c>
      <c r="K3394" t="s">
        <v>51</v>
      </c>
      <c r="L3394">
        <v>5</v>
      </c>
      <c r="M3394" t="str">
        <f>VLOOKUP(D3394,State_Lookup!$A$2:$B$28,2,FALSE)</f>
        <v>Sao Paulo</v>
      </c>
    </row>
    <row r="3395" spans="1:13" x14ac:dyDescent="0.45">
      <c r="A3395" t="s">
        <v>3991</v>
      </c>
      <c r="B3395" t="s">
        <v>3992</v>
      </c>
      <c r="C3395" t="s">
        <v>3983</v>
      </c>
      <c r="D3395" t="s">
        <v>18</v>
      </c>
      <c r="E3395" t="s">
        <v>142</v>
      </c>
      <c r="F3395">
        <v>1</v>
      </c>
      <c r="G3395">
        <v>26</v>
      </c>
      <c r="H3395">
        <v>19.32</v>
      </c>
      <c r="I3395" t="s">
        <v>44</v>
      </c>
      <c r="J3395">
        <v>14</v>
      </c>
      <c r="K3395" t="s">
        <v>51</v>
      </c>
      <c r="L3395">
        <v>5</v>
      </c>
      <c r="M3395" t="str">
        <f>VLOOKUP(D3395,State_Lookup!$A$2:$B$28,2,FALSE)</f>
        <v>Minas Gerais</v>
      </c>
    </row>
    <row r="3396" spans="1:13" x14ac:dyDescent="0.45">
      <c r="A3396" t="s">
        <v>3993</v>
      </c>
      <c r="B3396" t="s">
        <v>3992</v>
      </c>
      <c r="C3396" t="s">
        <v>3983</v>
      </c>
      <c r="D3396" t="s">
        <v>22</v>
      </c>
      <c r="E3396" t="s">
        <v>107</v>
      </c>
      <c r="F3396">
        <v>1</v>
      </c>
      <c r="G3396">
        <v>124.7</v>
      </c>
      <c r="H3396">
        <v>23.8</v>
      </c>
      <c r="I3396" t="s">
        <v>44</v>
      </c>
      <c r="J3396">
        <v>18</v>
      </c>
      <c r="K3396" t="s">
        <v>51</v>
      </c>
      <c r="L3396">
        <v>4</v>
      </c>
      <c r="M3396" t="str">
        <f>VLOOKUP(D3396,State_Lookup!$A$2:$B$28,2,FALSE)</f>
        <v>Bahia</v>
      </c>
    </row>
    <row r="3397" spans="1:13" x14ac:dyDescent="0.45">
      <c r="A3397" t="s">
        <v>3994</v>
      </c>
      <c r="B3397" t="s">
        <v>3992</v>
      </c>
      <c r="C3397" t="s">
        <v>3983</v>
      </c>
      <c r="D3397" t="s">
        <v>16</v>
      </c>
      <c r="E3397" t="s">
        <v>110</v>
      </c>
      <c r="F3397">
        <v>1</v>
      </c>
      <c r="G3397">
        <v>65.900000000000006</v>
      </c>
      <c r="H3397">
        <v>13.82</v>
      </c>
      <c r="I3397" t="s">
        <v>50</v>
      </c>
      <c r="J3397">
        <v>13</v>
      </c>
      <c r="K3397" t="s">
        <v>51</v>
      </c>
      <c r="L3397">
        <v>4</v>
      </c>
      <c r="M3397" t="str">
        <f>VLOOKUP(D3397,State_Lookup!$A$2:$B$28,2,FALSE)</f>
        <v>Sao Paulo</v>
      </c>
    </row>
    <row r="3398" spans="1:13" x14ac:dyDescent="0.45">
      <c r="A3398" t="s">
        <v>3995</v>
      </c>
      <c r="B3398" t="s">
        <v>3992</v>
      </c>
      <c r="C3398" t="s">
        <v>3983</v>
      </c>
      <c r="D3398" t="s">
        <v>19</v>
      </c>
      <c r="E3398" t="s">
        <v>1648</v>
      </c>
      <c r="F3398">
        <v>1</v>
      </c>
      <c r="G3398">
        <v>53.99</v>
      </c>
      <c r="H3398">
        <v>16.350000000000001</v>
      </c>
      <c r="I3398" t="s">
        <v>44</v>
      </c>
      <c r="J3398">
        <v>21</v>
      </c>
      <c r="K3398" t="s">
        <v>51</v>
      </c>
      <c r="L3398">
        <v>5</v>
      </c>
      <c r="M3398" t="str">
        <f>VLOOKUP(D3398,State_Lookup!$A$2:$B$28,2,FALSE)</f>
        <v>Rio Grande do Sul</v>
      </c>
    </row>
    <row r="3399" spans="1:13" x14ac:dyDescent="0.45">
      <c r="A3399" t="s">
        <v>3996</v>
      </c>
      <c r="B3399" t="s">
        <v>3992</v>
      </c>
      <c r="C3399" t="s">
        <v>3983</v>
      </c>
      <c r="D3399" t="s">
        <v>16</v>
      </c>
      <c r="E3399" t="s">
        <v>69</v>
      </c>
      <c r="F3399">
        <v>1</v>
      </c>
      <c r="G3399">
        <v>53.9</v>
      </c>
      <c r="H3399">
        <v>13.46</v>
      </c>
      <c r="I3399" t="s">
        <v>44</v>
      </c>
      <c r="J3399">
        <v>7</v>
      </c>
      <c r="K3399" t="s">
        <v>51</v>
      </c>
      <c r="L3399">
        <v>5</v>
      </c>
      <c r="M3399" t="str">
        <f>VLOOKUP(D3399,State_Lookup!$A$2:$B$28,2,FALSE)</f>
        <v>Sao Paulo</v>
      </c>
    </row>
    <row r="3400" spans="1:13" x14ac:dyDescent="0.45">
      <c r="A3400" t="s">
        <v>3997</v>
      </c>
      <c r="B3400" t="s">
        <v>3992</v>
      </c>
      <c r="C3400" t="s">
        <v>3983</v>
      </c>
      <c r="D3400" t="s">
        <v>24</v>
      </c>
      <c r="E3400" t="s">
        <v>61</v>
      </c>
      <c r="F3400">
        <v>1</v>
      </c>
      <c r="G3400">
        <v>39.9</v>
      </c>
      <c r="H3400">
        <v>16.32</v>
      </c>
      <c r="I3400" t="s">
        <v>50</v>
      </c>
      <c r="J3400">
        <v>15</v>
      </c>
      <c r="K3400" t="s">
        <v>51</v>
      </c>
      <c r="L3400">
        <v>5</v>
      </c>
      <c r="M3400" t="str">
        <f>VLOOKUP(D3400,State_Lookup!$A$2:$B$28,2,FALSE)</f>
        <v>Distrito Federal</v>
      </c>
    </row>
    <row r="3401" spans="1:13" x14ac:dyDescent="0.45">
      <c r="A3401" t="s">
        <v>3998</v>
      </c>
      <c r="B3401" t="s">
        <v>3992</v>
      </c>
      <c r="C3401" t="s">
        <v>3983</v>
      </c>
      <c r="D3401" t="s">
        <v>249</v>
      </c>
      <c r="E3401" t="s">
        <v>220</v>
      </c>
      <c r="F3401">
        <v>2</v>
      </c>
      <c r="G3401">
        <v>559.79999999999995</v>
      </c>
      <c r="H3401">
        <v>301.12</v>
      </c>
      <c r="I3401" t="s">
        <v>44</v>
      </c>
      <c r="J3401">
        <v>24</v>
      </c>
      <c r="K3401" t="s">
        <v>143</v>
      </c>
      <c r="L3401">
        <v>5</v>
      </c>
      <c r="M3401" t="str">
        <f>VLOOKUP(D3401,State_Lookup!$A$2:$B$28,2,FALSE)</f>
        <v>Tocantins</v>
      </c>
    </row>
    <row r="3402" spans="1:13" x14ac:dyDescent="0.45">
      <c r="A3402" t="s">
        <v>3999</v>
      </c>
      <c r="B3402" t="s">
        <v>3992</v>
      </c>
      <c r="C3402" t="s">
        <v>3983</v>
      </c>
      <c r="D3402" t="s">
        <v>16</v>
      </c>
      <c r="E3402" t="s">
        <v>43</v>
      </c>
      <c r="F3402">
        <v>1</v>
      </c>
      <c r="G3402">
        <v>150</v>
      </c>
      <c r="H3402">
        <v>13.95</v>
      </c>
      <c r="I3402" t="s">
        <v>44</v>
      </c>
      <c r="J3402">
        <v>3</v>
      </c>
      <c r="K3402" t="s">
        <v>51</v>
      </c>
      <c r="L3402">
        <v>5</v>
      </c>
      <c r="M3402" t="str">
        <f>VLOOKUP(D3402,State_Lookup!$A$2:$B$28,2,FALSE)</f>
        <v>Sao Paulo</v>
      </c>
    </row>
    <row r="3403" spans="1:13" x14ac:dyDescent="0.45">
      <c r="A3403" t="s">
        <v>4000</v>
      </c>
      <c r="B3403" t="s">
        <v>3992</v>
      </c>
      <c r="C3403" t="s">
        <v>3983</v>
      </c>
      <c r="D3403" t="s">
        <v>16</v>
      </c>
      <c r="E3403" t="s">
        <v>125</v>
      </c>
      <c r="F3403">
        <v>1</v>
      </c>
      <c r="G3403">
        <v>18.899999999999999</v>
      </c>
      <c r="H3403">
        <v>13.47</v>
      </c>
      <c r="I3403" t="s">
        <v>44</v>
      </c>
      <c r="J3403">
        <v>9</v>
      </c>
      <c r="K3403" t="s">
        <v>51</v>
      </c>
      <c r="L3403">
        <v>5</v>
      </c>
      <c r="M3403" t="str">
        <f>VLOOKUP(D3403,State_Lookup!$A$2:$B$28,2,FALSE)</f>
        <v>Sao Paulo</v>
      </c>
    </row>
    <row r="3404" spans="1:13" x14ac:dyDescent="0.45">
      <c r="A3404" t="s">
        <v>4001</v>
      </c>
      <c r="B3404" t="s">
        <v>3992</v>
      </c>
      <c r="C3404" t="s">
        <v>3983</v>
      </c>
      <c r="D3404" t="s">
        <v>21</v>
      </c>
      <c r="E3404" t="s">
        <v>49</v>
      </c>
      <c r="F3404">
        <v>3</v>
      </c>
      <c r="G3404">
        <v>323.10000000000002</v>
      </c>
      <c r="H3404">
        <v>55.89</v>
      </c>
      <c r="I3404" t="s">
        <v>44</v>
      </c>
      <c r="J3404">
        <v>14</v>
      </c>
      <c r="K3404" t="s">
        <v>51</v>
      </c>
      <c r="L3404">
        <v>5</v>
      </c>
      <c r="M3404" t="str">
        <f>VLOOKUP(D3404,State_Lookup!$A$2:$B$28,2,FALSE)</f>
        <v>Santa Catarina</v>
      </c>
    </row>
    <row r="3405" spans="1:13" x14ac:dyDescent="0.45">
      <c r="A3405" t="s">
        <v>4002</v>
      </c>
      <c r="B3405" t="s">
        <v>3992</v>
      </c>
      <c r="C3405" t="s">
        <v>3983</v>
      </c>
      <c r="D3405" t="s">
        <v>16</v>
      </c>
      <c r="E3405" t="s">
        <v>49</v>
      </c>
      <c r="F3405">
        <v>1</v>
      </c>
      <c r="G3405">
        <v>29</v>
      </c>
      <c r="H3405">
        <v>8.82</v>
      </c>
      <c r="I3405" t="s">
        <v>44</v>
      </c>
      <c r="J3405">
        <v>2</v>
      </c>
      <c r="K3405" t="s">
        <v>51</v>
      </c>
      <c r="L3405">
        <v>5</v>
      </c>
      <c r="M3405" t="str">
        <f>VLOOKUP(D3405,State_Lookup!$A$2:$B$28,2,FALSE)</f>
        <v>Sao Paulo</v>
      </c>
    </row>
    <row r="3406" spans="1:13" x14ac:dyDescent="0.45">
      <c r="A3406" t="s">
        <v>4003</v>
      </c>
      <c r="B3406" t="s">
        <v>3992</v>
      </c>
      <c r="C3406" t="s">
        <v>3983</v>
      </c>
      <c r="D3406" t="s">
        <v>18</v>
      </c>
      <c r="E3406" t="s">
        <v>110</v>
      </c>
      <c r="F3406">
        <v>1</v>
      </c>
      <c r="G3406">
        <v>78.989999999999995</v>
      </c>
      <c r="H3406">
        <v>19.52</v>
      </c>
      <c r="I3406" t="s">
        <v>44</v>
      </c>
      <c r="J3406">
        <v>9</v>
      </c>
      <c r="K3406" t="s">
        <v>51</v>
      </c>
      <c r="L3406">
        <v>5</v>
      </c>
      <c r="M3406" t="str">
        <f>VLOOKUP(D3406,State_Lookup!$A$2:$B$28,2,FALSE)</f>
        <v>Minas Gerais</v>
      </c>
    </row>
    <row r="3407" spans="1:13" x14ac:dyDescent="0.45">
      <c r="A3407" t="s">
        <v>4004</v>
      </c>
      <c r="B3407" t="s">
        <v>3992</v>
      </c>
      <c r="C3407" t="s">
        <v>3983</v>
      </c>
      <c r="D3407" t="s">
        <v>16</v>
      </c>
      <c r="E3407" t="s">
        <v>366</v>
      </c>
      <c r="F3407">
        <v>1</v>
      </c>
      <c r="G3407">
        <v>141.75</v>
      </c>
      <c r="H3407">
        <v>13.7</v>
      </c>
      <c r="I3407" t="s">
        <v>44</v>
      </c>
      <c r="J3407">
        <v>2</v>
      </c>
      <c r="K3407" t="s">
        <v>51</v>
      </c>
      <c r="L3407">
        <v>5</v>
      </c>
      <c r="M3407" t="str">
        <f>VLOOKUP(D3407,State_Lookup!$A$2:$B$28,2,FALSE)</f>
        <v>Sao Paulo</v>
      </c>
    </row>
    <row r="3408" spans="1:13" x14ac:dyDescent="0.45">
      <c r="A3408" t="s">
        <v>4005</v>
      </c>
      <c r="B3408" t="s">
        <v>4006</v>
      </c>
      <c r="C3408" t="s">
        <v>3983</v>
      </c>
      <c r="D3408" t="s">
        <v>16</v>
      </c>
      <c r="E3408" t="s">
        <v>110</v>
      </c>
      <c r="F3408">
        <v>1</v>
      </c>
      <c r="G3408">
        <v>35</v>
      </c>
      <c r="H3408">
        <v>12.79</v>
      </c>
      <c r="I3408" t="s">
        <v>44</v>
      </c>
      <c r="J3408">
        <v>10</v>
      </c>
      <c r="K3408" t="s">
        <v>51</v>
      </c>
      <c r="L3408">
        <v>5</v>
      </c>
      <c r="M3408" t="str">
        <f>VLOOKUP(D3408,State_Lookup!$A$2:$B$28,2,FALSE)</f>
        <v>Sao Paulo</v>
      </c>
    </row>
    <row r="3409" spans="1:13" x14ac:dyDescent="0.45">
      <c r="A3409" t="s">
        <v>4007</v>
      </c>
      <c r="B3409" t="s">
        <v>4006</v>
      </c>
      <c r="C3409" t="s">
        <v>3983</v>
      </c>
      <c r="D3409" t="s">
        <v>632</v>
      </c>
      <c r="E3409" t="s">
        <v>66</v>
      </c>
      <c r="F3409">
        <v>1</v>
      </c>
      <c r="G3409">
        <v>12.99</v>
      </c>
      <c r="H3409">
        <v>22.85</v>
      </c>
      <c r="I3409" t="s">
        <v>133</v>
      </c>
      <c r="J3409">
        <v>44</v>
      </c>
      <c r="K3409" t="s">
        <v>143</v>
      </c>
      <c r="L3409">
        <v>4</v>
      </c>
      <c r="M3409" t="str">
        <f>VLOOKUP(D3409,State_Lookup!$A$2:$B$28,2,FALSE)</f>
        <v>Alagoas</v>
      </c>
    </row>
    <row r="3410" spans="1:13" x14ac:dyDescent="0.45">
      <c r="A3410" t="s">
        <v>4008</v>
      </c>
      <c r="B3410" t="s">
        <v>4006</v>
      </c>
      <c r="C3410" t="s">
        <v>3983</v>
      </c>
      <c r="D3410" t="s">
        <v>16</v>
      </c>
      <c r="E3410" t="s">
        <v>100</v>
      </c>
      <c r="F3410">
        <v>1</v>
      </c>
      <c r="G3410">
        <v>74.06</v>
      </c>
      <c r="H3410">
        <v>23.1</v>
      </c>
      <c r="I3410" t="s">
        <v>44</v>
      </c>
      <c r="J3410">
        <v>7</v>
      </c>
      <c r="K3410" t="s">
        <v>51</v>
      </c>
      <c r="L3410">
        <v>4</v>
      </c>
      <c r="M3410" t="str">
        <f>VLOOKUP(D3410,State_Lookup!$A$2:$B$28,2,FALSE)</f>
        <v>Sao Paulo</v>
      </c>
    </row>
    <row r="3411" spans="1:13" x14ac:dyDescent="0.45">
      <c r="A3411" t="s">
        <v>4009</v>
      </c>
      <c r="B3411" t="s">
        <v>4006</v>
      </c>
      <c r="C3411" t="s">
        <v>3983</v>
      </c>
      <c r="D3411" t="s">
        <v>18</v>
      </c>
      <c r="E3411" t="s">
        <v>49</v>
      </c>
      <c r="F3411">
        <v>1</v>
      </c>
      <c r="G3411">
        <v>32.49</v>
      </c>
      <c r="H3411">
        <v>18.23</v>
      </c>
      <c r="I3411" t="s">
        <v>44</v>
      </c>
      <c r="J3411">
        <v>13</v>
      </c>
      <c r="K3411" t="s">
        <v>51</v>
      </c>
      <c r="L3411">
        <v>5</v>
      </c>
      <c r="M3411" t="str">
        <f>VLOOKUP(D3411,State_Lookup!$A$2:$B$28,2,FALSE)</f>
        <v>Minas Gerais</v>
      </c>
    </row>
    <row r="3412" spans="1:13" x14ac:dyDescent="0.45">
      <c r="A3412" t="s">
        <v>4010</v>
      </c>
      <c r="B3412" t="s">
        <v>4006</v>
      </c>
      <c r="C3412" t="s">
        <v>3983</v>
      </c>
      <c r="D3412" t="s">
        <v>25</v>
      </c>
      <c r="E3412" t="s">
        <v>157</v>
      </c>
      <c r="F3412">
        <v>1</v>
      </c>
      <c r="G3412">
        <v>359</v>
      </c>
      <c r="H3412">
        <v>17.39</v>
      </c>
      <c r="I3412" t="s">
        <v>44</v>
      </c>
      <c r="J3412">
        <v>10</v>
      </c>
      <c r="K3412" t="s">
        <v>51</v>
      </c>
      <c r="L3412">
        <v>5</v>
      </c>
      <c r="M3412" t="str">
        <f>VLOOKUP(D3412,State_Lookup!$A$2:$B$28,2,FALSE)</f>
        <v>Goias</v>
      </c>
    </row>
    <row r="3413" spans="1:13" x14ac:dyDescent="0.45">
      <c r="A3413" t="s">
        <v>4011</v>
      </c>
      <c r="B3413" t="s">
        <v>4006</v>
      </c>
      <c r="C3413" t="s">
        <v>3983</v>
      </c>
      <c r="D3413" t="s">
        <v>16</v>
      </c>
      <c r="E3413" t="s">
        <v>110</v>
      </c>
      <c r="F3413">
        <v>1</v>
      </c>
      <c r="G3413">
        <v>25.5</v>
      </c>
      <c r="H3413">
        <v>7.87</v>
      </c>
      <c r="I3413" t="s">
        <v>44</v>
      </c>
      <c r="J3413">
        <v>2</v>
      </c>
      <c r="K3413" t="s">
        <v>51</v>
      </c>
      <c r="L3413">
        <v>5</v>
      </c>
      <c r="M3413" t="str">
        <f>VLOOKUP(D3413,State_Lookup!$A$2:$B$28,2,FALSE)</f>
        <v>Sao Paulo</v>
      </c>
    </row>
    <row r="3414" spans="1:13" x14ac:dyDescent="0.45">
      <c r="A3414" t="s">
        <v>4012</v>
      </c>
      <c r="B3414" t="s">
        <v>4006</v>
      </c>
      <c r="C3414" t="s">
        <v>3983</v>
      </c>
      <c r="D3414" t="s">
        <v>16</v>
      </c>
      <c r="E3414" t="s">
        <v>49</v>
      </c>
      <c r="F3414">
        <v>1</v>
      </c>
      <c r="G3414">
        <v>19.489999999999998</v>
      </c>
      <c r="H3414">
        <v>7.87</v>
      </c>
      <c r="I3414" t="s">
        <v>108</v>
      </c>
      <c r="J3414">
        <v>3</v>
      </c>
      <c r="K3414" t="s">
        <v>51</v>
      </c>
      <c r="L3414">
        <v>5</v>
      </c>
      <c r="M3414" t="str">
        <f>VLOOKUP(D3414,State_Lookup!$A$2:$B$28,2,FALSE)</f>
        <v>Sao Paulo</v>
      </c>
    </row>
    <row r="3415" spans="1:13" x14ac:dyDescent="0.45">
      <c r="A3415" t="s">
        <v>4013</v>
      </c>
      <c r="B3415" t="s">
        <v>4006</v>
      </c>
      <c r="C3415" t="s">
        <v>3983</v>
      </c>
      <c r="D3415" t="s">
        <v>16</v>
      </c>
      <c r="E3415" t="s">
        <v>61</v>
      </c>
      <c r="F3415">
        <v>1</v>
      </c>
      <c r="G3415">
        <v>84.89</v>
      </c>
      <c r="H3415">
        <v>7.94</v>
      </c>
      <c r="I3415" t="s">
        <v>44</v>
      </c>
      <c r="J3415">
        <v>7</v>
      </c>
      <c r="K3415" t="s">
        <v>51</v>
      </c>
      <c r="L3415">
        <v>5</v>
      </c>
      <c r="M3415" t="str">
        <f>VLOOKUP(D3415,State_Lookup!$A$2:$B$28,2,FALSE)</f>
        <v>Sao Paulo</v>
      </c>
    </row>
    <row r="3416" spans="1:13" x14ac:dyDescent="0.45">
      <c r="A3416" t="s">
        <v>4014</v>
      </c>
      <c r="B3416" t="s">
        <v>4006</v>
      </c>
      <c r="C3416" t="s">
        <v>3983</v>
      </c>
      <c r="D3416" t="s">
        <v>21</v>
      </c>
      <c r="E3416" t="s">
        <v>107</v>
      </c>
      <c r="F3416">
        <v>1</v>
      </c>
      <c r="G3416">
        <v>29.88</v>
      </c>
      <c r="H3416">
        <v>19.32</v>
      </c>
      <c r="I3416" t="s">
        <v>44</v>
      </c>
      <c r="J3416">
        <v>8</v>
      </c>
      <c r="K3416" t="s">
        <v>51</v>
      </c>
      <c r="L3416">
        <v>5</v>
      </c>
      <c r="M3416" t="str">
        <f>VLOOKUP(D3416,State_Lookup!$A$2:$B$28,2,FALSE)</f>
        <v>Santa Catarina</v>
      </c>
    </row>
    <row r="3417" spans="1:13" x14ac:dyDescent="0.45">
      <c r="A3417" t="s">
        <v>4015</v>
      </c>
      <c r="B3417" t="s">
        <v>4006</v>
      </c>
      <c r="C3417" t="s">
        <v>3983</v>
      </c>
      <c r="D3417" t="s">
        <v>16</v>
      </c>
      <c r="E3417" t="s">
        <v>662</v>
      </c>
      <c r="F3417">
        <v>1</v>
      </c>
      <c r="G3417">
        <v>136</v>
      </c>
      <c r="H3417">
        <v>13.39</v>
      </c>
      <c r="I3417" t="s">
        <v>44</v>
      </c>
      <c r="J3417">
        <v>9</v>
      </c>
      <c r="K3417" t="s">
        <v>51</v>
      </c>
      <c r="L3417">
        <v>5</v>
      </c>
      <c r="M3417" t="str">
        <f>VLOOKUP(D3417,State_Lookup!$A$2:$B$28,2,FALSE)</f>
        <v>Sao Paulo</v>
      </c>
    </row>
    <row r="3418" spans="1:13" x14ac:dyDescent="0.45">
      <c r="A3418" t="s">
        <v>4016</v>
      </c>
      <c r="B3418" t="s">
        <v>4017</v>
      </c>
      <c r="C3418" t="s">
        <v>3983</v>
      </c>
      <c r="D3418" t="s">
        <v>16</v>
      </c>
      <c r="E3418" t="s">
        <v>1031</v>
      </c>
      <c r="F3418">
        <v>1</v>
      </c>
      <c r="G3418">
        <v>18.989999999999998</v>
      </c>
      <c r="H3418">
        <v>7.39</v>
      </c>
      <c r="I3418" t="s">
        <v>44</v>
      </c>
      <c r="J3418">
        <v>2</v>
      </c>
      <c r="K3418" t="s">
        <v>51</v>
      </c>
      <c r="L3418">
        <v>4</v>
      </c>
      <c r="M3418" t="str">
        <f>VLOOKUP(D3418,State_Lookup!$A$2:$B$28,2,FALSE)</f>
        <v>Sao Paulo</v>
      </c>
    </row>
    <row r="3419" spans="1:13" x14ac:dyDescent="0.45">
      <c r="A3419" t="s">
        <v>4018</v>
      </c>
      <c r="B3419" t="s">
        <v>4017</v>
      </c>
      <c r="C3419" t="s">
        <v>3983</v>
      </c>
      <c r="D3419" t="s">
        <v>17</v>
      </c>
      <c r="E3419" t="s">
        <v>43</v>
      </c>
      <c r="F3419">
        <v>1</v>
      </c>
      <c r="G3419">
        <v>35</v>
      </c>
      <c r="H3419">
        <v>11.39</v>
      </c>
      <c r="I3419" t="s">
        <v>44</v>
      </c>
      <c r="J3419">
        <v>6</v>
      </c>
      <c r="K3419" t="s">
        <v>51</v>
      </c>
      <c r="L3419">
        <v>5</v>
      </c>
      <c r="M3419" t="str">
        <f>VLOOKUP(D3419,State_Lookup!$A$2:$B$28,2,FALSE)</f>
        <v>Rio de Janeiro</v>
      </c>
    </row>
    <row r="3420" spans="1:13" x14ac:dyDescent="0.45">
      <c r="A3420" t="s">
        <v>4019</v>
      </c>
      <c r="B3420" t="s">
        <v>4017</v>
      </c>
      <c r="C3420" t="s">
        <v>3983</v>
      </c>
      <c r="D3420" t="s">
        <v>16</v>
      </c>
      <c r="E3420" t="s">
        <v>53</v>
      </c>
      <c r="F3420">
        <v>1</v>
      </c>
      <c r="G3420">
        <v>29.68</v>
      </c>
      <c r="H3420">
        <v>12.79</v>
      </c>
      <c r="I3420" t="s">
        <v>44</v>
      </c>
      <c r="J3420">
        <v>6</v>
      </c>
      <c r="K3420" t="s">
        <v>51</v>
      </c>
      <c r="L3420">
        <v>5</v>
      </c>
      <c r="M3420" t="str">
        <f>VLOOKUP(D3420,State_Lookup!$A$2:$B$28,2,FALSE)</f>
        <v>Sao Paulo</v>
      </c>
    </row>
    <row r="3421" spans="1:13" x14ac:dyDescent="0.45">
      <c r="A3421" t="s">
        <v>4020</v>
      </c>
      <c r="B3421" t="s">
        <v>4017</v>
      </c>
      <c r="C3421" t="s">
        <v>3983</v>
      </c>
      <c r="D3421" t="s">
        <v>16</v>
      </c>
      <c r="E3421" t="s">
        <v>125</v>
      </c>
      <c r="F3421">
        <v>1</v>
      </c>
      <c r="G3421">
        <v>13.65</v>
      </c>
      <c r="H3421">
        <v>7.39</v>
      </c>
      <c r="I3421" t="s">
        <v>44</v>
      </c>
      <c r="J3421">
        <v>1</v>
      </c>
      <c r="K3421" t="s">
        <v>51</v>
      </c>
      <c r="L3421">
        <v>5</v>
      </c>
      <c r="M3421" t="str">
        <f>VLOOKUP(D3421,State_Lookup!$A$2:$B$28,2,FALSE)</f>
        <v>Sao Paulo</v>
      </c>
    </row>
    <row r="3422" spans="1:13" x14ac:dyDescent="0.45">
      <c r="A3422" t="s">
        <v>4021</v>
      </c>
      <c r="B3422" t="s">
        <v>4017</v>
      </c>
      <c r="C3422" t="s">
        <v>3983</v>
      </c>
      <c r="D3422" t="s">
        <v>16</v>
      </c>
      <c r="E3422" t="s">
        <v>64</v>
      </c>
      <c r="F3422">
        <v>2</v>
      </c>
      <c r="G3422">
        <v>200</v>
      </c>
      <c r="H3422">
        <v>27.05</v>
      </c>
      <c r="I3422" t="s">
        <v>44</v>
      </c>
      <c r="J3422">
        <v>5</v>
      </c>
      <c r="K3422" t="s">
        <v>51</v>
      </c>
      <c r="L3422">
        <v>5</v>
      </c>
      <c r="M3422" t="str">
        <f>VLOOKUP(D3422,State_Lookup!$A$2:$B$28,2,FALSE)</f>
        <v>Sao Paulo</v>
      </c>
    </row>
    <row r="3423" spans="1:13" x14ac:dyDescent="0.45">
      <c r="A3423" t="s">
        <v>4022</v>
      </c>
      <c r="B3423" t="s">
        <v>4017</v>
      </c>
      <c r="C3423" t="s">
        <v>3983</v>
      </c>
      <c r="D3423" t="s">
        <v>16</v>
      </c>
      <c r="E3423" t="s">
        <v>61</v>
      </c>
      <c r="F3423">
        <v>1</v>
      </c>
      <c r="G3423">
        <v>89.9</v>
      </c>
      <c r="H3423">
        <v>17.34</v>
      </c>
      <c r="I3423" t="s">
        <v>44</v>
      </c>
      <c r="J3423">
        <v>10</v>
      </c>
      <c r="K3423" t="s">
        <v>51</v>
      </c>
      <c r="L3423">
        <v>4</v>
      </c>
      <c r="M3423" t="str">
        <f>VLOOKUP(D3423,State_Lookup!$A$2:$B$28,2,FALSE)</f>
        <v>Sao Paulo</v>
      </c>
    </row>
    <row r="3424" spans="1:13" x14ac:dyDescent="0.45">
      <c r="A3424" t="s">
        <v>4023</v>
      </c>
      <c r="B3424" t="s">
        <v>4017</v>
      </c>
      <c r="C3424" t="s">
        <v>3983</v>
      </c>
      <c r="D3424" t="s">
        <v>19</v>
      </c>
      <c r="E3424" t="s">
        <v>148</v>
      </c>
      <c r="F3424">
        <v>1</v>
      </c>
      <c r="G3424">
        <v>89.8</v>
      </c>
      <c r="H3424">
        <v>18.21</v>
      </c>
      <c r="I3424" t="s">
        <v>50</v>
      </c>
      <c r="J3424">
        <v>31</v>
      </c>
      <c r="K3424" t="s">
        <v>143</v>
      </c>
      <c r="L3424">
        <v>4</v>
      </c>
      <c r="M3424" t="str">
        <f>VLOOKUP(D3424,State_Lookup!$A$2:$B$28,2,FALSE)</f>
        <v>Rio Grande do Sul</v>
      </c>
    </row>
    <row r="3425" spans="1:13" x14ac:dyDescent="0.45">
      <c r="A3425" t="s">
        <v>4024</v>
      </c>
      <c r="B3425" t="s">
        <v>4017</v>
      </c>
      <c r="C3425" t="s">
        <v>3983</v>
      </c>
      <c r="D3425" t="s">
        <v>16</v>
      </c>
      <c r="E3425" t="s">
        <v>61</v>
      </c>
      <c r="F3425">
        <v>1</v>
      </c>
      <c r="G3425">
        <v>99.99</v>
      </c>
      <c r="H3425">
        <v>7.56</v>
      </c>
      <c r="I3425" t="s">
        <v>44</v>
      </c>
      <c r="J3425">
        <v>2</v>
      </c>
      <c r="K3425" t="s">
        <v>51</v>
      </c>
      <c r="L3425">
        <v>5</v>
      </c>
      <c r="M3425" t="str">
        <f>VLOOKUP(D3425,State_Lookup!$A$2:$B$28,2,FALSE)</f>
        <v>Sao Paulo</v>
      </c>
    </row>
    <row r="3426" spans="1:13" x14ac:dyDescent="0.45">
      <c r="A3426" t="s">
        <v>4025</v>
      </c>
      <c r="B3426" t="s">
        <v>4017</v>
      </c>
      <c r="C3426" t="s">
        <v>3983</v>
      </c>
      <c r="D3426" t="s">
        <v>16</v>
      </c>
      <c r="E3426" t="s">
        <v>244</v>
      </c>
      <c r="F3426">
        <v>1</v>
      </c>
      <c r="G3426">
        <v>59</v>
      </c>
      <c r="H3426">
        <v>13.77</v>
      </c>
      <c r="I3426" t="s">
        <v>44</v>
      </c>
      <c r="J3426">
        <v>8</v>
      </c>
      <c r="K3426" t="s">
        <v>51</v>
      </c>
      <c r="L3426">
        <v>5</v>
      </c>
      <c r="M3426" t="str">
        <f>VLOOKUP(D3426,State_Lookup!$A$2:$B$28,2,FALSE)</f>
        <v>Sao Paulo</v>
      </c>
    </row>
    <row r="3427" spans="1:13" x14ac:dyDescent="0.45">
      <c r="A3427" t="s">
        <v>4026</v>
      </c>
      <c r="B3427" t="s">
        <v>4017</v>
      </c>
      <c r="C3427" t="s">
        <v>3983</v>
      </c>
      <c r="D3427" t="s">
        <v>17</v>
      </c>
      <c r="E3427" t="s">
        <v>64</v>
      </c>
      <c r="F3427">
        <v>1</v>
      </c>
      <c r="G3427">
        <v>141.9</v>
      </c>
      <c r="H3427">
        <v>22.7</v>
      </c>
      <c r="I3427" t="s">
        <v>44</v>
      </c>
      <c r="J3427">
        <v>10</v>
      </c>
      <c r="K3427" t="s">
        <v>51</v>
      </c>
      <c r="L3427">
        <v>5</v>
      </c>
      <c r="M3427" t="str">
        <f>VLOOKUP(D3427,State_Lookup!$A$2:$B$28,2,FALSE)</f>
        <v>Rio de Janeiro</v>
      </c>
    </row>
    <row r="3428" spans="1:13" x14ac:dyDescent="0.45">
      <c r="A3428" t="s">
        <v>4027</v>
      </c>
      <c r="B3428" t="s">
        <v>4028</v>
      </c>
      <c r="C3428" t="s">
        <v>3983</v>
      </c>
      <c r="D3428" t="s">
        <v>249</v>
      </c>
      <c r="E3428" t="s">
        <v>107</v>
      </c>
      <c r="F3428">
        <v>1</v>
      </c>
      <c r="G3428">
        <v>52</v>
      </c>
      <c r="H3428">
        <v>37.049999999999997</v>
      </c>
      <c r="I3428" t="s">
        <v>44</v>
      </c>
      <c r="J3428">
        <v>18</v>
      </c>
      <c r="K3428" t="s">
        <v>51</v>
      </c>
      <c r="L3428">
        <v>5</v>
      </c>
      <c r="M3428" t="str">
        <f>VLOOKUP(D3428,State_Lookup!$A$2:$B$28,2,FALSE)</f>
        <v>Tocantins</v>
      </c>
    </row>
    <row r="3429" spans="1:13" x14ac:dyDescent="0.45">
      <c r="A3429" t="s">
        <v>4029</v>
      </c>
      <c r="B3429" t="s">
        <v>4028</v>
      </c>
      <c r="C3429" t="s">
        <v>3983</v>
      </c>
      <c r="D3429" t="s">
        <v>16</v>
      </c>
      <c r="E3429" t="s">
        <v>79</v>
      </c>
      <c r="F3429">
        <v>1</v>
      </c>
      <c r="G3429">
        <v>252.5</v>
      </c>
      <c r="H3429">
        <v>14.67</v>
      </c>
      <c r="I3429" t="s">
        <v>44</v>
      </c>
      <c r="J3429">
        <v>3</v>
      </c>
      <c r="K3429" t="s">
        <v>51</v>
      </c>
      <c r="L3429">
        <v>5</v>
      </c>
      <c r="M3429" t="str">
        <f>VLOOKUP(D3429,State_Lookup!$A$2:$B$28,2,FALSE)</f>
        <v>Sao Paulo</v>
      </c>
    </row>
    <row r="3430" spans="1:13" x14ac:dyDescent="0.45">
      <c r="A3430" t="s">
        <v>4030</v>
      </c>
      <c r="B3430" t="s">
        <v>4028</v>
      </c>
      <c r="C3430" t="s">
        <v>3983</v>
      </c>
      <c r="D3430" t="s">
        <v>20</v>
      </c>
      <c r="E3430" t="s">
        <v>107</v>
      </c>
      <c r="F3430">
        <v>1</v>
      </c>
      <c r="G3430">
        <v>109.9</v>
      </c>
      <c r="H3430">
        <v>34.31</v>
      </c>
      <c r="I3430" t="s">
        <v>50</v>
      </c>
      <c r="J3430">
        <v>13</v>
      </c>
      <c r="K3430" t="s">
        <v>51</v>
      </c>
      <c r="L3430">
        <v>5</v>
      </c>
      <c r="M3430" t="str">
        <f>VLOOKUP(D3430,State_Lookup!$A$2:$B$28,2,FALSE)</f>
        <v>Parana</v>
      </c>
    </row>
    <row r="3431" spans="1:13" x14ac:dyDescent="0.45">
      <c r="A3431" t="s">
        <v>4031</v>
      </c>
      <c r="B3431" t="s">
        <v>4028</v>
      </c>
      <c r="C3431" t="s">
        <v>3983</v>
      </c>
      <c r="D3431" t="s">
        <v>16</v>
      </c>
      <c r="E3431" t="s">
        <v>107</v>
      </c>
      <c r="F3431">
        <v>1</v>
      </c>
      <c r="G3431">
        <v>109.9</v>
      </c>
      <c r="H3431">
        <v>12.67</v>
      </c>
      <c r="I3431" t="s">
        <v>44</v>
      </c>
      <c r="J3431">
        <v>2</v>
      </c>
      <c r="K3431" t="s">
        <v>51</v>
      </c>
      <c r="L3431">
        <v>4</v>
      </c>
      <c r="M3431" t="str">
        <f>VLOOKUP(D3431,State_Lookup!$A$2:$B$28,2,FALSE)</f>
        <v>Sao Paulo</v>
      </c>
    </row>
    <row r="3432" spans="1:13" x14ac:dyDescent="0.45">
      <c r="A3432" t="s">
        <v>4032</v>
      </c>
      <c r="B3432" t="s">
        <v>4028</v>
      </c>
      <c r="C3432" t="s">
        <v>3983</v>
      </c>
      <c r="D3432" t="s">
        <v>16</v>
      </c>
      <c r="E3432" t="s">
        <v>132</v>
      </c>
      <c r="F3432">
        <v>1</v>
      </c>
      <c r="G3432">
        <v>255</v>
      </c>
      <c r="H3432">
        <v>14.23</v>
      </c>
      <c r="I3432" t="s">
        <v>44</v>
      </c>
      <c r="J3432">
        <v>6</v>
      </c>
      <c r="K3432" t="s">
        <v>51</v>
      </c>
      <c r="L3432">
        <v>5</v>
      </c>
      <c r="M3432" t="str">
        <f>VLOOKUP(D3432,State_Lookup!$A$2:$B$28,2,FALSE)</f>
        <v>Sao Paulo</v>
      </c>
    </row>
    <row r="3433" spans="1:13" x14ac:dyDescent="0.45">
      <c r="A3433" t="s">
        <v>4033</v>
      </c>
      <c r="B3433" t="s">
        <v>4028</v>
      </c>
      <c r="C3433" t="s">
        <v>3983</v>
      </c>
      <c r="D3433" t="s">
        <v>16</v>
      </c>
      <c r="E3433" t="s">
        <v>76</v>
      </c>
      <c r="F3433">
        <v>1</v>
      </c>
      <c r="G3433">
        <v>78</v>
      </c>
      <c r="H3433">
        <v>13.45</v>
      </c>
      <c r="I3433" t="s">
        <v>50</v>
      </c>
      <c r="J3433">
        <v>6</v>
      </c>
      <c r="K3433" t="s">
        <v>51</v>
      </c>
      <c r="L3433">
        <v>5</v>
      </c>
      <c r="M3433" t="str">
        <f>VLOOKUP(D3433,State_Lookup!$A$2:$B$28,2,FALSE)</f>
        <v>Sao Paulo</v>
      </c>
    </row>
    <row r="3434" spans="1:13" x14ac:dyDescent="0.45">
      <c r="A3434" t="s">
        <v>4034</v>
      </c>
      <c r="B3434" t="s">
        <v>4028</v>
      </c>
      <c r="C3434" t="s">
        <v>3983</v>
      </c>
      <c r="D3434" t="s">
        <v>18</v>
      </c>
      <c r="E3434" t="s">
        <v>142</v>
      </c>
      <c r="F3434">
        <v>1</v>
      </c>
      <c r="G3434">
        <v>68</v>
      </c>
      <c r="H3434">
        <v>21.56</v>
      </c>
      <c r="I3434" t="s">
        <v>44</v>
      </c>
      <c r="J3434">
        <v>11</v>
      </c>
      <c r="K3434" t="s">
        <v>51</v>
      </c>
      <c r="L3434">
        <v>5</v>
      </c>
      <c r="M3434" t="str">
        <f>VLOOKUP(D3434,State_Lookup!$A$2:$B$28,2,FALSE)</f>
        <v>Minas Gerais</v>
      </c>
    </row>
    <row r="3435" spans="1:13" x14ac:dyDescent="0.45">
      <c r="A3435" t="s">
        <v>4035</v>
      </c>
      <c r="B3435" t="s">
        <v>4028</v>
      </c>
      <c r="C3435" t="s">
        <v>3983</v>
      </c>
      <c r="D3435" t="s">
        <v>141</v>
      </c>
      <c r="E3435" t="s">
        <v>110</v>
      </c>
      <c r="F3435">
        <v>1</v>
      </c>
      <c r="G3435">
        <v>68.900000000000006</v>
      </c>
      <c r="H3435">
        <v>52.61</v>
      </c>
      <c r="I3435" t="s">
        <v>133</v>
      </c>
      <c r="J3435">
        <v>24</v>
      </c>
      <c r="K3435" t="s">
        <v>51</v>
      </c>
      <c r="L3435">
        <v>5</v>
      </c>
      <c r="M3435" t="str">
        <f>VLOOKUP(D3435,State_Lookup!$A$2:$B$28,2,FALSE)</f>
        <v>Maranhao</v>
      </c>
    </row>
    <row r="3436" spans="1:13" x14ac:dyDescent="0.45">
      <c r="A3436" t="s">
        <v>4036</v>
      </c>
      <c r="B3436" t="s">
        <v>4028</v>
      </c>
      <c r="C3436" t="s">
        <v>3983</v>
      </c>
      <c r="D3436" t="s">
        <v>16</v>
      </c>
      <c r="E3436" t="s">
        <v>64</v>
      </c>
      <c r="F3436">
        <v>2</v>
      </c>
      <c r="G3436">
        <v>116.3</v>
      </c>
      <c r="H3436">
        <v>25.7</v>
      </c>
      <c r="I3436" t="s">
        <v>44</v>
      </c>
      <c r="J3436">
        <v>7</v>
      </c>
      <c r="K3436" t="s">
        <v>51</v>
      </c>
      <c r="L3436">
        <v>1</v>
      </c>
      <c r="M3436" t="str">
        <f>VLOOKUP(D3436,State_Lookup!$A$2:$B$28,2,FALSE)</f>
        <v>Sao Paulo</v>
      </c>
    </row>
    <row r="3437" spans="1:13" x14ac:dyDescent="0.45">
      <c r="A3437" t="s">
        <v>4037</v>
      </c>
      <c r="B3437" t="s">
        <v>4028</v>
      </c>
      <c r="C3437" t="s">
        <v>3983</v>
      </c>
      <c r="D3437" t="s">
        <v>63</v>
      </c>
      <c r="E3437" t="s">
        <v>157</v>
      </c>
      <c r="F3437">
        <v>1</v>
      </c>
      <c r="G3437">
        <v>54.99</v>
      </c>
      <c r="H3437">
        <v>21.28</v>
      </c>
      <c r="I3437" t="s">
        <v>44</v>
      </c>
      <c r="J3437">
        <v>13</v>
      </c>
      <c r="K3437" t="s">
        <v>51</v>
      </c>
      <c r="L3437">
        <v>5</v>
      </c>
      <c r="M3437" t="str">
        <f>VLOOKUP(D3437,State_Lookup!$A$2:$B$28,2,FALSE)</f>
        <v>Pernambuco</v>
      </c>
    </row>
    <row r="3438" spans="1:13" x14ac:dyDescent="0.45">
      <c r="A3438" t="s">
        <v>4038</v>
      </c>
      <c r="B3438" t="s">
        <v>4039</v>
      </c>
      <c r="C3438" t="s">
        <v>3983</v>
      </c>
      <c r="D3438" t="s">
        <v>17</v>
      </c>
      <c r="E3438" t="s">
        <v>64</v>
      </c>
      <c r="F3438">
        <v>1</v>
      </c>
      <c r="G3438">
        <v>58.9</v>
      </c>
      <c r="H3438">
        <v>18.29</v>
      </c>
      <c r="I3438" t="s">
        <v>44</v>
      </c>
      <c r="J3438">
        <v>13</v>
      </c>
      <c r="K3438" t="s">
        <v>51</v>
      </c>
      <c r="L3438">
        <v>5</v>
      </c>
      <c r="M3438" t="str">
        <f>VLOOKUP(D3438,State_Lookup!$A$2:$B$28,2,FALSE)</f>
        <v>Rio de Janeiro</v>
      </c>
    </row>
    <row r="3439" spans="1:13" x14ac:dyDescent="0.45">
      <c r="A3439" t="s">
        <v>4040</v>
      </c>
      <c r="B3439" t="s">
        <v>4039</v>
      </c>
      <c r="C3439" t="s">
        <v>3983</v>
      </c>
      <c r="D3439" t="s">
        <v>16</v>
      </c>
      <c r="E3439" t="s">
        <v>2079</v>
      </c>
      <c r="F3439">
        <v>1</v>
      </c>
      <c r="G3439">
        <v>80</v>
      </c>
      <c r="H3439">
        <v>8.86</v>
      </c>
      <c r="I3439" t="s">
        <v>44</v>
      </c>
      <c r="J3439">
        <v>4</v>
      </c>
      <c r="K3439" t="s">
        <v>51</v>
      </c>
      <c r="L3439">
        <v>4</v>
      </c>
      <c r="M3439" t="str">
        <f>VLOOKUP(D3439,State_Lookup!$A$2:$B$28,2,FALSE)</f>
        <v>Sao Paulo</v>
      </c>
    </row>
    <row r="3440" spans="1:13" x14ac:dyDescent="0.45">
      <c r="A3440" t="s">
        <v>4041</v>
      </c>
      <c r="B3440" t="s">
        <v>4039</v>
      </c>
      <c r="C3440" t="s">
        <v>3983</v>
      </c>
      <c r="D3440" t="s">
        <v>16</v>
      </c>
      <c r="E3440" t="s">
        <v>79</v>
      </c>
      <c r="F3440">
        <v>2</v>
      </c>
      <c r="G3440">
        <v>272.8</v>
      </c>
      <c r="H3440">
        <v>82.26</v>
      </c>
      <c r="I3440" t="s">
        <v>44</v>
      </c>
      <c r="J3440">
        <v>14</v>
      </c>
      <c r="K3440" t="s">
        <v>51</v>
      </c>
      <c r="L3440">
        <v>3</v>
      </c>
      <c r="M3440" t="str">
        <f>VLOOKUP(D3440,State_Lookup!$A$2:$B$28,2,FALSE)</f>
        <v>Sao Paulo</v>
      </c>
    </row>
    <row r="3441" spans="1:13" x14ac:dyDescent="0.45">
      <c r="A3441" t="s">
        <v>4042</v>
      </c>
      <c r="B3441" t="s">
        <v>4043</v>
      </c>
      <c r="C3441" t="s">
        <v>3983</v>
      </c>
      <c r="D3441" t="s">
        <v>16</v>
      </c>
      <c r="E3441" t="s">
        <v>110</v>
      </c>
      <c r="F3441">
        <v>1</v>
      </c>
      <c r="G3441">
        <v>79.900000000000006</v>
      </c>
      <c r="H3441">
        <v>13.92</v>
      </c>
      <c r="I3441" t="s">
        <v>50</v>
      </c>
      <c r="J3441">
        <v>13</v>
      </c>
      <c r="K3441" t="s">
        <v>51</v>
      </c>
      <c r="L3441">
        <v>4</v>
      </c>
      <c r="M3441" t="str">
        <f>VLOOKUP(D3441,State_Lookup!$A$2:$B$28,2,FALSE)</f>
        <v>Sao Paulo</v>
      </c>
    </row>
    <row r="3442" spans="1:13" x14ac:dyDescent="0.45">
      <c r="A3442" t="s">
        <v>4044</v>
      </c>
      <c r="B3442" t="s">
        <v>4043</v>
      </c>
      <c r="C3442" t="s">
        <v>3983</v>
      </c>
      <c r="D3442" t="s">
        <v>16</v>
      </c>
      <c r="E3442" t="s">
        <v>366</v>
      </c>
      <c r="F3442">
        <v>1</v>
      </c>
      <c r="G3442">
        <v>40</v>
      </c>
      <c r="H3442">
        <v>9.44</v>
      </c>
      <c r="I3442" t="s">
        <v>44</v>
      </c>
      <c r="J3442">
        <v>4</v>
      </c>
      <c r="K3442" t="s">
        <v>51</v>
      </c>
      <c r="L3442">
        <v>4.5</v>
      </c>
      <c r="M3442" t="str">
        <f>VLOOKUP(D3442,State_Lookup!$A$2:$B$28,2,FALSE)</f>
        <v>Sao Paulo</v>
      </c>
    </row>
    <row r="3443" spans="1:13" x14ac:dyDescent="0.45">
      <c r="A3443" t="s">
        <v>4045</v>
      </c>
      <c r="B3443" t="s">
        <v>4043</v>
      </c>
      <c r="C3443" t="s">
        <v>3983</v>
      </c>
      <c r="D3443" t="s">
        <v>16</v>
      </c>
      <c r="E3443" t="s">
        <v>110</v>
      </c>
      <c r="F3443">
        <v>2</v>
      </c>
      <c r="G3443">
        <v>140</v>
      </c>
      <c r="H3443">
        <v>25.76</v>
      </c>
      <c r="I3443" t="s">
        <v>44</v>
      </c>
      <c r="J3443">
        <v>12</v>
      </c>
      <c r="K3443" t="s">
        <v>51</v>
      </c>
      <c r="L3443">
        <v>5</v>
      </c>
      <c r="M3443" t="str">
        <f>VLOOKUP(D3443,State_Lookup!$A$2:$B$28,2,FALSE)</f>
        <v>Sao Paulo</v>
      </c>
    </row>
    <row r="3444" spans="1:13" x14ac:dyDescent="0.45">
      <c r="A3444" t="s">
        <v>4046</v>
      </c>
      <c r="B3444" t="s">
        <v>4043</v>
      </c>
      <c r="C3444" t="s">
        <v>3983</v>
      </c>
      <c r="D3444" t="s">
        <v>63</v>
      </c>
      <c r="E3444" t="s">
        <v>118</v>
      </c>
      <c r="F3444">
        <v>1</v>
      </c>
      <c r="G3444">
        <v>157.9</v>
      </c>
      <c r="H3444">
        <v>43.17</v>
      </c>
      <c r="I3444" t="s">
        <v>44</v>
      </c>
      <c r="J3444">
        <v>20</v>
      </c>
      <c r="K3444" t="s">
        <v>51</v>
      </c>
      <c r="L3444">
        <v>4</v>
      </c>
      <c r="M3444" t="str">
        <f>VLOOKUP(D3444,State_Lookup!$A$2:$B$28,2,FALSE)</f>
        <v>Pernambuco</v>
      </c>
    </row>
    <row r="3445" spans="1:13" x14ac:dyDescent="0.45">
      <c r="A3445" t="s">
        <v>4047</v>
      </c>
      <c r="B3445" t="s">
        <v>4043</v>
      </c>
      <c r="C3445" t="s">
        <v>3983</v>
      </c>
      <c r="D3445" t="s">
        <v>16</v>
      </c>
      <c r="E3445" t="s">
        <v>49</v>
      </c>
      <c r="F3445">
        <v>1</v>
      </c>
      <c r="G3445">
        <v>23.99</v>
      </c>
      <c r="H3445">
        <v>7.39</v>
      </c>
      <c r="I3445" t="s">
        <v>44</v>
      </c>
      <c r="J3445">
        <v>6</v>
      </c>
      <c r="K3445" t="s">
        <v>51</v>
      </c>
      <c r="L3445">
        <v>5</v>
      </c>
      <c r="M3445" t="str">
        <f>VLOOKUP(D3445,State_Lookup!$A$2:$B$28,2,FALSE)</f>
        <v>Sao Paulo</v>
      </c>
    </row>
    <row r="3446" spans="1:13" x14ac:dyDescent="0.45">
      <c r="A3446" t="s">
        <v>4048</v>
      </c>
      <c r="B3446" t="s">
        <v>4043</v>
      </c>
      <c r="C3446" t="s">
        <v>3983</v>
      </c>
      <c r="D3446" t="s">
        <v>16</v>
      </c>
      <c r="E3446" t="s">
        <v>110</v>
      </c>
      <c r="F3446">
        <v>2</v>
      </c>
      <c r="G3446">
        <v>411.9</v>
      </c>
      <c r="H3446">
        <v>45.18</v>
      </c>
      <c r="I3446" t="s">
        <v>44</v>
      </c>
      <c r="J3446">
        <v>6</v>
      </c>
      <c r="K3446" t="s">
        <v>51</v>
      </c>
      <c r="L3446">
        <v>3</v>
      </c>
      <c r="M3446" t="str">
        <f>VLOOKUP(D3446,State_Lookup!$A$2:$B$28,2,FALSE)</f>
        <v>Sao Paulo</v>
      </c>
    </row>
    <row r="3447" spans="1:13" x14ac:dyDescent="0.45">
      <c r="A3447" t="s">
        <v>4049</v>
      </c>
      <c r="B3447" t="s">
        <v>4043</v>
      </c>
      <c r="C3447" t="s">
        <v>3983</v>
      </c>
      <c r="D3447" t="s">
        <v>19</v>
      </c>
      <c r="E3447" t="s">
        <v>142</v>
      </c>
      <c r="F3447">
        <v>1</v>
      </c>
      <c r="G3447">
        <v>36.9</v>
      </c>
      <c r="H3447">
        <v>19.32</v>
      </c>
      <c r="I3447" t="s">
        <v>50</v>
      </c>
      <c r="J3447">
        <v>16</v>
      </c>
      <c r="K3447" t="s">
        <v>51</v>
      </c>
      <c r="L3447">
        <v>5</v>
      </c>
      <c r="M3447" t="str">
        <f>VLOOKUP(D3447,State_Lookup!$A$2:$B$28,2,FALSE)</f>
        <v>Rio Grande do Sul</v>
      </c>
    </row>
    <row r="3448" spans="1:13" x14ac:dyDescent="0.45">
      <c r="A3448" t="s">
        <v>4050</v>
      </c>
      <c r="B3448" t="s">
        <v>4043</v>
      </c>
      <c r="C3448" t="s">
        <v>3983</v>
      </c>
      <c r="D3448" t="s">
        <v>16</v>
      </c>
      <c r="E3448" t="s">
        <v>142</v>
      </c>
      <c r="F3448">
        <v>1</v>
      </c>
      <c r="G3448">
        <v>16</v>
      </c>
      <c r="H3448">
        <v>7.39</v>
      </c>
      <c r="I3448" t="s">
        <v>50</v>
      </c>
      <c r="J3448">
        <v>6</v>
      </c>
      <c r="K3448" t="s">
        <v>51</v>
      </c>
      <c r="L3448">
        <v>5</v>
      </c>
      <c r="M3448" t="str">
        <f>VLOOKUP(D3448,State_Lookup!$A$2:$B$28,2,FALSE)</f>
        <v>Sao Paulo</v>
      </c>
    </row>
    <row r="3449" spans="1:13" x14ac:dyDescent="0.45">
      <c r="A3449" t="s">
        <v>4051</v>
      </c>
      <c r="B3449" t="s">
        <v>4043</v>
      </c>
      <c r="C3449" t="s">
        <v>3983</v>
      </c>
      <c r="D3449" t="s">
        <v>16</v>
      </c>
      <c r="E3449" t="s">
        <v>142</v>
      </c>
      <c r="F3449">
        <v>1</v>
      </c>
      <c r="G3449">
        <v>199.9</v>
      </c>
      <c r="H3449">
        <v>14.3</v>
      </c>
      <c r="I3449" t="s">
        <v>50</v>
      </c>
      <c r="J3449">
        <v>9</v>
      </c>
      <c r="K3449" t="s">
        <v>51</v>
      </c>
      <c r="L3449">
        <v>5</v>
      </c>
      <c r="M3449" t="str">
        <f>VLOOKUP(D3449,State_Lookup!$A$2:$B$28,2,FALSE)</f>
        <v>Sao Paulo</v>
      </c>
    </row>
    <row r="3450" spans="1:13" x14ac:dyDescent="0.45">
      <c r="A3450" t="s">
        <v>4052</v>
      </c>
      <c r="B3450" t="s">
        <v>4043</v>
      </c>
      <c r="C3450" t="s">
        <v>3983</v>
      </c>
      <c r="D3450" t="s">
        <v>20</v>
      </c>
      <c r="E3450" t="s">
        <v>66</v>
      </c>
      <c r="F3450">
        <v>1</v>
      </c>
      <c r="G3450">
        <v>39.9</v>
      </c>
      <c r="H3450">
        <v>22.06</v>
      </c>
      <c r="I3450" t="s">
        <v>44</v>
      </c>
      <c r="J3450">
        <v>20</v>
      </c>
      <c r="K3450" t="s">
        <v>51</v>
      </c>
      <c r="L3450">
        <v>5</v>
      </c>
      <c r="M3450" t="str">
        <f>VLOOKUP(D3450,State_Lookup!$A$2:$B$28,2,FALSE)</f>
        <v>Parana</v>
      </c>
    </row>
    <row r="3451" spans="1:13" x14ac:dyDescent="0.45">
      <c r="A3451" t="s">
        <v>4053</v>
      </c>
      <c r="B3451" t="s">
        <v>4043</v>
      </c>
      <c r="C3451" t="s">
        <v>3983</v>
      </c>
      <c r="D3451" t="s">
        <v>16</v>
      </c>
      <c r="E3451" t="s">
        <v>142</v>
      </c>
      <c r="F3451">
        <v>1</v>
      </c>
      <c r="G3451">
        <v>19.989999999999998</v>
      </c>
      <c r="H3451">
        <v>7.39</v>
      </c>
      <c r="I3451" t="s">
        <v>50</v>
      </c>
      <c r="J3451">
        <v>5</v>
      </c>
      <c r="K3451" t="s">
        <v>51</v>
      </c>
      <c r="L3451">
        <v>4</v>
      </c>
      <c r="M3451" t="str">
        <f>VLOOKUP(D3451,State_Lookup!$A$2:$B$28,2,FALSE)</f>
        <v>Sao Paulo</v>
      </c>
    </row>
    <row r="3452" spans="1:13" x14ac:dyDescent="0.45">
      <c r="A3452" t="s">
        <v>4054</v>
      </c>
      <c r="B3452" t="s">
        <v>4043</v>
      </c>
      <c r="C3452" t="s">
        <v>3983</v>
      </c>
      <c r="D3452" t="s">
        <v>141</v>
      </c>
      <c r="E3452" t="s">
        <v>110</v>
      </c>
      <c r="F3452">
        <v>1</v>
      </c>
      <c r="G3452">
        <v>21.99</v>
      </c>
      <c r="H3452">
        <v>50.85</v>
      </c>
      <c r="I3452" t="s">
        <v>44</v>
      </c>
      <c r="J3452">
        <v>28</v>
      </c>
      <c r="K3452" t="s">
        <v>143</v>
      </c>
      <c r="L3452">
        <v>1</v>
      </c>
      <c r="M3452" t="str">
        <f>VLOOKUP(D3452,State_Lookup!$A$2:$B$28,2,FALSE)</f>
        <v>Maranhao</v>
      </c>
    </row>
    <row r="3453" spans="1:13" x14ac:dyDescent="0.45">
      <c r="A3453" t="s">
        <v>4055</v>
      </c>
      <c r="B3453" t="s">
        <v>4043</v>
      </c>
      <c r="C3453" t="s">
        <v>3983</v>
      </c>
      <c r="D3453" t="s">
        <v>16</v>
      </c>
      <c r="E3453" t="s">
        <v>125</v>
      </c>
      <c r="F3453">
        <v>1</v>
      </c>
      <c r="G3453">
        <v>13.65</v>
      </c>
      <c r="H3453">
        <v>7.39</v>
      </c>
      <c r="I3453" t="s">
        <v>50</v>
      </c>
      <c r="J3453">
        <v>3</v>
      </c>
      <c r="K3453" t="s">
        <v>51</v>
      </c>
      <c r="L3453">
        <v>5</v>
      </c>
      <c r="M3453" t="str">
        <f>VLOOKUP(D3453,State_Lookup!$A$2:$B$28,2,FALSE)</f>
        <v>Sao Paulo</v>
      </c>
    </row>
    <row r="3454" spans="1:13" x14ac:dyDescent="0.45">
      <c r="A3454" t="s">
        <v>4056</v>
      </c>
      <c r="B3454" t="s">
        <v>4043</v>
      </c>
      <c r="C3454" t="s">
        <v>3983</v>
      </c>
      <c r="D3454" t="s">
        <v>128</v>
      </c>
      <c r="E3454" t="s">
        <v>79</v>
      </c>
      <c r="F3454">
        <v>1</v>
      </c>
      <c r="G3454">
        <v>67.599999999999994</v>
      </c>
      <c r="H3454">
        <v>19.16</v>
      </c>
      <c r="I3454" t="s">
        <v>44</v>
      </c>
      <c r="J3454">
        <v>60</v>
      </c>
      <c r="K3454" t="s">
        <v>143</v>
      </c>
      <c r="L3454">
        <v>4</v>
      </c>
      <c r="M3454" t="str">
        <f>VLOOKUP(D3454,State_Lookup!$A$2:$B$28,2,FALSE)</f>
        <v>Ceara</v>
      </c>
    </row>
    <row r="3455" spans="1:13" x14ac:dyDescent="0.45">
      <c r="A3455" t="s">
        <v>4057</v>
      </c>
      <c r="B3455" t="s">
        <v>4043</v>
      </c>
      <c r="C3455" t="s">
        <v>3983</v>
      </c>
      <c r="D3455" t="s">
        <v>24</v>
      </c>
      <c r="E3455" t="s">
        <v>125</v>
      </c>
      <c r="F3455">
        <v>1</v>
      </c>
      <c r="G3455">
        <v>19.89</v>
      </c>
      <c r="H3455">
        <v>7.71</v>
      </c>
      <c r="I3455" t="s">
        <v>44</v>
      </c>
      <c r="J3455">
        <v>3</v>
      </c>
      <c r="K3455" t="s">
        <v>51</v>
      </c>
      <c r="L3455">
        <v>2</v>
      </c>
      <c r="M3455" t="str">
        <f>VLOOKUP(D3455,State_Lookup!$A$2:$B$28,2,FALSE)</f>
        <v>Distrito Federal</v>
      </c>
    </row>
    <row r="3456" spans="1:13" x14ac:dyDescent="0.45">
      <c r="A3456" t="s">
        <v>4058</v>
      </c>
      <c r="B3456" t="s">
        <v>4043</v>
      </c>
      <c r="C3456" t="s">
        <v>3983</v>
      </c>
      <c r="D3456" t="s">
        <v>16</v>
      </c>
      <c r="E3456" t="s">
        <v>110</v>
      </c>
      <c r="F3456">
        <v>1</v>
      </c>
      <c r="G3456">
        <v>52.9</v>
      </c>
      <c r="H3456">
        <v>14.46</v>
      </c>
      <c r="I3456" t="s">
        <v>44</v>
      </c>
      <c r="J3456">
        <v>9</v>
      </c>
      <c r="K3456" t="s">
        <v>51</v>
      </c>
      <c r="L3456">
        <v>5</v>
      </c>
      <c r="M3456" t="str">
        <f>VLOOKUP(D3456,State_Lookup!$A$2:$B$28,2,FALSE)</f>
        <v>Sao Paulo</v>
      </c>
    </row>
    <row r="3457" spans="1:13" x14ac:dyDescent="0.45">
      <c r="A3457" t="s">
        <v>4059</v>
      </c>
      <c r="B3457" t="s">
        <v>4060</v>
      </c>
      <c r="C3457" t="s">
        <v>3983</v>
      </c>
      <c r="D3457" t="s">
        <v>16</v>
      </c>
      <c r="E3457" t="s">
        <v>110</v>
      </c>
      <c r="F3457">
        <v>1</v>
      </c>
      <c r="G3457">
        <v>60.5</v>
      </c>
      <c r="H3457">
        <v>14.51</v>
      </c>
      <c r="I3457" t="s">
        <v>50</v>
      </c>
      <c r="J3457">
        <v>12</v>
      </c>
      <c r="K3457" t="s">
        <v>51</v>
      </c>
      <c r="L3457">
        <v>5</v>
      </c>
      <c r="M3457" t="str">
        <f>VLOOKUP(D3457,State_Lookup!$A$2:$B$28,2,FALSE)</f>
        <v>Sao Paulo</v>
      </c>
    </row>
    <row r="3458" spans="1:13" x14ac:dyDescent="0.45">
      <c r="A3458" t="s">
        <v>4061</v>
      </c>
      <c r="B3458" t="s">
        <v>4060</v>
      </c>
      <c r="C3458" t="s">
        <v>3983</v>
      </c>
      <c r="D3458" t="s">
        <v>18</v>
      </c>
      <c r="E3458" t="s">
        <v>43</v>
      </c>
      <c r="F3458">
        <v>1</v>
      </c>
      <c r="G3458">
        <v>334.8</v>
      </c>
      <c r="H3458">
        <v>17.22</v>
      </c>
      <c r="I3458" t="s">
        <v>44</v>
      </c>
      <c r="J3458">
        <v>17</v>
      </c>
      <c r="K3458" t="s">
        <v>51</v>
      </c>
      <c r="L3458">
        <v>4</v>
      </c>
      <c r="M3458" t="str">
        <f>VLOOKUP(D3458,State_Lookup!$A$2:$B$28,2,FALSE)</f>
        <v>Minas Gerais</v>
      </c>
    </row>
    <row r="3459" spans="1:13" x14ac:dyDescent="0.45">
      <c r="A3459" t="s">
        <v>4062</v>
      </c>
      <c r="B3459" t="s">
        <v>4060</v>
      </c>
      <c r="C3459" t="s">
        <v>3983</v>
      </c>
      <c r="D3459" t="s">
        <v>18</v>
      </c>
      <c r="E3459" t="s">
        <v>79</v>
      </c>
      <c r="F3459">
        <v>1</v>
      </c>
      <c r="G3459">
        <v>16.489999999999998</v>
      </c>
      <c r="H3459">
        <v>18.23</v>
      </c>
      <c r="I3459" t="s">
        <v>44</v>
      </c>
      <c r="J3459">
        <v>10</v>
      </c>
      <c r="K3459" t="s">
        <v>51</v>
      </c>
      <c r="L3459">
        <v>5</v>
      </c>
      <c r="M3459" t="str">
        <f>VLOOKUP(D3459,State_Lookup!$A$2:$B$28,2,FALSE)</f>
        <v>Minas Gerais</v>
      </c>
    </row>
    <row r="3460" spans="1:13" x14ac:dyDescent="0.45">
      <c r="A3460" t="s">
        <v>4063</v>
      </c>
      <c r="B3460" t="s">
        <v>4060</v>
      </c>
      <c r="C3460" t="s">
        <v>3983</v>
      </c>
      <c r="D3460" t="s">
        <v>25</v>
      </c>
      <c r="E3460" t="s">
        <v>110</v>
      </c>
      <c r="F3460">
        <v>2</v>
      </c>
      <c r="G3460">
        <v>119.8</v>
      </c>
      <c r="H3460">
        <v>105.1</v>
      </c>
      <c r="I3460" t="s">
        <v>44</v>
      </c>
      <c r="J3460">
        <v>11</v>
      </c>
      <c r="K3460" t="s">
        <v>51</v>
      </c>
      <c r="L3460">
        <v>4</v>
      </c>
      <c r="M3460" t="str">
        <f>VLOOKUP(D3460,State_Lookup!$A$2:$B$28,2,FALSE)</f>
        <v>Goias</v>
      </c>
    </row>
    <row r="3461" spans="1:13" x14ac:dyDescent="0.45">
      <c r="A3461" t="s">
        <v>4064</v>
      </c>
      <c r="B3461" t="s">
        <v>4060</v>
      </c>
      <c r="C3461" t="s">
        <v>3983</v>
      </c>
      <c r="D3461" t="s">
        <v>21</v>
      </c>
      <c r="E3461" t="s">
        <v>43</v>
      </c>
      <c r="F3461">
        <v>1</v>
      </c>
      <c r="G3461">
        <v>159</v>
      </c>
      <c r="H3461">
        <v>41.87</v>
      </c>
      <c r="I3461" t="s">
        <v>50</v>
      </c>
      <c r="J3461">
        <v>10</v>
      </c>
      <c r="K3461" t="s">
        <v>51</v>
      </c>
      <c r="L3461">
        <v>5</v>
      </c>
      <c r="M3461" t="str">
        <f>VLOOKUP(D3461,State_Lookup!$A$2:$B$28,2,FALSE)</f>
        <v>Santa Catarina</v>
      </c>
    </row>
    <row r="3462" spans="1:13" x14ac:dyDescent="0.45">
      <c r="A3462" t="s">
        <v>4065</v>
      </c>
      <c r="B3462" t="s">
        <v>4060</v>
      </c>
      <c r="C3462" t="s">
        <v>3983</v>
      </c>
      <c r="D3462" t="s">
        <v>24</v>
      </c>
      <c r="E3462" t="s">
        <v>142</v>
      </c>
      <c r="F3462">
        <v>1</v>
      </c>
      <c r="G3462">
        <v>69.900000000000006</v>
      </c>
      <c r="H3462">
        <v>18.07</v>
      </c>
      <c r="I3462" t="s">
        <v>44</v>
      </c>
      <c r="J3462">
        <v>10</v>
      </c>
      <c r="K3462" t="s">
        <v>51</v>
      </c>
      <c r="L3462">
        <v>4</v>
      </c>
      <c r="M3462" t="str">
        <f>VLOOKUP(D3462,State_Lookup!$A$2:$B$28,2,FALSE)</f>
        <v>Distrito Federal</v>
      </c>
    </row>
    <row r="3463" spans="1:13" x14ac:dyDescent="0.45">
      <c r="A3463" t="s">
        <v>4066</v>
      </c>
      <c r="B3463" t="s">
        <v>4060</v>
      </c>
      <c r="C3463" t="s">
        <v>3983</v>
      </c>
      <c r="D3463" t="s">
        <v>632</v>
      </c>
      <c r="E3463" t="s">
        <v>132</v>
      </c>
      <c r="F3463">
        <v>1</v>
      </c>
      <c r="G3463">
        <v>35</v>
      </c>
      <c r="H3463">
        <v>22.85</v>
      </c>
      <c r="I3463" t="s">
        <v>133</v>
      </c>
      <c r="J3463">
        <v>8</v>
      </c>
      <c r="K3463" t="s">
        <v>51</v>
      </c>
      <c r="L3463">
        <v>4</v>
      </c>
      <c r="M3463" t="str">
        <f>VLOOKUP(D3463,State_Lookup!$A$2:$B$28,2,FALSE)</f>
        <v>Alagoas</v>
      </c>
    </row>
    <row r="3464" spans="1:13" x14ac:dyDescent="0.45">
      <c r="A3464" t="s">
        <v>4067</v>
      </c>
      <c r="B3464" t="s">
        <v>4068</v>
      </c>
      <c r="C3464" t="s">
        <v>3983</v>
      </c>
      <c r="D3464" t="s">
        <v>18</v>
      </c>
      <c r="E3464" t="s">
        <v>79</v>
      </c>
      <c r="F3464">
        <v>1</v>
      </c>
      <c r="G3464">
        <v>135.9</v>
      </c>
      <c r="H3464">
        <v>21.88</v>
      </c>
      <c r="I3464" t="s">
        <v>44</v>
      </c>
      <c r="J3464">
        <v>14</v>
      </c>
      <c r="K3464" t="s">
        <v>51</v>
      </c>
      <c r="L3464">
        <v>5</v>
      </c>
      <c r="M3464" t="str">
        <f>VLOOKUP(D3464,State_Lookup!$A$2:$B$28,2,FALSE)</f>
        <v>Minas Gerais</v>
      </c>
    </row>
    <row r="3465" spans="1:13" x14ac:dyDescent="0.45">
      <c r="A3465" t="s">
        <v>4069</v>
      </c>
      <c r="B3465" t="s">
        <v>4068</v>
      </c>
      <c r="C3465" t="s">
        <v>3983</v>
      </c>
      <c r="D3465" t="s">
        <v>19</v>
      </c>
      <c r="E3465" t="s">
        <v>79</v>
      </c>
      <c r="F3465">
        <v>1</v>
      </c>
      <c r="G3465">
        <v>255.65</v>
      </c>
      <c r="H3465">
        <v>23.5</v>
      </c>
      <c r="I3465" t="s">
        <v>44</v>
      </c>
      <c r="J3465">
        <v>14</v>
      </c>
      <c r="K3465" t="s">
        <v>51</v>
      </c>
      <c r="L3465">
        <v>1</v>
      </c>
      <c r="M3465" t="str">
        <f>VLOOKUP(D3465,State_Lookup!$A$2:$B$28,2,FALSE)</f>
        <v>Rio Grande do Sul</v>
      </c>
    </row>
    <row r="3466" spans="1:13" x14ac:dyDescent="0.45">
      <c r="A3466" t="s">
        <v>4070</v>
      </c>
      <c r="B3466" t="s">
        <v>4068</v>
      </c>
      <c r="C3466" t="s">
        <v>3983</v>
      </c>
      <c r="D3466" t="s">
        <v>18</v>
      </c>
      <c r="E3466" t="s">
        <v>157</v>
      </c>
      <c r="F3466">
        <v>1</v>
      </c>
      <c r="G3466">
        <v>189.99</v>
      </c>
      <c r="H3466">
        <v>19.21</v>
      </c>
      <c r="I3466" t="s">
        <v>44</v>
      </c>
      <c r="J3466">
        <v>15</v>
      </c>
      <c r="K3466" t="s">
        <v>51</v>
      </c>
      <c r="L3466">
        <v>5</v>
      </c>
      <c r="M3466" t="str">
        <f>VLOOKUP(D3466,State_Lookup!$A$2:$B$28,2,FALSE)</f>
        <v>Minas Gerais</v>
      </c>
    </row>
    <row r="3467" spans="1:13" x14ac:dyDescent="0.45">
      <c r="A3467" t="s">
        <v>4071</v>
      </c>
      <c r="B3467" t="s">
        <v>4068</v>
      </c>
      <c r="C3467" t="s">
        <v>3983</v>
      </c>
      <c r="D3467" t="s">
        <v>18</v>
      </c>
      <c r="E3467" t="s">
        <v>269</v>
      </c>
      <c r="F3467">
        <v>1</v>
      </c>
      <c r="G3467">
        <v>99.97</v>
      </c>
      <c r="H3467">
        <v>18.579999999999998</v>
      </c>
      <c r="I3467" t="s">
        <v>44</v>
      </c>
      <c r="J3467">
        <v>14</v>
      </c>
      <c r="K3467" t="s">
        <v>51</v>
      </c>
      <c r="L3467">
        <v>5</v>
      </c>
      <c r="M3467" t="str">
        <f>VLOOKUP(D3467,State_Lookup!$A$2:$B$28,2,FALSE)</f>
        <v>Minas Gerais</v>
      </c>
    </row>
    <row r="3468" spans="1:13" x14ac:dyDescent="0.45">
      <c r="A3468" t="s">
        <v>4072</v>
      </c>
      <c r="B3468" t="s">
        <v>4068</v>
      </c>
      <c r="C3468" t="s">
        <v>3983</v>
      </c>
      <c r="D3468" t="s">
        <v>18</v>
      </c>
      <c r="E3468" t="s">
        <v>64</v>
      </c>
      <c r="F3468">
        <v>1</v>
      </c>
      <c r="G3468">
        <v>79.989999999999995</v>
      </c>
      <c r="H3468">
        <v>15.38</v>
      </c>
      <c r="I3468" t="s">
        <v>44</v>
      </c>
      <c r="J3468">
        <v>7</v>
      </c>
      <c r="K3468" t="s">
        <v>51</v>
      </c>
      <c r="L3468">
        <v>5</v>
      </c>
      <c r="M3468" t="str">
        <f>VLOOKUP(D3468,State_Lookup!$A$2:$B$28,2,FALSE)</f>
        <v>Minas Gerais</v>
      </c>
    </row>
    <row r="3469" spans="1:13" x14ac:dyDescent="0.45">
      <c r="A3469" t="s">
        <v>4073</v>
      </c>
      <c r="B3469" t="s">
        <v>4068</v>
      </c>
      <c r="C3469" t="s">
        <v>3983</v>
      </c>
      <c r="D3469" t="s">
        <v>17</v>
      </c>
      <c r="E3469" t="s">
        <v>49</v>
      </c>
      <c r="F3469">
        <v>1</v>
      </c>
      <c r="G3469">
        <v>227</v>
      </c>
      <c r="H3469">
        <v>24.17</v>
      </c>
      <c r="I3469" t="s">
        <v>44</v>
      </c>
      <c r="J3469">
        <v>35</v>
      </c>
      <c r="K3469" t="s">
        <v>143</v>
      </c>
      <c r="L3469">
        <v>5</v>
      </c>
      <c r="M3469" t="str">
        <f>VLOOKUP(D3469,State_Lookup!$A$2:$B$28,2,FALSE)</f>
        <v>Rio de Janeiro</v>
      </c>
    </row>
    <row r="3470" spans="1:13" x14ac:dyDescent="0.45">
      <c r="A3470" t="s">
        <v>4074</v>
      </c>
      <c r="B3470" t="s">
        <v>4068</v>
      </c>
      <c r="C3470" t="s">
        <v>3983</v>
      </c>
      <c r="D3470" t="s">
        <v>16</v>
      </c>
      <c r="E3470" t="s">
        <v>110</v>
      </c>
      <c r="F3470">
        <v>1</v>
      </c>
      <c r="G3470">
        <v>79.900000000000006</v>
      </c>
      <c r="H3470">
        <v>13.92</v>
      </c>
      <c r="I3470" t="s">
        <v>44</v>
      </c>
      <c r="J3470">
        <v>4</v>
      </c>
      <c r="K3470" t="s">
        <v>51</v>
      </c>
      <c r="L3470">
        <v>4</v>
      </c>
      <c r="M3470" t="str">
        <f>VLOOKUP(D3470,State_Lookup!$A$2:$B$28,2,FALSE)</f>
        <v>Sao Paulo</v>
      </c>
    </row>
    <row r="3471" spans="1:13" x14ac:dyDescent="0.45">
      <c r="A3471" t="s">
        <v>4075</v>
      </c>
      <c r="B3471" t="s">
        <v>4068</v>
      </c>
      <c r="C3471" t="s">
        <v>3983</v>
      </c>
      <c r="D3471" t="s">
        <v>16</v>
      </c>
      <c r="E3471" t="s">
        <v>69</v>
      </c>
      <c r="F3471">
        <v>1</v>
      </c>
      <c r="G3471">
        <v>53.9</v>
      </c>
      <c r="H3471">
        <v>13.46</v>
      </c>
      <c r="I3471" t="s">
        <v>44</v>
      </c>
      <c r="J3471">
        <v>7</v>
      </c>
      <c r="K3471" t="s">
        <v>51</v>
      </c>
      <c r="L3471">
        <v>5</v>
      </c>
      <c r="M3471" t="str">
        <f>VLOOKUP(D3471,State_Lookup!$A$2:$B$28,2,FALSE)</f>
        <v>Sao Paulo</v>
      </c>
    </row>
    <row r="3472" spans="1:13" x14ac:dyDescent="0.45">
      <c r="A3472" t="s">
        <v>4076</v>
      </c>
      <c r="B3472" t="s">
        <v>4068</v>
      </c>
      <c r="C3472" t="s">
        <v>3983</v>
      </c>
      <c r="D3472" t="s">
        <v>210</v>
      </c>
      <c r="E3472" t="s">
        <v>192</v>
      </c>
      <c r="F3472">
        <v>1</v>
      </c>
      <c r="G3472">
        <v>149.99</v>
      </c>
      <c r="H3472">
        <v>88.96</v>
      </c>
      <c r="I3472" t="s">
        <v>44</v>
      </c>
      <c r="J3472">
        <v>12</v>
      </c>
      <c r="K3472" t="s">
        <v>51</v>
      </c>
      <c r="L3472">
        <v>5</v>
      </c>
      <c r="M3472" t="str">
        <f>VLOOKUP(D3472,State_Lookup!$A$2:$B$28,2,FALSE)</f>
        <v>Amazonas</v>
      </c>
    </row>
    <row r="3473" spans="1:13" x14ac:dyDescent="0.45">
      <c r="A3473" t="s">
        <v>4077</v>
      </c>
      <c r="B3473" t="s">
        <v>4068</v>
      </c>
      <c r="C3473" t="s">
        <v>3983</v>
      </c>
      <c r="D3473" t="s">
        <v>16</v>
      </c>
      <c r="E3473" t="s">
        <v>125</v>
      </c>
      <c r="F3473">
        <v>1</v>
      </c>
      <c r="G3473">
        <v>13.65</v>
      </c>
      <c r="H3473">
        <v>7.39</v>
      </c>
      <c r="I3473" t="s">
        <v>50</v>
      </c>
      <c r="J3473">
        <v>3</v>
      </c>
      <c r="K3473" t="s">
        <v>51</v>
      </c>
      <c r="L3473">
        <v>5</v>
      </c>
      <c r="M3473" t="str">
        <f>VLOOKUP(D3473,State_Lookup!$A$2:$B$28,2,FALSE)</f>
        <v>Sao Paulo</v>
      </c>
    </row>
    <row r="3474" spans="1:13" x14ac:dyDescent="0.45">
      <c r="A3474" t="s">
        <v>4078</v>
      </c>
      <c r="B3474" t="s">
        <v>4068</v>
      </c>
      <c r="C3474" t="s">
        <v>3983</v>
      </c>
      <c r="D3474" t="s">
        <v>18</v>
      </c>
      <c r="E3474" t="s">
        <v>66</v>
      </c>
      <c r="F3474">
        <v>1</v>
      </c>
      <c r="G3474">
        <v>199.9</v>
      </c>
      <c r="H3474">
        <v>19.28</v>
      </c>
      <c r="I3474" t="s">
        <v>50</v>
      </c>
      <c r="J3474">
        <v>10</v>
      </c>
      <c r="K3474" t="s">
        <v>51</v>
      </c>
      <c r="L3474">
        <v>5</v>
      </c>
      <c r="M3474" t="str">
        <f>VLOOKUP(D3474,State_Lookup!$A$2:$B$28,2,FALSE)</f>
        <v>Minas Gerais</v>
      </c>
    </row>
    <row r="3475" spans="1:13" x14ac:dyDescent="0.45">
      <c r="A3475" t="s">
        <v>4079</v>
      </c>
      <c r="B3475" t="s">
        <v>4068</v>
      </c>
      <c r="C3475" t="s">
        <v>3983</v>
      </c>
      <c r="D3475" t="s">
        <v>16</v>
      </c>
      <c r="E3475" t="s">
        <v>61</v>
      </c>
      <c r="F3475">
        <v>1</v>
      </c>
      <c r="G3475">
        <v>93</v>
      </c>
      <c r="H3475">
        <v>18.53</v>
      </c>
      <c r="I3475" t="s">
        <v>44</v>
      </c>
      <c r="J3475">
        <v>13</v>
      </c>
      <c r="K3475" t="s">
        <v>51</v>
      </c>
      <c r="L3475">
        <v>5</v>
      </c>
      <c r="M3475" t="str">
        <f>VLOOKUP(D3475,State_Lookup!$A$2:$B$28,2,FALSE)</f>
        <v>Sao Paulo</v>
      </c>
    </row>
    <row r="3476" spans="1:13" x14ac:dyDescent="0.45">
      <c r="A3476" t="s">
        <v>4080</v>
      </c>
      <c r="B3476" t="s">
        <v>4068</v>
      </c>
      <c r="C3476" t="s">
        <v>3983</v>
      </c>
      <c r="D3476" t="s">
        <v>128</v>
      </c>
      <c r="E3476" t="s">
        <v>125</v>
      </c>
      <c r="F3476">
        <v>1</v>
      </c>
      <c r="G3476">
        <v>14.99</v>
      </c>
      <c r="H3476">
        <v>19.04</v>
      </c>
      <c r="I3476" t="s">
        <v>44</v>
      </c>
      <c r="J3476">
        <v>31</v>
      </c>
      <c r="K3476" t="s">
        <v>143</v>
      </c>
      <c r="L3476">
        <v>1</v>
      </c>
      <c r="M3476" t="str">
        <f>VLOOKUP(D3476,State_Lookup!$A$2:$B$28,2,FALSE)</f>
        <v>Ceara</v>
      </c>
    </row>
    <row r="3477" spans="1:13" x14ac:dyDescent="0.45">
      <c r="A3477" t="s">
        <v>4081</v>
      </c>
      <c r="B3477" t="s">
        <v>4082</v>
      </c>
      <c r="C3477" t="s">
        <v>3983</v>
      </c>
      <c r="D3477" t="s">
        <v>18</v>
      </c>
      <c r="E3477" t="s">
        <v>53</v>
      </c>
      <c r="F3477">
        <v>1</v>
      </c>
      <c r="G3477">
        <v>17.989999999999998</v>
      </c>
      <c r="H3477">
        <v>12.79</v>
      </c>
      <c r="I3477" t="s">
        <v>50</v>
      </c>
      <c r="J3477">
        <v>10</v>
      </c>
      <c r="K3477" t="s">
        <v>51</v>
      </c>
      <c r="L3477">
        <v>5</v>
      </c>
      <c r="M3477" t="str">
        <f>VLOOKUP(D3477,State_Lookup!$A$2:$B$28,2,FALSE)</f>
        <v>Minas Gerais</v>
      </c>
    </row>
    <row r="3478" spans="1:13" x14ac:dyDescent="0.45">
      <c r="A3478" t="s">
        <v>4083</v>
      </c>
      <c r="B3478" t="s">
        <v>4082</v>
      </c>
      <c r="C3478" t="s">
        <v>3983</v>
      </c>
      <c r="D3478" t="s">
        <v>24</v>
      </c>
      <c r="E3478" t="s">
        <v>79</v>
      </c>
      <c r="F3478">
        <v>1</v>
      </c>
      <c r="G3478">
        <v>58.99</v>
      </c>
      <c r="H3478">
        <v>16.73</v>
      </c>
      <c r="I3478" t="s">
        <v>44</v>
      </c>
      <c r="J3478">
        <v>9</v>
      </c>
      <c r="K3478" t="s">
        <v>51</v>
      </c>
      <c r="L3478">
        <v>2</v>
      </c>
      <c r="M3478" t="str">
        <f>VLOOKUP(D3478,State_Lookup!$A$2:$B$28,2,FALSE)</f>
        <v>Distrito Federal</v>
      </c>
    </row>
    <row r="3479" spans="1:13" x14ac:dyDescent="0.45">
      <c r="A3479" t="s">
        <v>4084</v>
      </c>
      <c r="B3479" t="s">
        <v>4082</v>
      </c>
      <c r="C3479" t="s">
        <v>3983</v>
      </c>
      <c r="D3479" t="s">
        <v>16</v>
      </c>
      <c r="E3479" t="s">
        <v>157</v>
      </c>
      <c r="F3479">
        <v>1</v>
      </c>
      <c r="G3479">
        <v>178.99</v>
      </c>
      <c r="H3479">
        <v>13.69</v>
      </c>
      <c r="I3479" t="s">
        <v>44</v>
      </c>
      <c r="J3479">
        <v>6</v>
      </c>
      <c r="K3479" t="s">
        <v>51</v>
      </c>
      <c r="L3479">
        <v>5</v>
      </c>
      <c r="M3479" t="str">
        <f>VLOOKUP(D3479,State_Lookup!$A$2:$B$28,2,FALSE)</f>
        <v>Sao Paulo</v>
      </c>
    </row>
    <row r="3480" spans="1:13" x14ac:dyDescent="0.45">
      <c r="A3480" t="s">
        <v>4085</v>
      </c>
      <c r="B3480" t="s">
        <v>4082</v>
      </c>
      <c r="C3480" t="s">
        <v>3983</v>
      </c>
      <c r="D3480" t="s">
        <v>19</v>
      </c>
      <c r="E3480" t="s">
        <v>103</v>
      </c>
      <c r="F3480">
        <v>1</v>
      </c>
      <c r="G3480">
        <v>109.9</v>
      </c>
      <c r="H3480">
        <v>23.35</v>
      </c>
      <c r="I3480" t="s">
        <v>44</v>
      </c>
      <c r="J3480">
        <v>6</v>
      </c>
      <c r="K3480" t="s">
        <v>51</v>
      </c>
      <c r="L3480">
        <v>5</v>
      </c>
      <c r="M3480" t="str">
        <f>VLOOKUP(D3480,State_Lookup!$A$2:$B$28,2,FALSE)</f>
        <v>Rio Grande do Sul</v>
      </c>
    </row>
    <row r="3481" spans="1:13" x14ac:dyDescent="0.45">
      <c r="A3481" t="s">
        <v>4086</v>
      </c>
      <c r="B3481" t="s">
        <v>4082</v>
      </c>
      <c r="C3481" t="s">
        <v>3983</v>
      </c>
      <c r="D3481" t="s">
        <v>24</v>
      </c>
      <c r="E3481" t="s">
        <v>43</v>
      </c>
      <c r="F3481">
        <v>1</v>
      </c>
      <c r="G3481">
        <v>102</v>
      </c>
      <c r="H3481">
        <v>19.68</v>
      </c>
      <c r="I3481" t="s">
        <v>44</v>
      </c>
      <c r="J3481">
        <v>16</v>
      </c>
      <c r="K3481" t="s">
        <v>51</v>
      </c>
      <c r="L3481">
        <v>5</v>
      </c>
      <c r="M3481" t="str">
        <f>VLOOKUP(D3481,State_Lookup!$A$2:$B$28,2,FALSE)</f>
        <v>Distrito Federal</v>
      </c>
    </row>
    <row r="3482" spans="1:13" x14ac:dyDescent="0.45">
      <c r="A3482" t="s">
        <v>4087</v>
      </c>
      <c r="B3482" t="s">
        <v>4082</v>
      </c>
      <c r="C3482" t="s">
        <v>3983</v>
      </c>
      <c r="D3482" t="s">
        <v>16</v>
      </c>
      <c r="E3482" t="s">
        <v>43</v>
      </c>
      <c r="F3482">
        <v>1</v>
      </c>
      <c r="G3482">
        <v>29.9</v>
      </c>
      <c r="H3482">
        <v>12.79</v>
      </c>
      <c r="I3482" t="s">
        <v>44</v>
      </c>
      <c r="J3482">
        <v>5</v>
      </c>
      <c r="K3482" t="s">
        <v>51</v>
      </c>
      <c r="L3482">
        <v>5</v>
      </c>
      <c r="M3482" t="str">
        <f>VLOOKUP(D3482,State_Lookup!$A$2:$B$28,2,FALSE)</f>
        <v>Sao Paulo</v>
      </c>
    </row>
    <row r="3483" spans="1:13" x14ac:dyDescent="0.45">
      <c r="A3483" t="s">
        <v>4088</v>
      </c>
      <c r="B3483" t="s">
        <v>4082</v>
      </c>
      <c r="C3483" t="s">
        <v>3983</v>
      </c>
      <c r="D3483" t="s">
        <v>208</v>
      </c>
      <c r="E3483" t="s">
        <v>157</v>
      </c>
      <c r="F3483">
        <v>1</v>
      </c>
      <c r="G3483">
        <v>78</v>
      </c>
      <c r="H3483">
        <v>22.26</v>
      </c>
      <c r="I3483" t="s">
        <v>44</v>
      </c>
      <c r="J3483">
        <v>6</v>
      </c>
      <c r="K3483" t="s">
        <v>51</v>
      </c>
      <c r="L3483">
        <v>4</v>
      </c>
      <c r="M3483" t="str">
        <f>VLOOKUP(D3483,State_Lookup!$A$2:$B$28,2,FALSE)</f>
        <v>Mato Grosso</v>
      </c>
    </row>
    <row r="3484" spans="1:13" x14ac:dyDescent="0.45">
      <c r="A3484" t="s">
        <v>4089</v>
      </c>
      <c r="B3484" t="s">
        <v>4082</v>
      </c>
      <c r="C3484" t="s">
        <v>3983</v>
      </c>
      <c r="D3484" t="s">
        <v>18</v>
      </c>
      <c r="E3484" t="s">
        <v>148</v>
      </c>
      <c r="F3484">
        <v>1</v>
      </c>
      <c r="G3484">
        <v>75</v>
      </c>
      <c r="H3484">
        <v>26.61</v>
      </c>
      <c r="I3484" t="s">
        <v>44</v>
      </c>
      <c r="J3484">
        <v>17</v>
      </c>
      <c r="K3484" t="s">
        <v>51</v>
      </c>
      <c r="L3484">
        <v>1</v>
      </c>
      <c r="M3484" t="str">
        <f>VLOOKUP(D3484,State_Lookup!$A$2:$B$28,2,FALSE)</f>
        <v>Minas Gerais</v>
      </c>
    </row>
    <row r="3485" spans="1:13" x14ac:dyDescent="0.45">
      <c r="A3485" t="s">
        <v>4090</v>
      </c>
      <c r="B3485" t="s">
        <v>4091</v>
      </c>
      <c r="C3485" t="s">
        <v>3983</v>
      </c>
      <c r="D3485" t="s">
        <v>16</v>
      </c>
      <c r="E3485" t="s">
        <v>1448</v>
      </c>
      <c r="F3485">
        <v>1</v>
      </c>
      <c r="G3485">
        <v>125</v>
      </c>
      <c r="H3485">
        <v>9.61</v>
      </c>
      <c r="I3485" t="s">
        <v>44</v>
      </c>
      <c r="J3485">
        <v>1</v>
      </c>
      <c r="K3485" t="s">
        <v>51</v>
      </c>
      <c r="L3485">
        <v>5</v>
      </c>
      <c r="M3485" t="str">
        <f>VLOOKUP(D3485,State_Lookup!$A$2:$B$28,2,FALSE)</f>
        <v>Sao Paulo</v>
      </c>
    </row>
    <row r="3486" spans="1:13" x14ac:dyDescent="0.45">
      <c r="A3486" t="s">
        <v>4092</v>
      </c>
      <c r="B3486" t="s">
        <v>4091</v>
      </c>
      <c r="C3486" t="s">
        <v>3983</v>
      </c>
      <c r="D3486" t="s">
        <v>16</v>
      </c>
      <c r="E3486" t="s">
        <v>49</v>
      </c>
      <c r="F3486">
        <v>1</v>
      </c>
      <c r="G3486">
        <v>67.900000000000006</v>
      </c>
      <c r="H3486">
        <v>8.8800000000000008</v>
      </c>
      <c r="I3486" t="s">
        <v>44</v>
      </c>
      <c r="J3486">
        <v>1</v>
      </c>
      <c r="K3486" t="s">
        <v>51</v>
      </c>
      <c r="L3486">
        <v>5</v>
      </c>
      <c r="M3486" t="str">
        <f>VLOOKUP(D3486,State_Lookup!$A$2:$B$28,2,FALSE)</f>
        <v>Sao Paulo</v>
      </c>
    </row>
    <row r="3487" spans="1:13" x14ac:dyDescent="0.45">
      <c r="A3487" t="s">
        <v>4093</v>
      </c>
      <c r="B3487" t="s">
        <v>4091</v>
      </c>
      <c r="C3487" t="s">
        <v>3983</v>
      </c>
      <c r="D3487" t="s">
        <v>16</v>
      </c>
      <c r="E3487" t="s">
        <v>199</v>
      </c>
      <c r="F3487">
        <v>1</v>
      </c>
      <c r="G3487">
        <v>122.99</v>
      </c>
      <c r="H3487">
        <v>8.6300000000000008</v>
      </c>
      <c r="I3487" t="s">
        <v>44</v>
      </c>
      <c r="J3487">
        <v>2</v>
      </c>
      <c r="K3487" t="s">
        <v>51</v>
      </c>
      <c r="L3487">
        <v>5</v>
      </c>
      <c r="M3487" t="str">
        <f>VLOOKUP(D3487,State_Lookup!$A$2:$B$28,2,FALSE)</f>
        <v>Sao Paulo</v>
      </c>
    </row>
    <row r="3488" spans="1:13" x14ac:dyDescent="0.45">
      <c r="A3488" t="s">
        <v>4094</v>
      </c>
      <c r="B3488" t="s">
        <v>4091</v>
      </c>
      <c r="C3488" t="s">
        <v>3983</v>
      </c>
      <c r="D3488" t="s">
        <v>18</v>
      </c>
      <c r="E3488" t="s">
        <v>157</v>
      </c>
      <c r="F3488">
        <v>1</v>
      </c>
      <c r="G3488">
        <v>78</v>
      </c>
      <c r="H3488">
        <v>15.43</v>
      </c>
      <c r="I3488" t="s">
        <v>44</v>
      </c>
      <c r="J3488">
        <v>6</v>
      </c>
      <c r="K3488" t="s">
        <v>51</v>
      </c>
      <c r="L3488">
        <v>5</v>
      </c>
      <c r="M3488" t="str">
        <f>VLOOKUP(D3488,State_Lookup!$A$2:$B$28,2,FALSE)</f>
        <v>Minas Gerais</v>
      </c>
    </row>
    <row r="3489" spans="1:13" x14ac:dyDescent="0.45">
      <c r="A3489" t="s">
        <v>4095</v>
      </c>
      <c r="B3489" t="s">
        <v>4091</v>
      </c>
      <c r="C3489" t="s">
        <v>3983</v>
      </c>
      <c r="D3489" t="s">
        <v>16</v>
      </c>
      <c r="E3489" t="s">
        <v>142</v>
      </c>
      <c r="F3489">
        <v>1</v>
      </c>
      <c r="G3489">
        <v>49.9</v>
      </c>
      <c r="H3489">
        <v>8.8800000000000008</v>
      </c>
      <c r="I3489" t="s">
        <v>50</v>
      </c>
      <c r="J3489">
        <v>5</v>
      </c>
      <c r="K3489" t="s">
        <v>51</v>
      </c>
      <c r="L3489">
        <v>5</v>
      </c>
      <c r="M3489" t="str">
        <f>VLOOKUP(D3489,State_Lookup!$A$2:$B$28,2,FALSE)</f>
        <v>Sao Paulo</v>
      </c>
    </row>
    <row r="3490" spans="1:13" x14ac:dyDescent="0.45">
      <c r="A3490" t="s">
        <v>4096</v>
      </c>
      <c r="B3490" t="s">
        <v>4091</v>
      </c>
      <c r="C3490" t="s">
        <v>3983</v>
      </c>
      <c r="D3490" t="s">
        <v>16</v>
      </c>
      <c r="E3490" t="s">
        <v>79</v>
      </c>
      <c r="F3490">
        <v>1</v>
      </c>
      <c r="G3490">
        <v>29.9</v>
      </c>
      <c r="H3490">
        <v>7.71</v>
      </c>
      <c r="I3490" t="s">
        <v>44</v>
      </c>
      <c r="J3490">
        <v>5</v>
      </c>
      <c r="K3490" t="s">
        <v>51</v>
      </c>
      <c r="L3490">
        <v>5</v>
      </c>
      <c r="M3490" t="str">
        <f>VLOOKUP(D3490,State_Lookup!$A$2:$B$28,2,FALSE)</f>
        <v>Sao Paulo</v>
      </c>
    </row>
    <row r="3491" spans="1:13" x14ac:dyDescent="0.45">
      <c r="A3491" t="s">
        <v>4097</v>
      </c>
      <c r="B3491" t="s">
        <v>4091</v>
      </c>
      <c r="C3491" t="s">
        <v>3983</v>
      </c>
      <c r="D3491" t="s">
        <v>17</v>
      </c>
      <c r="E3491" t="s">
        <v>110</v>
      </c>
      <c r="F3491">
        <v>1</v>
      </c>
      <c r="G3491">
        <v>259.89999999999998</v>
      </c>
      <c r="H3491">
        <v>35.36</v>
      </c>
      <c r="I3491" t="s">
        <v>44</v>
      </c>
      <c r="J3491">
        <v>9</v>
      </c>
      <c r="K3491" t="s">
        <v>51</v>
      </c>
      <c r="L3491">
        <v>5</v>
      </c>
      <c r="M3491" t="str">
        <f>VLOOKUP(D3491,State_Lookup!$A$2:$B$28,2,FALSE)</f>
        <v>Rio de Janeiro</v>
      </c>
    </row>
    <row r="3492" spans="1:13" x14ac:dyDescent="0.45">
      <c r="A3492" t="s">
        <v>4098</v>
      </c>
      <c r="B3492" t="s">
        <v>4091</v>
      </c>
      <c r="C3492" t="s">
        <v>3983</v>
      </c>
      <c r="D3492" t="s">
        <v>16</v>
      </c>
      <c r="E3492" t="s">
        <v>142</v>
      </c>
      <c r="F3492">
        <v>1</v>
      </c>
      <c r="G3492">
        <v>56.25</v>
      </c>
      <c r="H3492">
        <v>14.48</v>
      </c>
      <c r="I3492" t="s">
        <v>44</v>
      </c>
      <c r="J3492">
        <v>9</v>
      </c>
      <c r="K3492" t="s">
        <v>51</v>
      </c>
      <c r="L3492">
        <v>5</v>
      </c>
      <c r="M3492" t="str">
        <f>VLOOKUP(D3492,State_Lookup!$A$2:$B$28,2,FALSE)</f>
        <v>Sao Paulo</v>
      </c>
    </row>
    <row r="3493" spans="1:13" x14ac:dyDescent="0.45">
      <c r="A3493" t="s">
        <v>4099</v>
      </c>
      <c r="B3493" t="s">
        <v>4091</v>
      </c>
      <c r="C3493" t="s">
        <v>3983</v>
      </c>
      <c r="D3493" t="s">
        <v>16</v>
      </c>
      <c r="E3493" t="s">
        <v>43</v>
      </c>
      <c r="F3493">
        <v>1</v>
      </c>
      <c r="G3493">
        <v>159.9</v>
      </c>
      <c r="H3493">
        <v>37.049999999999997</v>
      </c>
      <c r="I3493" t="s">
        <v>44</v>
      </c>
      <c r="J3493">
        <v>2</v>
      </c>
      <c r="K3493" t="s">
        <v>51</v>
      </c>
      <c r="L3493">
        <v>3</v>
      </c>
      <c r="M3493" t="str">
        <f>VLOOKUP(D3493,State_Lookup!$A$2:$B$28,2,FALSE)</f>
        <v>Sao Paulo</v>
      </c>
    </row>
    <row r="3494" spans="1:13" x14ac:dyDescent="0.45">
      <c r="A3494" t="s">
        <v>4100</v>
      </c>
      <c r="B3494" t="s">
        <v>4091</v>
      </c>
      <c r="C3494" t="s">
        <v>3983</v>
      </c>
      <c r="D3494" t="s">
        <v>16</v>
      </c>
      <c r="E3494" t="s">
        <v>79</v>
      </c>
      <c r="F3494">
        <v>1</v>
      </c>
      <c r="G3494">
        <v>120</v>
      </c>
      <c r="H3494">
        <v>13.28</v>
      </c>
      <c r="I3494" t="s">
        <v>44</v>
      </c>
      <c r="J3494">
        <v>7</v>
      </c>
      <c r="K3494" t="s">
        <v>51</v>
      </c>
      <c r="L3494">
        <v>5</v>
      </c>
      <c r="M3494" t="str">
        <f>VLOOKUP(D3494,State_Lookup!$A$2:$B$28,2,FALSE)</f>
        <v>Sao Paulo</v>
      </c>
    </row>
    <row r="3495" spans="1:13" x14ac:dyDescent="0.45">
      <c r="A3495" t="s">
        <v>4101</v>
      </c>
      <c r="B3495" t="s">
        <v>4091</v>
      </c>
      <c r="C3495" t="s">
        <v>3983</v>
      </c>
      <c r="D3495" t="s">
        <v>16</v>
      </c>
      <c r="E3495" t="s">
        <v>199</v>
      </c>
      <c r="F3495">
        <v>1</v>
      </c>
      <c r="G3495">
        <v>122.99</v>
      </c>
      <c r="H3495">
        <v>8.6300000000000008</v>
      </c>
      <c r="I3495" t="s">
        <v>44</v>
      </c>
      <c r="J3495">
        <v>2</v>
      </c>
      <c r="K3495" t="s">
        <v>51</v>
      </c>
      <c r="L3495">
        <v>5</v>
      </c>
      <c r="M3495" t="str">
        <f>VLOOKUP(D3495,State_Lookup!$A$2:$B$28,2,FALSE)</f>
        <v>Sao Paulo</v>
      </c>
    </row>
    <row r="3496" spans="1:13" x14ac:dyDescent="0.45">
      <c r="A3496" t="s">
        <v>4102</v>
      </c>
      <c r="B3496" t="s">
        <v>4091</v>
      </c>
      <c r="C3496" t="s">
        <v>3983</v>
      </c>
      <c r="D3496" t="s">
        <v>23</v>
      </c>
      <c r="E3496" t="s">
        <v>110</v>
      </c>
      <c r="F3496">
        <v>2</v>
      </c>
      <c r="G3496">
        <v>138</v>
      </c>
      <c r="H3496">
        <v>46.12</v>
      </c>
      <c r="I3496" t="s">
        <v>44</v>
      </c>
      <c r="J3496">
        <v>19</v>
      </c>
      <c r="K3496" t="s">
        <v>51</v>
      </c>
      <c r="L3496">
        <v>4</v>
      </c>
      <c r="M3496" t="str">
        <f>VLOOKUP(D3496,State_Lookup!$A$2:$B$28,2,FALSE)</f>
        <v>Espirito Santo</v>
      </c>
    </row>
    <row r="3497" spans="1:13" x14ac:dyDescent="0.45">
      <c r="A3497" t="s">
        <v>4103</v>
      </c>
      <c r="B3497" t="s">
        <v>4091</v>
      </c>
      <c r="C3497" t="s">
        <v>3983</v>
      </c>
      <c r="D3497" t="s">
        <v>113</v>
      </c>
      <c r="E3497" t="s">
        <v>157</v>
      </c>
      <c r="F3497">
        <v>1</v>
      </c>
      <c r="G3497">
        <v>599</v>
      </c>
      <c r="H3497">
        <v>64.25</v>
      </c>
      <c r="I3497" t="s">
        <v>44</v>
      </c>
      <c r="J3497">
        <v>15</v>
      </c>
      <c r="K3497" t="s">
        <v>51</v>
      </c>
      <c r="L3497">
        <v>5</v>
      </c>
      <c r="M3497" t="str">
        <f>VLOOKUP(D3497,State_Lookup!$A$2:$B$28,2,FALSE)</f>
        <v>Piaui</v>
      </c>
    </row>
    <row r="3498" spans="1:13" x14ac:dyDescent="0.45">
      <c r="A3498" t="s">
        <v>4104</v>
      </c>
      <c r="B3498" t="s">
        <v>4091</v>
      </c>
      <c r="C3498" t="s">
        <v>3983</v>
      </c>
      <c r="D3498" t="s">
        <v>17</v>
      </c>
      <c r="E3498" t="s">
        <v>142</v>
      </c>
      <c r="F3498">
        <v>1</v>
      </c>
      <c r="G3498">
        <v>29.9</v>
      </c>
      <c r="H3498">
        <v>16.32</v>
      </c>
      <c r="I3498" t="s">
        <v>44</v>
      </c>
      <c r="J3498">
        <v>15</v>
      </c>
      <c r="K3498" t="s">
        <v>51</v>
      </c>
      <c r="L3498">
        <v>5</v>
      </c>
      <c r="M3498" t="str">
        <f>VLOOKUP(D3498,State_Lookup!$A$2:$B$28,2,FALSE)</f>
        <v>Rio de Janeiro</v>
      </c>
    </row>
    <row r="3499" spans="1:13" x14ac:dyDescent="0.45">
      <c r="A3499" t="s">
        <v>4105</v>
      </c>
      <c r="B3499" t="s">
        <v>4091</v>
      </c>
      <c r="C3499" t="s">
        <v>3983</v>
      </c>
      <c r="D3499" t="s">
        <v>21</v>
      </c>
      <c r="E3499" t="s">
        <v>43</v>
      </c>
      <c r="F3499">
        <v>4</v>
      </c>
      <c r="G3499">
        <v>132.6</v>
      </c>
      <c r="H3499">
        <v>76.44</v>
      </c>
      <c r="I3499" t="s">
        <v>44</v>
      </c>
      <c r="J3499">
        <v>9</v>
      </c>
      <c r="K3499" t="s">
        <v>51</v>
      </c>
      <c r="L3499">
        <v>3</v>
      </c>
      <c r="M3499" t="str">
        <f>VLOOKUP(D3499,State_Lookup!$A$2:$B$28,2,FALSE)</f>
        <v>Santa Catarina</v>
      </c>
    </row>
    <row r="3500" spans="1:13" x14ac:dyDescent="0.45">
      <c r="A3500" t="s">
        <v>4106</v>
      </c>
      <c r="B3500" t="s">
        <v>4091</v>
      </c>
      <c r="C3500" t="s">
        <v>3983</v>
      </c>
      <c r="D3500" t="s">
        <v>18</v>
      </c>
      <c r="E3500" t="s">
        <v>199</v>
      </c>
      <c r="F3500">
        <v>1</v>
      </c>
      <c r="G3500">
        <v>122.99</v>
      </c>
      <c r="H3500">
        <v>18.739999999999998</v>
      </c>
      <c r="I3500" t="s">
        <v>44</v>
      </c>
      <c r="K3500" t="s">
        <v>45</v>
      </c>
      <c r="L3500">
        <v>1</v>
      </c>
      <c r="M3500" t="str">
        <f>VLOOKUP(D3500,State_Lookup!$A$2:$B$28,2,FALSE)</f>
        <v>Minas Gerais</v>
      </c>
    </row>
    <row r="3501" spans="1:13" x14ac:dyDescent="0.45">
      <c r="A3501" t="s">
        <v>4107</v>
      </c>
      <c r="B3501" t="s">
        <v>4091</v>
      </c>
      <c r="C3501" t="s">
        <v>3983</v>
      </c>
      <c r="D3501" t="s">
        <v>19</v>
      </c>
      <c r="E3501" t="s">
        <v>157</v>
      </c>
      <c r="F3501">
        <v>1</v>
      </c>
      <c r="G3501">
        <v>55</v>
      </c>
      <c r="H3501">
        <v>18.27</v>
      </c>
      <c r="I3501" t="s">
        <v>44</v>
      </c>
      <c r="J3501">
        <v>7</v>
      </c>
      <c r="K3501" t="s">
        <v>51</v>
      </c>
      <c r="L3501">
        <v>1</v>
      </c>
      <c r="M3501" t="str">
        <f>VLOOKUP(D3501,State_Lookup!$A$2:$B$28,2,FALSE)</f>
        <v>Rio Grande do Sul</v>
      </c>
    </row>
    <row r="3502" spans="1:13" x14ac:dyDescent="0.45">
      <c r="A3502" t="s">
        <v>4108</v>
      </c>
      <c r="B3502" t="s">
        <v>4091</v>
      </c>
      <c r="C3502" t="s">
        <v>3983</v>
      </c>
      <c r="D3502" t="s">
        <v>16</v>
      </c>
      <c r="E3502" t="s">
        <v>79</v>
      </c>
      <c r="F3502">
        <v>1</v>
      </c>
      <c r="G3502">
        <v>119.9</v>
      </c>
      <c r="H3502">
        <v>18.43</v>
      </c>
      <c r="I3502" t="s">
        <v>44</v>
      </c>
      <c r="J3502">
        <v>8</v>
      </c>
      <c r="K3502" t="s">
        <v>51</v>
      </c>
      <c r="L3502">
        <v>5</v>
      </c>
      <c r="M3502" t="str">
        <f>VLOOKUP(D3502,State_Lookup!$A$2:$B$28,2,FALSE)</f>
        <v>Sao Paulo</v>
      </c>
    </row>
    <row r="3503" spans="1:13" x14ac:dyDescent="0.45">
      <c r="A3503" t="s">
        <v>4109</v>
      </c>
      <c r="B3503" t="s">
        <v>4091</v>
      </c>
      <c r="C3503" t="s">
        <v>3983</v>
      </c>
      <c r="D3503" t="s">
        <v>19</v>
      </c>
      <c r="E3503" t="s">
        <v>107</v>
      </c>
      <c r="F3503">
        <v>1</v>
      </c>
      <c r="G3503">
        <v>79.989999999999995</v>
      </c>
      <c r="H3503">
        <v>15.44</v>
      </c>
      <c r="I3503" t="s">
        <v>44</v>
      </c>
      <c r="J3503">
        <v>10</v>
      </c>
      <c r="K3503" t="s">
        <v>51</v>
      </c>
      <c r="L3503">
        <v>5</v>
      </c>
      <c r="M3503" t="str">
        <f>VLOOKUP(D3503,State_Lookup!$A$2:$B$28,2,FALSE)</f>
        <v>Rio Grande do Sul</v>
      </c>
    </row>
    <row r="3504" spans="1:13" x14ac:dyDescent="0.45">
      <c r="A3504" t="s">
        <v>4110</v>
      </c>
      <c r="B3504" t="s">
        <v>4091</v>
      </c>
      <c r="C3504" t="s">
        <v>3983</v>
      </c>
      <c r="D3504" t="s">
        <v>16</v>
      </c>
      <c r="E3504" t="s">
        <v>148</v>
      </c>
      <c r="F3504">
        <v>1</v>
      </c>
      <c r="G3504">
        <v>49.9</v>
      </c>
      <c r="H3504">
        <v>11.62</v>
      </c>
      <c r="I3504" t="s">
        <v>44</v>
      </c>
      <c r="J3504">
        <v>6</v>
      </c>
      <c r="K3504" t="s">
        <v>51</v>
      </c>
      <c r="L3504">
        <v>5</v>
      </c>
      <c r="M3504" t="str">
        <f>VLOOKUP(D3504,State_Lookup!$A$2:$B$28,2,FALSE)</f>
        <v>Sao Paulo</v>
      </c>
    </row>
    <row r="3505" spans="1:13" x14ac:dyDescent="0.45">
      <c r="A3505" t="s">
        <v>4111</v>
      </c>
      <c r="B3505" t="s">
        <v>4091</v>
      </c>
      <c r="C3505" t="s">
        <v>3983</v>
      </c>
      <c r="D3505" t="s">
        <v>16</v>
      </c>
      <c r="E3505" t="s">
        <v>79</v>
      </c>
      <c r="F3505">
        <v>1</v>
      </c>
      <c r="G3505">
        <v>88</v>
      </c>
      <c r="H3505">
        <v>14.71</v>
      </c>
      <c r="I3505" t="s">
        <v>44</v>
      </c>
      <c r="J3505">
        <v>7</v>
      </c>
      <c r="K3505" t="s">
        <v>51</v>
      </c>
      <c r="L3505">
        <v>5</v>
      </c>
      <c r="M3505" t="str">
        <f>VLOOKUP(D3505,State_Lookup!$A$2:$B$28,2,FALSE)</f>
        <v>Sao Paulo</v>
      </c>
    </row>
    <row r="3506" spans="1:13" x14ac:dyDescent="0.45">
      <c r="A3506" t="s">
        <v>4112</v>
      </c>
      <c r="B3506" t="s">
        <v>4113</v>
      </c>
      <c r="C3506" t="s">
        <v>3983</v>
      </c>
      <c r="D3506" t="s">
        <v>63</v>
      </c>
      <c r="E3506" t="s">
        <v>61</v>
      </c>
      <c r="F3506">
        <v>1</v>
      </c>
      <c r="G3506">
        <v>129</v>
      </c>
      <c r="H3506">
        <v>19.59</v>
      </c>
      <c r="I3506" t="s">
        <v>50</v>
      </c>
      <c r="J3506">
        <v>11</v>
      </c>
      <c r="K3506" t="s">
        <v>51</v>
      </c>
      <c r="L3506">
        <v>5</v>
      </c>
      <c r="M3506" t="str">
        <f>VLOOKUP(D3506,State_Lookup!$A$2:$B$28,2,FALSE)</f>
        <v>Pernambuco</v>
      </c>
    </row>
    <row r="3507" spans="1:13" x14ac:dyDescent="0.45">
      <c r="A3507" t="s">
        <v>4114</v>
      </c>
      <c r="B3507" t="s">
        <v>4113</v>
      </c>
      <c r="C3507" t="s">
        <v>3983</v>
      </c>
      <c r="D3507" t="s">
        <v>16</v>
      </c>
      <c r="E3507" t="s">
        <v>142</v>
      </c>
      <c r="F3507">
        <v>2</v>
      </c>
      <c r="G3507">
        <v>69.8</v>
      </c>
      <c r="H3507">
        <v>34.520000000000003</v>
      </c>
      <c r="I3507" t="s">
        <v>44</v>
      </c>
      <c r="J3507">
        <v>7</v>
      </c>
      <c r="K3507" t="s">
        <v>51</v>
      </c>
      <c r="L3507">
        <v>5</v>
      </c>
      <c r="M3507" t="str">
        <f>VLOOKUP(D3507,State_Lookup!$A$2:$B$28,2,FALSE)</f>
        <v>Sao Paulo</v>
      </c>
    </row>
    <row r="3508" spans="1:13" x14ac:dyDescent="0.45">
      <c r="A3508" t="s">
        <v>4115</v>
      </c>
      <c r="B3508" t="s">
        <v>4113</v>
      </c>
      <c r="C3508" t="s">
        <v>3983</v>
      </c>
      <c r="D3508" t="s">
        <v>16</v>
      </c>
      <c r="E3508" t="s">
        <v>43</v>
      </c>
      <c r="F3508">
        <v>1</v>
      </c>
      <c r="G3508">
        <v>129.05000000000001</v>
      </c>
      <c r="H3508">
        <v>19.87</v>
      </c>
      <c r="I3508" t="s">
        <v>44</v>
      </c>
      <c r="J3508">
        <v>6</v>
      </c>
      <c r="K3508" t="s">
        <v>51</v>
      </c>
      <c r="L3508">
        <v>4</v>
      </c>
      <c r="M3508" t="str">
        <f>VLOOKUP(D3508,State_Lookup!$A$2:$B$28,2,FALSE)</f>
        <v>Sao Paulo</v>
      </c>
    </row>
    <row r="3509" spans="1:13" x14ac:dyDescent="0.45">
      <c r="A3509" t="s">
        <v>4116</v>
      </c>
      <c r="B3509" t="s">
        <v>4113</v>
      </c>
      <c r="C3509" t="s">
        <v>3983</v>
      </c>
      <c r="D3509" t="s">
        <v>16</v>
      </c>
      <c r="E3509" t="s">
        <v>100</v>
      </c>
      <c r="F3509">
        <v>2</v>
      </c>
      <c r="G3509">
        <v>59.68</v>
      </c>
      <c r="H3509">
        <v>28.86</v>
      </c>
      <c r="I3509" t="s">
        <v>50</v>
      </c>
      <c r="J3509">
        <v>6</v>
      </c>
      <c r="K3509" t="s">
        <v>51</v>
      </c>
      <c r="L3509">
        <v>5</v>
      </c>
      <c r="M3509" t="str">
        <f>VLOOKUP(D3509,State_Lookup!$A$2:$B$28,2,FALSE)</f>
        <v>Sao Paulo</v>
      </c>
    </row>
    <row r="3510" spans="1:13" x14ac:dyDescent="0.45">
      <c r="A3510" t="s">
        <v>4117</v>
      </c>
      <c r="B3510" t="s">
        <v>4113</v>
      </c>
      <c r="C3510" t="s">
        <v>3983</v>
      </c>
      <c r="D3510" t="s">
        <v>22</v>
      </c>
      <c r="E3510" t="s">
        <v>157</v>
      </c>
      <c r="F3510">
        <v>1</v>
      </c>
      <c r="G3510">
        <v>50.99</v>
      </c>
      <c r="H3510">
        <v>22.07</v>
      </c>
      <c r="I3510" t="s">
        <v>44</v>
      </c>
      <c r="J3510">
        <v>27</v>
      </c>
      <c r="K3510" t="s">
        <v>51</v>
      </c>
      <c r="L3510">
        <v>5</v>
      </c>
      <c r="M3510" t="str">
        <f>VLOOKUP(D3510,State_Lookup!$A$2:$B$28,2,FALSE)</f>
        <v>Bahia</v>
      </c>
    </row>
    <row r="3511" spans="1:13" x14ac:dyDescent="0.45">
      <c r="A3511" t="s">
        <v>4118</v>
      </c>
      <c r="B3511" t="s">
        <v>4113</v>
      </c>
      <c r="C3511" t="s">
        <v>3983</v>
      </c>
      <c r="D3511" t="s">
        <v>25</v>
      </c>
      <c r="E3511" t="s">
        <v>107</v>
      </c>
      <c r="F3511">
        <v>1</v>
      </c>
      <c r="G3511">
        <v>117.3</v>
      </c>
      <c r="H3511">
        <v>21.73</v>
      </c>
      <c r="I3511" t="s">
        <v>44</v>
      </c>
      <c r="J3511">
        <v>12</v>
      </c>
      <c r="K3511" t="s">
        <v>51</v>
      </c>
      <c r="L3511">
        <v>5</v>
      </c>
      <c r="M3511" t="str">
        <f>VLOOKUP(D3511,State_Lookup!$A$2:$B$28,2,FALSE)</f>
        <v>Goias</v>
      </c>
    </row>
    <row r="3512" spans="1:13" x14ac:dyDescent="0.45">
      <c r="A3512" t="s">
        <v>4119</v>
      </c>
      <c r="B3512" t="s">
        <v>4113</v>
      </c>
      <c r="C3512" t="s">
        <v>3983</v>
      </c>
      <c r="D3512" t="s">
        <v>16</v>
      </c>
      <c r="E3512" t="s">
        <v>110</v>
      </c>
      <c r="F3512">
        <v>1</v>
      </c>
      <c r="G3512">
        <v>179.9</v>
      </c>
      <c r="H3512">
        <v>18.170000000000002</v>
      </c>
      <c r="I3512" t="s">
        <v>50</v>
      </c>
      <c r="J3512">
        <v>6</v>
      </c>
      <c r="K3512" t="s">
        <v>51</v>
      </c>
      <c r="L3512">
        <v>5</v>
      </c>
      <c r="M3512" t="str">
        <f>VLOOKUP(D3512,State_Lookup!$A$2:$B$28,2,FALSE)</f>
        <v>Sao Paulo</v>
      </c>
    </row>
    <row r="3513" spans="1:13" x14ac:dyDescent="0.45">
      <c r="A3513" t="s">
        <v>4120</v>
      </c>
      <c r="B3513" t="s">
        <v>4113</v>
      </c>
      <c r="C3513" t="s">
        <v>3983</v>
      </c>
      <c r="D3513" t="s">
        <v>17</v>
      </c>
      <c r="E3513" t="s">
        <v>199</v>
      </c>
      <c r="F3513">
        <v>1</v>
      </c>
      <c r="G3513">
        <v>99.9</v>
      </c>
      <c r="H3513">
        <v>17.41</v>
      </c>
      <c r="I3513" t="s">
        <v>108</v>
      </c>
      <c r="J3513">
        <v>27</v>
      </c>
      <c r="K3513" t="s">
        <v>51</v>
      </c>
      <c r="L3513">
        <v>5</v>
      </c>
      <c r="M3513" t="str">
        <f>VLOOKUP(D3513,State_Lookup!$A$2:$B$28,2,FALSE)</f>
        <v>Rio de Janeiro</v>
      </c>
    </row>
    <row r="3514" spans="1:13" x14ac:dyDescent="0.45">
      <c r="A3514" t="s">
        <v>4121</v>
      </c>
      <c r="B3514" t="s">
        <v>4113</v>
      </c>
      <c r="C3514" t="s">
        <v>3983</v>
      </c>
      <c r="D3514" t="s">
        <v>24</v>
      </c>
      <c r="E3514" t="s">
        <v>1935</v>
      </c>
      <c r="F3514">
        <v>1</v>
      </c>
      <c r="G3514">
        <v>39.9</v>
      </c>
      <c r="H3514">
        <v>15.23</v>
      </c>
      <c r="I3514" t="s">
        <v>44</v>
      </c>
      <c r="J3514">
        <v>11</v>
      </c>
      <c r="K3514" t="s">
        <v>51</v>
      </c>
      <c r="L3514">
        <v>4</v>
      </c>
      <c r="M3514" t="str">
        <f>VLOOKUP(D3514,State_Lookup!$A$2:$B$28,2,FALSE)</f>
        <v>Distrito Federal</v>
      </c>
    </row>
    <row r="3515" spans="1:13" x14ac:dyDescent="0.45">
      <c r="A3515" t="s">
        <v>4122</v>
      </c>
      <c r="B3515" t="s">
        <v>4113</v>
      </c>
      <c r="C3515" t="s">
        <v>3983</v>
      </c>
      <c r="D3515" t="s">
        <v>16</v>
      </c>
      <c r="E3515" t="s">
        <v>49</v>
      </c>
      <c r="F3515">
        <v>1</v>
      </c>
      <c r="G3515">
        <v>16</v>
      </c>
      <c r="H3515">
        <v>12.79</v>
      </c>
      <c r="I3515" t="s">
        <v>50</v>
      </c>
      <c r="J3515">
        <v>11</v>
      </c>
      <c r="K3515" t="s">
        <v>51</v>
      </c>
      <c r="L3515">
        <v>4</v>
      </c>
      <c r="M3515" t="str">
        <f>VLOOKUP(D3515,State_Lookup!$A$2:$B$28,2,FALSE)</f>
        <v>Sao Paulo</v>
      </c>
    </row>
    <row r="3516" spans="1:13" x14ac:dyDescent="0.45">
      <c r="A3516" t="s">
        <v>4123</v>
      </c>
      <c r="B3516" t="s">
        <v>4113</v>
      </c>
      <c r="C3516" t="s">
        <v>3983</v>
      </c>
      <c r="D3516" t="s">
        <v>25</v>
      </c>
      <c r="E3516" t="s">
        <v>79</v>
      </c>
      <c r="F3516">
        <v>1</v>
      </c>
      <c r="G3516">
        <v>330</v>
      </c>
      <c r="H3516">
        <v>18.77</v>
      </c>
      <c r="I3516" t="s">
        <v>44</v>
      </c>
      <c r="J3516">
        <v>25</v>
      </c>
      <c r="K3516" t="s">
        <v>51</v>
      </c>
      <c r="L3516">
        <v>4</v>
      </c>
      <c r="M3516" t="str">
        <f>VLOOKUP(D3516,State_Lookup!$A$2:$B$28,2,FALSE)</f>
        <v>Goias</v>
      </c>
    </row>
    <row r="3517" spans="1:13" x14ac:dyDescent="0.45">
      <c r="A3517" t="s">
        <v>4124</v>
      </c>
      <c r="B3517" t="s">
        <v>4113</v>
      </c>
      <c r="C3517" t="s">
        <v>3983</v>
      </c>
      <c r="D3517" t="s">
        <v>16</v>
      </c>
      <c r="E3517" t="s">
        <v>3816</v>
      </c>
      <c r="F3517">
        <v>1</v>
      </c>
      <c r="G3517">
        <v>17.100000000000001</v>
      </c>
      <c r="H3517">
        <v>12.79</v>
      </c>
      <c r="I3517" t="s">
        <v>44</v>
      </c>
      <c r="J3517">
        <v>7</v>
      </c>
      <c r="K3517" t="s">
        <v>51</v>
      </c>
      <c r="L3517">
        <v>5</v>
      </c>
      <c r="M3517" t="str">
        <f>VLOOKUP(D3517,State_Lookup!$A$2:$B$28,2,FALSE)</f>
        <v>Sao Paulo</v>
      </c>
    </row>
    <row r="3518" spans="1:13" x14ac:dyDescent="0.45">
      <c r="A3518" t="s">
        <v>4125</v>
      </c>
      <c r="B3518" t="s">
        <v>4113</v>
      </c>
      <c r="C3518" t="s">
        <v>3983</v>
      </c>
      <c r="D3518" t="s">
        <v>16</v>
      </c>
      <c r="E3518" t="s">
        <v>53</v>
      </c>
      <c r="F3518">
        <v>1</v>
      </c>
      <c r="G3518">
        <v>42.9</v>
      </c>
      <c r="H3518">
        <v>9.44</v>
      </c>
      <c r="I3518" t="s">
        <v>44</v>
      </c>
      <c r="J3518">
        <v>35</v>
      </c>
      <c r="K3518" t="s">
        <v>143</v>
      </c>
      <c r="L3518">
        <v>3</v>
      </c>
      <c r="M3518" t="str">
        <f>VLOOKUP(D3518,State_Lookup!$A$2:$B$28,2,FALSE)</f>
        <v>Sao Paulo</v>
      </c>
    </row>
    <row r="3519" spans="1:13" x14ac:dyDescent="0.45">
      <c r="A3519" t="s">
        <v>4126</v>
      </c>
      <c r="B3519" t="s">
        <v>4113</v>
      </c>
      <c r="C3519" t="s">
        <v>3983</v>
      </c>
      <c r="D3519" t="s">
        <v>18</v>
      </c>
      <c r="E3519" t="s">
        <v>64</v>
      </c>
      <c r="F3519">
        <v>1</v>
      </c>
      <c r="G3519">
        <v>117.7</v>
      </c>
      <c r="H3519">
        <v>18.7</v>
      </c>
      <c r="I3519" t="s">
        <v>44</v>
      </c>
      <c r="J3519">
        <v>14</v>
      </c>
      <c r="K3519" t="s">
        <v>51</v>
      </c>
      <c r="L3519">
        <v>4</v>
      </c>
      <c r="M3519" t="str">
        <f>VLOOKUP(D3519,State_Lookup!$A$2:$B$28,2,FALSE)</f>
        <v>Minas Gerais</v>
      </c>
    </row>
    <row r="3520" spans="1:13" x14ac:dyDescent="0.45">
      <c r="A3520" t="s">
        <v>4127</v>
      </c>
      <c r="B3520" t="s">
        <v>4113</v>
      </c>
      <c r="C3520" t="s">
        <v>3983</v>
      </c>
      <c r="D3520" t="s">
        <v>672</v>
      </c>
      <c r="E3520" t="s">
        <v>66</v>
      </c>
      <c r="F3520">
        <v>1</v>
      </c>
      <c r="G3520">
        <v>39.99</v>
      </c>
      <c r="H3520">
        <v>22.85</v>
      </c>
      <c r="I3520" t="s">
        <v>44</v>
      </c>
      <c r="J3520">
        <v>25</v>
      </c>
      <c r="K3520" t="s">
        <v>51</v>
      </c>
      <c r="L3520">
        <v>4</v>
      </c>
      <c r="M3520" t="str">
        <f>VLOOKUP(D3520,State_Lookup!$A$2:$B$28,2,FALSE)</f>
        <v>Paraiba</v>
      </c>
    </row>
    <row r="3521" spans="1:13" x14ac:dyDescent="0.45">
      <c r="A3521" t="s">
        <v>4128</v>
      </c>
      <c r="B3521" t="s">
        <v>4113</v>
      </c>
      <c r="C3521" t="s">
        <v>3983</v>
      </c>
      <c r="D3521" t="s">
        <v>17</v>
      </c>
      <c r="E3521" t="s">
        <v>110</v>
      </c>
      <c r="F3521">
        <v>1</v>
      </c>
      <c r="G3521">
        <v>49.9</v>
      </c>
      <c r="H3521">
        <v>19.32</v>
      </c>
      <c r="I3521" t="s">
        <v>50</v>
      </c>
      <c r="J3521">
        <v>14</v>
      </c>
      <c r="K3521" t="s">
        <v>51</v>
      </c>
      <c r="L3521">
        <v>5</v>
      </c>
      <c r="M3521" t="str">
        <f>VLOOKUP(D3521,State_Lookup!$A$2:$B$28,2,FALSE)</f>
        <v>Rio de Janeiro</v>
      </c>
    </row>
    <row r="3522" spans="1:13" x14ac:dyDescent="0.45">
      <c r="A3522" t="s">
        <v>4129</v>
      </c>
      <c r="B3522" t="s">
        <v>4130</v>
      </c>
      <c r="C3522" t="s">
        <v>3983</v>
      </c>
      <c r="D3522" t="s">
        <v>17</v>
      </c>
      <c r="E3522" t="s">
        <v>148</v>
      </c>
      <c r="F3522">
        <v>1</v>
      </c>
      <c r="G3522">
        <v>133.05000000000001</v>
      </c>
      <c r="H3522">
        <v>15.81</v>
      </c>
      <c r="I3522" t="s">
        <v>44</v>
      </c>
      <c r="J3522">
        <v>19</v>
      </c>
      <c r="K3522" t="s">
        <v>51</v>
      </c>
      <c r="L3522">
        <v>4</v>
      </c>
      <c r="M3522" t="str">
        <f>VLOOKUP(D3522,State_Lookup!$A$2:$B$28,2,FALSE)</f>
        <v>Rio de Janeiro</v>
      </c>
    </row>
    <row r="3523" spans="1:13" x14ac:dyDescent="0.45">
      <c r="A3523" t="s">
        <v>4131</v>
      </c>
      <c r="B3523" t="s">
        <v>4130</v>
      </c>
      <c r="C3523" t="s">
        <v>3983</v>
      </c>
      <c r="D3523" t="s">
        <v>16</v>
      </c>
      <c r="E3523" t="s">
        <v>192</v>
      </c>
      <c r="F3523">
        <v>1</v>
      </c>
      <c r="G3523">
        <v>197</v>
      </c>
      <c r="H3523">
        <v>19.260000000000002</v>
      </c>
      <c r="I3523" t="s">
        <v>44</v>
      </c>
      <c r="J3523">
        <v>12</v>
      </c>
      <c r="K3523" t="s">
        <v>51</v>
      </c>
      <c r="L3523">
        <v>5</v>
      </c>
      <c r="M3523" t="str">
        <f>VLOOKUP(D3523,State_Lookup!$A$2:$B$28,2,FALSE)</f>
        <v>Sao Paulo</v>
      </c>
    </row>
    <row r="3524" spans="1:13" x14ac:dyDescent="0.45">
      <c r="A3524" t="s">
        <v>4132</v>
      </c>
      <c r="B3524" t="s">
        <v>4130</v>
      </c>
      <c r="C3524" t="s">
        <v>3983</v>
      </c>
      <c r="D3524" t="s">
        <v>19</v>
      </c>
      <c r="E3524" t="s">
        <v>148</v>
      </c>
      <c r="F3524">
        <v>1</v>
      </c>
      <c r="G3524">
        <v>148</v>
      </c>
      <c r="H3524">
        <v>17.59</v>
      </c>
      <c r="I3524" t="s">
        <v>50</v>
      </c>
      <c r="J3524">
        <v>14</v>
      </c>
      <c r="K3524" t="s">
        <v>51</v>
      </c>
      <c r="L3524">
        <v>5</v>
      </c>
      <c r="M3524" t="str">
        <f>VLOOKUP(D3524,State_Lookup!$A$2:$B$28,2,FALSE)</f>
        <v>Rio Grande do Sul</v>
      </c>
    </row>
    <row r="3525" spans="1:13" x14ac:dyDescent="0.45">
      <c r="A3525" t="s">
        <v>4133</v>
      </c>
      <c r="B3525" t="s">
        <v>4130</v>
      </c>
      <c r="C3525" t="s">
        <v>3983</v>
      </c>
      <c r="D3525" t="s">
        <v>19</v>
      </c>
      <c r="E3525" t="s">
        <v>53</v>
      </c>
      <c r="F3525">
        <v>1</v>
      </c>
      <c r="G3525">
        <v>58.5</v>
      </c>
      <c r="H3525">
        <v>22.99</v>
      </c>
      <c r="I3525" t="s">
        <v>133</v>
      </c>
      <c r="J3525">
        <v>19</v>
      </c>
      <c r="K3525" t="s">
        <v>51</v>
      </c>
      <c r="L3525">
        <v>5</v>
      </c>
      <c r="M3525" t="str">
        <f>VLOOKUP(D3525,State_Lookup!$A$2:$B$28,2,FALSE)</f>
        <v>Rio Grande do Sul</v>
      </c>
    </row>
    <row r="3526" spans="1:13" x14ac:dyDescent="0.45">
      <c r="A3526" t="s">
        <v>4134</v>
      </c>
      <c r="B3526" t="s">
        <v>4135</v>
      </c>
      <c r="C3526" t="s">
        <v>3983</v>
      </c>
      <c r="D3526" t="s">
        <v>18</v>
      </c>
      <c r="E3526" t="s">
        <v>220</v>
      </c>
      <c r="F3526">
        <v>1</v>
      </c>
      <c r="G3526">
        <v>169.99</v>
      </c>
      <c r="H3526">
        <v>62.83</v>
      </c>
      <c r="I3526" t="s">
        <v>50</v>
      </c>
      <c r="J3526">
        <v>31</v>
      </c>
      <c r="K3526" t="s">
        <v>51</v>
      </c>
      <c r="L3526">
        <v>3</v>
      </c>
      <c r="M3526" t="str">
        <f>VLOOKUP(D3526,State_Lookup!$A$2:$B$28,2,FALSE)</f>
        <v>Minas Gerais</v>
      </c>
    </row>
    <row r="3527" spans="1:13" x14ac:dyDescent="0.45">
      <c r="A3527" t="s">
        <v>4136</v>
      </c>
      <c r="B3527" t="s">
        <v>4135</v>
      </c>
      <c r="C3527" t="s">
        <v>3983</v>
      </c>
      <c r="D3527" t="s">
        <v>22</v>
      </c>
      <c r="E3527" t="s">
        <v>49</v>
      </c>
      <c r="F3527">
        <v>1</v>
      </c>
      <c r="G3527">
        <v>122.99</v>
      </c>
      <c r="H3527">
        <v>22.57</v>
      </c>
      <c r="I3527" t="s">
        <v>44</v>
      </c>
      <c r="J3527">
        <v>26</v>
      </c>
      <c r="K3527" t="s">
        <v>51</v>
      </c>
      <c r="L3527">
        <v>3</v>
      </c>
      <c r="M3527" t="str">
        <f>VLOOKUP(D3527,State_Lookup!$A$2:$B$28,2,FALSE)</f>
        <v>Bahia</v>
      </c>
    </row>
    <row r="3528" spans="1:13" x14ac:dyDescent="0.45">
      <c r="A3528" t="s">
        <v>4137</v>
      </c>
      <c r="B3528" t="s">
        <v>4135</v>
      </c>
      <c r="C3528" t="s">
        <v>3983</v>
      </c>
      <c r="D3528" t="s">
        <v>16</v>
      </c>
      <c r="E3528" t="s">
        <v>142</v>
      </c>
      <c r="F3528">
        <v>1</v>
      </c>
      <c r="G3528">
        <v>99.5</v>
      </c>
      <c r="H3528">
        <v>14.06</v>
      </c>
      <c r="I3528" t="s">
        <v>44</v>
      </c>
      <c r="J3528">
        <v>6</v>
      </c>
      <c r="K3528" t="s">
        <v>51</v>
      </c>
      <c r="L3528">
        <v>5</v>
      </c>
      <c r="M3528" t="str">
        <f>VLOOKUP(D3528,State_Lookup!$A$2:$B$28,2,FALSE)</f>
        <v>Sao Paulo</v>
      </c>
    </row>
    <row r="3529" spans="1:13" x14ac:dyDescent="0.45">
      <c r="A3529" t="s">
        <v>4138</v>
      </c>
      <c r="B3529" t="s">
        <v>4135</v>
      </c>
      <c r="C3529" t="s">
        <v>3983</v>
      </c>
      <c r="D3529" t="s">
        <v>17</v>
      </c>
      <c r="E3529" t="s">
        <v>69</v>
      </c>
      <c r="F3529">
        <v>1</v>
      </c>
      <c r="G3529">
        <v>53.9</v>
      </c>
      <c r="H3529">
        <v>21.35</v>
      </c>
      <c r="I3529" t="s">
        <v>50</v>
      </c>
      <c r="J3529">
        <v>20</v>
      </c>
      <c r="K3529" t="s">
        <v>51</v>
      </c>
      <c r="L3529">
        <v>5</v>
      </c>
      <c r="M3529" t="str">
        <f>VLOOKUP(D3529,State_Lookup!$A$2:$B$28,2,FALSE)</f>
        <v>Rio de Janeiro</v>
      </c>
    </row>
    <row r="3530" spans="1:13" x14ac:dyDescent="0.45">
      <c r="A3530" t="s">
        <v>4139</v>
      </c>
      <c r="B3530" t="s">
        <v>4140</v>
      </c>
      <c r="C3530" t="s">
        <v>3983</v>
      </c>
      <c r="D3530" t="s">
        <v>17</v>
      </c>
      <c r="E3530" t="s">
        <v>66</v>
      </c>
      <c r="F3530">
        <v>1</v>
      </c>
      <c r="G3530">
        <v>29.99</v>
      </c>
      <c r="H3530">
        <v>15.23</v>
      </c>
      <c r="I3530" t="s">
        <v>133</v>
      </c>
      <c r="J3530">
        <v>5</v>
      </c>
      <c r="K3530" t="s">
        <v>51</v>
      </c>
      <c r="L3530">
        <v>5</v>
      </c>
      <c r="M3530" t="str">
        <f>VLOOKUP(D3530,State_Lookup!$A$2:$B$28,2,FALSE)</f>
        <v>Rio de Janeiro</v>
      </c>
    </row>
    <row r="3531" spans="1:13" x14ac:dyDescent="0.45">
      <c r="A3531" t="s">
        <v>4141</v>
      </c>
      <c r="B3531" t="s">
        <v>4140</v>
      </c>
      <c r="C3531" t="s">
        <v>3983</v>
      </c>
      <c r="D3531" t="s">
        <v>16</v>
      </c>
      <c r="E3531" t="s">
        <v>125</v>
      </c>
      <c r="F3531">
        <v>1</v>
      </c>
      <c r="G3531">
        <v>12.9</v>
      </c>
      <c r="H3531">
        <v>7.39</v>
      </c>
      <c r="I3531" t="s">
        <v>44</v>
      </c>
      <c r="J3531">
        <v>2</v>
      </c>
      <c r="K3531" t="s">
        <v>51</v>
      </c>
      <c r="L3531">
        <v>3</v>
      </c>
      <c r="M3531" t="str">
        <f>VLOOKUP(D3531,State_Lookup!$A$2:$B$28,2,FALSE)</f>
        <v>Sao Paulo</v>
      </c>
    </row>
    <row r="3532" spans="1:13" x14ac:dyDescent="0.45">
      <c r="A3532" t="s">
        <v>4142</v>
      </c>
      <c r="B3532" t="s">
        <v>4140</v>
      </c>
      <c r="C3532" t="s">
        <v>3983</v>
      </c>
      <c r="D3532" t="s">
        <v>16</v>
      </c>
      <c r="E3532" t="s">
        <v>76</v>
      </c>
      <c r="F3532">
        <v>1</v>
      </c>
      <c r="G3532">
        <v>120</v>
      </c>
      <c r="H3532">
        <v>34.380000000000003</v>
      </c>
      <c r="I3532" t="s">
        <v>44</v>
      </c>
      <c r="J3532">
        <v>14</v>
      </c>
      <c r="K3532" t="s">
        <v>51</v>
      </c>
      <c r="L3532">
        <v>5</v>
      </c>
      <c r="M3532" t="str">
        <f>VLOOKUP(D3532,State_Lookup!$A$2:$B$28,2,FALSE)</f>
        <v>Sao Paulo</v>
      </c>
    </row>
    <row r="3533" spans="1:13" x14ac:dyDescent="0.45">
      <c r="A3533" t="s">
        <v>4143</v>
      </c>
      <c r="B3533" t="s">
        <v>4140</v>
      </c>
      <c r="C3533" t="s">
        <v>3983</v>
      </c>
      <c r="D3533" t="s">
        <v>16</v>
      </c>
      <c r="E3533" t="s">
        <v>244</v>
      </c>
      <c r="F3533">
        <v>1</v>
      </c>
      <c r="G3533">
        <v>129</v>
      </c>
      <c r="H3533">
        <v>14.99</v>
      </c>
      <c r="I3533" t="s">
        <v>44</v>
      </c>
      <c r="J3533">
        <v>9</v>
      </c>
      <c r="K3533" t="s">
        <v>51</v>
      </c>
      <c r="L3533">
        <v>5</v>
      </c>
      <c r="M3533" t="str">
        <f>VLOOKUP(D3533,State_Lookup!$A$2:$B$28,2,FALSE)</f>
        <v>Sao Paulo</v>
      </c>
    </row>
    <row r="3534" spans="1:13" x14ac:dyDescent="0.45">
      <c r="A3534" t="s">
        <v>4144</v>
      </c>
      <c r="B3534" t="s">
        <v>4140</v>
      </c>
      <c r="C3534" t="s">
        <v>3983</v>
      </c>
      <c r="D3534" t="s">
        <v>16</v>
      </c>
      <c r="E3534" t="s">
        <v>110</v>
      </c>
      <c r="F3534">
        <v>1</v>
      </c>
      <c r="G3534">
        <v>21.99</v>
      </c>
      <c r="H3534">
        <v>12.79</v>
      </c>
      <c r="I3534" t="s">
        <v>44</v>
      </c>
      <c r="J3534">
        <v>10</v>
      </c>
      <c r="K3534" t="s">
        <v>51</v>
      </c>
      <c r="L3534">
        <v>3</v>
      </c>
      <c r="M3534" t="str">
        <f>VLOOKUP(D3534,State_Lookup!$A$2:$B$28,2,FALSE)</f>
        <v>Sao Paulo</v>
      </c>
    </row>
    <row r="3535" spans="1:13" x14ac:dyDescent="0.45">
      <c r="A3535" t="s">
        <v>4145</v>
      </c>
      <c r="B3535" t="s">
        <v>4140</v>
      </c>
      <c r="C3535" t="s">
        <v>3983</v>
      </c>
      <c r="D3535" t="s">
        <v>16</v>
      </c>
      <c r="E3535" t="s">
        <v>79</v>
      </c>
      <c r="F3535">
        <v>1</v>
      </c>
      <c r="G3535">
        <v>53.99</v>
      </c>
      <c r="H3535">
        <v>7.39</v>
      </c>
      <c r="I3535" t="s">
        <v>44</v>
      </c>
      <c r="J3535">
        <v>4</v>
      </c>
      <c r="K3535" t="s">
        <v>51</v>
      </c>
      <c r="L3535">
        <v>5</v>
      </c>
      <c r="M3535" t="str">
        <f>VLOOKUP(D3535,State_Lookup!$A$2:$B$28,2,FALSE)</f>
        <v>Sao Paulo</v>
      </c>
    </row>
    <row r="3536" spans="1:13" x14ac:dyDescent="0.45">
      <c r="A3536" t="s">
        <v>4146</v>
      </c>
      <c r="B3536" t="s">
        <v>4140</v>
      </c>
      <c r="C3536" t="s">
        <v>3983</v>
      </c>
      <c r="D3536" t="s">
        <v>16</v>
      </c>
      <c r="E3536" t="s">
        <v>53</v>
      </c>
      <c r="F3536">
        <v>1</v>
      </c>
      <c r="G3536">
        <v>126.79</v>
      </c>
      <c r="H3536">
        <v>33.75</v>
      </c>
      <c r="I3536" t="s">
        <v>44</v>
      </c>
      <c r="J3536">
        <v>11</v>
      </c>
      <c r="K3536" t="s">
        <v>51</v>
      </c>
      <c r="L3536">
        <v>3</v>
      </c>
      <c r="M3536" t="str">
        <f>VLOOKUP(D3536,State_Lookup!$A$2:$B$28,2,FALSE)</f>
        <v>Sao Paulo</v>
      </c>
    </row>
    <row r="3537" spans="1:13" x14ac:dyDescent="0.45">
      <c r="A3537" t="s">
        <v>4147</v>
      </c>
      <c r="B3537" t="s">
        <v>4140</v>
      </c>
      <c r="C3537" t="s">
        <v>3983</v>
      </c>
      <c r="D3537" t="s">
        <v>16</v>
      </c>
      <c r="E3537" t="s">
        <v>110</v>
      </c>
      <c r="F3537">
        <v>1</v>
      </c>
      <c r="G3537">
        <v>199.9</v>
      </c>
      <c r="H3537">
        <v>14.87</v>
      </c>
      <c r="I3537" t="s">
        <v>44</v>
      </c>
      <c r="J3537">
        <v>3</v>
      </c>
      <c r="K3537" t="s">
        <v>51</v>
      </c>
      <c r="L3537">
        <v>5</v>
      </c>
      <c r="M3537" t="str">
        <f>VLOOKUP(D3537,State_Lookup!$A$2:$B$28,2,FALSE)</f>
        <v>Sao Paulo</v>
      </c>
    </row>
    <row r="3538" spans="1:13" x14ac:dyDescent="0.45">
      <c r="A3538" t="s">
        <v>4148</v>
      </c>
      <c r="B3538" t="s">
        <v>4140</v>
      </c>
      <c r="C3538" t="s">
        <v>3983</v>
      </c>
      <c r="D3538" t="s">
        <v>20</v>
      </c>
      <c r="E3538" t="s">
        <v>244</v>
      </c>
      <c r="F3538">
        <v>1</v>
      </c>
      <c r="G3538">
        <v>395.6</v>
      </c>
      <c r="H3538">
        <v>41.76</v>
      </c>
      <c r="I3538" t="s">
        <v>44</v>
      </c>
      <c r="J3538">
        <v>9</v>
      </c>
      <c r="K3538" t="s">
        <v>51</v>
      </c>
      <c r="L3538">
        <v>5</v>
      </c>
      <c r="M3538" t="str">
        <f>VLOOKUP(D3538,State_Lookup!$A$2:$B$28,2,FALSE)</f>
        <v>Parana</v>
      </c>
    </row>
    <row r="3539" spans="1:13" x14ac:dyDescent="0.45">
      <c r="A3539" t="s">
        <v>4149</v>
      </c>
      <c r="B3539" t="s">
        <v>4140</v>
      </c>
      <c r="C3539" t="s">
        <v>3983</v>
      </c>
      <c r="D3539" t="s">
        <v>18</v>
      </c>
      <c r="E3539" t="s">
        <v>43</v>
      </c>
      <c r="F3539">
        <v>1</v>
      </c>
      <c r="G3539">
        <v>84.65</v>
      </c>
      <c r="H3539">
        <v>7.78</v>
      </c>
      <c r="I3539" t="s">
        <v>44</v>
      </c>
      <c r="J3539">
        <v>4</v>
      </c>
      <c r="K3539" t="s">
        <v>51</v>
      </c>
      <c r="L3539">
        <v>5</v>
      </c>
      <c r="M3539" t="str">
        <f>VLOOKUP(D3539,State_Lookup!$A$2:$B$28,2,FALSE)</f>
        <v>Minas Gerais</v>
      </c>
    </row>
    <row r="3540" spans="1:13" x14ac:dyDescent="0.45">
      <c r="A3540" t="s">
        <v>4150</v>
      </c>
      <c r="B3540" t="s">
        <v>4140</v>
      </c>
      <c r="C3540" t="s">
        <v>3983</v>
      </c>
      <c r="D3540" t="s">
        <v>16</v>
      </c>
      <c r="E3540" t="s">
        <v>110</v>
      </c>
      <c r="F3540">
        <v>1</v>
      </c>
      <c r="G3540">
        <v>189.9</v>
      </c>
      <c r="H3540">
        <v>13.23</v>
      </c>
      <c r="I3540" t="s">
        <v>44</v>
      </c>
      <c r="J3540">
        <v>2</v>
      </c>
      <c r="K3540" t="s">
        <v>51</v>
      </c>
      <c r="L3540">
        <v>5</v>
      </c>
      <c r="M3540" t="str">
        <f>VLOOKUP(D3540,State_Lookup!$A$2:$B$28,2,FALSE)</f>
        <v>Sao Paulo</v>
      </c>
    </row>
    <row r="3541" spans="1:13" x14ac:dyDescent="0.45">
      <c r="A3541" t="s">
        <v>4151</v>
      </c>
      <c r="B3541" t="s">
        <v>4152</v>
      </c>
      <c r="C3541" t="s">
        <v>3983</v>
      </c>
      <c r="D3541" t="s">
        <v>16</v>
      </c>
      <c r="E3541" t="s">
        <v>107</v>
      </c>
      <c r="F3541">
        <v>1</v>
      </c>
      <c r="G3541">
        <v>19</v>
      </c>
      <c r="H3541">
        <v>7.39</v>
      </c>
      <c r="I3541" t="s">
        <v>44</v>
      </c>
      <c r="J3541">
        <v>2</v>
      </c>
      <c r="K3541" t="s">
        <v>51</v>
      </c>
      <c r="L3541">
        <v>5</v>
      </c>
      <c r="M3541" t="str">
        <f>VLOOKUP(D3541,State_Lookup!$A$2:$B$28,2,FALSE)</f>
        <v>Sao Paulo</v>
      </c>
    </row>
    <row r="3542" spans="1:13" x14ac:dyDescent="0.45">
      <c r="A3542" t="s">
        <v>4153</v>
      </c>
      <c r="B3542" t="s">
        <v>4152</v>
      </c>
      <c r="C3542" t="s">
        <v>3983</v>
      </c>
      <c r="D3542" t="s">
        <v>63</v>
      </c>
      <c r="E3542" t="s">
        <v>61</v>
      </c>
      <c r="F3542">
        <v>1</v>
      </c>
      <c r="G3542">
        <v>119</v>
      </c>
      <c r="H3542">
        <v>97.72</v>
      </c>
      <c r="I3542" t="s">
        <v>50</v>
      </c>
      <c r="J3542">
        <v>9</v>
      </c>
      <c r="K3542" t="s">
        <v>51</v>
      </c>
      <c r="L3542">
        <v>5</v>
      </c>
      <c r="M3542" t="str">
        <f>VLOOKUP(D3542,State_Lookup!$A$2:$B$28,2,FALSE)</f>
        <v>Pernambuco</v>
      </c>
    </row>
    <row r="3543" spans="1:13" x14ac:dyDescent="0.45">
      <c r="A3543" t="s">
        <v>4154</v>
      </c>
      <c r="B3543" t="s">
        <v>4152</v>
      </c>
      <c r="C3543" t="s">
        <v>3983</v>
      </c>
      <c r="D3543" t="s">
        <v>25</v>
      </c>
      <c r="E3543" t="s">
        <v>366</v>
      </c>
      <c r="F3543">
        <v>1</v>
      </c>
      <c r="G3543">
        <v>39</v>
      </c>
      <c r="H3543">
        <v>22.93</v>
      </c>
      <c r="I3543" t="s">
        <v>44</v>
      </c>
      <c r="J3543">
        <v>16</v>
      </c>
      <c r="K3543" t="s">
        <v>51</v>
      </c>
      <c r="L3543">
        <v>5</v>
      </c>
      <c r="M3543" t="str">
        <f>VLOOKUP(D3543,State_Lookup!$A$2:$B$28,2,FALSE)</f>
        <v>Goias</v>
      </c>
    </row>
    <row r="3544" spans="1:13" x14ac:dyDescent="0.45">
      <c r="A3544" t="s">
        <v>4155</v>
      </c>
      <c r="B3544" t="s">
        <v>4152</v>
      </c>
      <c r="C3544" t="s">
        <v>3983</v>
      </c>
      <c r="D3544" t="s">
        <v>16</v>
      </c>
      <c r="E3544" t="s">
        <v>61</v>
      </c>
      <c r="F3544">
        <v>1</v>
      </c>
      <c r="G3544">
        <v>129</v>
      </c>
      <c r="H3544">
        <v>15.78</v>
      </c>
      <c r="I3544" t="s">
        <v>50</v>
      </c>
      <c r="J3544">
        <v>7</v>
      </c>
      <c r="K3544" t="s">
        <v>51</v>
      </c>
      <c r="L3544">
        <v>4</v>
      </c>
      <c r="M3544" t="str">
        <f>VLOOKUP(D3544,State_Lookup!$A$2:$B$28,2,FALSE)</f>
        <v>Sao Paulo</v>
      </c>
    </row>
    <row r="3545" spans="1:13" x14ac:dyDescent="0.45">
      <c r="A3545" t="s">
        <v>4156</v>
      </c>
      <c r="B3545" t="s">
        <v>4152</v>
      </c>
      <c r="C3545" t="s">
        <v>3983</v>
      </c>
      <c r="D3545" t="s">
        <v>16</v>
      </c>
      <c r="E3545" t="s">
        <v>152</v>
      </c>
      <c r="F3545">
        <v>2</v>
      </c>
      <c r="G3545">
        <v>99.98</v>
      </c>
      <c r="H3545">
        <v>27.42</v>
      </c>
      <c r="I3545" t="s">
        <v>44</v>
      </c>
      <c r="J3545">
        <v>3</v>
      </c>
      <c r="K3545" t="s">
        <v>51</v>
      </c>
      <c r="L3545">
        <v>1</v>
      </c>
      <c r="M3545" t="str">
        <f>VLOOKUP(D3545,State_Lookup!$A$2:$B$28,2,FALSE)</f>
        <v>Sao Paulo</v>
      </c>
    </row>
    <row r="3546" spans="1:13" x14ac:dyDescent="0.45">
      <c r="A3546" t="s">
        <v>4157</v>
      </c>
      <c r="B3546" t="s">
        <v>4152</v>
      </c>
      <c r="C3546" t="s">
        <v>3983</v>
      </c>
      <c r="D3546" t="s">
        <v>16</v>
      </c>
      <c r="E3546" t="s">
        <v>260</v>
      </c>
      <c r="F3546">
        <v>1</v>
      </c>
      <c r="G3546">
        <v>56.97</v>
      </c>
      <c r="H3546">
        <v>12.8</v>
      </c>
      <c r="I3546" t="s">
        <v>44</v>
      </c>
      <c r="J3546">
        <v>7</v>
      </c>
      <c r="K3546" t="s">
        <v>51</v>
      </c>
      <c r="L3546">
        <v>5</v>
      </c>
      <c r="M3546" t="str">
        <f>VLOOKUP(D3546,State_Lookup!$A$2:$B$28,2,FALSE)</f>
        <v>Sao Paulo</v>
      </c>
    </row>
    <row r="3547" spans="1:13" x14ac:dyDescent="0.45">
      <c r="A3547" t="s">
        <v>4158</v>
      </c>
      <c r="B3547" t="s">
        <v>4152</v>
      </c>
      <c r="C3547" t="s">
        <v>3983</v>
      </c>
      <c r="D3547" t="s">
        <v>16</v>
      </c>
      <c r="E3547" t="s">
        <v>69</v>
      </c>
      <c r="F3547">
        <v>1</v>
      </c>
      <c r="G3547">
        <v>139.9</v>
      </c>
      <c r="H3547">
        <v>16.95</v>
      </c>
      <c r="I3547" t="s">
        <v>50</v>
      </c>
      <c r="J3547">
        <v>4</v>
      </c>
      <c r="K3547" t="s">
        <v>51</v>
      </c>
      <c r="L3547">
        <v>5</v>
      </c>
      <c r="M3547" t="str">
        <f>VLOOKUP(D3547,State_Lookup!$A$2:$B$28,2,FALSE)</f>
        <v>Sao Paulo</v>
      </c>
    </row>
    <row r="3548" spans="1:13" x14ac:dyDescent="0.45">
      <c r="A3548" t="s">
        <v>4159</v>
      </c>
      <c r="B3548" t="s">
        <v>4152</v>
      </c>
      <c r="C3548" t="s">
        <v>3983</v>
      </c>
      <c r="D3548" t="s">
        <v>63</v>
      </c>
      <c r="E3548" t="s">
        <v>53</v>
      </c>
      <c r="F3548">
        <v>1</v>
      </c>
      <c r="G3548">
        <v>89.99</v>
      </c>
      <c r="H3548">
        <v>37.32</v>
      </c>
      <c r="I3548" t="s">
        <v>44</v>
      </c>
      <c r="J3548">
        <v>23</v>
      </c>
      <c r="K3548" t="s">
        <v>51</v>
      </c>
      <c r="L3548">
        <v>4</v>
      </c>
      <c r="M3548" t="str">
        <f>VLOOKUP(D3548,State_Lookup!$A$2:$B$28,2,FALSE)</f>
        <v>Pernambuco</v>
      </c>
    </row>
    <row r="3549" spans="1:13" x14ac:dyDescent="0.45">
      <c r="A3549" t="s">
        <v>4160</v>
      </c>
      <c r="B3549" t="s">
        <v>4152</v>
      </c>
      <c r="C3549" t="s">
        <v>3983</v>
      </c>
      <c r="D3549" t="s">
        <v>16</v>
      </c>
      <c r="E3549" t="s">
        <v>125</v>
      </c>
      <c r="F3549">
        <v>1</v>
      </c>
      <c r="G3549">
        <v>13.65</v>
      </c>
      <c r="H3549">
        <v>7.39</v>
      </c>
      <c r="I3549" t="s">
        <v>50</v>
      </c>
      <c r="J3549">
        <v>11</v>
      </c>
      <c r="K3549" t="s">
        <v>51</v>
      </c>
      <c r="L3549">
        <v>3</v>
      </c>
      <c r="M3549" t="str">
        <f>VLOOKUP(D3549,State_Lookup!$A$2:$B$28,2,FALSE)</f>
        <v>Sao Paulo</v>
      </c>
    </row>
    <row r="3550" spans="1:13" x14ac:dyDescent="0.45">
      <c r="A3550" t="s">
        <v>4161</v>
      </c>
      <c r="B3550" t="s">
        <v>4152</v>
      </c>
      <c r="C3550" t="s">
        <v>3983</v>
      </c>
      <c r="D3550" t="s">
        <v>17</v>
      </c>
      <c r="E3550" t="s">
        <v>107</v>
      </c>
      <c r="F3550">
        <v>1</v>
      </c>
      <c r="G3550">
        <v>30</v>
      </c>
      <c r="H3550">
        <v>18.23</v>
      </c>
      <c r="I3550" t="s">
        <v>44</v>
      </c>
      <c r="J3550">
        <v>10</v>
      </c>
      <c r="K3550" t="s">
        <v>51</v>
      </c>
      <c r="L3550">
        <v>5</v>
      </c>
      <c r="M3550" t="str">
        <f>VLOOKUP(D3550,State_Lookup!$A$2:$B$28,2,FALSE)</f>
        <v>Rio de Janeiro</v>
      </c>
    </row>
    <row r="3551" spans="1:13" x14ac:dyDescent="0.45">
      <c r="A3551" t="s">
        <v>4162</v>
      </c>
      <c r="B3551" t="s">
        <v>4152</v>
      </c>
      <c r="C3551" t="s">
        <v>3983</v>
      </c>
      <c r="D3551" t="s">
        <v>16</v>
      </c>
      <c r="E3551" t="s">
        <v>192</v>
      </c>
      <c r="F3551">
        <v>3</v>
      </c>
      <c r="G3551">
        <v>258.79000000000002</v>
      </c>
      <c r="H3551">
        <v>59.57</v>
      </c>
      <c r="I3551" t="s">
        <v>50</v>
      </c>
      <c r="J3551">
        <v>3</v>
      </c>
      <c r="K3551" t="s">
        <v>51</v>
      </c>
      <c r="L3551">
        <v>5</v>
      </c>
      <c r="M3551" t="str">
        <f>VLOOKUP(D3551,State_Lookup!$A$2:$B$28,2,FALSE)</f>
        <v>Sao Paulo</v>
      </c>
    </row>
    <row r="3552" spans="1:13" x14ac:dyDescent="0.45">
      <c r="A3552" t="s">
        <v>4163</v>
      </c>
      <c r="B3552" t="s">
        <v>4152</v>
      </c>
      <c r="C3552" t="s">
        <v>3983</v>
      </c>
      <c r="D3552" t="s">
        <v>16</v>
      </c>
      <c r="E3552" t="s">
        <v>110</v>
      </c>
      <c r="F3552">
        <v>1</v>
      </c>
      <c r="G3552">
        <v>43.8</v>
      </c>
      <c r="H3552">
        <v>14.44</v>
      </c>
      <c r="I3552" t="s">
        <v>44</v>
      </c>
      <c r="J3552">
        <v>7</v>
      </c>
      <c r="K3552" t="s">
        <v>51</v>
      </c>
      <c r="L3552">
        <v>5</v>
      </c>
      <c r="M3552" t="str">
        <f>VLOOKUP(D3552,State_Lookup!$A$2:$B$28,2,FALSE)</f>
        <v>Sao Paulo</v>
      </c>
    </row>
    <row r="3553" spans="1:13" x14ac:dyDescent="0.45">
      <c r="A3553" t="s">
        <v>4164</v>
      </c>
      <c r="B3553" t="s">
        <v>4165</v>
      </c>
      <c r="C3553" t="s">
        <v>3983</v>
      </c>
      <c r="D3553" t="s">
        <v>18</v>
      </c>
      <c r="E3553" t="s">
        <v>61</v>
      </c>
      <c r="F3553">
        <v>1</v>
      </c>
      <c r="G3553">
        <v>24.99</v>
      </c>
      <c r="H3553">
        <v>18.23</v>
      </c>
      <c r="I3553" t="s">
        <v>44</v>
      </c>
      <c r="J3553">
        <v>8</v>
      </c>
      <c r="K3553" t="s">
        <v>51</v>
      </c>
      <c r="L3553">
        <v>5</v>
      </c>
      <c r="M3553" t="str">
        <f>VLOOKUP(D3553,State_Lookup!$A$2:$B$28,2,FALSE)</f>
        <v>Minas Gerais</v>
      </c>
    </row>
    <row r="3554" spans="1:13" x14ac:dyDescent="0.45">
      <c r="A3554" t="s">
        <v>4166</v>
      </c>
      <c r="B3554" t="s">
        <v>4165</v>
      </c>
      <c r="C3554" t="s">
        <v>3983</v>
      </c>
      <c r="D3554" t="s">
        <v>16</v>
      </c>
      <c r="E3554" t="s">
        <v>142</v>
      </c>
      <c r="F3554">
        <v>1</v>
      </c>
      <c r="G3554">
        <v>26</v>
      </c>
      <c r="H3554">
        <v>8.8800000000000008</v>
      </c>
      <c r="I3554" t="s">
        <v>44</v>
      </c>
      <c r="J3554">
        <v>8</v>
      </c>
      <c r="K3554" t="s">
        <v>51</v>
      </c>
      <c r="L3554">
        <v>3</v>
      </c>
      <c r="M3554" t="str">
        <f>VLOOKUP(D3554,State_Lookup!$A$2:$B$28,2,FALSE)</f>
        <v>Sao Paulo</v>
      </c>
    </row>
    <row r="3555" spans="1:13" x14ac:dyDescent="0.45">
      <c r="A3555" t="s">
        <v>4167</v>
      </c>
      <c r="B3555" t="s">
        <v>4165</v>
      </c>
      <c r="C3555" t="s">
        <v>3983</v>
      </c>
      <c r="D3555" t="s">
        <v>17</v>
      </c>
      <c r="E3555" t="s">
        <v>110</v>
      </c>
      <c r="F3555">
        <v>2</v>
      </c>
      <c r="G3555">
        <v>44</v>
      </c>
      <c r="H3555">
        <v>38.08</v>
      </c>
      <c r="I3555" t="s">
        <v>44</v>
      </c>
      <c r="J3555">
        <v>3</v>
      </c>
      <c r="K3555" t="s">
        <v>51</v>
      </c>
      <c r="L3555">
        <v>5</v>
      </c>
      <c r="M3555" t="str">
        <f>VLOOKUP(D3555,State_Lookup!$A$2:$B$28,2,FALSE)</f>
        <v>Rio de Janeiro</v>
      </c>
    </row>
    <row r="3556" spans="1:13" x14ac:dyDescent="0.45">
      <c r="A3556" t="s">
        <v>4168</v>
      </c>
      <c r="B3556" t="s">
        <v>4165</v>
      </c>
      <c r="C3556" t="s">
        <v>3983</v>
      </c>
      <c r="D3556" t="s">
        <v>18</v>
      </c>
      <c r="E3556" t="s">
        <v>269</v>
      </c>
      <c r="F3556">
        <v>1</v>
      </c>
      <c r="G3556">
        <v>92.5</v>
      </c>
      <c r="H3556">
        <v>34.19</v>
      </c>
      <c r="I3556" t="s">
        <v>44</v>
      </c>
      <c r="J3556">
        <v>6</v>
      </c>
      <c r="K3556" t="s">
        <v>51</v>
      </c>
      <c r="L3556">
        <v>4</v>
      </c>
      <c r="M3556" t="str">
        <f>VLOOKUP(D3556,State_Lookup!$A$2:$B$28,2,FALSE)</f>
        <v>Minas Gerais</v>
      </c>
    </row>
    <row r="3557" spans="1:13" x14ac:dyDescent="0.45">
      <c r="A3557" t="s">
        <v>4169</v>
      </c>
      <c r="B3557" t="s">
        <v>4165</v>
      </c>
      <c r="C3557" t="s">
        <v>3983</v>
      </c>
      <c r="D3557" t="s">
        <v>16</v>
      </c>
      <c r="E3557" t="s">
        <v>58</v>
      </c>
      <c r="F3557">
        <v>1</v>
      </c>
      <c r="G3557">
        <v>34.200000000000003</v>
      </c>
      <c r="H3557">
        <v>11.89</v>
      </c>
      <c r="I3557" t="s">
        <v>44</v>
      </c>
      <c r="J3557">
        <v>9</v>
      </c>
      <c r="K3557" t="s">
        <v>51</v>
      </c>
      <c r="L3557">
        <v>4</v>
      </c>
      <c r="M3557" t="str">
        <f>VLOOKUP(D3557,State_Lookup!$A$2:$B$28,2,FALSE)</f>
        <v>Sao Paulo</v>
      </c>
    </row>
    <row r="3558" spans="1:13" x14ac:dyDescent="0.45">
      <c r="A3558" t="s">
        <v>4170</v>
      </c>
      <c r="B3558" t="s">
        <v>4165</v>
      </c>
      <c r="C3558" t="s">
        <v>3983</v>
      </c>
      <c r="D3558" t="s">
        <v>16</v>
      </c>
      <c r="E3558" t="s">
        <v>53</v>
      </c>
      <c r="F3558">
        <v>1</v>
      </c>
      <c r="G3558">
        <v>56.9</v>
      </c>
      <c r="H3558">
        <v>8.2899999999999991</v>
      </c>
      <c r="I3558" t="s">
        <v>44</v>
      </c>
      <c r="J3558">
        <v>1</v>
      </c>
      <c r="K3558" t="s">
        <v>51</v>
      </c>
      <c r="L3558">
        <v>5</v>
      </c>
      <c r="M3558" t="str">
        <f>VLOOKUP(D3558,State_Lookup!$A$2:$B$28,2,FALSE)</f>
        <v>Sao Paulo</v>
      </c>
    </row>
    <row r="3559" spans="1:13" x14ac:dyDescent="0.45">
      <c r="A3559" t="s">
        <v>4171</v>
      </c>
      <c r="B3559" t="s">
        <v>4165</v>
      </c>
      <c r="C3559" t="s">
        <v>3983</v>
      </c>
      <c r="D3559" t="s">
        <v>16</v>
      </c>
      <c r="E3559" t="s">
        <v>107</v>
      </c>
      <c r="F3559">
        <v>1</v>
      </c>
      <c r="G3559">
        <v>79.900000000000006</v>
      </c>
      <c r="H3559">
        <v>14.65</v>
      </c>
      <c r="I3559" t="s">
        <v>44</v>
      </c>
      <c r="J3559">
        <v>13</v>
      </c>
      <c r="K3559" t="s">
        <v>51</v>
      </c>
      <c r="L3559">
        <v>2</v>
      </c>
      <c r="M3559" t="str">
        <f>VLOOKUP(D3559,State_Lookup!$A$2:$B$28,2,FALSE)</f>
        <v>Sao Paulo</v>
      </c>
    </row>
    <row r="3560" spans="1:13" x14ac:dyDescent="0.45">
      <c r="A3560" t="s">
        <v>4172</v>
      </c>
      <c r="B3560" t="s">
        <v>4165</v>
      </c>
      <c r="C3560" t="s">
        <v>3983</v>
      </c>
      <c r="D3560" t="s">
        <v>16</v>
      </c>
      <c r="E3560" t="s">
        <v>61</v>
      </c>
      <c r="F3560">
        <v>5</v>
      </c>
      <c r="G3560">
        <v>399.95</v>
      </c>
      <c r="H3560">
        <v>65</v>
      </c>
      <c r="I3560" t="s">
        <v>44</v>
      </c>
      <c r="J3560">
        <v>6</v>
      </c>
      <c r="K3560" t="s">
        <v>51</v>
      </c>
      <c r="L3560">
        <v>4</v>
      </c>
      <c r="M3560" t="str">
        <f>VLOOKUP(D3560,State_Lookup!$A$2:$B$28,2,FALSE)</f>
        <v>Sao Paulo</v>
      </c>
    </row>
    <row r="3561" spans="1:13" x14ac:dyDescent="0.45">
      <c r="A3561" t="s">
        <v>4173</v>
      </c>
      <c r="B3561" t="s">
        <v>4165</v>
      </c>
      <c r="C3561" t="s">
        <v>3983</v>
      </c>
      <c r="D3561" t="s">
        <v>16</v>
      </c>
      <c r="E3561" t="s">
        <v>110</v>
      </c>
      <c r="F3561">
        <v>1</v>
      </c>
      <c r="G3561">
        <v>249.9</v>
      </c>
      <c r="H3561">
        <v>15.51</v>
      </c>
      <c r="I3561" t="s">
        <v>108</v>
      </c>
      <c r="J3561">
        <v>6</v>
      </c>
      <c r="K3561" t="s">
        <v>51</v>
      </c>
      <c r="L3561">
        <v>4</v>
      </c>
      <c r="M3561" t="str">
        <f>VLOOKUP(D3561,State_Lookup!$A$2:$B$28,2,FALSE)</f>
        <v>Sao Paulo</v>
      </c>
    </row>
    <row r="3562" spans="1:13" x14ac:dyDescent="0.45">
      <c r="A3562" t="s">
        <v>4174</v>
      </c>
      <c r="B3562" t="s">
        <v>4165</v>
      </c>
      <c r="C3562" t="s">
        <v>3983</v>
      </c>
      <c r="D3562" t="s">
        <v>16</v>
      </c>
      <c r="E3562" t="s">
        <v>49</v>
      </c>
      <c r="F3562">
        <v>1</v>
      </c>
      <c r="G3562">
        <v>49.9</v>
      </c>
      <c r="H3562">
        <v>11.89</v>
      </c>
      <c r="I3562" t="s">
        <v>44</v>
      </c>
      <c r="J3562">
        <v>7</v>
      </c>
      <c r="K3562" t="s">
        <v>51</v>
      </c>
      <c r="L3562">
        <v>4</v>
      </c>
      <c r="M3562" t="str">
        <f>VLOOKUP(D3562,State_Lookup!$A$2:$B$28,2,FALSE)</f>
        <v>Sao Paulo</v>
      </c>
    </row>
    <row r="3563" spans="1:13" x14ac:dyDescent="0.45">
      <c r="A3563" t="s">
        <v>4175</v>
      </c>
      <c r="B3563" t="s">
        <v>4165</v>
      </c>
      <c r="C3563" t="s">
        <v>3983</v>
      </c>
      <c r="D3563" t="s">
        <v>25</v>
      </c>
      <c r="E3563" t="s">
        <v>110</v>
      </c>
      <c r="F3563">
        <v>1</v>
      </c>
      <c r="G3563">
        <v>159.9</v>
      </c>
      <c r="H3563">
        <v>22.2</v>
      </c>
      <c r="I3563" t="s">
        <v>44</v>
      </c>
      <c r="J3563">
        <v>9</v>
      </c>
      <c r="K3563" t="s">
        <v>51</v>
      </c>
      <c r="L3563">
        <v>5</v>
      </c>
      <c r="M3563" t="str">
        <f>VLOOKUP(D3563,State_Lookup!$A$2:$B$28,2,FALSE)</f>
        <v>Goias</v>
      </c>
    </row>
    <row r="3564" spans="1:13" x14ac:dyDescent="0.45">
      <c r="A3564" t="s">
        <v>4176</v>
      </c>
      <c r="B3564" t="s">
        <v>4165</v>
      </c>
      <c r="C3564" t="s">
        <v>3983</v>
      </c>
      <c r="D3564" t="s">
        <v>25</v>
      </c>
      <c r="E3564" t="s">
        <v>66</v>
      </c>
      <c r="F3564">
        <v>1</v>
      </c>
      <c r="G3564">
        <v>21.99</v>
      </c>
      <c r="H3564">
        <v>15.23</v>
      </c>
      <c r="I3564" t="s">
        <v>50</v>
      </c>
      <c r="J3564">
        <v>20</v>
      </c>
      <c r="K3564" t="s">
        <v>51</v>
      </c>
      <c r="L3564">
        <v>4</v>
      </c>
      <c r="M3564" t="str">
        <f>VLOOKUP(D3564,State_Lookup!$A$2:$B$28,2,FALSE)</f>
        <v>Goias</v>
      </c>
    </row>
    <row r="3565" spans="1:13" x14ac:dyDescent="0.45">
      <c r="A3565" t="s">
        <v>4177</v>
      </c>
      <c r="B3565" t="s">
        <v>4165</v>
      </c>
      <c r="C3565" t="s">
        <v>3983</v>
      </c>
      <c r="D3565" t="s">
        <v>20</v>
      </c>
      <c r="E3565" t="s">
        <v>148</v>
      </c>
      <c r="F3565">
        <v>1</v>
      </c>
      <c r="G3565">
        <v>213.99</v>
      </c>
      <c r="H3565">
        <v>22.58</v>
      </c>
      <c r="I3565" t="s">
        <v>44</v>
      </c>
      <c r="J3565">
        <v>8</v>
      </c>
      <c r="K3565" t="s">
        <v>51</v>
      </c>
      <c r="L3565">
        <v>4</v>
      </c>
      <c r="M3565" t="str">
        <f>VLOOKUP(D3565,State_Lookup!$A$2:$B$28,2,FALSE)</f>
        <v>Parana</v>
      </c>
    </row>
    <row r="3566" spans="1:13" x14ac:dyDescent="0.45">
      <c r="A3566" t="s">
        <v>4178</v>
      </c>
      <c r="B3566" t="s">
        <v>4165</v>
      </c>
      <c r="C3566" t="s">
        <v>3983</v>
      </c>
      <c r="D3566" t="s">
        <v>20</v>
      </c>
      <c r="E3566" t="s">
        <v>66</v>
      </c>
      <c r="F3566">
        <v>1</v>
      </c>
      <c r="G3566">
        <v>44.99</v>
      </c>
      <c r="H3566">
        <v>18.23</v>
      </c>
      <c r="I3566" t="s">
        <v>44</v>
      </c>
      <c r="J3566">
        <v>13</v>
      </c>
      <c r="K3566" t="s">
        <v>51</v>
      </c>
      <c r="L3566">
        <v>4</v>
      </c>
      <c r="M3566" t="str">
        <f>VLOOKUP(D3566,State_Lookup!$A$2:$B$28,2,FALSE)</f>
        <v>Parana</v>
      </c>
    </row>
    <row r="3567" spans="1:13" x14ac:dyDescent="0.45">
      <c r="A3567" t="s">
        <v>4179</v>
      </c>
      <c r="B3567" t="s">
        <v>4165</v>
      </c>
      <c r="C3567" t="s">
        <v>3983</v>
      </c>
      <c r="D3567" t="s">
        <v>16</v>
      </c>
      <c r="E3567" t="s">
        <v>220</v>
      </c>
      <c r="F3567">
        <v>1</v>
      </c>
      <c r="G3567">
        <v>79.98</v>
      </c>
      <c r="H3567">
        <v>22.87</v>
      </c>
      <c r="I3567" t="s">
        <v>133</v>
      </c>
      <c r="J3567">
        <v>20</v>
      </c>
      <c r="K3567" t="s">
        <v>51</v>
      </c>
      <c r="L3567">
        <v>5</v>
      </c>
      <c r="M3567" t="str">
        <f>VLOOKUP(D3567,State_Lookup!$A$2:$B$28,2,FALSE)</f>
        <v>Sao Paulo</v>
      </c>
    </row>
    <row r="3568" spans="1:13" x14ac:dyDescent="0.45">
      <c r="A3568" t="s">
        <v>4180</v>
      </c>
      <c r="B3568" t="s">
        <v>4165</v>
      </c>
      <c r="C3568" t="s">
        <v>3983</v>
      </c>
      <c r="D3568" t="s">
        <v>16</v>
      </c>
      <c r="E3568" t="s">
        <v>43</v>
      </c>
      <c r="F3568">
        <v>1</v>
      </c>
      <c r="G3568">
        <v>59.9</v>
      </c>
      <c r="H3568">
        <v>16.39</v>
      </c>
      <c r="I3568" t="s">
        <v>44</v>
      </c>
      <c r="J3568">
        <v>6</v>
      </c>
      <c r="K3568" t="s">
        <v>51</v>
      </c>
      <c r="L3568">
        <v>5</v>
      </c>
      <c r="M3568" t="str">
        <f>VLOOKUP(D3568,State_Lookup!$A$2:$B$28,2,FALSE)</f>
        <v>Sao Paulo</v>
      </c>
    </row>
    <row r="3569" spans="1:13" x14ac:dyDescent="0.45">
      <c r="A3569" t="s">
        <v>4181</v>
      </c>
      <c r="B3569" t="s">
        <v>4165</v>
      </c>
      <c r="C3569" t="s">
        <v>3983</v>
      </c>
      <c r="D3569" t="s">
        <v>16</v>
      </c>
      <c r="E3569" t="s">
        <v>61</v>
      </c>
      <c r="F3569">
        <v>1</v>
      </c>
      <c r="G3569">
        <v>78</v>
      </c>
      <c r="H3569">
        <v>12.99</v>
      </c>
      <c r="I3569" t="s">
        <v>44</v>
      </c>
      <c r="J3569">
        <v>8</v>
      </c>
      <c r="K3569" t="s">
        <v>51</v>
      </c>
      <c r="L3569">
        <v>5</v>
      </c>
      <c r="M3569" t="str">
        <f>VLOOKUP(D3569,State_Lookup!$A$2:$B$28,2,FALSE)</f>
        <v>Sao Paulo</v>
      </c>
    </row>
    <row r="3570" spans="1:13" x14ac:dyDescent="0.45">
      <c r="A3570" t="s">
        <v>4182</v>
      </c>
      <c r="B3570" t="s">
        <v>4165</v>
      </c>
      <c r="C3570" t="s">
        <v>3983</v>
      </c>
      <c r="D3570" t="s">
        <v>19</v>
      </c>
      <c r="E3570" t="s">
        <v>366</v>
      </c>
      <c r="F3570">
        <v>1</v>
      </c>
      <c r="G3570">
        <v>130</v>
      </c>
      <c r="H3570">
        <v>19.88</v>
      </c>
      <c r="I3570" t="s">
        <v>44</v>
      </c>
      <c r="J3570">
        <v>21</v>
      </c>
      <c r="K3570" t="s">
        <v>51</v>
      </c>
      <c r="L3570">
        <v>5</v>
      </c>
      <c r="M3570" t="str">
        <f>VLOOKUP(D3570,State_Lookup!$A$2:$B$28,2,FALSE)</f>
        <v>Rio Grande do Sul</v>
      </c>
    </row>
    <row r="3571" spans="1:13" x14ac:dyDescent="0.45">
      <c r="A3571" t="s">
        <v>4183</v>
      </c>
      <c r="B3571" t="s">
        <v>4184</v>
      </c>
      <c r="C3571" t="s">
        <v>3983</v>
      </c>
      <c r="D3571" t="s">
        <v>16</v>
      </c>
      <c r="E3571" t="s">
        <v>110</v>
      </c>
      <c r="F3571">
        <v>1</v>
      </c>
      <c r="G3571">
        <v>39.99</v>
      </c>
      <c r="H3571">
        <v>11.89</v>
      </c>
      <c r="I3571" t="s">
        <v>44</v>
      </c>
      <c r="J3571">
        <v>6</v>
      </c>
      <c r="K3571" t="s">
        <v>51</v>
      </c>
      <c r="L3571">
        <v>5</v>
      </c>
      <c r="M3571" t="str">
        <f>VLOOKUP(D3571,State_Lookup!$A$2:$B$28,2,FALSE)</f>
        <v>Sao Paulo</v>
      </c>
    </row>
    <row r="3572" spans="1:13" x14ac:dyDescent="0.45">
      <c r="A3572" t="s">
        <v>4185</v>
      </c>
      <c r="B3572" t="s">
        <v>4184</v>
      </c>
      <c r="C3572" t="s">
        <v>3983</v>
      </c>
      <c r="D3572" t="s">
        <v>16</v>
      </c>
      <c r="E3572" t="s">
        <v>157</v>
      </c>
      <c r="F3572">
        <v>1</v>
      </c>
      <c r="G3572">
        <v>49</v>
      </c>
      <c r="H3572">
        <v>12.79</v>
      </c>
      <c r="I3572" t="s">
        <v>44</v>
      </c>
      <c r="J3572">
        <v>7</v>
      </c>
      <c r="K3572" t="s">
        <v>51</v>
      </c>
      <c r="L3572">
        <v>4</v>
      </c>
      <c r="M3572" t="str">
        <f>VLOOKUP(D3572,State_Lookup!$A$2:$B$28,2,FALSE)</f>
        <v>Sao Paulo</v>
      </c>
    </row>
    <row r="3573" spans="1:13" x14ac:dyDescent="0.45">
      <c r="A3573" t="s">
        <v>4186</v>
      </c>
      <c r="B3573" t="s">
        <v>4184</v>
      </c>
      <c r="C3573" t="s">
        <v>3983</v>
      </c>
      <c r="D3573" t="s">
        <v>17</v>
      </c>
      <c r="E3573" t="s">
        <v>148</v>
      </c>
      <c r="F3573">
        <v>1</v>
      </c>
      <c r="G3573">
        <v>89.99</v>
      </c>
      <c r="H3573">
        <v>18.21</v>
      </c>
      <c r="I3573" t="s">
        <v>44</v>
      </c>
      <c r="J3573">
        <v>18</v>
      </c>
      <c r="K3573" t="s">
        <v>51</v>
      </c>
      <c r="L3573">
        <v>5</v>
      </c>
      <c r="M3573" t="str">
        <f>VLOOKUP(D3573,State_Lookup!$A$2:$B$28,2,FALSE)</f>
        <v>Rio de Janeiro</v>
      </c>
    </row>
    <row r="3574" spans="1:13" x14ac:dyDescent="0.45">
      <c r="A3574" t="s">
        <v>4187</v>
      </c>
      <c r="B3574" t="s">
        <v>4184</v>
      </c>
      <c r="C3574" t="s">
        <v>3983</v>
      </c>
      <c r="D3574" t="s">
        <v>18</v>
      </c>
      <c r="E3574" t="s">
        <v>79</v>
      </c>
      <c r="F3574">
        <v>1</v>
      </c>
      <c r="G3574">
        <v>173.25</v>
      </c>
      <c r="H3574">
        <v>18.79</v>
      </c>
      <c r="I3574" t="s">
        <v>44</v>
      </c>
      <c r="J3574">
        <v>8</v>
      </c>
      <c r="K3574" t="s">
        <v>51</v>
      </c>
      <c r="L3574">
        <v>5</v>
      </c>
      <c r="M3574" t="str">
        <f>VLOOKUP(D3574,State_Lookup!$A$2:$B$28,2,FALSE)</f>
        <v>Minas Gerais</v>
      </c>
    </row>
    <row r="3575" spans="1:13" x14ac:dyDescent="0.45">
      <c r="A3575" t="s">
        <v>4188</v>
      </c>
      <c r="B3575" t="s">
        <v>4184</v>
      </c>
      <c r="C3575" t="s">
        <v>3983</v>
      </c>
      <c r="D3575" t="s">
        <v>16</v>
      </c>
      <c r="E3575" t="s">
        <v>49</v>
      </c>
      <c r="F3575">
        <v>1</v>
      </c>
      <c r="G3575">
        <v>45</v>
      </c>
      <c r="H3575">
        <v>18.23</v>
      </c>
      <c r="I3575" t="s">
        <v>44</v>
      </c>
      <c r="J3575">
        <v>7</v>
      </c>
      <c r="K3575" t="s">
        <v>51</v>
      </c>
      <c r="L3575">
        <v>5</v>
      </c>
      <c r="M3575" t="str">
        <f>VLOOKUP(D3575,State_Lookup!$A$2:$B$28,2,FALSE)</f>
        <v>Sao Paulo</v>
      </c>
    </row>
    <row r="3576" spans="1:13" x14ac:dyDescent="0.45">
      <c r="A3576" t="s">
        <v>4189</v>
      </c>
      <c r="B3576" t="s">
        <v>4184</v>
      </c>
      <c r="C3576" t="s">
        <v>3983</v>
      </c>
      <c r="D3576" t="s">
        <v>20</v>
      </c>
      <c r="E3576" t="s">
        <v>125</v>
      </c>
      <c r="F3576">
        <v>1</v>
      </c>
      <c r="G3576">
        <v>103.9</v>
      </c>
      <c r="H3576">
        <v>21.67</v>
      </c>
      <c r="I3576" t="s">
        <v>44</v>
      </c>
      <c r="J3576">
        <v>14</v>
      </c>
      <c r="K3576" t="s">
        <v>51</v>
      </c>
      <c r="L3576">
        <v>5</v>
      </c>
      <c r="M3576" t="str">
        <f>VLOOKUP(D3576,State_Lookup!$A$2:$B$28,2,FALSE)</f>
        <v>Parana</v>
      </c>
    </row>
    <row r="3577" spans="1:13" x14ac:dyDescent="0.45">
      <c r="A3577" t="s">
        <v>4190</v>
      </c>
      <c r="B3577" t="s">
        <v>4184</v>
      </c>
      <c r="C3577" t="s">
        <v>3983</v>
      </c>
      <c r="D3577" t="s">
        <v>19</v>
      </c>
      <c r="E3577" t="s">
        <v>103</v>
      </c>
      <c r="F3577">
        <v>1</v>
      </c>
      <c r="G3577">
        <v>213</v>
      </c>
      <c r="H3577">
        <v>19.07</v>
      </c>
      <c r="I3577" t="s">
        <v>44</v>
      </c>
      <c r="J3577">
        <v>11</v>
      </c>
      <c r="K3577" t="s">
        <v>51</v>
      </c>
      <c r="L3577">
        <v>5</v>
      </c>
      <c r="M3577" t="str">
        <f>VLOOKUP(D3577,State_Lookup!$A$2:$B$28,2,FALSE)</f>
        <v>Rio Grande do Sul</v>
      </c>
    </row>
    <row r="3578" spans="1:13" x14ac:dyDescent="0.45">
      <c r="A3578" t="s">
        <v>4191</v>
      </c>
      <c r="B3578" t="s">
        <v>4184</v>
      </c>
      <c r="C3578" t="s">
        <v>3983</v>
      </c>
      <c r="D3578" t="s">
        <v>16</v>
      </c>
      <c r="E3578" t="s">
        <v>366</v>
      </c>
      <c r="F3578">
        <v>1</v>
      </c>
      <c r="G3578">
        <v>48</v>
      </c>
      <c r="H3578">
        <v>11.86</v>
      </c>
      <c r="I3578" t="s">
        <v>44</v>
      </c>
      <c r="J3578">
        <v>2</v>
      </c>
      <c r="K3578" t="s">
        <v>51</v>
      </c>
      <c r="L3578">
        <v>5</v>
      </c>
      <c r="M3578" t="str">
        <f>VLOOKUP(D3578,State_Lookup!$A$2:$B$28,2,FALSE)</f>
        <v>Sao Paulo</v>
      </c>
    </row>
    <row r="3579" spans="1:13" x14ac:dyDescent="0.45">
      <c r="A3579" t="s">
        <v>4192</v>
      </c>
      <c r="B3579" t="s">
        <v>4184</v>
      </c>
      <c r="C3579" t="s">
        <v>3983</v>
      </c>
      <c r="D3579" t="s">
        <v>16</v>
      </c>
      <c r="E3579" t="s">
        <v>107</v>
      </c>
      <c r="F3579">
        <v>1</v>
      </c>
      <c r="G3579">
        <v>27.9</v>
      </c>
      <c r="H3579">
        <v>12.79</v>
      </c>
      <c r="I3579" t="s">
        <v>50</v>
      </c>
      <c r="J3579">
        <v>12</v>
      </c>
      <c r="K3579" t="s">
        <v>51</v>
      </c>
      <c r="L3579">
        <v>4</v>
      </c>
      <c r="M3579" t="str">
        <f>VLOOKUP(D3579,State_Lookup!$A$2:$B$28,2,FALSE)</f>
        <v>Sao Paulo</v>
      </c>
    </row>
    <row r="3580" spans="1:13" x14ac:dyDescent="0.45">
      <c r="A3580" t="s">
        <v>4193</v>
      </c>
      <c r="B3580" t="s">
        <v>4184</v>
      </c>
      <c r="C3580" t="s">
        <v>3983</v>
      </c>
      <c r="D3580" t="s">
        <v>19</v>
      </c>
      <c r="E3580" t="s">
        <v>107</v>
      </c>
      <c r="F3580">
        <v>1</v>
      </c>
      <c r="G3580">
        <v>117.3</v>
      </c>
      <c r="H3580">
        <v>31.96</v>
      </c>
      <c r="I3580" t="s">
        <v>44</v>
      </c>
      <c r="J3580">
        <v>11</v>
      </c>
      <c r="K3580" t="s">
        <v>51</v>
      </c>
      <c r="L3580">
        <v>5</v>
      </c>
      <c r="M3580" t="str">
        <f>VLOOKUP(D3580,State_Lookup!$A$2:$B$28,2,FALSE)</f>
        <v>Rio Grande do Sul</v>
      </c>
    </row>
    <row r="3581" spans="1:13" x14ac:dyDescent="0.45">
      <c r="A3581" t="s">
        <v>4194</v>
      </c>
      <c r="B3581" t="s">
        <v>4184</v>
      </c>
      <c r="C3581" t="s">
        <v>3983</v>
      </c>
      <c r="D3581" t="s">
        <v>16</v>
      </c>
      <c r="E3581" t="s">
        <v>49</v>
      </c>
      <c r="F3581">
        <v>1</v>
      </c>
      <c r="G3581">
        <v>159</v>
      </c>
      <c r="H3581">
        <v>17.079999999999998</v>
      </c>
      <c r="I3581" t="s">
        <v>44</v>
      </c>
      <c r="J3581">
        <v>7</v>
      </c>
      <c r="K3581" t="s">
        <v>51</v>
      </c>
      <c r="L3581">
        <v>5</v>
      </c>
      <c r="M3581" t="str">
        <f>VLOOKUP(D3581,State_Lookup!$A$2:$B$28,2,FALSE)</f>
        <v>Sao Paulo</v>
      </c>
    </row>
    <row r="3582" spans="1:13" x14ac:dyDescent="0.45">
      <c r="A3582" t="s">
        <v>4195</v>
      </c>
      <c r="B3582" t="s">
        <v>4184</v>
      </c>
      <c r="C3582" t="s">
        <v>3983</v>
      </c>
      <c r="D3582" t="s">
        <v>17</v>
      </c>
      <c r="E3582" t="s">
        <v>950</v>
      </c>
      <c r="F3582">
        <v>1</v>
      </c>
      <c r="G3582">
        <v>718</v>
      </c>
      <c r="H3582">
        <v>60.46</v>
      </c>
      <c r="I3582" t="s">
        <v>44</v>
      </c>
      <c r="J3582">
        <v>26</v>
      </c>
      <c r="K3582" t="s">
        <v>51</v>
      </c>
      <c r="L3582">
        <v>3</v>
      </c>
      <c r="M3582" t="str">
        <f>VLOOKUP(D3582,State_Lookup!$A$2:$B$28,2,FALSE)</f>
        <v>Rio de Janeiro</v>
      </c>
    </row>
    <row r="3583" spans="1:13" x14ac:dyDescent="0.45">
      <c r="A3583" t="s">
        <v>4196</v>
      </c>
      <c r="B3583" t="s">
        <v>4184</v>
      </c>
      <c r="C3583" t="s">
        <v>3983</v>
      </c>
      <c r="D3583" t="s">
        <v>17</v>
      </c>
      <c r="E3583" t="s">
        <v>192</v>
      </c>
      <c r="F3583">
        <v>1</v>
      </c>
      <c r="G3583">
        <v>59.99</v>
      </c>
      <c r="H3583">
        <v>16.39</v>
      </c>
      <c r="I3583" t="s">
        <v>44</v>
      </c>
      <c r="J3583">
        <v>8</v>
      </c>
      <c r="K3583" t="s">
        <v>51</v>
      </c>
      <c r="L3583">
        <v>5</v>
      </c>
      <c r="M3583" t="str">
        <f>VLOOKUP(D3583,State_Lookup!$A$2:$B$28,2,FALSE)</f>
        <v>Rio de Janeiro</v>
      </c>
    </row>
    <row r="3584" spans="1:13" x14ac:dyDescent="0.45">
      <c r="A3584" t="s">
        <v>4197</v>
      </c>
      <c r="B3584" t="s">
        <v>4184</v>
      </c>
      <c r="C3584" t="s">
        <v>3983</v>
      </c>
      <c r="D3584" t="s">
        <v>16</v>
      </c>
      <c r="E3584" t="s">
        <v>366</v>
      </c>
      <c r="F3584">
        <v>1</v>
      </c>
      <c r="G3584">
        <v>52</v>
      </c>
      <c r="H3584">
        <v>11.86</v>
      </c>
      <c r="I3584" t="s">
        <v>44</v>
      </c>
      <c r="J3584">
        <v>12</v>
      </c>
      <c r="K3584" t="s">
        <v>143</v>
      </c>
      <c r="L3584">
        <v>5</v>
      </c>
      <c r="M3584" t="str">
        <f>VLOOKUP(D3584,State_Lookup!$A$2:$B$28,2,FALSE)</f>
        <v>Sao Paulo</v>
      </c>
    </row>
    <row r="3585" spans="1:13" x14ac:dyDescent="0.45">
      <c r="A3585" t="s">
        <v>4198</v>
      </c>
      <c r="B3585" t="s">
        <v>4199</v>
      </c>
      <c r="C3585" t="s">
        <v>3983</v>
      </c>
      <c r="D3585" t="s">
        <v>17</v>
      </c>
      <c r="E3585" t="s">
        <v>269</v>
      </c>
      <c r="F3585">
        <v>1</v>
      </c>
      <c r="G3585">
        <v>94</v>
      </c>
      <c r="H3585">
        <v>22.37</v>
      </c>
      <c r="I3585" t="s">
        <v>44</v>
      </c>
      <c r="J3585">
        <v>15</v>
      </c>
      <c r="K3585" t="s">
        <v>51</v>
      </c>
      <c r="L3585">
        <v>5</v>
      </c>
      <c r="M3585" t="str">
        <f>VLOOKUP(D3585,State_Lookup!$A$2:$B$28,2,FALSE)</f>
        <v>Rio de Janeiro</v>
      </c>
    </row>
    <row r="3586" spans="1:13" x14ac:dyDescent="0.45">
      <c r="A3586" t="s">
        <v>4200</v>
      </c>
      <c r="B3586" t="s">
        <v>4199</v>
      </c>
      <c r="C3586" t="s">
        <v>3983</v>
      </c>
      <c r="D3586" t="s">
        <v>16</v>
      </c>
      <c r="E3586" t="s">
        <v>43</v>
      </c>
      <c r="F3586">
        <v>1</v>
      </c>
      <c r="G3586">
        <v>118.75</v>
      </c>
      <c r="H3586">
        <v>17.739999999999998</v>
      </c>
      <c r="I3586" t="s">
        <v>44</v>
      </c>
      <c r="J3586">
        <v>7</v>
      </c>
      <c r="K3586" t="s">
        <v>51</v>
      </c>
      <c r="L3586">
        <v>5</v>
      </c>
      <c r="M3586" t="str">
        <f>VLOOKUP(D3586,State_Lookup!$A$2:$B$28,2,FALSE)</f>
        <v>Sao Paulo</v>
      </c>
    </row>
    <row r="3587" spans="1:13" x14ac:dyDescent="0.45">
      <c r="A3587" t="s">
        <v>4201</v>
      </c>
      <c r="B3587" t="s">
        <v>4199</v>
      </c>
      <c r="C3587" t="s">
        <v>3983</v>
      </c>
      <c r="D3587" t="s">
        <v>16</v>
      </c>
      <c r="E3587" t="s">
        <v>69</v>
      </c>
      <c r="F3587">
        <v>1</v>
      </c>
      <c r="G3587">
        <v>53.9</v>
      </c>
      <c r="H3587">
        <v>0</v>
      </c>
      <c r="I3587" t="s">
        <v>44</v>
      </c>
      <c r="J3587">
        <v>8</v>
      </c>
      <c r="K3587" t="s">
        <v>51</v>
      </c>
      <c r="L3587">
        <v>5</v>
      </c>
      <c r="M3587" t="str">
        <f>VLOOKUP(D3587,State_Lookup!$A$2:$B$28,2,FALSE)</f>
        <v>Sao Paulo</v>
      </c>
    </row>
    <row r="3588" spans="1:13" x14ac:dyDescent="0.45">
      <c r="A3588" t="s">
        <v>4202</v>
      </c>
      <c r="B3588" t="s">
        <v>4199</v>
      </c>
      <c r="C3588" t="s">
        <v>3983</v>
      </c>
      <c r="D3588" t="s">
        <v>16</v>
      </c>
      <c r="E3588" t="s">
        <v>79</v>
      </c>
      <c r="F3588">
        <v>1</v>
      </c>
      <c r="G3588">
        <v>370.47</v>
      </c>
      <c r="H3588">
        <v>21.4</v>
      </c>
      <c r="I3588" t="s">
        <v>44</v>
      </c>
      <c r="J3588">
        <v>8</v>
      </c>
      <c r="K3588" t="s">
        <v>51</v>
      </c>
      <c r="L3588">
        <v>5</v>
      </c>
      <c r="M3588" t="str">
        <f>VLOOKUP(D3588,State_Lookup!$A$2:$B$28,2,FALSE)</f>
        <v>Sao Paulo</v>
      </c>
    </row>
    <row r="3589" spans="1:13" x14ac:dyDescent="0.45">
      <c r="A3589" t="s">
        <v>4203</v>
      </c>
      <c r="B3589" t="s">
        <v>4199</v>
      </c>
      <c r="C3589" t="s">
        <v>3983</v>
      </c>
      <c r="D3589" t="s">
        <v>16</v>
      </c>
      <c r="E3589" t="s">
        <v>61</v>
      </c>
      <c r="F3589">
        <v>2</v>
      </c>
      <c r="G3589">
        <v>169.78</v>
      </c>
      <c r="H3589">
        <v>15.88</v>
      </c>
      <c r="I3589" t="s">
        <v>44</v>
      </c>
      <c r="J3589">
        <v>8</v>
      </c>
      <c r="K3589" t="s">
        <v>51</v>
      </c>
      <c r="L3589">
        <v>4</v>
      </c>
      <c r="M3589" t="str">
        <f>VLOOKUP(D3589,State_Lookup!$A$2:$B$28,2,FALSE)</f>
        <v>Sao Paulo</v>
      </c>
    </row>
    <row r="3590" spans="1:13" x14ac:dyDescent="0.45">
      <c r="A3590" t="s">
        <v>4204</v>
      </c>
      <c r="B3590" t="s">
        <v>4199</v>
      </c>
      <c r="C3590" t="s">
        <v>3983</v>
      </c>
      <c r="D3590" t="s">
        <v>16</v>
      </c>
      <c r="E3590" t="s">
        <v>43</v>
      </c>
      <c r="F3590">
        <v>1</v>
      </c>
      <c r="G3590">
        <v>129</v>
      </c>
      <c r="H3590">
        <v>21.98</v>
      </c>
      <c r="I3590" t="s">
        <v>44</v>
      </c>
      <c r="J3590">
        <v>5</v>
      </c>
      <c r="K3590" t="s">
        <v>51</v>
      </c>
      <c r="L3590">
        <v>5</v>
      </c>
      <c r="M3590" t="str">
        <f>VLOOKUP(D3590,State_Lookup!$A$2:$B$28,2,FALSE)</f>
        <v>Sao Paulo</v>
      </c>
    </row>
    <row r="3591" spans="1:13" x14ac:dyDescent="0.45">
      <c r="A3591" t="s">
        <v>4205</v>
      </c>
      <c r="B3591" t="s">
        <v>4199</v>
      </c>
      <c r="C3591" t="s">
        <v>3983</v>
      </c>
      <c r="D3591" t="s">
        <v>19</v>
      </c>
      <c r="E3591" t="s">
        <v>43</v>
      </c>
      <c r="F3591">
        <v>1</v>
      </c>
      <c r="G3591">
        <v>69.900000000000006</v>
      </c>
      <c r="H3591">
        <v>19.46</v>
      </c>
      <c r="I3591" t="s">
        <v>50</v>
      </c>
      <c r="J3591">
        <v>13</v>
      </c>
      <c r="K3591" t="s">
        <v>51</v>
      </c>
      <c r="L3591">
        <v>5</v>
      </c>
      <c r="M3591" t="str">
        <f>VLOOKUP(D3591,State_Lookup!$A$2:$B$28,2,FALSE)</f>
        <v>Rio Grande do Sul</v>
      </c>
    </row>
    <row r="3592" spans="1:13" x14ac:dyDescent="0.45">
      <c r="A3592" t="s">
        <v>4206</v>
      </c>
      <c r="B3592" t="s">
        <v>4199</v>
      </c>
      <c r="C3592" t="s">
        <v>3983</v>
      </c>
      <c r="D3592" t="s">
        <v>18</v>
      </c>
      <c r="E3592" t="s">
        <v>148</v>
      </c>
      <c r="F3592">
        <v>1</v>
      </c>
      <c r="G3592">
        <v>82.99</v>
      </c>
      <c r="H3592">
        <v>18.52</v>
      </c>
      <c r="I3592" t="s">
        <v>50</v>
      </c>
      <c r="J3592">
        <v>11</v>
      </c>
      <c r="K3592" t="s">
        <v>51</v>
      </c>
      <c r="L3592">
        <v>5</v>
      </c>
      <c r="M3592" t="str">
        <f>VLOOKUP(D3592,State_Lookup!$A$2:$B$28,2,FALSE)</f>
        <v>Minas Gerais</v>
      </c>
    </row>
    <row r="3593" spans="1:13" x14ac:dyDescent="0.45">
      <c r="A3593" t="s">
        <v>4207</v>
      </c>
      <c r="B3593" t="s">
        <v>4199</v>
      </c>
      <c r="C3593" t="s">
        <v>3983</v>
      </c>
      <c r="D3593" t="s">
        <v>24</v>
      </c>
      <c r="E3593" t="s">
        <v>43</v>
      </c>
      <c r="F3593">
        <v>1</v>
      </c>
      <c r="G3593">
        <v>14.9</v>
      </c>
      <c r="H3593">
        <v>19.32</v>
      </c>
      <c r="I3593" t="s">
        <v>44</v>
      </c>
      <c r="J3593">
        <v>15</v>
      </c>
      <c r="K3593" t="s">
        <v>51</v>
      </c>
      <c r="L3593">
        <v>5</v>
      </c>
      <c r="M3593" t="str">
        <f>VLOOKUP(D3593,State_Lookup!$A$2:$B$28,2,FALSE)</f>
        <v>Distrito Federal</v>
      </c>
    </row>
    <row r="3594" spans="1:13" x14ac:dyDescent="0.45">
      <c r="A3594" t="s">
        <v>4208</v>
      </c>
      <c r="B3594" t="s">
        <v>4199</v>
      </c>
      <c r="C3594" t="s">
        <v>3983</v>
      </c>
      <c r="D3594" t="s">
        <v>16</v>
      </c>
      <c r="E3594" t="s">
        <v>125</v>
      </c>
      <c r="F3594">
        <v>1</v>
      </c>
      <c r="G3594">
        <v>30</v>
      </c>
      <c r="H3594">
        <v>8.2899999999999991</v>
      </c>
      <c r="I3594" t="s">
        <v>44</v>
      </c>
      <c r="J3594">
        <v>6</v>
      </c>
      <c r="K3594" t="s">
        <v>51</v>
      </c>
      <c r="L3594">
        <v>5</v>
      </c>
      <c r="M3594" t="str">
        <f>VLOOKUP(D3594,State_Lookup!$A$2:$B$28,2,FALSE)</f>
        <v>Sao Paulo</v>
      </c>
    </row>
    <row r="3595" spans="1:13" x14ac:dyDescent="0.45">
      <c r="A3595" t="s">
        <v>4209</v>
      </c>
      <c r="B3595" t="s">
        <v>4199</v>
      </c>
      <c r="C3595" t="s">
        <v>3983</v>
      </c>
      <c r="D3595" t="s">
        <v>17</v>
      </c>
      <c r="E3595" t="s">
        <v>79</v>
      </c>
      <c r="F3595">
        <v>1</v>
      </c>
      <c r="G3595">
        <v>9.4</v>
      </c>
      <c r="H3595">
        <v>7.55</v>
      </c>
      <c r="I3595" t="s">
        <v>44</v>
      </c>
      <c r="J3595">
        <v>3</v>
      </c>
      <c r="K3595" t="s">
        <v>51</v>
      </c>
      <c r="L3595">
        <v>5</v>
      </c>
      <c r="M3595" t="str">
        <f>VLOOKUP(D3595,State_Lookup!$A$2:$B$28,2,FALSE)</f>
        <v>Rio de Janeiro</v>
      </c>
    </row>
    <row r="3596" spans="1:13" x14ac:dyDescent="0.45">
      <c r="A3596" t="s">
        <v>4210</v>
      </c>
      <c r="B3596" t="s">
        <v>4199</v>
      </c>
      <c r="C3596" t="s">
        <v>3983</v>
      </c>
      <c r="D3596" t="s">
        <v>17</v>
      </c>
      <c r="E3596" t="s">
        <v>157</v>
      </c>
      <c r="F3596">
        <v>1</v>
      </c>
      <c r="G3596">
        <v>579</v>
      </c>
      <c r="H3596">
        <v>25.76</v>
      </c>
      <c r="I3596" t="s">
        <v>44</v>
      </c>
      <c r="J3596">
        <v>11</v>
      </c>
      <c r="K3596" t="s">
        <v>51</v>
      </c>
      <c r="L3596">
        <v>5</v>
      </c>
      <c r="M3596" t="str">
        <f>VLOOKUP(D3596,State_Lookup!$A$2:$B$28,2,FALSE)</f>
        <v>Rio de Janeiro</v>
      </c>
    </row>
    <row r="3597" spans="1:13" x14ac:dyDescent="0.45">
      <c r="A3597" t="s">
        <v>4211</v>
      </c>
      <c r="B3597" t="s">
        <v>4199</v>
      </c>
      <c r="C3597" t="s">
        <v>3983</v>
      </c>
      <c r="D3597" t="s">
        <v>18</v>
      </c>
      <c r="E3597" t="s">
        <v>157</v>
      </c>
      <c r="F3597">
        <v>1</v>
      </c>
      <c r="G3597">
        <v>110</v>
      </c>
      <c r="H3597">
        <v>0</v>
      </c>
      <c r="I3597" t="s">
        <v>44</v>
      </c>
      <c r="J3597">
        <v>11</v>
      </c>
      <c r="K3597" t="s">
        <v>51</v>
      </c>
      <c r="L3597">
        <v>5</v>
      </c>
      <c r="M3597" t="str">
        <f>VLOOKUP(D3597,State_Lookup!$A$2:$B$28,2,FALSE)</f>
        <v>Minas Gerais</v>
      </c>
    </row>
    <row r="3598" spans="1:13" x14ac:dyDescent="0.45">
      <c r="A3598" t="s">
        <v>4212</v>
      </c>
      <c r="B3598" t="s">
        <v>4199</v>
      </c>
      <c r="C3598" t="s">
        <v>3983</v>
      </c>
      <c r="D3598" t="s">
        <v>487</v>
      </c>
      <c r="E3598" t="s">
        <v>61</v>
      </c>
      <c r="F3598">
        <v>2</v>
      </c>
      <c r="G3598">
        <v>159.80000000000001</v>
      </c>
      <c r="H3598">
        <v>46.12</v>
      </c>
      <c r="I3598" t="s">
        <v>44</v>
      </c>
      <c r="J3598">
        <v>10</v>
      </c>
      <c r="K3598" t="s">
        <v>51</v>
      </c>
      <c r="L3598">
        <v>1</v>
      </c>
      <c r="M3598" t="str">
        <f>VLOOKUP(D3598,State_Lookup!$A$2:$B$28,2,FALSE)</f>
        <v>Rio Grande do Norte</v>
      </c>
    </row>
    <row r="3599" spans="1:13" x14ac:dyDescent="0.45">
      <c r="A3599" t="s">
        <v>4213</v>
      </c>
      <c r="B3599" t="s">
        <v>4199</v>
      </c>
      <c r="C3599" t="s">
        <v>3983</v>
      </c>
      <c r="D3599" t="s">
        <v>16</v>
      </c>
      <c r="E3599" t="s">
        <v>103</v>
      </c>
      <c r="F3599">
        <v>1</v>
      </c>
      <c r="G3599">
        <v>109.9</v>
      </c>
      <c r="H3599">
        <v>18.350000000000001</v>
      </c>
      <c r="I3599" t="s">
        <v>44</v>
      </c>
      <c r="J3599">
        <v>6</v>
      </c>
      <c r="K3599" t="s">
        <v>51</v>
      </c>
      <c r="L3599">
        <v>5</v>
      </c>
      <c r="M3599" t="str">
        <f>VLOOKUP(D3599,State_Lookup!$A$2:$B$28,2,FALSE)</f>
        <v>Sao Paulo</v>
      </c>
    </row>
    <row r="3600" spans="1:13" x14ac:dyDescent="0.45">
      <c r="A3600" t="s">
        <v>4214</v>
      </c>
      <c r="B3600" t="s">
        <v>4199</v>
      </c>
      <c r="C3600" t="s">
        <v>3983</v>
      </c>
      <c r="D3600" t="s">
        <v>24</v>
      </c>
      <c r="E3600" t="s">
        <v>366</v>
      </c>
      <c r="F3600">
        <v>1</v>
      </c>
      <c r="G3600">
        <v>52</v>
      </c>
      <c r="H3600">
        <v>22.94</v>
      </c>
      <c r="I3600" t="s">
        <v>44</v>
      </c>
      <c r="J3600">
        <v>20</v>
      </c>
      <c r="K3600" t="s">
        <v>143</v>
      </c>
      <c r="L3600">
        <v>4</v>
      </c>
      <c r="M3600" t="str">
        <f>VLOOKUP(D3600,State_Lookup!$A$2:$B$28,2,FALSE)</f>
        <v>Distrito Federal</v>
      </c>
    </row>
    <row r="3601" spans="1:13" x14ac:dyDescent="0.45">
      <c r="A3601" t="s">
        <v>4215</v>
      </c>
      <c r="B3601" t="s">
        <v>4199</v>
      </c>
      <c r="C3601" t="s">
        <v>3983</v>
      </c>
      <c r="D3601" t="s">
        <v>19</v>
      </c>
      <c r="E3601" t="s">
        <v>43</v>
      </c>
      <c r="F3601">
        <v>1</v>
      </c>
      <c r="G3601">
        <v>230</v>
      </c>
      <c r="H3601">
        <v>19.95</v>
      </c>
      <c r="I3601" t="s">
        <v>50</v>
      </c>
      <c r="J3601">
        <v>8</v>
      </c>
      <c r="K3601" t="s">
        <v>51</v>
      </c>
      <c r="L3601">
        <v>5</v>
      </c>
      <c r="M3601" t="str">
        <f>VLOOKUP(D3601,State_Lookup!$A$2:$B$28,2,FALSE)</f>
        <v>Rio Grande do Sul</v>
      </c>
    </row>
    <row r="3602" spans="1:13" x14ac:dyDescent="0.45">
      <c r="A3602" t="s">
        <v>4216</v>
      </c>
      <c r="B3602" t="s">
        <v>4199</v>
      </c>
      <c r="C3602" t="s">
        <v>3983</v>
      </c>
      <c r="D3602" t="s">
        <v>63</v>
      </c>
      <c r="E3602" t="s">
        <v>69</v>
      </c>
      <c r="F3602">
        <v>1</v>
      </c>
      <c r="G3602">
        <v>500</v>
      </c>
      <c r="H3602">
        <v>40.19</v>
      </c>
      <c r="I3602" t="s">
        <v>44</v>
      </c>
      <c r="J3602">
        <v>20</v>
      </c>
      <c r="K3602" t="s">
        <v>51</v>
      </c>
      <c r="L3602">
        <v>4</v>
      </c>
      <c r="M3602" t="str">
        <f>VLOOKUP(D3602,State_Lookup!$A$2:$B$28,2,FALSE)</f>
        <v>Pernambuco</v>
      </c>
    </row>
    <row r="3603" spans="1:13" x14ac:dyDescent="0.45">
      <c r="A3603" t="s">
        <v>4217</v>
      </c>
      <c r="B3603" t="s">
        <v>4199</v>
      </c>
      <c r="C3603" t="s">
        <v>3983</v>
      </c>
      <c r="D3603" t="s">
        <v>18</v>
      </c>
      <c r="E3603" t="s">
        <v>49</v>
      </c>
      <c r="F3603">
        <v>1</v>
      </c>
      <c r="G3603">
        <v>179</v>
      </c>
      <c r="H3603">
        <v>19.13</v>
      </c>
      <c r="I3603" t="s">
        <v>44</v>
      </c>
      <c r="J3603">
        <v>12</v>
      </c>
      <c r="K3603" t="s">
        <v>51</v>
      </c>
      <c r="L3603">
        <v>5</v>
      </c>
      <c r="M3603" t="str">
        <f>VLOOKUP(D3603,State_Lookup!$A$2:$B$28,2,FALSE)</f>
        <v>Minas Gerais</v>
      </c>
    </row>
    <row r="3604" spans="1:13" x14ac:dyDescent="0.45">
      <c r="A3604" t="s">
        <v>4218</v>
      </c>
      <c r="B3604" t="s">
        <v>4199</v>
      </c>
      <c r="C3604" t="s">
        <v>3983</v>
      </c>
      <c r="D3604" t="s">
        <v>16</v>
      </c>
      <c r="E3604" t="s">
        <v>66</v>
      </c>
      <c r="F3604">
        <v>1</v>
      </c>
      <c r="G3604">
        <v>385</v>
      </c>
      <c r="H3604">
        <v>10.46</v>
      </c>
      <c r="I3604" t="s">
        <v>44</v>
      </c>
      <c r="J3604">
        <v>8</v>
      </c>
      <c r="K3604" t="s">
        <v>51</v>
      </c>
      <c r="L3604">
        <v>5</v>
      </c>
      <c r="M3604" t="str">
        <f>VLOOKUP(D3604,State_Lookup!$A$2:$B$28,2,FALSE)</f>
        <v>Sao Paulo</v>
      </c>
    </row>
    <row r="3605" spans="1:13" x14ac:dyDescent="0.45">
      <c r="A3605" t="s">
        <v>4219</v>
      </c>
      <c r="B3605" t="s">
        <v>4199</v>
      </c>
      <c r="C3605" t="s">
        <v>3983</v>
      </c>
      <c r="D3605" t="s">
        <v>16</v>
      </c>
      <c r="E3605" t="s">
        <v>43</v>
      </c>
      <c r="F3605">
        <v>1</v>
      </c>
      <c r="G3605">
        <v>24.9</v>
      </c>
      <c r="H3605">
        <v>14.44</v>
      </c>
      <c r="I3605" t="s">
        <v>50</v>
      </c>
      <c r="J3605">
        <v>7</v>
      </c>
      <c r="K3605" t="s">
        <v>51</v>
      </c>
      <c r="L3605">
        <v>5</v>
      </c>
      <c r="M3605" t="str">
        <f>VLOOKUP(D3605,State_Lookup!$A$2:$B$28,2,FALSE)</f>
        <v>Sao Paulo</v>
      </c>
    </row>
    <row r="3606" spans="1:13" x14ac:dyDescent="0.45">
      <c r="A3606" t="s">
        <v>4220</v>
      </c>
      <c r="B3606" t="s">
        <v>4199</v>
      </c>
      <c r="C3606" t="s">
        <v>3983</v>
      </c>
      <c r="D3606" t="s">
        <v>16</v>
      </c>
      <c r="E3606" t="s">
        <v>53</v>
      </c>
      <c r="F3606">
        <v>1</v>
      </c>
      <c r="G3606">
        <v>12.99</v>
      </c>
      <c r="H3606">
        <v>7.39</v>
      </c>
      <c r="I3606" t="s">
        <v>44</v>
      </c>
      <c r="J3606">
        <v>4</v>
      </c>
      <c r="K3606" t="s">
        <v>51</v>
      </c>
      <c r="L3606">
        <v>5</v>
      </c>
      <c r="M3606" t="str">
        <f>VLOOKUP(D3606,State_Lookup!$A$2:$B$28,2,FALSE)</f>
        <v>Sao Paulo</v>
      </c>
    </row>
    <row r="3607" spans="1:13" x14ac:dyDescent="0.45">
      <c r="A3607" t="s">
        <v>4221</v>
      </c>
      <c r="B3607" t="s">
        <v>4222</v>
      </c>
      <c r="C3607" t="s">
        <v>3983</v>
      </c>
      <c r="D3607" t="s">
        <v>16</v>
      </c>
      <c r="E3607" t="s">
        <v>61</v>
      </c>
      <c r="F3607">
        <v>1</v>
      </c>
      <c r="G3607">
        <v>177.9</v>
      </c>
      <c r="H3607">
        <v>17.96</v>
      </c>
      <c r="I3607" t="s">
        <v>44</v>
      </c>
      <c r="J3607">
        <v>10</v>
      </c>
      <c r="K3607" t="s">
        <v>51</v>
      </c>
      <c r="L3607">
        <v>3</v>
      </c>
      <c r="M3607" t="str">
        <f>VLOOKUP(D3607,State_Lookup!$A$2:$B$28,2,FALSE)</f>
        <v>Sao Paulo</v>
      </c>
    </row>
    <row r="3608" spans="1:13" x14ac:dyDescent="0.45">
      <c r="A3608" t="s">
        <v>4223</v>
      </c>
      <c r="B3608" t="s">
        <v>4222</v>
      </c>
      <c r="C3608" t="s">
        <v>3983</v>
      </c>
      <c r="D3608" t="s">
        <v>16</v>
      </c>
      <c r="E3608" t="s">
        <v>79</v>
      </c>
      <c r="F3608">
        <v>1</v>
      </c>
      <c r="G3608">
        <v>58.9</v>
      </c>
      <c r="H3608">
        <v>7.39</v>
      </c>
      <c r="I3608" t="s">
        <v>44</v>
      </c>
      <c r="J3608">
        <v>3</v>
      </c>
      <c r="K3608" t="s">
        <v>51</v>
      </c>
      <c r="L3608">
        <v>5</v>
      </c>
      <c r="M3608" t="str">
        <f>VLOOKUP(D3608,State_Lookup!$A$2:$B$28,2,FALSE)</f>
        <v>Sao Paulo</v>
      </c>
    </row>
    <row r="3609" spans="1:13" x14ac:dyDescent="0.45">
      <c r="A3609" t="s">
        <v>4224</v>
      </c>
      <c r="B3609" t="s">
        <v>4222</v>
      </c>
      <c r="C3609" t="s">
        <v>3983</v>
      </c>
      <c r="D3609" t="s">
        <v>16</v>
      </c>
      <c r="E3609" t="s">
        <v>110</v>
      </c>
      <c r="F3609">
        <v>1</v>
      </c>
      <c r="G3609">
        <v>75.260000000000005</v>
      </c>
      <c r="H3609">
        <v>14.62</v>
      </c>
      <c r="I3609" t="s">
        <v>44</v>
      </c>
      <c r="J3609">
        <v>6</v>
      </c>
      <c r="K3609" t="s">
        <v>51</v>
      </c>
      <c r="L3609">
        <v>5</v>
      </c>
      <c r="M3609" t="str">
        <f>VLOOKUP(D3609,State_Lookup!$A$2:$B$28,2,FALSE)</f>
        <v>Sao Paulo</v>
      </c>
    </row>
    <row r="3610" spans="1:13" x14ac:dyDescent="0.45">
      <c r="A3610" t="s">
        <v>4225</v>
      </c>
      <c r="B3610" t="s">
        <v>4222</v>
      </c>
      <c r="C3610" t="s">
        <v>3983</v>
      </c>
      <c r="D3610" t="s">
        <v>16</v>
      </c>
      <c r="E3610" t="s">
        <v>118</v>
      </c>
      <c r="F3610">
        <v>1</v>
      </c>
      <c r="G3610">
        <v>99.9</v>
      </c>
      <c r="H3610">
        <v>14.79</v>
      </c>
      <c r="I3610" t="s">
        <v>44</v>
      </c>
      <c r="J3610">
        <v>16</v>
      </c>
      <c r="K3610" t="s">
        <v>51</v>
      </c>
      <c r="L3610">
        <v>4</v>
      </c>
      <c r="M3610" t="str">
        <f>VLOOKUP(D3610,State_Lookup!$A$2:$B$28,2,FALSE)</f>
        <v>Sao Paulo</v>
      </c>
    </row>
    <row r="3611" spans="1:13" x14ac:dyDescent="0.45">
      <c r="A3611" t="s">
        <v>4226</v>
      </c>
      <c r="B3611" t="s">
        <v>4222</v>
      </c>
      <c r="C3611" t="s">
        <v>3983</v>
      </c>
      <c r="D3611" t="s">
        <v>24</v>
      </c>
      <c r="E3611" t="s">
        <v>66</v>
      </c>
      <c r="F3611">
        <v>1</v>
      </c>
      <c r="G3611">
        <v>29.99</v>
      </c>
      <c r="H3611">
        <v>15.23</v>
      </c>
      <c r="I3611" t="s">
        <v>108</v>
      </c>
      <c r="J3611">
        <v>10</v>
      </c>
      <c r="K3611" t="s">
        <v>51</v>
      </c>
      <c r="L3611">
        <v>3</v>
      </c>
      <c r="M3611" t="str">
        <f>VLOOKUP(D3611,State_Lookup!$A$2:$B$28,2,FALSE)</f>
        <v>Distrito Federal</v>
      </c>
    </row>
    <row r="3612" spans="1:13" x14ac:dyDescent="0.45">
      <c r="A3612" t="s">
        <v>4227</v>
      </c>
      <c r="B3612" t="s">
        <v>4222</v>
      </c>
      <c r="C3612" t="s">
        <v>3983</v>
      </c>
      <c r="D3612" t="s">
        <v>16</v>
      </c>
      <c r="E3612" t="s">
        <v>79</v>
      </c>
      <c r="F3612">
        <v>1</v>
      </c>
      <c r="G3612">
        <v>529.9</v>
      </c>
      <c r="H3612">
        <v>21.59</v>
      </c>
      <c r="I3612" t="s">
        <v>44</v>
      </c>
      <c r="J3612">
        <v>10</v>
      </c>
      <c r="K3612" t="s">
        <v>51</v>
      </c>
      <c r="L3612">
        <v>5</v>
      </c>
      <c r="M3612" t="str">
        <f>VLOOKUP(D3612,State_Lookup!$A$2:$B$28,2,FALSE)</f>
        <v>Sao Paulo</v>
      </c>
    </row>
    <row r="3613" spans="1:13" x14ac:dyDescent="0.45">
      <c r="A3613" t="s">
        <v>4228</v>
      </c>
      <c r="B3613" t="s">
        <v>4222</v>
      </c>
      <c r="C3613" t="s">
        <v>3983</v>
      </c>
      <c r="D3613" t="s">
        <v>16</v>
      </c>
      <c r="E3613" t="s">
        <v>220</v>
      </c>
      <c r="F3613">
        <v>1</v>
      </c>
      <c r="G3613">
        <v>116.94</v>
      </c>
      <c r="H3613">
        <v>16.690000000000001</v>
      </c>
      <c r="I3613" t="s">
        <v>44</v>
      </c>
      <c r="J3613">
        <v>14</v>
      </c>
      <c r="K3613" t="s">
        <v>51</v>
      </c>
      <c r="L3613">
        <v>4</v>
      </c>
      <c r="M3613" t="str">
        <f>VLOOKUP(D3613,State_Lookup!$A$2:$B$28,2,FALSE)</f>
        <v>Sao Paulo</v>
      </c>
    </row>
    <row r="3614" spans="1:13" x14ac:dyDescent="0.45">
      <c r="A3614" t="s">
        <v>4229</v>
      </c>
      <c r="B3614" t="s">
        <v>4222</v>
      </c>
      <c r="C3614" t="s">
        <v>3983</v>
      </c>
      <c r="D3614" t="s">
        <v>16</v>
      </c>
      <c r="E3614" t="s">
        <v>157</v>
      </c>
      <c r="F3614">
        <v>1</v>
      </c>
      <c r="G3614">
        <v>106.9</v>
      </c>
      <c r="H3614">
        <v>0</v>
      </c>
      <c r="I3614" t="s">
        <v>44</v>
      </c>
      <c r="J3614">
        <v>10</v>
      </c>
      <c r="K3614" t="s">
        <v>51</v>
      </c>
      <c r="L3614">
        <v>5</v>
      </c>
      <c r="M3614" t="str">
        <f>VLOOKUP(D3614,State_Lookup!$A$2:$B$28,2,FALSE)</f>
        <v>Sao Paulo</v>
      </c>
    </row>
    <row r="3615" spans="1:13" x14ac:dyDescent="0.45">
      <c r="A3615" t="s">
        <v>4230</v>
      </c>
      <c r="B3615" t="s">
        <v>4222</v>
      </c>
      <c r="C3615" t="s">
        <v>3983</v>
      </c>
      <c r="D3615" t="s">
        <v>24</v>
      </c>
      <c r="E3615" t="s">
        <v>125</v>
      </c>
      <c r="F3615">
        <v>1</v>
      </c>
      <c r="G3615">
        <v>12.25</v>
      </c>
      <c r="H3615">
        <v>15.23</v>
      </c>
      <c r="I3615" t="s">
        <v>44</v>
      </c>
      <c r="J3615">
        <v>12</v>
      </c>
      <c r="K3615" t="s">
        <v>51</v>
      </c>
      <c r="L3615">
        <v>5</v>
      </c>
      <c r="M3615" t="str">
        <f>VLOOKUP(D3615,State_Lookup!$A$2:$B$28,2,FALSE)</f>
        <v>Distrito Federal</v>
      </c>
    </row>
    <row r="3616" spans="1:13" x14ac:dyDescent="0.45">
      <c r="A3616" t="s">
        <v>4231</v>
      </c>
      <c r="B3616" t="s">
        <v>4222</v>
      </c>
      <c r="C3616" t="s">
        <v>3983</v>
      </c>
      <c r="D3616" t="s">
        <v>25</v>
      </c>
      <c r="E3616" t="s">
        <v>107</v>
      </c>
      <c r="F3616">
        <v>1</v>
      </c>
      <c r="G3616">
        <v>38.9</v>
      </c>
      <c r="H3616">
        <v>18.23</v>
      </c>
      <c r="I3616" t="s">
        <v>44</v>
      </c>
      <c r="J3616">
        <v>12</v>
      </c>
      <c r="K3616" t="s">
        <v>51</v>
      </c>
      <c r="L3616">
        <v>5</v>
      </c>
      <c r="M3616" t="str">
        <f>VLOOKUP(D3616,State_Lookup!$A$2:$B$28,2,FALSE)</f>
        <v>Goias</v>
      </c>
    </row>
    <row r="3617" spans="1:13" x14ac:dyDescent="0.45">
      <c r="A3617" t="s">
        <v>4232</v>
      </c>
      <c r="B3617" t="s">
        <v>4233</v>
      </c>
      <c r="C3617" t="s">
        <v>3983</v>
      </c>
      <c r="D3617" t="s">
        <v>487</v>
      </c>
      <c r="E3617" t="s">
        <v>110</v>
      </c>
      <c r="F3617">
        <v>1</v>
      </c>
      <c r="G3617">
        <v>34.99</v>
      </c>
      <c r="H3617">
        <v>50.85</v>
      </c>
      <c r="I3617" t="s">
        <v>44</v>
      </c>
      <c r="J3617">
        <v>16</v>
      </c>
      <c r="K3617" t="s">
        <v>51</v>
      </c>
      <c r="L3617">
        <v>5</v>
      </c>
      <c r="M3617" t="str">
        <f>VLOOKUP(D3617,State_Lookup!$A$2:$B$28,2,FALSE)</f>
        <v>Rio Grande do Norte</v>
      </c>
    </row>
    <row r="3618" spans="1:13" x14ac:dyDescent="0.45">
      <c r="A3618" t="s">
        <v>4234</v>
      </c>
      <c r="B3618" t="s">
        <v>4233</v>
      </c>
      <c r="C3618" t="s">
        <v>3983</v>
      </c>
      <c r="D3618" t="s">
        <v>17</v>
      </c>
      <c r="E3618" t="s">
        <v>53</v>
      </c>
      <c r="F3618">
        <v>1</v>
      </c>
      <c r="G3618">
        <v>57.99</v>
      </c>
      <c r="H3618">
        <v>18.29</v>
      </c>
      <c r="I3618" t="s">
        <v>44</v>
      </c>
      <c r="J3618">
        <v>19</v>
      </c>
      <c r="K3618" t="s">
        <v>51</v>
      </c>
      <c r="L3618">
        <v>4</v>
      </c>
      <c r="M3618" t="str">
        <f>VLOOKUP(D3618,State_Lookup!$A$2:$B$28,2,FALSE)</f>
        <v>Rio de Janeiro</v>
      </c>
    </row>
    <row r="3619" spans="1:13" x14ac:dyDescent="0.45">
      <c r="A3619" t="s">
        <v>4235</v>
      </c>
      <c r="B3619" t="s">
        <v>4233</v>
      </c>
      <c r="C3619" t="s">
        <v>3983</v>
      </c>
      <c r="D3619" t="s">
        <v>18</v>
      </c>
      <c r="E3619" t="s">
        <v>132</v>
      </c>
      <c r="F3619">
        <v>1</v>
      </c>
      <c r="G3619">
        <v>39.99</v>
      </c>
      <c r="H3619">
        <v>15.23</v>
      </c>
      <c r="I3619" t="s">
        <v>44</v>
      </c>
      <c r="J3619">
        <v>5</v>
      </c>
      <c r="K3619" t="s">
        <v>51</v>
      </c>
      <c r="L3619">
        <v>5</v>
      </c>
      <c r="M3619" t="str">
        <f>VLOOKUP(D3619,State_Lookup!$A$2:$B$28,2,FALSE)</f>
        <v>Minas Gerais</v>
      </c>
    </row>
    <row r="3620" spans="1:13" x14ac:dyDescent="0.45">
      <c r="A3620" t="s">
        <v>4236</v>
      </c>
      <c r="B3620" t="s">
        <v>4233</v>
      </c>
      <c r="C3620" t="s">
        <v>3983</v>
      </c>
      <c r="D3620" t="s">
        <v>16</v>
      </c>
      <c r="E3620" t="s">
        <v>61</v>
      </c>
      <c r="F3620">
        <v>1</v>
      </c>
      <c r="G3620">
        <v>59.9</v>
      </c>
      <c r="H3620">
        <v>14.51</v>
      </c>
      <c r="I3620" t="s">
        <v>44</v>
      </c>
      <c r="J3620">
        <v>8</v>
      </c>
      <c r="K3620" t="s">
        <v>51</v>
      </c>
      <c r="L3620">
        <v>3</v>
      </c>
      <c r="M3620" t="str">
        <f>VLOOKUP(D3620,State_Lookup!$A$2:$B$28,2,FALSE)</f>
        <v>Sao Paulo</v>
      </c>
    </row>
    <row r="3621" spans="1:13" x14ac:dyDescent="0.45">
      <c r="A3621" t="s">
        <v>4237</v>
      </c>
      <c r="B3621" t="s">
        <v>4233</v>
      </c>
      <c r="C3621" t="s">
        <v>3983</v>
      </c>
      <c r="D3621" t="s">
        <v>23</v>
      </c>
      <c r="E3621" t="s">
        <v>107</v>
      </c>
      <c r="F3621">
        <v>1</v>
      </c>
      <c r="G3621">
        <v>27.9</v>
      </c>
      <c r="H3621">
        <v>19.32</v>
      </c>
      <c r="I3621" t="s">
        <v>44</v>
      </c>
      <c r="J3621">
        <v>16</v>
      </c>
      <c r="K3621" t="s">
        <v>51</v>
      </c>
      <c r="L3621">
        <v>1</v>
      </c>
      <c r="M3621" t="str">
        <f>VLOOKUP(D3621,State_Lookup!$A$2:$B$28,2,FALSE)</f>
        <v>Espirito Santo</v>
      </c>
    </row>
    <row r="3622" spans="1:13" x14ac:dyDescent="0.45">
      <c r="A3622" t="s">
        <v>4238</v>
      </c>
      <c r="B3622" t="s">
        <v>4233</v>
      </c>
      <c r="C3622" t="s">
        <v>3983</v>
      </c>
      <c r="D3622" t="s">
        <v>18</v>
      </c>
      <c r="E3622" t="s">
        <v>61</v>
      </c>
      <c r="F3622">
        <v>1</v>
      </c>
      <c r="G3622">
        <v>19.899999999999999</v>
      </c>
      <c r="H3622">
        <v>17.059999999999999</v>
      </c>
      <c r="I3622" t="s">
        <v>50</v>
      </c>
      <c r="J3622">
        <v>11</v>
      </c>
      <c r="K3622" t="s">
        <v>51</v>
      </c>
      <c r="L3622">
        <v>3</v>
      </c>
      <c r="M3622" t="str">
        <f>VLOOKUP(D3622,State_Lookup!$A$2:$B$28,2,FALSE)</f>
        <v>Minas Gerais</v>
      </c>
    </row>
    <row r="3623" spans="1:13" x14ac:dyDescent="0.45">
      <c r="A3623" t="s">
        <v>4239</v>
      </c>
      <c r="B3623" t="s">
        <v>4240</v>
      </c>
      <c r="C3623" t="s">
        <v>3983</v>
      </c>
      <c r="D3623" t="s">
        <v>20</v>
      </c>
      <c r="E3623" t="s">
        <v>79</v>
      </c>
      <c r="F3623">
        <v>2</v>
      </c>
      <c r="G3623">
        <v>105.98</v>
      </c>
      <c r="H3623">
        <v>28.9</v>
      </c>
      <c r="I3623" t="s">
        <v>44</v>
      </c>
      <c r="J3623">
        <v>3</v>
      </c>
      <c r="K3623" t="s">
        <v>51</v>
      </c>
      <c r="L3623">
        <v>5</v>
      </c>
      <c r="M3623" t="str">
        <f>VLOOKUP(D3623,State_Lookup!$A$2:$B$28,2,FALSE)</f>
        <v>Parana</v>
      </c>
    </row>
    <row r="3624" spans="1:13" x14ac:dyDescent="0.45">
      <c r="A3624" t="s">
        <v>4241</v>
      </c>
      <c r="B3624" t="s">
        <v>4240</v>
      </c>
      <c r="C3624" t="s">
        <v>3983</v>
      </c>
      <c r="D3624" t="s">
        <v>16</v>
      </c>
      <c r="E3624" t="s">
        <v>49</v>
      </c>
      <c r="F3624">
        <v>1</v>
      </c>
      <c r="G3624">
        <v>46.99</v>
      </c>
      <c r="H3624">
        <v>12.79</v>
      </c>
      <c r="I3624" t="s">
        <v>44</v>
      </c>
      <c r="J3624">
        <v>5</v>
      </c>
      <c r="K3624" t="s">
        <v>51</v>
      </c>
      <c r="L3624">
        <v>5</v>
      </c>
      <c r="M3624" t="str">
        <f>VLOOKUP(D3624,State_Lookup!$A$2:$B$28,2,FALSE)</f>
        <v>Sao Paulo</v>
      </c>
    </row>
    <row r="3625" spans="1:13" x14ac:dyDescent="0.45">
      <c r="A3625" t="s">
        <v>4242</v>
      </c>
      <c r="B3625" t="s">
        <v>4240</v>
      </c>
      <c r="C3625" t="s">
        <v>3983</v>
      </c>
      <c r="D3625" t="s">
        <v>16</v>
      </c>
      <c r="E3625" t="s">
        <v>244</v>
      </c>
      <c r="F3625">
        <v>1</v>
      </c>
      <c r="G3625">
        <v>65.900000000000006</v>
      </c>
      <c r="H3625">
        <v>8.8800000000000008</v>
      </c>
      <c r="I3625" t="s">
        <v>44</v>
      </c>
      <c r="J3625">
        <v>1</v>
      </c>
      <c r="K3625" t="s">
        <v>51</v>
      </c>
      <c r="L3625">
        <v>4</v>
      </c>
      <c r="M3625" t="str">
        <f>VLOOKUP(D3625,State_Lookup!$A$2:$B$28,2,FALSE)</f>
        <v>Sao Paulo</v>
      </c>
    </row>
    <row r="3626" spans="1:13" x14ac:dyDescent="0.45">
      <c r="A3626" t="s">
        <v>4243</v>
      </c>
      <c r="B3626" t="s">
        <v>4240</v>
      </c>
      <c r="C3626" t="s">
        <v>3983</v>
      </c>
      <c r="D3626" t="s">
        <v>16</v>
      </c>
      <c r="E3626" t="s">
        <v>43</v>
      </c>
      <c r="F3626">
        <v>6</v>
      </c>
      <c r="G3626">
        <v>285</v>
      </c>
      <c r="H3626">
        <v>84.66</v>
      </c>
      <c r="I3626" t="s">
        <v>44</v>
      </c>
      <c r="J3626">
        <v>4</v>
      </c>
      <c r="K3626" t="s">
        <v>51</v>
      </c>
      <c r="L3626">
        <v>1</v>
      </c>
      <c r="M3626" t="str">
        <f>VLOOKUP(D3626,State_Lookup!$A$2:$B$28,2,FALSE)</f>
        <v>Sao Paulo</v>
      </c>
    </row>
    <row r="3627" spans="1:13" x14ac:dyDescent="0.45">
      <c r="A3627" t="s">
        <v>4244</v>
      </c>
      <c r="B3627" t="s">
        <v>4240</v>
      </c>
      <c r="C3627" t="s">
        <v>3983</v>
      </c>
      <c r="D3627" t="s">
        <v>23</v>
      </c>
      <c r="E3627" t="s">
        <v>142</v>
      </c>
      <c r="F3627">
        <v>1</v>
      </c>
      <c r="G3627">
        <v>233.5</v>
      </c>
      <c r="H3627">
        <v>42.39</v>
      </c>
      <c r="I3627" t="s">
        <v>44</v>
      </c>
      <c r="J3627">
        <v>15</v>
      </c>
      <c r="K3627" t="s">
        <v>51</v>
      </c>
      <c r="L3627">
        <v>4</v>
      </c>
      <c r="M3627" t="str">
        <f>VLOOKUP(D3627,State_Lookup!$A$2:$B$28,2,FALSE)</f>
        <v>Espirito Santo</v>
      </c>
    </row>
    <row r="3628" spans="1:13" x14ac:dyDescent="0.45">
      <c r="A3628" t="s">
        <v>4245</v>
      </c>
      <c r="B3628" t="s">
        <v>4240</v>
      </c>
      <c r="C3628" t="s">
        <v>3983</v>
      </c>
      <c r="D3628" t="s">
        <v>16</v>
      </c>
      <c r="E3628" t="s">
        <v>43</v>
      </c>
      <c r="F3628">
        <v>2</v>
      </c>
      <c r="G3628">
        <v>70</v>
      </c>
      <c r="H3628">
        <v>17.760000000000002</v>
      </c>
      <c r="I3628" t="s">
        <v>44</v>
      </c>
      <c r="J3628">
        <v>3</v>
      </c>
      <c r="K3628" t="s">
        <v>51</v>
      </c>
      <c r="L3628">
        <v>5</v>
      </c>
      <c r="M3628" t="str">
        <f>VLOOKUP(D3628,State_Lookup!$A$2:$B$28,2,FALSE)</f>
        <v>Sao Paulo</v>
      </c>
    </row>
    <row r="3629" spans="1:13" x14ac:dyDescent="0.45">
      <c r="A3629" t="s">
        <v>4246</v>
      </c>
      <c r="B3629" t="s">
        <v>4240</v>
      </c>
      <c r="C3629" t="s">
        <v>3983</v>
      </c>
      <c r="D3629" t="s">
        <v>83</v>
      </c>
      <c r="E3629" t="s">
        <v>79</v>
      </c>
      <c r="F3629">
        <v>1</v>
      </c>
      <c r="G3629">
        <v>64.989999999999995</v>
      </c>
      <c r="H3629">
        <v>15.31</v>
      </c>
      <c r="I3629" t="s">
        <v>50</v>
      </c>
      <c r="J3629">
        <v>33</v>
      </c>
      <c r="K3629" t="s">
        <v>143</v>
      </c>
      <c r="L3629">
        <v>1</v>
      </c>
      <c r="M3629" t="str">
        <f>VLOOKUP(D3629,State_Lookup!$A$2:$B$28,2,FALSE)</f>
        <v>Sergipe</v>
      </c>
    </row>
    <row r="3630" spans="1:13" x14ac:dyDescent="0.45">
      <c r="A3630" t="s">
        <v>4247</v>
      </c>
      <c r="B3630" t="s">
        <v>4240</v>
      </c>
      <c r="C3630" t="s">
        <v>3983</v>
      </c>
      <c r="D3630" t="s">
        <v>23</v>
      </c>
      <c r="E3630" t="s">
        <v>142</v>
      </c>
      <c r="F3630">
        <v>1</v>
      </c>
      <c r="G3630">
        <v>18.989999999999998</v>
      </c>
      <c r="H3630">
        <v>15.23</v>
      </c>
      <c r="I3630" t="s">
        <v>44</v>
      </c>
      <c r="J3630">
        <v>38</v>
      </c>
      <c r="K3630" t="s">
        <v>143</v>
      </c>
      <c r="L3630">
        <v>1</v>
      </c>
      <c r="M3630" t="str">
        <f>VLOOKUP(D3630,State_Lookup!$A$2:$B$28,2,FALSE)</f>
        <v>Espirito Santo</v>
      </c>
    </row>
    <row r="3631" spans="1:13" x14ac:dyDescent="0.45">
      <c r="A3631" t="s">
        <v>4248</v>
      </c>
      <c r="B3631" t="s">
        <v>4249</v>
      </c>
      <c r="C3631" t="s">
        <v>3983</v>
      </c>
      <c r="D3631" t="s">
        <v>20</v>
      </c>
      <c r="E3631" t="s">
        <v>1935</v>
      </c>
      <c r="F3631">
        <v>1</v>
      </c>
      <c r="G3631">
        <v>65</v>
      </c>
      <c r="H3631">
        <v>19.420000000000002</v>
      </c>
      <c r="I3631" t="s">
        <v>44</v>
      </c>
      <c r="J3631">
        <v>5</v>
      </c>
      <c r="K3631" t="s">
        <v>51</v>
      </c>
      <c r="L3631">
        <v>5</v>
      </c>
      <c r="M3631" t="str">
        <f>VLOOKUP(D3631,State_Lookup!$A$2:$B$28,2,FALSE)</f>
        <v>Parana</v>
      </c>
    </row>
    <row r="3632" spans="1:13" x14ac:dyDescent="0.45">
      <c r="A3632" t="s">
        <v>4250</v>
      </c>
      <c r="B3632" t="s">
        <v>4249</v>
      </c>
      <c r="C3632" t="s">
        <v>3983</v>
      </c>
      <c r="D3632" t="s">
        <v>18</v>
      </c>
      <c r="E3632" t="s">
        <v>103</v>
      </c>
      <c r="F3632">
        <v>1</v>
      </c>
      <c r="G3632">
        <v>239</v>
      </c>
      <c r="H3632">
        <v>20.64</v>
      </c>
      <c r="I3632" t="s">
        <v>44</v>
      </c>
      <c r="J3632">
        <v>21</v>
      </c>
      <c r="K3632" t="s">
        <v>51</v>
      </c>
      <c r="L3632">
        <v>4</v>
      </c>
      <c r="M3632" t="str">
        <f>VLOOKUP(D3632,State_Lookup!$A$2:$B$28,2,FALSE)</f>
        <v>Minas Gerais</v>
      </c>
    </row>
    <row r="3633" spans="1:13" x14ac:dyDescent="0.45">
      <c r="A3633" t="s">
        <v>4251</v>
      </c>
      <c r="B3633" t="s">
        <v>4249</v>
      </c>
      <c r="C3633" t="s">
        <v>3983</v>
      </c>
      <c r="D3633" t="s">
        <v>16</v>
      </c>
      <c r="E3633" t="s">
        <v>53</v>
      </c>
      <c r="F3633">
        <v>2</v>
      </c>
      <c r="G3633">
        <v>36.65</v>
      </c>
      <c r="H3633">
        <v>21.1</v>
      </c>
      <c r="I3633" t="s">
        <v>44</v>
      </c>
      <c r="J3633">
        <v>2</v>
      </c>
      <c r="K3633" t="s">
        <v>51</v>
      </c>
      <c r="L3633">
        <v>5</v>
      </c>
      <c r="M3633" t="str">
        <f>VLOOKUP(D3633,State_Lookup!$A$2:$B$28,2,FALSE)</f>
        <v>Sao Paulo</v>
      </c>
    </row>
    <row r="3634" spans="1:13" x14ac:dyDescent="0.45">
      <c r="A3634" t="s">
        <v>4252</v>
      </c>
      <c r="B3634" t="s">
        <v>4249</v>
      </c>
      <c r="C3634" t="s">
        <v>3983</v>
      </c>
      <c r="D3634" t="s">
        <v>16</v>
      </c>
      <c r="E3634" t="s">
        <v>110</v>
      </c>
      <c r="F3634">
        <v>1</v>
      </c>
      <c r="G3634">
        <v>44.99</v>
      </c>
      <c r="H3634">
        <v>14.44</v>
      </c>
      <c r="I3634" t="s">
        <v>133</v>
      </c>
      <c r="J3634">
        <v>6</v>
      </c>
      <c r="K3634" t="s">
        <v>51</v>
      </c>
      <c r="L3634">
        <v>5</v>
      </c>
      <c r="M3634" t="str">
        <f>VLOOKUP(D3634,State_Lookup!$A$2:$B$28,2,FALSE)</f>
        <v>Sao Paulo</v>
      </c>
    </row>
    <row r="3635" spans="1:13" x14ac:dyDescent="0.45">
      <c r="A3635" t="s">
        <v>4253</v>
      </c>
      <c r="B3635" t="s">
        <v>4249</v>
      </c>
      <c r="C3635" t="s">
        <v>3983</v>
      </c>
      <c r="D3635" t="s">
        <v>16</v>
      </c>
      <c r="E3635" t="s">
        <v>157</v>
      </c>
      <c r="F3635">
        <v>1</v>
      </c>
      <c r="G3635">
        <v>219</v>
      </c>
      <c r="H3635">
        <v>13.97</v>
      </c>
      <c r="I3635" t="s">
        <v>44</v>
      </c>
      <c r="J3635">
        <v>4</v>
      </c>
      <c r="K3635" t="s">
        <v>51</v>
      </c>
      <c r="L3635">
        <v>5</v>
      </c>
      <c r="M3635" t="str">
        <f>VLOOKUP(D3635,State_Lookup!$A$2:$B$28,2,FALSE)</f>
        <v>Sao Paulo</v>
      </c>
    </row>
    <row r="3636" spans="1:13" x14ac:dyDescent="0.45">
      <c r="A3636" t="s">
        <v>4254</v>
      </c>
      <c r="B3636" t="s">
        <v>4249</v>
      </c>
      <c r="C3636" t="s">
        <v>3983</v>
      </c>
      <c r="D3636" t="s">
        <v>17</v>
      </c>
      <c r="E3636" t="s">
        <v>1839</v>
      </c>
      <c r="F3636">
        <v>1</v>
      </c>
      <c r="G3636">
        <v>113.85</v>
      </c>
      <c r="H3636">
        <v>23.38</v>
      </c>
      <c r="I3636" t="s">
        <v>44</v>
      </c>
      <c r="J3636">
        <v>11</v>
      </c>
      <c r="K3636" t="s">
        <v>51</v>
      </c>
      <c r="L3636">
        <v>2</v>
      </c>
      <c r="M3636" t="str">
        <f>VLOOKUP(D3636,State_Lookup!$A$2:$B$28,2,FALSE)</f>
        <v>Rio de Janeiro</v>
      </c>
    </row>
    <row r="3637" spans="1:13" x14ac:dyDescent="0.45">
      <c r="A3637" t="s">
        <v>4255</v>
      </c>
      <c r="B3637" t="s">
        <v>4249</v>
      </c>
      <c r="C3637" t="s">
        <v>3983</v>
      </c>
      <c r="D3637" t="s">
        <v>16</v>
      </c>
      <c r="E3637" t="s">
        <v>173</v>
      </c>
      <c r="F3637">
        <v>1</v>
      </c>
      <c r="G3637">
        <v>115</v>
      </c>
      <c r="H3637">
        <v>18.690000000000001</v>
      </c>
      <c r="I3637" t="s">
        <v>50</v>
      </c>
      <c r="J3637">
        <v>7</v>
      </c>
      <c r="K3637" t="s">
        <v>51</v>
      </c>
      <c r="L3637">
        <v>5</v>
      </c>
      <c r="M3637" t="str">
        <f>VLOOKUP(D3637,State_Lookup!$A$2:$B$28,2,FALSE)</f>
        <v>Sao Paulo</v>
      </c>
    </row>
    <row r="3638" spans="1:13" x14ac:dyDescent="0.45">
      <c r="A3638" t="s">
        <v>4256</v>
      </c>
      <c r="B3638" t="s">
        <v>4249</v>
      </c>
      <c r="C3638" t="s">
        <v>3983</v>
      </c>
      <c r="D3638" t="s">
        <v>24</v>
      </c>
      <c r="E3638" t="s">
        <v>103</v>
      </c>
      <c r="F3638">
        <v>1</v>
      </c>
      <c r="G3638">
        <v>35.9</v>
      </c>
      <c r="H3638">
        <v>16.32</v>
      </c>
      <c r="I3638" t="s">
        <v>44</v>
      </c>
      <c r="J3638">
        <v>9</v>
      </c>
      <c r="K3638" t="s">
        <v>51</v>
      </c>
      <c r="L3638">
        <v>1</v>
      </c>
      <c r="M3638" t="str">
        <f>VLOOKUP(D3638,State_Lookup!$A$2:$B$28,2,FALSE)</f>
        <v>Distrito Federal</v>
      </c>
    </row>
    <row r="3639" spans="1:13" x14ac:dyDescent="0.45">
      <c r="A3639" t="s">
        <v>4257</v>
      </c>
      <c r="B3639" t="s">
        <v>4249</v>
      </c>
      <c r="C3639" t="s">
        <v>3983</v>
      </c>
      <c r="D3639" t="s">
        <v>17</v>
      </c>
      <c r="E3639" t="s">
        <v>152</v>
      </c>
      <c r="F3639">
        <v>1</v>
      </c>
      <c r="G3639">
        <v>37</v>
      </c>
      <c r="H3639">
        <v>15.23</v>
      </c>
      <c r="I3639" t="s">
        <v>44</v>
      </c>
      <c r="J3639">
        <v>9</v>
      </c>
      <c r="K3639" t="s">
        <v>51</v>
      </c>
      <c r="L3639">
        <v>5</v>
      </c>
      <c r="M3639" t="str">
        <f>VLOOKUP(D3639,State_Lookup!$A$2:$B$28,2,FALSE)</f>
        <v>Rio de Janeiro</v>
      </c>
    </row>
    <row r="3640" spans="1:13" x14ac:dyDescent="0.45">
      <c r="A3640" t="s">
        <v>4258</v>
      </c>
      <c r="B3640" t="s">
        <v>4249</v>
      </c>
      <c r="C3640" t="s">
        <v>3983</v>
      </c>
      <c r="D3640" t="s">
        <v>16</v>
      </c>
      <c r="E3640" t="s">
        <v>69</v>
      </c>
      <c r="F3640">
        <v>1</v>
      </c>
      <c r="G3640">
        <v>44.9</v>
      </c>
      <c r="H3640">
        <v>12.79</v>
      </c>
      <c r="I3640" t="s">
        <v>44</v>
      </c>
      <c r="J3640">
        <v>3</v>
      </c>
      <c r="K3640" t="s">
        <v>51</v>
      </c>
      <c r="L3640">
        <v>5</v>
      </c>
      <c r="M3640" t="str">
        <f>VLOOKUP(D3640,State_Lookup!$A$2:$B$28,2,FALSE)</f>
        <v>Sao Paulo</v>
      </c>
    </row>
    <row r="3641" spans="1:13" x14ac:dyDescent="0.45">
      <c r="A3641" t="s">
        <v>4259</v>
      </c>
      <c r="B3641" t="s">
        <v>4249</v>
      </c>
      <c r="C3641" t="s">
        <v>3983</v>
      </c>
      <c r="D3641" t="s">
        <v>19</v>
      </c>
      <c r="E3641" t="s">
        <v>79</v>
      </c>
      <c r="F3641">
        <v>1</v>
      </c>
      <c r="G3641">
        <v>56.9</v>
      </c>
      <c r="H3641">
        <v>19.37</v>
      </c>
      <c r="I3641" t="s">
        <v>50</v>
      </c>
      <c r="J3641">
        <v>7</v>
      </c>
      <c r="K3641" t="s">
        <v>51</v>
      </c>
      <c r="L3641">
        <v>5</v>
      </c>
      <c r="M3641" t="str">
        <f>VLOOKUP(D3641,State_Lookup!$A$2:$B$28,2,FALSE)</f>
        <v>Rio Grande do Sul</v>
      </c>
    </row>
    <row r="3642" spans="1:13" x14ac:dyDescent="0.45">
      <c r="A3642" t="s">
        <v>4260</v>
      </c>
      <c r="B3642" t="s">
        <v>4249</v>
      </c>
      <c r="C3642" t="s">
        <v>3983</v>
      </c>
      <c r="D3642" t="s">
        <v>16</v>
      </c>
      <c r="E3642" t="s">
        <v>43</v>
      </c>
      <c r="F3642">
        <v>1</v>
      </c>
      <c r="G3642">
        <v>99</v>
      </c>
      <c r="H3642">
        <v>11.32</v>
      </c>
      <c r="I3642" t="s">
        <v>44</v>
      </c>
      <c r="J3642">
        <v>3</v>
      </c>
      <c r="K3642" t="s">
        <v>51</v>
      </c>
      <c r="L3642">
        <v>5</v>
      </c>
      <c r="M3642" t="str">
        <f>VLOOKUP(D3642,State_Lookup!$A$2:$B$28,2,FALSE)</f>
        <v>Sao Paulo</v>
      </c>
    </row>
    <row r="3643" spans="1:13" x14ac:dyDescent="0.45">
      <c r="A3643" t="s">
        <v>4261</v>
      </c>
      <c r="B3643" t="s">
        <v>4249</v>
      </c>
      <c r="C3643" t="s">
        <v>3983</v>
      </c>
      <c r="D3643" t="s">
        <v>18</v>
      </c>
      <c r="E3643" t="s">
        <v>49</v>
      </c>
      <c r="F3643">
        <v>1</v>
      </c>
      <c r="G3643">
        <v>120</v>
      </c>
      <c r="H3643">
        <v>23.42</v>
      </c>
      <c r="I3643" t="s">
        <v>44</v>
      </c>
      <c r="J3643">
        <v>10</v>
      </c>
      <c r="K3643" t="s">
        <v>51</v>
      </c>
      <c r="L3643">
        <v>5</v>
      </c>
      <c r="M3643" t="str">
        <f>VLOOKUP(D3643,State_Lookup!$A$2:$B$28,2,FALSE)</f>
        <v>Minas Gerais</v>
      </c>
    </row>
    <row r="3644" spans="1:13" x14ac:dyDescent="0.45">
      <c r="A3644" t="s">
        <v>4262</v>
      </c>
      <c r="B3644" t="s">
        <v>4249</v>
      </c>
      <c r="C3644" t="s">
        <v>3983</v>
      </c>
      <c r="D3644" t="s">
        <v>17</v>
      </c>
      <c r="E3644" t="s">
        <v>142</v>
      </c>
      <c r="F3644">
        <v>1</v>
      </c>
      <c r="G3644">
        <v>49.9</v>
      </c>
      <c r="H3644">
        <v>22.89</v>
      </c>
      <c r="I3644" t="s">
        <v>44</v>
      </c>
      <c r="J3644">
        <v>9</v>
      </c>
      <c r="K3644" t="s">
        <v>51</v>
      </c>
      <c r="L3644">
        <v>5</v>
      </c>
      <c r="M3644" t="str">
        <f>VLOOKUP(D3644,State_Lookup!$A$2:$B$28,2,FALSE)</f>
        <v>Rio de Janeiro</v>
      </c>
    </row>
    <row r="3645" spans="1:13" x14ac:dyDescent="0.45">
      <c r="A3645" t="s">
        <v>4263</v>
      </c>
      <c r="B3645" t="s">
        <v>4249</v>
      </c>
      <c r="C3645" t="s">
        <v>3983</v>
      </c>
      <c r="D3645" t="s">
        <v>17</v>
      </c>
      <c r="E3645" t="s">
        <v>43</v>
      </c>
      <c r="F3645">
        <v>1</v>
      </c>
      <c r="G3645">
        <v>69.900000000000006</v>
      </c>
      <c r="H3645">
        <v>0</v>
      </c>
      <c r="I3645" t="s">
        <v>44</v>
      </c>
      <c r="J3645">
        <v>7</v>
      </c>
      <c r="K3645" t="s">
        <v>51</v>
      </c>
      <c r="L3645">
        <v>3</v>
      </c>
      <c r="M3645" t="str">
        <f>VLOOKUP(D3645,State_Lookup!$A$2:$B$28,2,FALSE)</f>
        <v>Rio de Janeiro</v>
      </c>
    </row>
    <row r="3646" spans="1:13" x14ac:dyDescent="0.45">
      <c r="A3646" t="s">
        <v>4264</v>
      </c>
      <c r="B3646" t="s">
        <v>4249</v>
      </c>
      <c r="C3646" t="s">
        <v>3983</v>
      </c>
      <c r="D3646" t="s">
        <v>20</v>
      </c>
      <c r="E3646" t="s">
        <v>244</v>
      </c>
      <c r="F3646">
        <v>1</v>
      </c>
      <c r="G3646">
        <v>139</v>
      </c>
      <c r="H3646">
        <v>23.55</v>
      </c>
      <c r="I3646" t="s">
        <v>44</v>
      </c>
      <c r="K3646" t="s">
        <v>45</v>
      </c>
      <c r="L3646">
        <v>2</v>
      </c>
      <c r="M3646" t="str">
        <f>VLOOKUP(D3646,State_Lookup!$A$2:$B$28,2,FALSE)</f>
        <v>Parana</v>
      </c>
    </row>
    <row r="3647" spans="1:13" x14ac:dyDescent="0.45">
      <c r="A3647" t="s">
        <v>4265</v>
      </c>
      <c r="B3647" t="s">
        <v>4249</v>
      </c>
      <c r="C3647" t="s">
        <v>3983</v>
      </c>
      <c r="D3647" t="s">
        <v>16</v>
      </c>
      <c r="E3647" t="s">
        <v>79</v>
      </c>
      <c r="F3647">
        <v>1</v>
      </c>
      <c r="G3647">
        <v>67.900000000000006</v>
      </c>
      <c r="H3647">
        <v>11.15</v>
      </c>
      <c r="I3647" t="s">
        <v>44</v>
      </c>
      <c r="J3647">
        <v>3</v>
      </c>
      <c r="K3647" t="s">
        <v>51</v>
      </c>
      <c r="L3647">
        <v>4</v>
      </c>
      <c r="M3647" t="str">
        <f>VLOOKUP(D3647,State_Lookup!$A$2:$B$28,2,FALSE)</f>
        <v>Sao Paulo</v>
      </c>
    </row>
    <row r="3648" spans="1:13" x14ac:dyDescent="0.45">
      <c r="A3648" t="s">
        <v>4266</v>
      </c>
      <c r="B3648" t="s">
        <v>4249</v>
      </c>
      <c r="C3648" t="s">
        <v>3983</v>
      </c>
      <c r="D3648" t="s">
        <v>18</v>
      </c>
      <c r="E3648" t="s">
        <v>79</v>
      </c>
      <c r="F3648">
        <v>1</v>
      </c>
      <c r="G3648">
        <v>64.989999999999995</v>
      </c>
      <c r="H3648">
        <v>22.95</v>
      </c>
      <c r="I3648" t="s">
        <v>44</v>
      </c>
      <c r="J3648">
        <v>14</v>
      </c>
      <c r="K3648" t="s">
        <v>51</v>
      </c>
      <c r="L3648">
        <v>5</v>
      </c>
      <c r="M3648" t="str">
        <f>VLOOKUP(D3648,State_Lookup!$A$2:$B$28,2,FALSE)</f>
        <v>Minas Gerais</v>
      </c>
    </row>
    <row r="3649" spans="1:13" x14ac:dyDescent="0.45">
      <c r="A3649" t="s">
        <v>4267</v>
      </c>
      <c r="B3649" t="s">
        <v>4249</v>
      </c>
      <c r="C3649" t="s">
        <v>3983</v>
      </c>
      <c r="D3649" t="s">
        <v>21</v>
      </c>
      <c r="E3649" t="s">
        <v>79</v>
      </c>
      <c r="F3649">
        <v>1</v>
      </c>
      <c r="G3649">
        <v>114.99</v>
      </c>
      <c r="H3649">
        <v>62.83</v>
      </c>
      <c r="I3649" t="s">
        <v>108</v>
      </c>
      <c r="J3649">
        <v>18</v>
      </c>
      <c r="K3649" t="s">
        <v>51</v>
      </c>
      <c r="L3649">
        <v>5</v>
      </c>
      <c r="M3649" t="str">
        <f>VLOOKUP(D3649,State_Lookup!$A$2:$B$28,2,FALSE)</f>
        <v>Santa Catarina</v>
      </c>
    </row>
    <row r="3650" spans="1:13" x14ac:dyDescent="0.45">
      <c r="A3650" t="s">
        <v>4268</v>
      </c>
      <c r="B3650" t="s">
        <v>4249</v>
      </c>
      <c r="C3650" t="s">
        <v>3983</v>
      </c>
      <c r="D3650" t="s">
        <v>18</v>
      </c>
      <c r="E3650" t="s">
        <v>302</v>
      </c>
      <c r="F3650">
        <v>1</v>
      </c>
      <c r="G3650">
        <v>69</v>
      </c>
      <c r="H3650">
        <v>15.36</v>
      </c>
      <c r="I3650" t="s">
        <v>44</v>
      </c>
      <c r="J3650">
        <v>3</v>
      </c>
      <c r="K3650" t="s">
        <v>51</v>
      </c>
      <c r="L3650">
        <v>1</v>
      </c>
      <c r="M3650" t="str">
        <f>VLOOKUP(D3650,State_Lookup!$A$2:$B$28,2,FALSE)</f>
        <v>Minas Gerais</v>
      </c>
    </row>
    <row r="3651" spans="1:13" x14ac:dyDescent="0.45">
      <c r="A3651" t="s">
        <v>4269</v>
      </c>
      <c r="B3651" t="s">
        <v>4249</v>
      </c>
      <c r="C3651" t="s">
        <v>3983</v>
      </c>
      <c r="D3651" t="s">
        <v>20</v>
      </c>
      <c r="E3651" t="s">
        <v>302</v>
      </c>
      <c r="F3651">
        <v>1</v>
      </c>
      <c r="G3651">
        <v>1890</v>
      </c>
      <c r="H3651">
        <v>73.14</v>
      </c>
      <c r="I3651" t="s">
        <v>44</v>
      </c>
      <c r="J3651">
        <v>11</v>
      </c>
      <c r="K3651" t="s">
        <v>51</v>
      </c>
      <c r="L3651">
        <v>4</v>
      </c>
      <c r="M3651" t="str">
        <f>VLOOKUP(D3651,State_Lookup!$A$2:$B$28,2,FALSE)</f>
        <v>Parana</v>
      </c>
    </row>
    <row r="3652" spans="1:13" x14ac:dyDescent="0.45">
      <c r="A3652" t="s">
        <v>4270</v>
      </c>
      <c r="B3652" t="s">
        <v>4249</v>
      </c>
      <c r="C3652" t="s">
        <v>3983</v>
      </c>
      <c r="D3652" t="s">
        <v>18</v>
      </c>
      <c r="E3652" t="s">
        <v>148</v>
      </c>
      <c r="F3652">
        <v>1</v>
      </c>
      <c r="G3652">
        <v>24</v>
      </c>
      <c r="H3652">
        <v>15.23</v>
      </c>
      <c r="I3652" t="s">
        <v>44</v>
      </c>
      <c r="J3652">
        <v>7</v>
      </c>
      <c r="K3652" t="s">
        <v>51</v>
      </c>
      <c r="L3652">
        <v>5</v>
      </c>
      <c r="M3652" t="str">
        <f>VLOOKUP(D3652,State_Lookup!$A$2:$B$28,2,FALSE)</f>
        <v>Minas Gerais</v>
      </c>
    </row>
    <row r="3653" spans="1:13" x14ac:dyDescent="0.45">
      <c r="A3653" t="s">
        <v>4271</v>
      </c>
      <c r="B3653" t="s">
        <v>4272</v>
      </c>
      <c r="C3653" t="s">
        <v>3983</v>
      </c>
      <c r="D3653" t="s">
        <v>16</v>
      </c>
      <c r="E3653" t="s">
        <v>220</v>
      </c>
      <c r="F3653">
        <v>1</v>
      </c>
      <c r="G3653">
        <v>319.89999999999998</v>
      </c>
      <c r="H3653">
        <v>44.1</v>
      </c>
      <c r="I3653" t="s">
        <v>50</v>
      </c>
      <c r="J3653">
        <v>6</v>
      </c>
      <c r="K3653" t="s">
        <v>51</v>
      </c>
      <c r="L3653">
        <v>5</v>
      </c>
      <c r="M3653" t="str">
        <f>VLOOKUP(D3653,State_Lookup!$A$2:$B$28,2,FALSE)</f>
        <v>Sao Paulo</v>
      </c>
    </row>
    <row r="3654" spans="1:13" x14ac:dyDescent="0.45">
      <c r="A3654" t="s">
        <v>4273</v>
      </c>
      <c r="B3654" t="s">
        <v>4272</v>
      </c>
      <c r="C3654" t="s">
        <v>3983</v>
      </c>
      <c r="D3654" t="s">
        <v>17</v>
      </c>
      <c r="E3654" t="s">
        <v>157</v>
      </c>
      <c r="F3654">
        <v>1</v>
      </c>
      <c r="G3654">
        <v>99.9</v>
      </c>
      <c r="H3654">
        <v>0</v>
      </c>
      <c r="I3654" t="s">
        <v>44</v>
      </c>
      <c r="J3654">
        <v>11</v>
      </c>
      <c r="K3654" t="s">
        <v>51</v>
      </c>
      <c r="L3654">
        <v>5</v>
      </c>
      <c r="M3654" t="str">
        <f>VLOOKUP(D3654,State_Lookup!$A$2:$B$28,2,FALSE)</f>
        <v>Rio de Janeiro</v>
      </c>
    </row>
    <row r="3655" spans="1:13" x14ac:dyDescent="0.45">
      <c r="A3655" t="s">
        <v>4274</v>
      </c>
      <c r="B3655" t="s">
        <v>4272</v>
      </c>
      <c r="C3655" t="s">
        <v>3983</v>
      </c>
      <c r="D3655" t="s">
        <v>16</v>
      </c>
      <c r="E3655" t="s">
        <v>66</v>
      </c>
      <c r="F3655">
        <v>1</v>
      </c>
      <c r="G3655">
        <v>45.9</v>
      </c>
      <c r="H3655">
        <v>12.79</v>
      </c>
      <c r="I3655" t="s">
        <v>133</v>
      </c>
      <c r="J3655">
        <v>5</v>
      </c>
      <c r="K3655" t="s">
        <v>51</v>
      </c>
      <c r="L3655">
        <v>5</v>
      </c>
      <c r="M3655" t="str">
        <f>VLOOKUP(D3655,State_Lookup!$A$2:$B$28,2,FALSE)</f>
        <v>Sao Paulo</v>
      </c>
    </row>
    <row r="3656" spans="1:13" x14ac:dyDescent="0.45">
      <c r="A3656" t="s">
        <v>4275</v>
      </c>
      <c r="B3656" t="s">
        <v>4272</v>
      </c>
      <c r="C3656" t="s">
        <v>3983</v>
      </c>
      <c r="D3656" t="s">
        <v>16</v>
      </c>
      <c r="E3656" t="s">
        <v>142</v>
      </c>
      <c r="F3656">
        <v>1</v>
      </c>
      <c r="G3656">
        <v>28.99</v>
      </c>
      <c r="H3656">
        <v>12.79</v>
      </c>
      <c r="I3656" t="s">
        <v>44</v>
      </c>
      <c r="J3656">
        <v>7</v>
      </c>
      <c r="K3656" t="s">
        <v>51</v>
      </c>
      <c r="L3656">
        <v>5</v>
      </c>
      <c r="M3656" t="str">
        <f>VLOOKUP(D3656,State_Lookup!$A$2:$B$28,2,FALSE)</f>
        <v>Sao Paulo</v>
      </c>
    </row>
    <row r="3657" spans="1:13" x14ac:dyDescent="0.45">
      <c r="A3657" t="s">
        <v>4276</v>
      </c>
      <c r="B3657" t="s">
        <v>4272</v>
      </c>
      <c r="C3657" t="s">
        <v>3983</v>
      </c>
      <c r="D3657" t="s">
        <v>16</v>
      </c>
      <c r="E3657" t="s">
        <v>69</v>
      </c>
      <c r="F3657">
        <v>2</v>
      </c>
      <c r="G3657">
        <v>254.54</v>
      </c>
      <c r="H3657">
        <v>26.66</v>
      </c>
      <c r="I3657" t="s">
        <v>44</v>
      </c>
      <c r="J3657">
        <v>7</v>
      </c>
      <c r="K3657" t="s">
        <v>51</v>
      </c>
      <c r="L3657">
        <v>4</v>
      </c>
      <c r="M3657" t="str">
        <f>VLOOKUP(D3657,State_Lookup!$A$2:$B$28,2,FALSE)</f>
        <v>Sao Paulo</v>
      </c>
    </row>
    <row r="3658" spans="1:13" x14ac:dyDescent="0.45">
      <c r="A3658" t="s">
        <v>4277</v>
      </c>
      <c r="B3658" t="s">
        <v>4272</v>
      </c>
      <c r="C3658" t="s">
        <v>3983</v>
      </c>
      <c r="D3658" t="s">
        <v>63</v>
      </c>
      <c r="E3658" t="s">
        <v>49</v>
      </c>
      <c r="F3658">
        <v>1</v>
      </c>
      <c r="G3658">
        <v>139</v>
      </c>
      <c r="H3658">
        <v>32.770000000000003</v>
      </c>
      <c r="I3658" t="s">
        <v>44</v>
      </c>
      <c r="J3658">
        <v>9</v>
      </c>
      <c r="K3658" t="s">
        <v>51</v>
      </c>
      <c r="L3658">
        <v>4</v>
      </c>
      <c r="M3658" t="str">
        <f>VLOOKUP(D3658,State_Lookup!$A$2:$B$28,2,FALSE)</f>
        <v>Pernambuco</v>
      </c>
    </row>
    <row r="3659" spans="1:13" x14ac:dyDescent="0.45">
      <c r="A3659" t="s">
        <v>4278</v>
      </c>
      <c r="B3659" t="s">
        <v>4272</v>
      </c>
      <c r="C3659" t="s">
        <v>3983</v>
      </c>
      <c r="D3659" t="s">
        <v>18</v>
      </c>
      <c r="E3659" t="s">
        <v>43</v>
      </c>
      <c r="F3659">
        <v>1</v>
      </c>
      <c r="G3659">
        <v>69.900000000000006</v>
      </c>
      <c r="H3659">
        <v>0</v>
      </c>
      <c r="I3659" t="s">
        <v>44</v>
      </c>
      <c r="J3659">
        <v>9</v>
      </c>
      <c r="K3659" t="s">
        <v>51</v>
      </c>
      <c r="L3659">
        <v>4</v>
      </c>
      <c r="M3659" t="str">
        <f>VLOOKUP(D3659,State_Lookup!$A$2:$B$28,2,FALSE)</f>
        <v>Minas Gerais</v>
      </c>
    </row>
    <row r="3660" spans="1:13" x14ac:dyDescent="0.45">
      <c r="A3660" t="s">
        <v>4279</v>
      </c>
      <c r="B3660" t="s">
        <v>4272</v>
      </c>
      <c r="C3660" t="s">
        <v>3983</v>
      </c>
      <c r="D3660" t="s">
        <v>24</v>
      </c>
      <c r="E3660" t="s">
        <v>64</v>
      </c>
      <c r="F3660">
        <v>1</v>
      </c>
      <c r="G3660">
        <v>14.8</v>
      </c>
      <c r="H3660">
        <v>7.71</v>
      </c>
      <c r="I3660" t="s">
        <v>44</v>
      </c>
      <c r="J3660">
        <v>2</v>
      </c>
      <c r="K3660" t="s">
        <v>51</v>
      </c>
      <c r="L3660">
        <v>4</v>
      </c>
      <c r="M3660" t="str">
        <f>VLOOKUP(D3660,State_Lookup!$A$2:$B$28,2,FALSE)</f>
        <v>Distrito Federal</v>
      </c>
    </row>
    <row r="3661" spans="1:13" x14ac:dyDescent="0.45">
      <c r="A3661" t="s">
        <v>4280</v>
      </c>
      <c r="B3661" t="s">
        <v>4272</v>
      </c>
      <c r="C3661" t="s">
        <v>3983</v>
      </c>
      <c r="D3661" t="s">
        <v>21</v>
      </c>
      <c r="E3661" t="s">
        <v>53</v>
      </c>
      <c r="F3661">
        <v>1</v>
      </c>
      <c r="G3661">
        <v>89.99</v>
      </c>
      <c r="H3661">
        <v>26.71</v>
      </c>
      <c r="I3661" t="s">
        <v>44</v>
      </c>
      <c r="J3661">
        <v>9</v>
      </c>
      <c r="K3661" t="s">
        <v>51</v>
      </c>
      <c r="L3661">
        <v>5</v>
      </c>
      <c r="M3661" t="str">
        <f>VLOOKUP(D3661,State_Lookup!$A$2:$B$28,2,FALSE)</f>
        <v>Santa Catarina</v>
      </c>
    </row>
    <row r="3662" spans="1:13" x14ac:dyDescent="0.45">
      <c r="A3662" t="s">
        <v>4281</v>
      </c>
      <c r="B3662" t="s">
        <v>4272</v>
      </c>
      <c r="C3662" t="s">
        <v>3983</v>
      </c>
      <c r="D3662" t="s">
        <v>20</v>
      </c>
      <c r="E3662" t="s">
        <v>366</v>
      </c>
      <c r="F3662">
        <v>1</v>
      </c>
      <c r="G3662">
        <v>37.1</v>
      </c>
      <c r="H3662">
        <v>18.23</v>
      </c>
      <c r="I3662" t="s">
        <v>50</v>
      </c>
      <c r="J3662">
        <v>8</v>
      </c>
      <c r="K3662" t="s">
        <v>51</v>
      </c>
      <c r="L3662">
        <v>1</v>
      </c>
      <c r="M3662" t="str">
        <f>VLOOKUP(D3662,State_Lookup!$A$2:$B$28,2,FALSE)</f>
        <v>Parana</v>
      </c>
    </row>
    <row r="3663" spans="1:13" x14ac:dyDescent="0.45">
      <c r="A3663" t="s">
        <v>4282</v>
      </c>
      <c r="B3663" t="s">
        <v>4272</v>
      </c>
      <c r="C3663" t="s">
        <v>3983</v>
      </c>
      <c r="D3663" t="s">
        <v>16</v>
      </c>
      <c r="E3663" t="s">
        <v>220</v>
      </c>
      <c r="F3663">
        <v>2</v>
      </c>
      <c r="G3663">
        <v>159.97999999999999</v>
      </c>
      <c r="H3663">
        <v>29.1</v>
      </c>
      <c r="I3663" t="s">
        <v>44</v>
      </c>
      <c r="J3663">
        <v>15</v>
      </c>
      <c r="K3663" t="s">
        <v>51</v>
      </c>
      <c r="L3663">
        <v>1</v>
      </c>
      <c r="M3663" t="str">
        <f>VLOOKUP(D3663,State_Lookup!$A$2:$B$28,2,FALSE)</f>
        <v>Sao Paulo</v>
      </c>
    </row>
    <row r="3664" spans="1:13" x14ac:dyDescent="0.45">
      <c r="A3664" t="s">
        <v>4283</v>
      </c>
      <c r="B3664" t="s">
        <v>4272</v>
      </c>
      <c r="C3664" t="s">
        <v>3983</v>
      </c>
      <c r="D3664" t="s">
        <v>17</v>
      </c>
      <c r="E3664" t="s">
        <v>49</v>
      </c>
      <c r="F3664">
        <v>1</v>
      </c>
      <c r="G3664">
        <v>69.989999999999995</v>
      </c>
      <c r="H3664">
        <v>19.46</v>
      </c>
      <c r="I3664" t="s">
        <v>44</v>
      </c>
      <c r="J3664">
        <v>20</v>
      </c>
      <c r="K3664" t="s">
        <v>51</v>
      </c>
      <c r="L3664">
        <v>5</v>
      </c>
      <c r="M3664" t="str">
        <f>VLOOKUP(D3664,State_Lookup!$A$2:$B$28,2,FALSE)</f>
        <v>Rio de Janeiro</v>
      </c>
    </row>
    <row r="3665" spans="1:13" x14ac:dyDescent="0.45">
      <c r="A3665" t="s">
        <v>4284</v>
      </c>
      <c r="B3665" t="s">
        <v>4285</v>
      </c>
      <c r="C3665" t="s">
        <v>3983</v>
      </c>
      <c r="D3665" t="s">
        <v>16</v>
      </c>
      <c r="E3665" t="s">
        <v>66</v>
      </c>
      <c r="F3665">
        <v>1</v>
      </c>
      <c r="G3665">
        <v>29.99</v>
      </c>
      <c r="H3665">
        <v>12.79</v>
      </c>
      <c r="I3665" t="s">
        <v>44</v>
      </c>
      <c r="J3665">
        <v>4</v>
      </c>
      <c r="K3665" t="s">
        <v>51</v>
      </c>
      <c r="L3665">
        <v>5</v>
      </c>
      <c r="M3665" t="str">
        <f>VLOOKUP(D3665,State_Lookup!$A$2:$B$28,2,FALSE)</f>
        <v>Sao Paulo</v>
      </c>
    </row>
    <row r="3666" spans="1:13" x14ac:dyDescent="0.45">
      <c r="A3666" t="s">
        <v>4286</v>
      </c>
      <c r="B3666" t="s">
        <v>4285</v>
      </c>
      <c r="C3666" t="s">
        <v>3983</v>
      </c>
      <c r="D3666" t="s">
        <v>16</v>
      </c>
      <c r="E3666" t="s">
        <v>269</v>
      </c>
      <c r="F3666">
        <v>2</v>
      </c>
      <c r="G3666">
        <v>160</v>
      </c>
      <c r="H3666">
        <v>14.86</v>
      </c>
      <c r="I3666" t="s">
        <v>44</v>
      </c>
      <c r="J3666">
        <v>2</v>
      </c>
      <c r="K3666" t="s">
        <v>51</v>
      </c>
      <c r="L3666">
        <v>5</v>
      </c>
      <c r="M3666" t="str">
        <f>VLOOKUP(D3666,State_Lookup!$A$2:$B$28,2,FALSE)</f>
        <v>Sao Paulo</v>
      </c>
    </row>
    <row r="3667" spans="1:13" x14ac:dyDescent="0.45">
      <c r="A3667" t="s">
        <v>4287</v>
      </c>
      <c r="B3667" t="s">
        <v>4285</v>
      </c>
      <c r="C3667" t="s">
        <v>3983</v>
      </c>
      <c r="D3667" t="s">
        <v>20</v>
      </c>
      <c r="E3667" t="s">
        <v>481</v>
      </c>
      <c r="F3667">
        <v>1</v>
      </c>
      <c r="G3667">
        <v>52</v>
      </c>
      <c r="H3667">
        <v>18.239999999999998</v>
      </c>
      <c r="I3667" t="s">
        <v>44</v>
      </c>
      <c r="J3667">
        <v>7</v>
      </c>
      <c r="K3667" t="s">
        <v>51</v>
      </c>
      <c r="L3667">
        <v>5</v>
      </c>
      <c r="M3667" t="str">
        <f>VLOOKUP(D3667,State_Lookup!$A$2:$B$28,2,FALSE)</f>
        <v>Parana</v>
      </c>
    </row>
    <row r="3668" spans="1:13" x14ac:dyDescent="0.45">
      <c r="A3668" t="s">
        <v>4288</v>
      </c>
      <c r="B3668" t="s">
        <v>4285</v>
      </c>
      <c r="C3668" t="s">
        <v>3983</v>
      </c>
      <c r="D3668" t="s">
        <v>17</v>
      </c>
      <c r="E3668" t="s">
        <v>157</v>
      </c>
      <c r="F3668">
        <v>1</v>
      </c>
      <c r="G3668">
        <v>199</v>
      </c>
      <c r="H3668">
        <v>0</v>
      </c>
      <c r="I3668" t="s">
        <v>44</v>
      </c>
      <c r="J3668">
        <v>20</v>
      </c>
      <c r="K3668" t="s">
        <v>51</v>
      </c>
      <c r="L3668">
        <v>5</v>
      </c>
      <c r="M3668" t="str">
        <f>VLOOKUP(D3668,State_Lookup!$A$2:$B$28,2,FALSE)</f>
        <v>Rio de Janeiro</v>
      </c>
    </row>
    <row r="3669" spans="1:13" x14ac:dyDescent="0.45">
      <c r="A3669" t="s">
        <v>4289</v>
      </c>
      <c r="B3669" t="s">
        <v>4285</v>
      </c>
      <c r="C3669" t="s">
        <v>3983</v>
      </c>
      <c r="D3669" t="s">
        <v>18</v>
      </c>
      <c r="E3669" t="s">
        <v>79</v>
      </c>
      <c r="F3669">
        <v>1</v>
      </c>
      <c r="G3669">
        <v>349.9</v>
      </c>
      <c r="H3669">
        <v>20.43</v>
      </c>
      <c r="I3669" t="s">
        <v>44</v>
      </c>
      <c r="J3669">
        <v>7</v>
      </c>
      <c r="K3669" t="s">
        <v>51</v>
      </c>
      <c r="L3669">
        <v>5</v>
      </c>
      <c r="M3669" t="str">
        <f>VLOOKUP(D3669,State_Lookup!$A$2:$B$28,2,FALSE)</f>
        <v>Minas Gerais</v>
      </c>
    </row>
    <row r="3670" spans="1:13" x14ac:dyDescent="0.45">
      <c r="A3670" t="s">
        <v>4290</v>
      </c>
      <c r="B3670" t="s">
        <v>4285</v>
      </c>
      <c r="C3670" t="s">
        <v>3983</v>
      </c>
      <c r="D3670" t="s">
        <v>17</v>
      </c>
      <c r="E3670" t="s">
        <v>142</v>
      </c>
      <c r="F3670">
        <v>1</v>
      </c>
      <c r="G3670">
        <v>159.49</v>
      </c>
      <c r="H3670">
        <v>27.59</v>
      </c>
      <c r="I3670" t="s">
        <v>44</v>
      </c>
      <c r="J3670">
        <v>16</v>
      </c>
      <c r="K3670" t="s">
        <v>51</v>
      </c>
      <c r="L3670">
        <v>5</v>
      </c>
      <c r="M3670" t="str">
        <f>VLOOKUP(D3670,State_Lookup!$A$2:$B$28,2,FALSE)</f>
        <v>Rio de Janeiro</v>
      </c>
    </row>
    <row r="3671" spans="1:13" x14ac:dyDescent="0.45">
      <c r="A3671" t="s">
        <v>4291</v>
      </c>
      <c r="B3671" t="s">
        <v>4285</v>
      </c>
      <c r="C3671" t="s">
        <v>3983</v>
      </c>
      <c r="D3671" t="s">
        <v>16</v>
      </c>
      <c r="E3671" t="s">
        <v>53</v>
      </c>
      <c r="F3671">
        <v>1</v>
      </c>
      <c r="G3671">
        <v>275</v>
      </c>
      <c r="H3671">
        <v>14.83</v>
      </c>
      <c r="I3671" t="s">
        <v>44</v>
      </c>
      <c r="J3671">
        <v>1</v>
      </c>
      <c r="K3671" t="s">
        <v>51</v>
      </c>
      <c r="L3671">
        <v>5</v>
      </c>
      <c r="M3671" t="str">
        <f>VLOOKUP(D3671,State_Lookup!$A$2:$B$28,2,FALSE)</f>
        <v>Sao Paulo</v>
      </c>
    </row>
    <row r="3672" spans="1:13" x14ac:dyDescent="0.45">
      <c r="A3672" t="s">
        <v>4292</v>
      </c>
      <c r="B3672" t="s">
        <v>4285</v>
      </c>
      <c r="C3672" t="s">
        <v>3983</v>
      </c>
      <c r="D3672" t="s">
        <v>63</v>
      </c>
      <c r="E3672" t="s">
        <v>66</v>
      </c>
      <c r="F3672">
        <v>1</v>
      </c>
      <c r="G3672">
        <v>21.99</v>
      </c>
      <c r="H3672">
        <v>19.04</v>
      </c>
      <c r="I3672" t="s">
        <v>44</v>
      </c>
      <c r="J3672">
        <v>15</v>
      </c>
      <c r="K3672" t="s">
        <v>51</v>
      </c>
      <c r="L3672">
        <v>5</v>
      </c>
      <c r="M3672" t="str">
        <f>VLOOKUP(D3672,State_Lookup!$A$2:$B$28,2,FALSE)</f>
        <v>Pernambuco</v>
      </c>
    </row>
    <row r="3673" spans="1:13" x14ac:dyDescent="0.45">
      <c r="A3673" t="s">
        <v>4293</v>
      </c>
      <c r="B3673" t="s">
        <v>4285</v>
      </c>
      <c r="C3673" t="s">
        <v>3983</v>
      </c>
      <c r="D3673" t="s">
        <v>21</v>
      </c>
      <c r="E3673" t="s">
        <v>3021</v>
      </c>
      <c r="F3673">
        <v>1</v>
      </c>
      <c r="G3673">
        <v>99.99</v>
      </c>
      <c r="H3673">
        <v>23.28</v>
      </c>
      <c r="I3673" t="s">
        <v>44</v>
      </c>
      <c r="J3673">
        <v>8</v>
      </c>
      <c r="K3673" t="s">
        <v>51</v>
      </c>
      <c r="L3673">
        <v>4</v>
      </c>
      <c r="M3673" t="str">
        <f>VLOOKUP(D3673,State_Lookup!$A$2:$B$28,2,FALSE)</f>
        <v>Santa Catarina</v>
      </c>
    </row>
    <row r="3674" spans="1:13" x14ac:dyDescent="0.45">
      <c r="A3674" t="s">
        <v>4294</v>
      </c>
      <c r="B3674" t="s">
        <v>4285</v>
      </c>
      <c r="C3674" t="s">
        <v>3983</v>
      </c>
      <c r="D3674" t="s">
        <v>16</v>
      </c>
      <c r="E3674" t="s">
        <v>192</v>
      </c>
      <c r="F3674">
        <v>1</v>
      </c>
      <c r="G3674">
        <v>36</v>
      </c>
      <c r="H3674">
        <v>13.71</v>
      </c>
      <c r="I3674" t="s">
        <v>44</v>
      </c>
      <c r="J3674">
        <v>5</v>
      </c>
      <c r="K3674" t="s">
        <v>51</v>
      </c>
      <c r="L3674">
        <v>5</v>
      </c>
      <c r="M3674" t="str">
        <f>VLOOKUP(D3674,State_Lookup!$A$2:$B$28,2,FALSE)</f>
        <v>Sao Paulo</v>
      </c>
    </row>
    <row r="3675" spans="1:13" x14ac:dyDescent="0.45">
      <c r="A3675" t="s">
        <v>4295</v>
      </c>
      <c r="B3675" t="s">
        <v>4285</v>
      </c>
      <c r="C3675" t="s">
        <v>3983</v>
      </c>
      <c r="D3675" t="s">
        <v>16</v>
      </c>
      <c r="E3675" t="s">
        <v>49</v>
      </c>
      <c r="F3675">
        <v>1</v>
      </c>
      <c r="G3675">
        <v>59.9</v>
      </c>
      <c r="H3675">
        <v>18.3</v>
      </c>
      <c r="I3675" t="s">
        <v>44</v>
      </c>
      <c r="J3675">
        <v>7</v>
      </c>
      <c r="K3675" t="s">
        <v>51</v>
      </c>
      <c r="L3675">
        <v>5</v>
      </c>
      <c r="M3675" t="str">
        <f>VLOOKUP(D3675,State_Lookup!$A$2:$B$28,2,FALSE)</f>
        <v>Sao Paulo</v>
      </c>
    </row>
    <row r="3676" spans="1:13" x14ac:dyDescent="0.45">
      <c r="A3676" t="s">
        <v>4296</v>
      </c>
      <c r="B3676" t="s">
        <v>4285</v>
      </c>
      <c r="C3676" t="s">
        <v>3983</v>
      </c>
      <c r="D3676" t="s">
        <v>128</v>
      </c>
      <c r="E3676" t="s">
        <v>1839</v>
      </c>
      <c r="F3676">
        <v>1</v>
      </c>
      <c r="G3676">
        <v>129.94999999999999</v>
      </c>
      <c r="H3676">
        <v>37.6</v>
      </c>
      <c r="I3676" t="s">
        <v>44</v>
      </c>
      <c r="J3676">
        <v>22</v>
      </c>
      <c r="K3676" t="s">
        <v>51</v>
      </c>
      <c r="L3676">
        <v>5</v>
      </c>
      <c r="M3676" t="str">
        <f>VLOOKUP(D3676,State_Lookup!$A$2:$B$28,2,FALSE)</f>
        <v>Ceara</v>
      </c>
    </row>
    <row r="3677" spans="1:13" x14ac:dyDescent="0.45">
      <c r="A3677" t="s">
        <v>4297</v>
      </c>
      <c r="B3677" t="s">
        <v>4285</v>
      </c>
      <c r="C3677" t="s">
        <v>3983</v>
      </c>
      <c r="D3677" t="s">
        <v>25</v>
      </c>
      <c r="E3677" t="s">
        <v>3470</v>
      </c>
      <c r="F3677">
        <v>2</v>
      </c>
      <c r="G3677">
        <v>91.8</v>
      </c>
      <c r="H3677">
        <v>15.42</v>
      </c>
      <c r="I3677" t="s">
        <v>44</v>
      </c>
      <c r="J3677">
        <v>2</v>
      </c>
      <c r="K3677" t="s">
        <v>51</v>
      </c>
      <c r="L3677">
        <v>5</v>
      </c>
      <c r="M3677" t="str">
        <f>VLOOKUP(D3677,State_Lookup!$A$2:$B$28,2,FALSE)</f>
        <v>Goias</v>
      </c>
    </row>
    <row r="3678" spans="1:13" x14ac:dyDescent="0.45">
      <c r="A3678" t="s">
        <v>4298</v>
      </c>
      <c r="B3678" t="s">
        <v>4285</v>
      </c>
      <c r="C3678" t="s">
        <v>3983</v>
      </c>
      <c r="D3678" t="s">
        <v>16</v>
      </c>
      <c r="E3678" t="s">
        <v>157</v>
      </c>
      <c r="F3678">
        <v>1</v>
      </c>
      <c r="G3678">
        <v>99.9</v>
      </c>
      <c r="H3678">
        <v>0</v>
      </c>
      <c r="I3678" t="s">
        <v>44</v>
      </c>
      <c r="J3678">
        <v>9</v>
      </c>
      <c r="K3678" t="s">
        <v>51</v>
      </c>
      <c r="L3678">
        <v>5</v>
      </c>
      <c r="M3678" t="str">
        <f>VLOOKUP(D3678,State_Lookup!$A$2:$B$28,2,FALSE)</f>
        <v>Sao Paulo</v>
      </c>
    </row>
    <row r="3679" spans="1:13" x14ac:dyDescent="0.45">
      <c r="A3679" t="s">
        <v>4299</v>
      </c>
      <c r="B3679" t="s">
        <v>4285</v>
      </c>
      <c r="C3679" t="s">
        <v>3983</v>
      </c>
      <c r="D3679" t="s">
        <v>16</v>
      </c>
      <c r="E3679" t="s">
        <v>110</v>
      </c>
      <c r="F3679">
        <v>1</v>
      </c>
      <c r="G3679">
        <v>899</v>
      </c>
      <c r="H3679">
        <v>21.2</v>
      </c>
      <c r="I3679" t="s">
        <v>44</v>
      </c>
      <c r="J3679">
        <v>4</v>
      </c>
      <c r="K3679" t="s">
        <v>51</v>
      </c>
      <c r="L3679">
        <v>5</v>
      </c>
      <c r="M3679" t="str">
        <f>VLOOKUP(D3679,State_Lookup!$A$2:$B$28,2,FALSE)</f>
        <v>Sao Paulo</v>
      </c>
    </row>
    <row r="3680" spans="1:13" x14ac:dyDescent="0.45">
      <c r="A3680" t="s">
        <v>4300</v>
      </c>
      <c r="B3680" t="s">
        <v>4285</v>
      </c>
      <c r="C3680" t="s">
        <v>3983</v>
      </c>
      <c r="D3680" t="s">
        <v>128</v>
      </c>
      <c r="E3680" t="s">
        <v>49</v>
      </c>
      <c r="F3680">
        <v>1</v>
      </c>
      <c r="G3680">
        <v>74.989999999999995</v>
      </c>
      <c r="H3680">
        <v>37.21</v>
      </c>
      <c r="I3680" t="s">
        <v>44</v>
      </c>
      <c r="J3680">
        <v>21</v>
      </c>
      <c r="K3680" t="s">
        <v>51</v>
      </c>
      <c r="L3680">
        <v>5</v>
      </c>
      <c r="M3680" t="str">
        <f>VLOOKUP(D3680,State_Lookup!$A$2:$B$28,2,FALSE)</f>
        <v>Ceara</v>
      </c>
    </row>
    <row r="3681" spans="1:13" x14ac:dyDescent="0.45">
      <c r="A3681" t="s">
        <v>4301</v>
      </c>
      <c r="B3681" t="s">
        <v>4285</v>
      </c>
      <c r="C3681" t="s">
        <v>3983</v>
      </c>
      <c r="D3681" t="s">
        <v>16</v>
      </c>
      <c r="E3681" t="s">
        <v>192</v>
      </c>
      <c r="F3681">
        <v>1</v>
      </c>
      <c r="G3681">
        <v>189.9</v>
      </c>
      <c r="H3681">
        <v>11.95</v>
      </c>
      <c r="I3681" t="s">
        <v>44</v>
      </c>
      <c r="J3681">
        <v>3</v>
      </c>
      <c r="K3681" t="s">
        <v>51</v>
      </c>
      <c r="L3681">
        <v>1</v>
      </c>
      <c r="M3681" t="str">
        <f>VLOOKUP(D3681,State_Lookup!$A$2:$B$28,2,FALSE)</f>
        <v>Sao Paulo</v>
      </c>
    </row>
    <row r="3682" spans="1:13" x14ac:dyDescent="0.45">
      <c r="A3682" t="s">
        <v>4302</v>
      </c>
      <c r="B3682" t="s">
        <v>4285</v>
      </c>
      <c r="C3682" t="s">
        <v>3983</v>
      </c>
      <c r="D3682" t="s">
        <v>16</v>
      </c>
      <c r="E3682" t="s">
        <v>53</v>
      </c>
      <c r="F3682">
        <v>1</v>
      </c>
      <c r="G3682">
        <v>237.99</v>
      </c>
      <c r="H3682">
        <v>37.6</v>
      </c>
      <c r="I3682" t="s">
        <v>44</v>
      </c>
      <c r="J3682">
        <v>2</v>
      </c>
      <c r="K3682" t="s">
        <v>51</v>
      </c>
      <c r="L3682">
        <v>5</v>
      </c>
      <c r="M3682" t="str">
        <f>VLOOKUP(D3682,State_Lookup!$A$2:$B$28,2,FALSE)</f>
        <v>Sao Paulo</v>
      </c>
    </row>
    <row r="3683" spans="1:13" x14ac:dyDescent="0.45">
      <c r="A3683" t="s">
        <v>4303</v>
      </c>
      <c r="B3683" t="s">
        <v>4304</v>
      </c>
      <c r="C3683" t="s">
        <v>3983</v>
      </c>
      <c r="D3683" t="s">
        <v>672</v>
      </c>
      <c r="E3683" t="s">
        <v>69</v>
      </c>
      <c r="F3683">
        <v>1</v>
      </c>
      <c r="G3683">
        <v>53.9</v>
      </c>
      <c r="H3683">
        <v>39.85</v>
      </c>
      <c r="I3683" t="s">
        <v>44</v>
      </c>
      <c r="J3683">
        <v>14</v>
      </c>
      <c r="K3683" t="s">
        <v>51</v>
      </c>
      <c r="L3683">
        <v>4</v>
      </c>
      <c r="M3683" t="str">
        <f>VLOOKUP(D3683,State_Lookup!$A$2:$B$28,2,FALSE)</f>
        <v>Paraiba</v>
      </c>
    </row>
    <row r="3684" spans="1:13" x14ac:dyDescent="0.45">
      <c r="A3684" t="s">
        <v>4305</v>
      </c>
      <c r="B3684" t="s">
        <v>4304</v>
      </c>
      <c r="C3684" t="s">
        <v>3983</v>
      </c>
      <c r="D3684" t="s">
        <v>17</v>
      </c>
      <c r="E3684" t="s">
        <v>69</v>
      </c>
      <c r="F3684">
        <v>1</v>
      </c>
      <c r="G3684">
        <v>45.9</v>
      </c>
      <c r="H3684">
        <v>17.93</v>
      </c>
      <c r="I3684" t="s">
        <v>44</v>
      </c>
      <c r="K3684" t="s">
        <v>45</v>
      </c>
      <c r="L3684">
        <v>1</v>
      </c>
      <c r="M3684" t="str">
        <f>VLOOKUP(D3684,State_Lookup!$A$2:$B$28,2,FALSE)</f>
        <v>Rio de Janeiro</v>
      </c>
    </row>
    <row r="3685" spans="1:13" x14ac:dyDescent="0.45">
      <c r="A3685" t="s">
        <v>4306</v>
      </c>
      <c r="B3685" t="s">
        <v>4304</v>
      </c>
      <c r="C3685" t="s">
        <v>3983</v>
      </c>
      <c r="D3685" t="s">
        <v>16</v>
      </c>
      <c r="E3685" t="s">
        <v>220</v>
      </c>
      <c r="F3685">
        <v>1</v>
      </c>
      <c r="G3685">
        <v>279.89999999999998</v>
      </c>
      <c r="H3685">
        <v>43.82</v>
      </c>
      <c r="I3685" t="s">
        <v>50</v>
      </c>
      <c r="J3685">
        <v>14</v>
      </c>
      <c r="K3685" t="s">
        <v>51</v>
      </c>
      <c r="L3685">
        <v>4</v>
      </c>
      <c r="M3685" t="str">
        <f>VLOOKUP(D3685,State_Lookup!$A$2:$B$28,2,FALSE)</f>
        <v>Sao Paulo</v>
      </c>
    </row>
    <row r="3686" spans="1:13" x14ac:dyDescent="0.45">
      <c r="A3686" t="s">
        <v>4307</v>
      </c>
      <c r="B3686" t="s">
        <v>4304</v>
      </c>
      <c r="C3686" t="s">
        <v>3983</v>
      </c>
      <c r="D3686" t="s">
        <v>128</v>
      </c>
      <c r="E3686" t="s">
        <v>58</v>
      </c>
      <c r="F3686">
        <v>1</v>
      </c>
      <c r="G3686">
        <v>79</v>
      </c>
      <c r="H3686">
        <v>60.61</v>
      </c>
      <c r="I3686" t="s">
        <v>44</v>
      </c>
      <c r="J3686">
        <v>22</v>
      </c>
      <c r="K3686" t="s">
        <v>51</v>
      </c>
      <c r="L3686">
        <v>5</v>
      </c>
      <c r="M3686" t="str">
        <f>VLOOKUP(D3686,State_Lookup!$A$2:$B$28,2,FALSE)</f>
        <v>Ceara</v>
      </c>
    </row>
    <row r="3687" spans="1:13" x14ac:dyDescent="0.45">
      <c r="A3687" t="s">
        <v>4308</v>
      </c>
      <c r="B3687" t="s">
        <v>4304</v>
      </c>
      <c r="C3687" t="s">
        <v>3983</v>
      </c>
      <c r="D3687" t="s">
        <v>16</v>
      </c>
      <c r="E3687" t="s">
        <v>61</v>
      </c>
      <c r="F3687">
        <v>1</v>
      </c>
      <c r="G3687">
        <v>67.989999999999995</v>
      </c>
      <c r="H3687">
        <v>14.52</v>
      </c>
      <c r="I3687" t="s">
        <v>50</v>
      </c>
      <c r="J3687">
        <v>6</v>
      </c>
      <c r="K3687" t="s">
        <v>51</v>
      </c>
      <c r="L3687">
        <v>3</v>
      </c>
      <c r="M3687" t="str">
        <f>VLOOKUP(D3687,State_Lookup!$A$2:$B$28,2,FALSE)</f>
        <v>Sao Paulo</v>
      </c>
    </row>
    <row r="3688" spans="1:13" x14ac:dyDescent="0.45">
      <c r="A3688" t="s">
        <v>4309</v>
      </c>
      <c r="B3688" t="s">
        <v>4304</v>
      </c>
      <c r="C3688" t="s">
        <v>3983</v>
      </c>
      <c r="D3688" t="s">
        <v>24</v>
      </c>
      <c r="E3688" t="s">
        <v>157</v>
      </c>
      <c r="F3688">
        <v>1</v>
      </c>
      <c r="G3688">
        <v>139</v>
      </c>
      <c r="H3688">
        <v>18.850000000000001</v>
      </c>
      <c r="I3688" t="s">
        <v>44</v>
      </c>
      <c r="J3688">
        <v>8</v>
      </c>
      <c r="K3688" t="s">
        <v>51</v>
      </c>
      <c r="L3688">
        <v>5</v>
      </c>
      <c r="M3688" t="str">
        <f>VLOOKUP(D3688,State_Lookup!$A$2:$B$28,2,FALSE)</f>
        <v>Distrito Federal</v>
      </c>
    </row>
    <row r="3689" spans="1:13" x14ac:dyDescent="0.45">
      <c r="A3689" t="s">
        <v>4310</v>
      </c>
      <c r="B3689" t="s">
        <v>4304</v>
      </c>
      <c r="C3689" t="s">
        <v>3983</v>
      </c>
      <c r="D3689" t="s">
        <v>16</v>
      </c>
      <c r="E3689" t="s">
        <v>142</v>
      </c>
      <c r="F3689">
        <v>1</v>
      </c>
      <c r="G3689">
        <v>79.900000000000006</v>
      </c>
      <c r="H3689">
        <v>13.92</v>
      </c>
      <c r="I3689" t="s">
        <v>44</v>
      </c>
      <c r="J3689">
        <v>7</v>
      </c>
      <c r="K3689" t="s">
        <v>51</v>
      </c>
      <c r="L3689">
        <v>5</v>
      </c>
      <c r="M3689" t="str">
        <f>VLOOKUP(D3689,State_Lookup!$A$2:$B$28,2,FALSE)</f>
        <v>Sao Paulo</v>
      </c>
    </row>
    <row r="3690" spans="1:13" x14ac:dyDescent="0.45">
      <c r="A3690" t="s">
        <v>4311</v>
      </c>
      <c r="B3690" t="s">
        <v>4304</v>
      </c>
      <c r="C3690" t="s">
        <v>3983</v>
      </c>
      <c r="D3690" t="s">
        <v>235</v>
      </c>
      <c r="E3690" t="s">
        <v>49</v>
      </c>
      <c r="F3690">
        <v>1</v>
      </c>
      <c r="G3690">
        <v>98.99</v>
      </c>
      <c r="H3690">
        <v>48.6</v>
      </c>
      <c r="I3690" t="s">
        <v>44</v>
      </c>
      <c r="J3690">
        <v>18</v>
      </c>
      <c r="K3690" t="s">
        <v>51</v>
      </c>
      <c r="L3690">
        <v>5</v>
      </c>
      <c r="M3690" t="str">
        <f>VLOOKUP(D3690,State_Lookup!$A$2:$B$28,2,FALSE)</f>
        <v>Acre</v>
      </c>
    </row>
    <row r="3691" spans="1:13" x14ac:dyDescent="0.45">
      <c r="A3691" t="s">
        <v>4312</v>
      </c>
      <c r="B3691" t="s">
        <v>4304</v>
      </c>
      <c r="C3691" t="s">
        <v>3983</v>
      </c>
      <c r="D3691" t="s">
        <v>18</v>
      </c>
      <c r="E3691" t="s">
        <v>49</v>
      </c>
      <c r="F3691">
        <v>1</v>
      </c>
      <c r="G3691">
        <v>149.9</v>
      </c>
      <c r="H3691">
        <v>23.98</v>
      </c>
      <c r="I3691" t="s">
        <v>44</v>
      </c>
      <c r="J3691">
        <v>12</v>
      </c>
      <c r="K3691" t="s">
        <v>51</v>
      </c>
      <c r="L3691">
        <v>5</v>
      </c>
      <c r="M3691" t="str">
        <f>VLOOKUP(D3691,State_Lookup!$A$2:$B$28,2,FALSE)</f>
        <v>Minas Gerais</v>
      </c>
    </row>
    <row r="3692" spans="1:13" x14ac:dyDescent="0.45">
      <c r="A3692" t="s">
        <v>4313</v>
      </c>
      <c r="B3692" t="s">
        <v>4304</v>
      </c>
      <c r="C3692" t="s">
        <v>3983</v>
      </c>
      <c r="D3692" t="s">
        <v>17</v>
      </c>
      <c r="E3692" t="s">
        <v>107</v>
      </c>
      <c r="F3692">
        <v>1</v>
      </c>
      <c r="G3692">
        <v>55</v>
      </c>
      <c r="H3692">
        <v>22.1</v>
      </c>
      <c r="I3692" t="s">
        <v>50</v>
      </c>
      <c r="J3692">
        <v>21</v>
      </c>
      <c r="K3692" t="s">
        <v>51</v>
      </c>
      <c r="L3692">
        <v>5</v>
      </c>
      <c r="M3692" t="str">
        <f>VLOOKUP(D3692,State_Lookup!$A$2:$B$28,2,FALSE)</f>
        <v>Rio de Janeiro</v>
      </c>
    </row>
    <row r="3693" spans="1:13" x14ac:dyDescent="0.45">
      <c r="A3693" t="s">
        <v>4314</v>
      </c>
      <c r="B3693" t="s">
        <v>4315</v>
      </c>
      <c r="C3693" t="s">
        <v>3983</v>
      </c>
      <c r="D3693" t="s">
        <v>16</v>
      </c>
      <c r="E3693" t="s">
        <v>107</v>
      </c>
      <c r="F3693">
        <v>1</v>
      </c>
      <c r="G3693">
        <v>269</v>
      </c>
      <c r="H3693">
        <v>12.51</v>
      </c>
      <c r="I3693" t="s">
        <v>44</v>
      </c>
      <c r="J3693">
        <v>15</v>
      </c>
      <c r="K3693" t="s">
        <v>143</v>
      </c>
      <c r="L3693">
        <v>1</v>
      </c>
      <c r="M3693" t="str">
        <f>VLOOKUP(D3693,State_Lookup!$A$2:$B$28,2,FALSE)</f>
        <v>Sao Paulo</v>
      </c>
    </row>
    <row r="3694" spans="1:13" x14ac:dyDescent="0.45">
      <c r="A3694" t="s">
        <v>4316</v>
      </c>
      <c r="B3694" t="s">
        <v>4315</v>
      </c>
      <c r="C3694" t="s">
        <v>3983</v>
      </c>
      <c r="D3694" t="s">
        <v>17</v>
      </c>
      <c r="E3694" t="s">
        <v>107</v>
      </c>
      <c r="F3694">
        <v>1</v>
      </c>
      <c r="G3694">
        <v>499.99</v>
      </c>
      <c r="H3694">
        <v>69.17</v>
      </c>
      <c r="I3694" t="s">
        <v>44</v>
      </c>
      <c r="K3694" t="s">
        <v>45</v>
      </c>
      <c r="L3694">
        <v>2</v>
      </c>
      <c r="M3694" t="str">
        <f>VLOOKUP(D3694,State_Lookup!$A$2:$B$28,2,FALSE)</f>
        <v>Rio de Janeiro</v>
      </c>
    </row>
    <row r="3695" spans="1:13" x14ac:dyDescent="0.45">
      <c r="A3695" t="s">
        <v>4317</v>
      </c>
      <c r="B3695" t="s">
        <v>4315</v>
      </c>
      <c r="C3695" t="s">
        <v>3983</v>
      </c>
      <c r="D3695" t="s">
        <v>16</v>
      </c>
      <c r="E3695" t="s">
        <v>598</v>
      </c>
      <c r="F3695">
        <v>1</v>
      </c>
      <c r="G3695">
        <v>24.95</v>
      </c>
      <c r="H3695">
        <v>8.2899999999999991</v>
      </c>
      <c r="I3695" t="s">
        <v>50</v>
      </c>
      <c r="J3695">
        <v>6</v>
      </c>
      <c r="K3695" t="s">
        <v>51</v>
      </c>
      <c r="L3695">
        <v>5</v>
      </c>
      <c r="M3695" t="str">
        <f>VLOOKUP(D3695,State_Lookup!$A$2:$B$28,2,FALSE)</f>
        <v>Sao Paulo</v>
      </c>
    </row>
    <row r="3696" spans="1:13" x14ac:dyDescent="0.45">
      <c r="A3696" t="s">
        <v>4318</v>
      </c>
      <c r="B3696" t="s">
        <v>4315</v>
      </c>
      <c r="C3696" t="s">
        <v>3983</v>
      </c>
      <c r="D3696" t="s">
        <v>122</v>
      </c>
      <c r="E3696" t="s">
        <v>125</v>
      </c>
      <c r="F3696">
        <v>1</v>
      </c>
      <c r="G3696">
        <v>145.99</v>
      </c>
      <c r="H3696">
        <v>34.18</v>
      </c>
      <c r="I3696" t="s">
        <v>44</v>
      </c>
      <c r="J3696">
        <v>26</v>
      </c>
      <c r="K3696" t="s">
        <v>51</v>
      </c>
      <c r="L3696">
        <v>5</v>
      </c>
      <c r="M3696" t="str">
        <f>VLOOKUP(D3696,State_Lookup!$A$2:$B$28,2,FALSE)</f>
        <v>Para</v>
      </c>
    </row>
    <row r="3697" spans="1:13" x14ac:dyDescent="0.45">
      <c r="A3697" t="s">
        <v>4319</v>
      </c>
      <c r="B3697" t="s">
        <v>4315</v>
      </c>
      <c r="C3697" t="s">
        <v>3983</v>
      </c>
      <c r="D3697" t="s">
        <v>17</v>
      </c>
      <c r="E3697" t="s">
        <v>142</v>
      </c>
      <c r="F3697">
        <v>1</v>
      </c>
      <c r="G3697">
        <v>129</v>
      </c>
      <c r="H3697">
        <v>26.98</v>
      </c>
      <c r="I3697" t="s">
        <v>50</v>
      </c>
      <c r="J3697">
        <v>33</v>
      </c>
      <c r="K3697" t="s">
        <v>51</v>
      </c>
      <c r="L3697">
        <v>5</v>
      </c>
      <c r="M3697" t="str">
        <f>VLOOKUP(D3697,State_Lookup!$A$2:$B$28,2,FALSE)</f>
        <v>Rio de Janeiro</v>
      </c>
    </row>
    <row r="3698" spans="1:13" x14ac:dyDescent="0.45">
      <c r="A3698" t="s">
        <v>4320</v>
      </c>
      <c r="B3698" t="s">
        <v>4315</v>
      </c>
      <c r="C3698" t="s">
        <v>3983</v>
      </c>
      <c r="D3698" t="s">
        <v>141</v>
      </c>
      <c r="E3698" t="s">
        <v>110</v>
      </c>
      <c r="F3698">
        <v>1</v>
      </c>
      <c r="G3698">
        <v>165.9</v>
      </c>
      <c r="H3698">
        <v>27.71</v>
      </c>
      <c r="I3698" t="s">
        <v>44</v>
      </c>
      <c r="J3698">
        <v>14</v>
      </c>
      <c r="K3698" t="s">
        <v>51</v>
      </c>
      <c r="L3698">
        <v>5</v>
      </c>
      <c r="M3698" t="str">
        <f>VLOOKUP(D3698,State_Lookup!$A$2:$B$28,2,FALSE)</f>
        <v>Maranhao</v>
      </c>
    </row>
    <row r="3699" spans="1:13" x14ac:dyDescent="0.45">
      <c r="A3699" t="s">
        <v>4321</v>
      </c>
      <c r="B3699" t="s">
        <v>4315</v>
      </c>
      <c r="C3699" t="s">
        <v>3983</v>
      </c>
      <c r="D3699" t="s">
        <v>18</v>
      </c>
      <c r="E3699" t="s">
        <v>66</v>
      </c>
      <c r="F3699">
        <v>1</v>
      </c>
      <c r="G3699">
        <v>19.989999999999998</v>
      </c>
      <c r="H3699">
        <v>18.23</v>
      </c>
      <c r="I3699" t="s">
        <v>44</v>
      </c>
      <c r="J3699">
        <v>7</v>
      </c>
      <c r="K3699" t="s">
        <v>51</v>
      </c>
      <c r="L3699">
        <v>5</v>
      </c>
      <c r="M3699" t="str">
        <f>VLOOKUP(D3699,State_Lookup!$A$2:$B$28,2,FALSE)</f>
        <v>Minas Gerais</v>
      </c>
    </row>
    <row r="3700" spans="1:13" x14ac:dyDescent="0.45">
      <c r="A3700" t="s">
        <v>4322</v>
      </c>
      <c r="B3700" t="s">
        <v>4315</v>
      </c>
      <c r="C3700" t="s">
        <v>3983</v>
      </c>
      <c r="D3700" t="s">
        <v>16</v>
      </c>
      <c r="E3700" t="s">
        <v>79</v>
      </c>
      <c r="F3700">
        <v>1</v>
      </c>
      <c r="G3700">
        <v>262.39</v>
      </c>
      <c r="H3700">
        <v>12.46</v>
      </c>
      <c r="I3700" t="s">
        <v>44</v>
      </c>
      <c r="J3700">
        <v>4</v>
      </c>
      <c r="K3700" t="s">
        <v>51</v>
      </c>
      <c r="L3700">
        <v>5</v>
      </c>
      <c r="M3700" t="str">
        <f>VLOOKUP(D3700,State_Lookup!$A$2:$B$28,2,FALSE)</f>
        <v>Sao Paulo</v>
      </c>
    </row>
    <row r="3701" spans="1:13" x14ac:dyDescent="0.45">
      <c r="A3701" t="s">
        <v>4323</v>
      </c>
      <c r="B3701" t="s">
        <v>4315</v>
      </c>
      <c r="C3701" t="s">
        <v>3983</v>
      </c>
      <c r="D3701" t="s">
        <v>16</v>
      </c>
      <c r="E3701" t="s">
        <v>142</v>
      </c>
      <c r="F3701">
        <v>1</v>
      </c>
      <c r="G3701">
        <v>129.97</v>
      </c>
      <c r="H3701">
        <v>29.17</v>
      </c>
      <c r="I3701" t="s">
        <v>44</v>
      </c>
      <c r="J3701">
        <v>10</v>
      </c>
      <c r="K3701" t="s">
        <v>51</v>
      </c>
      <c r="L3701">
        <v>5</v>
      </c>
      <c r="M3701" t="str">
        <f>VLOOKUP(D3701,State_Lookup!$A$2:$B$28,2,FALSE)</f>
        <v>Sao Paulo</v>
      </c>
    </row>
    <row r="3702" spans="1:13" x14ac:dyDescent="0.45">
      <c r="A3702" t="s">
        <v>4324</v>
      </c>
      <c r="B3702" t="s">
        <v>4315</v>
      </c>
      <c r="C3702" t="s">
        <v>3983</v>
      </c>
      <c r="D3702" t="s">
        <v>25</v>
      </c>
      <c r="E3702" t="s">
        <v>157</v>
      </c>
      <c r="F3702">
        <v>1</v>
      </c>
      <c r="G3702">
        <v>95</v>
      </c>
      <c r="H3702">
        <v>15.55</v>
      </c>
      <c r="I3702" t="s">
        <v>44</v>
      </c>
      <c r="J3702">
        <v>18</v>
      </c>
      <c r="K3702" t="s">
        <v>51</v>
      </c>
      <c r="L3702">
        <v>5</v>
      </c>
      <c r="M3702" t="str">
        <f>VLOOKUP(D3702,State_Lookup!$A$2:$B$28,2,FALSE)</f>
        <v>Goias</v>
      </c>
    </row>
    <row r="3703" spans="1:13" x14ac:dyDescent="0.45">
      <c r="A3703" t="s">
        <v>4325</v>
      </c>
      <c r="B3703" t="s">
        <v>4315</v>
      </c>
      <c r="C3703" t="s">
        <v>3983</v>
      </c>
      <c r="D3703" t="s">
        <v>17</v>
      </c>
      <c r="E3703" t="s">
        <v>1839</v>
      </c>
      <c r="F3703">
        <v>1</v>
      </c>
      <c r="G3703">
        <v>36.5</v>
      </c>
      <c r="H3703">
        <v>15.23</v>
      </c>
      <c r="I3703" t="s">
        <v>44</v>
      </c>
      <c r="J3703">
        <v>24</v>
      </c>
      <c r="K3703" t="s">
        <v>51</v>
      </c>
      <c r="L3703">
        <v>3</v>
      </c>
      <c r="M3703" t="str">
        <f>VLOOKUP(D3703,State_Lookup!$A$2:$B$28,2,FALSE)</f>
        <v>Rio de Janeiro</v>
      </c>
    </row>
    <row r="3704" spans="1:13" x14ac:dyDescent="0.45">
      <c r="A3704" t="s">
        <v>4326</v>
      </c>
      <c r="B3704" t="s">
        <v>4327</v>
      </c>
      <c r="C3704" t="s">
        <v>3983</v>
      </c>
      <c r="D3704" t="s">
        <v>17</v>
      </c>
      <c r="E3704" t="s">
        <v>125</v>
      </c>
      <c r="F3704">
        <v>1</v>
      </c>
      <c r="G3704">
        <v>103.9</v>
      </c>
      <c r="H3704">
        <v>16.32</v>
      </c>
      <c r="I3704" t="s">
        <v>44</v>
      </c>
      <c r="J3704">
        <v>16</v>
      </c>
      <c r="K3704" t="s">
        <v>51</v>
      </c>
      <c r="L3704">
        <v>5</v>
      </c>
      <c r="M3704" t="str">
        <f>VLOOKUP(D3704,State_Lookup!$A$2:$B$28,2,FALSE)</f>
        <v>Rio de Janeiro</v>
      </c>
    </row>
    <row r="3705" spans="1:13" x14ac:dyDescent="0.45">
      <c r="A3705" t="s">
        <v>4328</v>
      </c>
      <c r="B3705" t="s">
        <v>4327</v>
      </c>
      <c r="C3705" t="s">
        <v>3983</v>
      </c>
      <c r="D3705" t="s">
        <v>16</v>
      </c>
      <c r="E3705" t="s">
        <v>4329</v>
      </c>
      <c r="F3705">
        <v>1</v>
      </c>
      <c r="G3705">
        <v>45</v>
      </c>
      <c r="H3705">
        <v>11.15</v>
      </c>
      <c r="I3705" t="s">
        <v>50</v>
      </c>
      <c r="J3705">
        <v>9</v>
      </c>
      <c r="K3705" t="s">
        <v>51</v>
      </c>
      <c r="L3705">
        <v>5</v>
      </c>
      <c r="M3705" t="str">
        <f>VLOOKUP(D3705,State_Lookup!$A$2:$B$28,2,FALSE)</f>
        <v>Sao Paulo</v>
      </c>
    </row>
    <row r="3706" spans="1:13" x14ac:dyDescent="0.45">
      <c r="A3706" t="s">
        <v>4330</v>
      </c>
      <c r="B3706" t="s">
        <v>4327</v>
      </c>
      <c r="C3706" t="s">
        <v>3983</v>
      </c>
      <c r="D3706" t="s">
        <v>16</v>
      </c>
      <c r="E3706" t="s">
        <v>3021</v>
      </c>
      <c r="F3706">
        <v>1</v>
      </c>
      <c r="G3706">
        <v>99.99</v>
      </c>
      <c r="H3706">
        <v>12.03</v>
      </c>
      <c r="I3706" t="s">
        <v>50</v>
      </c>
      <c r="J3706">
        <v>6</v>
      </c>
      <c r="K3706" t="s">
        <v>51</v>
      </c>
      <c r="L3706">
        <v>5</v>
      </c>
      <c r="M3706" t="str">
        <f>VLOOKUP(D3706,State_Lookup!$A$2:$B$28,2,FALSE)</f>
        <v>Sao Paulo</v>
      </c>
    </row>
    <row r="3707" spans="1:13" x14ac:dyDescent="0.45">
      <c r="A3707" t="s">
        <v>4331</v>
      </c>
      <c r="B3707" t="s">
        <v>4327</v>
      </c>
      <c r="C3707" t="s">
        <v>3983</v>
      </c>
      <c r="D3707" t="s">
        <v>20</v>
      </c>
      <c r="E3707" t="s">
        <v>69</v>
      </c>
      <c r="F3707">
        <v>1</v>
      </c>
      <c r="G3707">
        <v>179</v>
      </c>
      <c r="H3707">
        <v>22.75</v>
      </c>
      <c r="I3707" t="s">
        <v>44</v>
      </c>
      <c r="J3707">
        <v>10</v>
      </c>
      <c r="K3707" t="s">
        <v>51</v>
      </c>
      <c r="L3707">
        <v>5</v>
      </c>
      <c r="M3707" t="str">
        <f>VLOOKUP(D3707,State_Lookup!$A$2:$B$28,2,FALSE)</f>
        <v>Parana</v>
      </c>
    </row>
    <row r="3708" spans="1:13" x14ac:dyDescent="0.45">
      <c r="A3708" t="s">
        <v>4332</v>
      </c>
      <c r="B3708" t="s">
        <v>4327</v>
      </c>
      <c r="C3708" t="s">
        <v>3983</v>
      </c>
      <c r="D3708" t="s">
        <v>19</v>
      </c>
      <c r="E3708" t="s">
        <v>142</v>
      </c>
      <c r="F3708">
        <v>1</v>
      </c>
      <c r="G3708">
        <v>63.72</v>
      </c>
      <c r="H3708">
        <v>26.53</v>
      </c>
      <c r="I3708" t="s">
        <v>44</v>
      </c>
      <c r="J3708">
        <v>6</v>
      </c>
      <c r="K3708" t="s">
        <v>51</v>
      </c>
      <c r="L3708">
        <v>5</v>
      </c>
      <c r="M3708" t="str">
        <f>VLOOKUP(D3708,State_Lookup!$A$2:$B$28,2,FALSE)</f>
        <v>Rio Grande do Sul</v>
      </c>
    </row>
    <row r="3709" spans="1:13" x14ac:dyDescent="0.45">
      <c r="A3709" t="s">
        <v>4333</v>
      </c>
      <c r="B3709" t="s">
        <v>4327</v>
      </c>
      <c r="C3709" t="s">
        <v>3983</v>
      </c>
      <c r="D3709" t="s">
        <v>16</v>
      </c>
      <c r="E3709" t="s">
        <v>110</v>
      </c>
      <c r="F3709">
        <v>1</v>
      </c>
      <c r="G3709">
        <v>19.899999999999999</v>
      </c>
      <c r="H3709">
        <v>12.79</v>
      </c>
      <c r="I3709" t="s">
        <v>44</v>
      </c>
      <c r="J3709">
        <v>6</v>
      </c>
      <c r="K3709" t="s">
        <v>51</v>
      </c>
      <c r="L3709">
        <v>1</v>
      </c>
      <c r="M3709" t="str">
        <f>VLOOKUP(D3709,State_Lookup!$A$2:$B$28,2,FALSE)</f>
        <v>Sao Paulo</v>
      </c>
    </row>
    <row r="3710" spans="1:13" x14ac:dyDescent="0.45">
      <c r="A3710" t="s">
        <v>4334</v>
      </c>
      <c r="B3710" t="s">
        <v>4335</v>
      </c>
      <c r="C3710" t="s">
        <v>3983</v>
      </c>
      <c r="D3710" t="s">
        <v>16</v>
      </c>
      <c r="E3710" t="s">
        <v>142</v>
      </c>
      <c r="F3710">
        <v>1</v>
      </c>
      <c r="G3710">
        <v>28.99</v>
      </c>
      <c r="H3710">
        <v>7.39</v>
      </c>
      <c r="I3710" t="s">
        <v>50</v>
      </c>
      <c r="J3710">
        <v>4</v>
      </c>
      <c r="K3710" t="s">
        <v>51</v>
      </c>
      <c r="L3710">
        <v>4</v>
      </c>
      <c r="M3710" t="str">
        <f>VLOOKUP(D3710,State_Lookup!$A$2:$B$28,2,FALSE)</f>
        <v>Sao Paulo</v>
      </c>
    </row>
    <row r="3711" spans="1:13" x14ac:dyDescent="0.45">
      <c r="A3711" t="s">
        <v>4336</v>
      </c>
      <c r="B3711" t="s">
        <v>4335</v>
      </c>
      <c r="C3711" t="s">
        <v>3983</v>
      </c>
      <c r="D3711" t="s">
        <v>17</v>
      </c>
      <c r="E3711" t="s">
        <v>110</v>
      </c>
      <c r="F3711">
        <v>3</v>
      </c>
      <c r="G3711">
        <v>163.98</v>
      </c>
      <c r="H3711">
        <v>67.72</v>
      </c>
      <c r="I3711" t="s">
        <v>44</v>
      </c>
      <c r="J3711">
        <v>12</v>
      </c>
      <c r="K3711" t="s">
        <v>51</v>
      </c>
      <c r="L3711">
        <v>1</v>
      </c>
      <c r="M3711" t="str">
        <f>VLOOKUP(D3711,State_Lookup!$A$2:$B$28,2,FALSE)</f>
        <v>Rio de Janeiro</v>
      </c>
    </row>
    <row r="3712" spans="1:13" x14ac:dyDescent="0.45">
      <c r="A3712" t="s">
        <v>4337</v>
      </c>
      <c r="B3712" t="s">
        <v>4335</v>
      </c>
      <c r="C3712" t="s">
        <v>3983</v>
      </c>
      <c r="D3712" t="s">
        <v>19</v>
      </c>
      <c r="E3712" t="s">
        <v>64</v>
      </c>
      <c r="F3712">
        <v>1</v>
      </c>
      <c r="G3712">
        <v>385</v>
      </c>
      <c r="H3712">
        <v>18.66</v>
      </c>
      <c r="I3712" t="s">
        <v>44</v>
      </c>
      <c r="J3712">
        <v>10</v>
      </c>
      <c r="K3712" t="s">
        <v>51</v>
      </c>
      <c r="L3712">
        <v>3</v>
      </c>
      <c r="M3712" t="str">
        <f>VLOOKUP(D3712,State_Lookup!$A$2:$B$28,2,FALSE)</f>
        <v>Rio Grande do Sul</v>
      </c>
    </row>
    <row r="3713" spans="1:13" x14ac:dyDescent="0.45">
      <c r="A3713" t="s">
        <v>4338</v>
      </c>
      <c r="B3713" t="s">
        <v>4335</v>
      </c>
      <c r="C3713" t="s">
        <v>3983</v>
      </c>
      <c r="D3713" t="s">
        <v>23</v>
      </c>
      <c r="E3713" t="s">
        <v>79</v>
      </c>
      <c r="F3713">
        <v>1</v>
      </c>
      <c r="G3713">
        <v>110.32</v>
      </c>
      <c r="H3713">
        <v>15.65</v>
      </c>
      <c r="I3713" t="s">
        <v>44</v>
      </c>
      <c r="J3713">
        <v>12</v>
      </c>
      <c r="K3713" t="s">
        <v>51</v>
      </c>
      <c r="L3713">
        <v>4</v>
      </c>
      <c r="M3713" t="str">
        <f>VLOOKUP(D3713,State_Lookup!$A$2:$B$28,2,FALSE)</f>
        <v>Espirito Santo</v>
      </c>
    </row>
    <row r="3714" spans="1:13" x14ac:dyDescent="0.45">
      <c r="A3714" t="s">
        <v>4339</v>
      </c>
      <c r="B3714" t="s">
        <v>4335</v>
      </c>
      <c r="C3714" t="s">
        <v>3983</v>
      </c>
      <c r="D3714" t="s">
        <v>19</v>
      </c>
      <c r="E3714" t="s">
        <v>361</v>
      </c>
      <c r="F3714">
        <v>1</v>
      </c>
      <c r="G3714">
        <v>8.9</v>
      </c>
      <c r="H3714">
        <v>15.23</v>
      </c>
      <c r="I3714" t="s">
        <v>44</v>
      </c>
      <c r="J3714">
        <v>9</v>
      </c>
      <c r="K3714" t="s">
        <v>51</v>
      </c>
      <c r="L3714">
        <v>5</v>
      </c>
      <c r="M3714" t="str">
        <f>VLOOKUP(D3714,State_Lookup!$A$2:$B$28,2,FALSE)</f>
        <v>Rio Grande do Sul</v>
      </c>
    </row>
    <row r="3715" spans="1:13" x14ac:dyDescent="0.45">
      <c r="A3715" t="s">
        <v>4340</v>
      </c>
      <c r="B3715" t="s">
        <v>4335</v>
      </c>
      <c r="C3715" t="s">
        <v>3983</v>
      </c>
      <c r="D3715" t="s">
        <v>122</v>
      </c>
      <c r="E3715" t="s">
        <v>148</v>
      </c>
      <c r="F3715">
        <v>1</v>
      </c>
      <c r="G3715">
        <v>269.89999999999998</v>
      </c>
      <c r="H3715">
        <v>48.33</v>
      </c>
      <c r="I3715" t="s">
        <v>50</v>
      </c>
      <c r="J3715">
        <v>44</v>
      </c>
      <c r="K3715" t="s">
        <v>143</v>
      </c>
      <c r="L3715">
        <v>1</v>
      </c>
      <c r="M3715" t="str">
        <f>VLOOKUP(D3715,State_Lookup!$A$2:$B$28,2,FALSE)</f>
        <v>Para</v>
      </c>
    </row>
    <row r="3716" spans="1:13" x14ac:dyDescent="0.45">
      <c r="A3716" t="s">
        <v>4341</v>
      </c>
      <c r="B3716" t="s">
        <v>4342</v>
      </c>
      <c r="C3716" t="s">
        <v>3983</v>
      </c>
      <c r="D3716" t="s">
        <v>16</v>
      </c>
      <c r="E3716" t="s">
        <v>53</v>
      </c>
      <c r="F3716">
        <v>1</v>
      </c>
      <c r="G3716">
        <v>79.900000000000006</v>
      </c>
      <c r="H3716">
        <v>13.92</v>
      </c>
      <c r="I3716" t="s">
        <v>44</v>
      </c>
      <c r="J3716">
        <v>3</v>
      </c>
      <c r="K3716" t="s">
        <v>51</v>
      </c>
      <c r="L3716">
        <v>5</v>
      </c>
      <c r="M3716" t="str">
        <f>VLOOKUP(D3716,State_Lookup!$A$2:$B$28,2,FALSE)</f>
        <v>Sao Paulo</v>
      </c>
    </row>
    <row r="3717" spans="1:13" x14ac:dyDescent="0.45">
      <c r="A3717" t="s">
        <v>4343</v>
      </c>
      <c r="B3717" t="s">
        <v>4342</v>
      </c>
      <c r="C3717" t="s">
        <v>3983</v>
      </c>
      <c r="D3717" t="s">
        <v>16</v>
      </c>
      <c r="E3717" t="s">
        <v>142</v>
      </c>
      <c r="F3717">
        <v>2</v>
      </c>
      <c r="G3717">
        <v>116</v>
      </c>
      <c r="H3717">
        <v>25.7</v>
      </c>
      <c r="I3717" t="s">
        <v>44</v>
      </c>
      <c r="J3717">
        <v>4</v>
      </c>
      <c r="K3717" t="s">
        <v>51</v>
      </c>
      <c r="L3717">
        <v>4</v>
      </c>
      <c r="M3717" t="str">
        <f>VLOOKUP(D3717,State_Lookup!$A$2:$B$28,2,FALSE)</f>
        <v>Sao Paulo</v>
      </c>
    </row>
    <row r="3718" spans="1:13" x14ac:dyDescent="0.45">
      <c r="A3718" t="s">
        <v>4344</v>
      </c>
      <c r="B3718" t="s">
        <v>4342</v>
      </c>
      <c r="C3718" t="s">
        <v>3983</v>
      </c>
      <c r="D3718" t="s">
        <v>128</v>
      </c>
      <c r="E3718" t="s">
        <v>79</v>
      </c>
      <c r="F3718">
        <v>1</v>
      </c>
      <c r="G3718">
        <v>330</v>
      </c>
      <c r="H3718">
        <v>14.7</v>
      </c>
      <c r="I3718" t="s">
        <v>44</v>
      </c>
      <c r="J3718">
        <v>65</v>
      </c>
      <c r="K3718" t="s">
        <v>143</v>
      </c>
      <c r="L3718">
        <v>1</v>
      </c>
      <c r="M3718" t="str">
        <f>VLOOKUP(D3718,State_Lookup!$A$2:$B$28,2,FALSE)</f>
        <v>Ceara</v>
      </c>
    </row>
    <row r="3719" spans="1:13" x14ac:dyDescent="0.45">
      <c r="A3719" t="s">
        <v>4345</v>
      </c>
      <c r="B3719" t="s">
        <v>4342</v>
      </c>
      <c r="C3719" t="s">
        <v>3983</v>
      </c>
      <c r="D3719" t="s">
        <v>16</v>
      </c>
      <c r="E3719" t="s">
        <v>76</v>
      </c>
      <c r="F3719">
        <v>1</v>
      </c>
      <c r="G3719">
        <v>150</v>
      </c>
      <c r="H3719">
        <v>25.7</v>
      </c>
      <c r="I3719" t="s">
        <v>44</v>
      </c>
      <c r="J3719">
        <v>7</v>
      </c>
      <c r="K3719" t="s">
        <v>51</v>
      </c>
      <c r="L3719">
        <v>5</v>
      </c>
      <c r="M3719" t="str">
        <f>VLOOKUP(D3719,State_Lookup!$A$2:$B$28,2,FALSE)</f>
        <v>Sao Paulo</v>
      </c>
    </row>
    <row r="3720" spans="1:13" x14ac:dyDescent="0.45">
      <c r="A3720" t="s">
        <v>4346</v>
      </c>
      <c r="B3720" t="s">
        <v>4342</v>
      </c>
      <c r="C3720" t="s">
        <v>3983</v>
      </c>
      <c r="D3720" t="s">
        <v>23</v>
      </c>
      <c r="E3720" t="s">
        <v>61</v>
      </c>
      <c r="F3720">
        <v>1</v>
      </c>
      <c r="G3720">
        <v>119</v>
      </c>
      <c r="H3720">
        <v>19.739999999999998</v>
      </c>
      <c r="I3720" t="s">
        <v>44</v>
      </c>
      <c r="J3720">
        <v>9</v>
      </c>
      <c r="K3720" t="s">
        <v>51</v>
      </c>
      <c r="L3720">
        <v>5</v>
      </c>
      <c r="M3720" t="str">
        <f>VLOOKUP(D3720,State_Lookup!$A$2:$B$28,2,FALSE)</f>
        <v>Espirito Santo</v>
      </c>
    </row>
    <row r="3721" spans="1:13" x14ac:dyDescent="0.45">
      <c r="A3721" t="s">
        <v>4347</v>
      </c>
      <c r="B3721" t="s">
        <v>4342</v>
      </c>
      <c r="C3721" t="s">
        <v>3983</v>
      </c>
      <c r="D3721" t="s">
        <v>16</v>
      </c>
      <c r="E3721" t="s">
        <v>43</v>
      </c>
      <c r="F3721">
        <v>1</v>
      </c>
      <c r="G3721">
        <v>78</v>
      </c>
      <c r="H3721">
        <v>14.64</v>
      </c>
      <c r="I3721" t="s">
        <v>44</v>
      </c>
      <c r="J3721">
        <v>10</v>
      </c>
      <c r="K3721" t="s">
        <v>51</v>
      </c>
      <c r="L3721">
        <v>1</v>
      </c>
      <c r="M3721" t="str">
        <f>VLOOKUP(D3721,State_Lookup!$A$2:$B$28,2,FALSE)</f>
        <v>Sao Paulo</v>
      </c>
    </row>
    <row r="3722" spans="1:13" x14ac:dyDescent="0.45">
      <c r="A3722" t="s">
        <v>4348</v>
      </c>
      <c r="B3722" t="s">
        <v>4342</v>
      </c>
      <c r="C3722" t="s">
        <v>3983</v>
      </c>
      <c r="D3722" t="s">
        <v>16</v>
      </c>
      <c r="E3722" t="s">
        <v>103</v>
      </c>
      <c r="F3722">
        <v>1</v>
      </c>
      <c r="G3722">
        <v>35.9</v>
      </c>
      <c r="H3722">
        <v>8.8800000000000008</v>
      </c>
      <c r="I3722" t="s">
        <v>44</v>
      </c>
      <c r="J3722">
        <v>9</v>
      </c>
      <c r="K3722" t="s">
        <v>51</v>
      </c>
      <c r="L3722">
        <v>5</v>
      </c>
      <c r="M3722" t="str">
        <f>VLOOKUP(D3722,State_Lookup!$A$2:$B$28,2,FALSE)</f>
        <v>Sao Paulo</v>
      </c>
    </row>
    <row r="3723" spans="1:13" x14ac:dyDescent="0.45">
      <c r="A3723" t="s">
        <v>4349</v>
      </c>
      <c r="B3723" t="s">
        <v>4342</v>
      </c>
      <c r="C3723" t="s">
        <v>3983</v>
      </c>
      <c r="D3723" t="s">
        <v>16</v>
      </c>
      <c r="E3723" t="s">
        <v>142</v>
      </c>
      <c r="F3723">
        <v>1</v>
      </c>
      <c r="G3723">
        <v>279.99</v>
      </c>
      <c r="H3723">
        <v>31.82</v>
      </c>
      <c r="I3723" t="s">
        <v>44</v>
      </c>
      <c r="J3723">
        <v>8</v>
      </c>
      <c r="K3723" t="s">
        <v>51</v>
      </c>
      <c r="L3723">
        <v>3</v>
      </c>
      <c r="M3723" t="str">
        <f>VLOOKUP(D3723,State_Lookup!$A$2:$B$28,2,FALSE)</f>
        <v>Sao Paulo</v>
      </c>
    </row>
    <row r="3724" spans="1:13" x14ac:dyDescent="0.45">
      <c r="A3724" t="s">
        <v>4350</v>
      </c>
      <c r="B3724" t="s">
        <v>4342</v>
      </c>
      <c r="C3724" t="s">
        <v>3983</v>
      </c>
      <c r="D3724" t="s">
        <v>21</v>
      </c>
      <c r="E3724" t="s">
        <v>69</v>
      </c>
      <c r="F3724">
        <v>1</v>
      </c>
      <c r="G3724">
        <v>379</v>
      </c>
      <c r="H3724">
        <v>17.66</v>
      </c>
      <c r="I3724" t="s">
        <v>44</v>
      </c>
      <c r="J3724">
        <v>3</v>
      </c>
      <c r="K3724" t="s">
        <v>51</v>
      </c>
      <c r="L3724">
        <v>5</v>
      </c>
      <c r="M3724" t="str">
        <f>VLOOKUP(D3724,State_Lookup!$A$2:$B$28,2,FALSE)</f>
        <v>Santa Catarina</v>
      </c>
    </row>
    <row r="3725" spans="1:13" x14ac:dyDescent="0.45">
      <c r="A3725" t="s">
        <v>4351</v>
      </c>
      <c r="B3725" t="s">
        <v>4342</v>
      </c>
      <c r="C3725" t="s">
        <v>3983</v>
      </c>
      <c r="D3725" t="s">
        <v>19</v>
      </c>
      <c r="E3725" t="s">
        <v>43</v>
      </c>
      <c r="F3725">
        <v>1</v>
      </c>
      <c r="G3725">
        <v>39.979999999999997</v>
      </c>
      <c r="H3725">
        <v>19.32</v>
      </c>
      <c r="I3725" t="s">
        <v>44</v>
      </c>
      <c r="J3725">
        <v>10</v>
      </c>
      <c r="K3725" t="s">
        <v>51</v>
      </c>
      <c r="L3725">
        <v>5</v>
      </c>
      <c r="M3725" t="str">
        <f>VLOOKUP(D3725,State_Lookup!$A$2:$B$28,2,FALSE)</f>
        <v>Rio Grande do Sul</v>
      </c>
    </row>
    <row r="3726" spans="1:13" x14ac:dyDescent="0.45">
      <c r="A3726" t="s">
        <v>4352</v>
      </c>
      <c r="B3726" t="s">
        <v>4342</v>
      </c>
      <c r="C3726" t="s">
        <v>3983</v>
      </c>
      <c r="D3726" t="s">
        <v>17</v>
      </c>
      <c r="E3726" t="s">
        <v>2079</v>
      </c>
      <c r="F3726">
        <v>1</v>
      </c>
      <c r="G3726">
        <v>74.900000000000006</v>
      </c>
      <c r="H3726">
        <v>16.489999999999998</v>
      </c>
      <c r="I3726" t="s">
        <v>44</v>
      </c>
      <c r="J3726">
        <v>10</v>
      </c>
      <c r="K3726" t="s">
        <v>51</v>
      </c>
      <c r="L3726">
        <v>3</v>
      </c>
      <c r="M3726" t="str">
        <f>VLOOKUP(D3726,State_Lookup!$A$2:$B$28,2,FALSE)</f>
        <v>Rio de Janeiro</v>
      </c>
    </row>
    <row r="3727" spans="1:13" x14ac:dyDescent="0.45">
      <c r="A3727" t="s">
        <v>4353</v>
      </c>
      <c r="B3727" t="s">
        <v>4342</v>
      </c>
      <c r="C3727" t="s">
        <v>3983</v>
      </c>
      <c r="D3727" t="s">
        <v>16</v>
      </c>
      <c r="E3727" t="s">
        <v>110</v>
      </c>
      <c r="F3727">
        <v>1</v>
      </c>
      <c r="G3727">
        <v>96</v>
      </c>
      <c r="H3727">
        <v>14.03</v>
      </c>
      <c r="I3727" t="s">
        <v>44</v>
      </c>
      <c r="J3727">
        <v>9</v>
      </c>
      <c r="K3727" t="s">
        <v>51</v>
      </c>
      <c r="L3727">
        <v>5</v>
      </c>
      <c r="M3727" t="str">
        <f>VLOOKUP(D3727,State_Lookup!$A$2:$B$28,2,FALSE)</f>
        <v>Sao Paulo</v>
      </c>
    </row>
    <row r="3728" spans="1:13" x14ac:dyDescent="0.45">
      <c r="A3728" t="s">
        <v>4354</v>
      </c>
      <c r="B3728" t="s">
        <v>4342</v>
      </c>
      <c r="C3728" t="s">
        <v>3983</v>
      </c>
      <c r="D3728" t="s">
        <v>16</v>
      </c>
      <c r="E3728" t="s">
        <v>244</v>
      </c>
      <c r="F3728">
        <v>1</v>
      </c>
      <c r="G3728">
        <v>99</v>
      </c>
      <c r="H3728">
        <v>18.27</v>
      </c>
      <c r="I3728" t="s">
        <v>44</v>
      </c>
      <c r="J3728">
        <v>17</v>
      </c>
      <c r="K3728" t="s">
        <v>143</v>
      </c>
      <c r="L3728">
        <v>5</v>
      </c>
      <c r="M3728" t="str">
        <f>VLOOKUP(D3728,State_Lookup!$A$2:$B$28,2,FALSE)</f>
        <v>Sao Paulo</v>
      </c>
    </row>
    <row r="3729" spans="1:13" x14ac:dyDescent="0.45">
      <c r="A3729" t="s">
        <v>4355</v>
      </c>
      <c r="B3729" t="s">
        <v>4342</v>
      </c>
      <c r="C3729" t="s">
        <v>3983</v>
      </c>
      <c r="D3729" t="s">
        <v>18</v>
      </c>
      <c r="E3729" t="s">
        <v>79</v>
      </c>
      <c r="F3729">
        <v>2</v>
      </c>
      <c r="G3729">
        <v>84.36</v>
      </c>
      <c r="H3729">
        <v>37.619999999999997</v>
      </c>
      <c r="I3729" t="s">
        <v>44</v>
      </c>
      <c r="J3729">
        <v>10</v>
      </c>
      <c r="K3729" t="s">
        <v>51</v>
      </c>
      <c r="L3729">
        <v>4</v>
      </c>
      <c r="M3729" t="str">
        <f>VLOOKUP(D3729,State_Lookup!$A$2:$B$28,2,FALSE)</f>
        <v>Minas Gerais</v>
      </c>
    </row>
    <row r="3730" spans="1:13" x14ac:dyDescent="0.45">
      <c r="A3730" t="s">
        <v>4356</v>
      </c>
      <c r="B3730" t="s">
        <v>4342</v>
      </c>
      <c r="C3730" t="s">
        <v>3983</v>
      </c>
      <c r="D3730" t="s">
        <v>18</v>
      </c>
      <c r="E3730" t="s">
        <v>64</v>
      </c>
      <c r="F3730">
        <v>2</v>
      </c>
      <c r="G3730">
        <v>47.8</v>
      </c>
      <c r="H3730">
        <v>36.46</v>
      </c>
      <c r="I3730" t="s">
        <v>50</v>
      </c>
      <c r="J3730">
        <v>14</v>
      </c>
      <c r="K3730" t="s">
        <v>51</v>
      </c>
      <c r="L3730">
        <v>5</v>
      </c>
      <c r="M3730" t="str">
        <f>VLOOKUP(D3730,State_Lookup!$A$2:$B$28,2,FALSE)</f>
        <v>Minas Gerais</v>
      </c>
    </row>
    <row r="3731" spans="1:13" x14ac:dyDescent="0.45">
      <c r="A3731" t="s">
        <v>4357</v>
      </c>
      <c r="B3731" t="s">
        <v>4358</v>
      </c>
      <c r="C3731" t="s">
        <v>4359</v>
      </c>
      <c r="D3731" t="s">
        <v>16</v>
      </c>
      <c r="E3731" t="s">
        <v>49</v>
      </c>
      <c r="F3731">
        <v>1</v>
      </c>
      <c r="G3731">
        <v>199.9</v>
      </c>
      <c r="H3731">
        <v>13.3</v>
      </c>
      <c r="I3731" t="s">
        <v>50</v>
      </c>
      <c r="J3731">
        <v>3</v>
      </c>
      <c r="K3731" t="s">
        <v>51</v>
      </c>
      <c r="L3731">
        <v>4</v>
      </c>
      <c r="M3731" t="str">
        <f>VLOOKUP(D3731,State_Lookup!$A$2:$B$28,2,FALSE)</f>
        <v>Sao Paulo</v>
      </c>
    </row>
    <row r="3732" spans="1:13" x14ac:dyDescent="0.45">
      <c r="A3732" t="s">
        <v>4360</v>
      </c>
      <c r="B3732" t="s">
        <v>4358</v>
      </c>
      <c r="C3732" t="s">
        <v>4359</v>
      </c>
      <c r="D3732" t="s">
        <v>17</v>
      </c>
      <c r="E3732" t="s">
        <v>110</v>
      </c>
      <c r="F3732">
        <v>3</v>
      </c>
      <c r="G3732">
        <v>599.70000000000005</v>
      </c>
      <c r="H3732">
        <v>82.44</v>
      </c>
      <c r="I3732" t="s">
        <v>44</v>
      </c>
      <c r="J3732">
        <v>23</v>
      </c>
      <c r="K3732" t="s">
        <v>51</v>
      </c>
      <c r="L3732">
        <v>5</v>
      </c>
      <c r="M3732" t="str">
        <f>VLOOKUP(D3732,State_Lookup!$A$2:$B$28,2,FALSE)</f>
        <v>Rio de Janeiro</v>
      </c>
    </row>
    <row r="3733" spans="1:13" x14ac:dyDescent="0.45">
      <c r="A3733" t="s">
        <v>4361</v>
      </c>
      <c r="B3733" t="s">
        <v>4358</v>
      </c>
      <c r="C3733" t="s">
        <v>4359</v>
      </c>
      <c r="D3733" t="s">
        <v>18</v>
      </c>
      <c r="E3733" t="s">
        <v>110</v>
      </c>
      <c r="F3733">
        <v>1</v>
      </c>
      <c r="G3733">
        <v>24.9</v>
      </c>
      <c r="H3733">
        <v>18.23</v>
      </c>
      <c r="I3733" t="s">
        <v>44</v>
      </c>
      <c r="J3733">
        <v>10</v>
      </c>
      <c r="K3733" t="s">
        <v>51</v>
      </c>
      <c r="L3733">
        <v>5</v>
      </c>
      <c r="M3733" t="str">
        <f>VLOOKUP(D3733,State_Lookup!$A$2:$B$28,2,FALSE)</f>
        <v>Minas Gerais</v>
      </c>
    </row>
    <row r="3734" spans="1:13" x14ac:dyDescent="0.45">
      <c r="A3734" t="s">
        <v>4362</v>
      </c>
      <c r="B3734" t="s">
        <v>4358</v>
      </c>
      <c r="C3734" t="s">
        <v>4359</v>
      </c>
      <c r="D3734" t="s">
        <v>19</v>
      </c>
      <c r="E3734" t="s">
        <v>1637</v>
      </c>
      <c r="F3734">
        <v>1</v>
      </c>
      <c r="G3734">
        <v>67.2</v>
      </c>
      <c r="H3734">
        <v>23.05</v>
      </c>
      <c r="I3734" t="s">
        <v>44</v>
      </c>
      <c r="J3734">
        <v>17</v>
      </c>
      <c r="K3734" t="s">
        <v>51</v>
      </c>
      <c r="L3734">
        <v>5</v>
      </c>
      <c r="M3734" t="str">
        <f>VLOOKUP(D3734,State_Lookup!$A$2:$B$28,2,FALSE)</f>
        <v>Rio Grande do Sul</v>
      </c>
    </row>
    <row r="3735" spans="1:13" x14ac:dyDescent="0.45">
      <c r="A3735" t="s">
        <v>4363</v>
      </c>
      <c r="B3735" t="s">
        <v>4358</v>
      </c>
      <c r="C3735" t="s">
        <v>4359</v>
      </c>
      <c r="D3735" t="s">
        <v>22</v>
      </c>
      <c r="E3735" t="s">
        <v>3816</v>
      </c>
      <c r="F3735">
        <v>1</v>
      </c>
      <c r="G3735">
        <v>25</v>
      </c>
      <c r="H3735">
        <v>22.06</v>
      </c>
      <c r="I3735" t="s">
        <v>50</v>
      </c>
      <c r="J3735">
        <v>15</v>
      </c>
      <c r="K3735" t="s">
        <v>51</v>
      </c>
      <c r="L3735">
        <v>3</v>
      </c>
      <c r="M3735" t="str">
        <f>VLOOKUP(D3735,State_Lookup!$A$2:$B$28,2,FALSE)</f>
        <v>Bahia</v>
      </c>
    </row>
    <row r="3736" spans="1:13" x14ac:dyDescent="0.45">
      <c r="A3736" t="s">
        <v>4364</v>
      </c>
      <c r="B3736" t="s">
        <v>4358</v>
      </c>
      <c r="C3736" t="s">
        <v>4359</v>
      </c>
      <c r="D3736" t="s">
        <v>24</v>
      </c>
      <c r="E3736" t="s">
        <v>110</v>
      </c>
      <c r="F3736">
        <v>1</v>
      </c>
      <c r="G3736">
        <v>83.79</v>
      </c>
      <c r="H3736">
        <v>9.27</v>
      </c>
      <c r="I3736" t="s">
        <v>44</v>
      </c>
      <c r="J3736">
        <v>9</v>
      </c>
      <c r="K3736" t="s">
        <v>51</v>
      </c>
      <c r="L3736">
        <v>5</v>
      </c>
      <c r="M3736" t="str">
        <f>VLOOKUP(D3736,State_Lookup!$A$2:$B$28,2,FALSE)</f>
        <v>Distrito Federal</v>
      </c>
    </row>
    <row r="3737" spans="1:13" x14ac:dyDescent="0.45">
      <c r="A3737" t="s">
        <v>4365</v>
      </c>
      <c r="B3737" t="s">
        <v>4358</v>
      </c>
      <c r="C3737" t="s">
        <v>4359</v>
      </c>
      <c r="D3737" t="s">
        <v>20</v>
      </c>
      <c r="E3737" t="s">
        <v>125</v>
      </c>
      <c r="F3737">
        <v>1</v>
      </c>
      <c r="G3737">
        <v>27.5</v>
      </c>
      <c r="H3737">
        <v>18.23</v>
      </c>
      <c r="I3737" t="s">
        <v>44</v>
      </c>
      <c r="J3737">
        <v>10</v>
      </c>
      <c r="K3737" t="s">
        <v>51</v>
      </c>
      <c r="L3737">
        <v>5</v>
      </c>
      <c r="M3737" t="str">
        <f>VLOOKUP(D3737,State_Lookup!$A$2:$B$28,2,FALSE)</f>
        <v>Parana</v>
      </c>
    </row>
    <row r="3738" spans="1:13" x14ac:dyDescent="0.45">
      <c r="A3738" t="s">
        <v>4366</v>
      </c>
      <c r="B3738" t="s">
        <v>4358</v>
      </c>
      <c r="C3738" t="s">
        <v>4359</v>
      </c>
      <c r="D3738" t="s">
        <v>16</v>
      </c>
      <c r="E3738" t="s">
        <v>1839</v>
      </c>
      <c r="F3738">
        <v>1</v>
      </c>
      <c r="G3738">
        <v>37.950000000000003</v>
      </c>
      <c r="H3738">
        <v>8.64</v>
      </c>
      <c r="I3738" t="s">
        <v>44</v>
      </c>
      <c r="J3738">
        <v>12</v>
      </c>
      <c r="K3738" t="s">
        <v>51</v>
      </c>
      <c r="L3738">
        <v>2</v>
      </c>
      <c r="M3738" t="str">
        <f>VLOOKUP(D3738,State_Lookup!$A$2:$B$28,2,FALSE)</f>
        <v>Sao Paulo</v>
      </c>
    </row>
    <row r="3739" spans="1:13" x14ac:dyDescent="0.45">
      <c r="A3739" t="s">
        <v>4367</v>
      </c>
      <c r="B3739" t="s">
        <v>4358</v>
      </c>
      <c r="C3739" t="s">
        <v>4359</v>
      </c>
      <c r="D3739" t="s">
        <v>16</v>
      </c>
      <c r="E3739" t="s">
        <v>110</v>
      </c>
      <c r="F3739">
        <v>1</v>
      </c>
      <c r="G3739">
        <v>129.99</v>
      </c>
      <c r="H3739">
        <v>15</v>
      </c>
      <c r="I3739" t="s">
        <v>44</v>
      </c>
      <c r="J3739">
        <v>6</v>
      </c>
      <c r="K3739" t="s">
        <v>51</v>
      </c>
      <c r="L3739">
        <v>5</v>
      </c>
      <c r="M3739" t="str">
        <f>VLOOKUP(D3739,State_Lookup!$A$2:$B$28,2,FALSE)</f>
        <v>Sao Paulo</v>
      </c>
    </row>
    <row r="3740" spans="1:13" x14ac:dyDescent="0.45">
      <c r="A3740" t="s">
        <v>4368</v>
      </c>
      <c r="B3740" t="s">
        <v>4358</v>
      </c>
      <c r="C3740" t="s">
        <v>4359</v>
      </c>
      <c r="D3740" t="s">
        <v>19</v>
      </c>
      <c r="E3740" t="s">
        <v>79</v>
      </c>
      <c r="F3740">
        <v>1</v>
      </c>
      <c r="G3740">
        <v>169.9</v>
      </c>
      <c r="H3740">
        <v>31.84</v>
      </c>
      <c r="I3740" t="s">
        <v>44</v>
      </c>
      <c r="J3740">
        <v>8</v>
      </c>
      <c r="K3740" t="s">
        <v>51</v>
      </c>
      <c r="L3740">
        <v>4</v>
      </c>
      <c r="M3740" t="str">
        <f>VLOOKUP(D3740,State_Lookup!$A$2:$B$28,2,FALSE)</f>
        <v>Rio Grande do Sul</v>
      </c>
    </row>
    <row r="3741" spans="1:13" x14ac:dyDescent="0.45">
      <c r="A3741" t="s">
        <v>4369</v>
      </c>
      <c r="B3741" t="s">
        <v>4358</v>
      </c>
      <c r="C3741" t="s">
        <v>4359</v>
      </c>
      <c r="D3741" t="s">
        <v>16</v>
      </c>
      <c r="E3741" t="s">
        <v>157</v>
      </c>
      <c r="F3741">
        <v>1</v>
      </c>
      <c r="G3741">
        <v>95.9</v>
      </c>
      <c r="H3741">
        <v>17.579999999999998</v>
      </c>
      <c r="I3741" t="s">
        <v>44</v>
      </c>
      <c r="J3741">
        <v>10</v>
      </c>
      <c r="K3741" t="s">
        <v>51</v>
      </c>
      <c r="L3741">
        <v>1</v>
      </c>
      <c r="M3741" t="str">
        <f>VLOOKUP(D3741,State_Lookup!$A$2:$B$28,2,FALSE)</f>
        <v>Sao Paulo</v>
      </c>
    </row>
    <row r="3742" spans="1:13" x14ac:dyDescent="0.45">
      <c r="A3742" t="s">
        <v>4370</v>
      </c>
      <c r="B3742" t="s">
        <v>4358</v>
      </c>
      <c r="C3742" t="s">
        <v>4359</v>
      </c>
      <c r="D3742" t="s">
        <v>16</v>
      </c>
      <c r="E3742" t="s">
        <v>49</v>
      </c>
      <c r="F3742">
        <v>1</v>
      </c>
      <c r="G3742">
        <v>350</v>
      </c>
      <c r="H3742">
        <v>13.55</v>
      </c>
      <c r="I3742" t="s">
        <v>50</v>
      </c>
      <c r="J3742">
        <v>6</v>
      </c>
      <c r="K3742" t="s">
        <v>51</v>
      </c>
      <c r="L3742">
        <v>4</v>
      </c>
      <c r="M3742" t="str">
        <f>VLOOKUP(D3742,State_Lookup!$A$2:$B$28,2,FALSE)</f>
        <v>Sao Paulo</v>
      </c>
    </row>
    <row r="3743" spans="1:13" x14ac:dyDescent="0.45">
      <c r="A3743" t="s">
        <v>4371</v>
      </c>
      <c r="B3743" t="s">
        <v>4372</v>
      </c>
      <c r="C3743" t="s">
        <v>4359</v>
      </c>
      <c r="D3743" t="s">
        <v>16</v>
      </c>
      <c r="E3743" t="s">
        <v>118</v>
      </c>
      <c r="F3743">
        <v>1</v>
      </c>
      <c r="G3743">
        <v>199.7</v>
      </c>
      <c r="H3743">
        <v>15.49</v>
      </c>
      <c r="I3743" t="s">
        <v>44</v>
      </c>
      <c r="J3743">
        <v>9</v>
      </c>
      <c r="K3743" t="s">
        <v>51</v>
      </c>
      <c r="L3743">
        <v>5</v>
      </c>
      <c r="M3743" t="str">
        <f>VLOOKUP(D3743,State_Lookup!$A$2:$B$28,2,FALSE)</f>
        <v>Sao Paulo</v>
      </c>
    </row>
    <row r="3744" spans="1:13" x14ac:dyDescent="0.45">
      <c r="A3744" t="s">
        <v>4373</v>
      </c>
      <c r="B3744" t="s">
        <v>4372</v>
      </c>
      <c r="C3744" t="s">
        <v>4359</v>
      </c>
      <c r="D3744" t="s">
        <v>17</v>
      </c>
      <c r="E3744" t="s">
        <v>142</v>
      </c>
      <c r="F3744">
        <v>1</v>
      </c>
      <c r="G3744">
        <v>94.9</v>
      </c>
      <c r="H3744">
        <v>11.53</v>
      </c>
      <c r="I3744" t="s">
        <v>44</v>
      </c>
      <c r="J3744">
        <v>3</v>
      </c>
      <c r="K3744" t="s">
        <v>51</v>
      </c>
      <c r="L3744">
        <v>5</v>
      </c>
      <c r="M3744" t="str">
        <f>VLOOKUP(D3744,State_Lookup!$A$2:$B$28,2,FALSE)</f>
        <v>Rio de Janeiro</v>
      </c>
    </row>
    <row r="3745" spans="1:13" x14ac:dyDescent="0.45">
      <c r="A3745" t="s">
        <v>4374</v>
      </c>
      <c r="B3745" t="s">
        <v>4372</v>
      </c>
      <c r="C3745" t="s">
        <v>4359</v>
      </c>
      <c r="D3745" t="s">
        <v>18</v>
      </c>
      <c r="E3745" t="s">
        <v>366</v>
      </c>
      <c r="F3745">
        <v>1</v>
      </c>
      <c r="G3745">
        <v>50.99</v>
      </c>
      <c r="H3745">
        <v>18.239999999999998</v>
      </c>
      <c r="I3745" t="s">
        <v>44</v>
      </c>
      <c r="J3745">
        <v>7</v>
      </c>
      <c r="K3745" t="s">
        <v>51</v>
      </c>
      <c r="L3745">
        <v>4</v>
      </c>
      <c r="M3745" t="str">
        <f>VLOOKUP(D3745,State_Lookup!$A$2:$B$28,2,FALSE)</f>
        <v>Minas Gerais</v>
      </c>
    </row>
    <row r="3746" spans="1:13" x14ac:dyDescent="0.45">
      <c r="A3746" t="s">
        <v>4375</v>
      </c>
      <c r="B3746" t="s">
        <v>4372</v>
      </c>
      <c r="C3746" t="s">
        <v>4359</v>
      </c>
      <c r="D3746" t="s">
        <v>208</v>
      </c>
      <c r="E3746" t="s">
        <v>110</v>
      </c>
      <c r="F3746">
        <v>2</v>
      </c>
      <c r="G3746">
        <v>189</v>
      </c>
      <c r="H3746">
        <v>54.78</v>
      </c>
      <c r="I3746" t="s">
        <v>44</v>
      </c>
      <c r="J3746">
        <v>22</v>
      </c>
      <c r="K3746" t="s">
        <v>51</v>
      </c>
      <c r="L3746">
        <v>5</v>
      </c>
      <c r="M3746" t="str">
        <f>VLOOKUP(D3746,State_Lookup!$A$2:$B$28,2,FALSE)</f>
        <v>Mato Grosso</v>
      </c>
    </row>
    <row r="3747" spans="1:13" x14ac:dyDescent="0.45">
      <c r="A3747" t="s">
        <v>4376</v>
      </c>
      <c r="B3747" t="s">
        <v>4372</v>
      </c>
      <c r="C3747" t="s">
        <v>4359</v>
      </c>
      <c r="D3747" t="s">
        <v>208</v>
      </c>
      <c r="E3747" t="s">
        <v>79</v>
      </c>
      <c r="F3747">
        <v>1</v>
      </c>
      <c r="G3747">
        <v>84</v>
      </c>
      <c r="H3747">
        <v>22.3</v>
      </c>
      <c r="I3747" t="s">
        <v>50</v>
      </c>
      <c r="J3747">
        <v>8</v>
      </c>
      <c r="K3747" t="s">
        <v>51</v>
      </c>
      <c r="L3747">
        <v>5</v>
      </c>
      <c r="M3747" t="str">
        <f>VLOOKUP(D3747,State_Lookup!$A$2:$B$28,2,FALSE)</f>
        <v>Mato Grosso</v>
      </c>
    </row>
    <row r="3748" spans="1:13" x14ac:dyDescent="0.45">
      <c r="A3748" t="s">
        <v>4377</v>
      </c>
      <c r="B3748" t="s">
        <v>4372</v>
      </c>
      <c r="C3748" t="s">
        <v>4359</v>
      </c>
      <c r="D3748" t="s">
        <v>16</v>
      </c>
      <c r="E3748" t="s">
        <v>43</v>
      </c>
      <c r="F3748">
        <v>1</v>
      </c>
      <c r="G3748">
        <v>99.9</v>
      </c>
      <c r="H3748">
        <v>11.32</v>
      </c>
      <c r="I3748" t="s">
        <v>44</v>
      </c>
      <c r="J3748">
        <v>2</v>
      </c>
      <c r="K3748" t="s">
        <v>51</v>
      </c>
      <c r="L3748">
        <v>5</v>
      </c>
      <c r="M3748" t="str">
        <f>VLOOKUP(D3748,State_Lookup!$A$2:$B$28,2,FALSE)</f>
        <v>Sao Paulo</v>
      </c>
    </row>
    <row r="3749" spans="1:13" x14ac:dyDescent="0.45">
      <c r="A3749" t="s">
        <v>4378</v>
      </c>
      <c r="B3749" t="s">
        <v>4372</v>
      </c>
      <c r="C3749" t="s">
        <v>4359</v>
      </c>
      <c r="D3749" t="s">
        <v>21</v>
      </c>
      <c r="E3749" t="s">
        <v>43</v>
      </c>
      <c r="F3749">
        <v>1</v>
      </c>
      <c r="G3749">
        <v>126.69</v>
      </c>
      <c r="H3749">
        <v>25.22</v>
      </c>
      <c r="I3749" t="s">
        <v>44</v>
      </c>
      <c r="J3749">
        <v>9</v>
      </c>
      <c r="K3749" t="s">
        <v>51</v>
      </c>
      <c r="L3749">
        <v>4</v>
      </c>
      <c r="M3749" t="str">
        <f>VLOOKUP(D3749,State_Lookup!$A$2:$B$28,2,FALSE)</f>
        <v>Santa Catarina</v>
      </c>
    </row>
    <row r="3750" spans="1:13" x14ac:dyDescent="0.45">
      <c r="A3750" t="s">
        <v>4379</v>
      </c>
      <c r="B3750" t="s">
        <v>4372</v>
      </c>
      <c r="C3750" t="s">
        <v>4359</v>
      </c>
      <c r="D3750" t="s">
        <v>22</v>
      </c>
      <c r="E3750" t="s">
        <v>61</v>
      </c>
      <c r="F3750">
        <v>1</v>
      </c>
      <c r="G3750">
        <v>49</v>
      </c>
      <c r="H3750">
        <v>22.06</v>
      </c>
      <c r="I3750" t="s">
        <v>50</v>
      </c>
      <c r="J3750">
        <v>13</v>
      </c>
      <c r="K3750" t="s">
        <v>51</v>
      </c>
      <c r="L3750">
        <v>3</v>
      </c>
      <c r="M3750" t="str">
        <f>VLOOKUP(D3750,State_Lookup!$A$2:$B$28,2,FALSE)</f>
        <v>Bahia</v>
      </c>
    </row>
    <row r="3751" spans="1:13" x14ac:dyDescent="0.45">
      <c r="A3751" t="s">
        <v>4380</v>
      </c>
      <c r="B3751" t="s">
        <v>4372</v>
      </c>
      <c r="C3751" t="s">
        <v>4359</v>
      </c>
      <c r="D3751" t="s">
        <v>16</v>
      </c>
      <c r="E3751" t="s">
        <v>66</v>
      </c>
      <c r="F3751">
        <v>1</v>
      </c>
      <c r="G3751">
        <v>649</v>
      </c>
      <c r="H3751">
        <v>16.98</v>
      </c>
      <c r="I3751" t="s">
        <v>50</v>
      </c>
      <c r="K3751" t="s">
        <v>45</v>
      </c>
      <c r="M3751" t="str">
        <f>VLOOKUP(D3751,State_Lookup!$A$2:$B$28,2,FALSE)</f>
        <v>Sao Paulo</v>
      </c>
    </row>
    <row r="3752" spans="1:13" x14ac:dyDescent="0.45">
      <c r="A3752" t="s">
        <v>4381</v>
      </c>
      <c r="B3752" t="s">
        <v>4372</v>
      </c>
      <c r="C3752" t="s">
        <v>4359</v>
      </c>
      <c r="D3752" t="s">
        <v>23</v>
      </c>
      <c r="E3752" t="s">
        <v>110</v>
      </c>
      <c r="F3752">
        <v>2</v>
      </c>
      <c r="G3752">
        <v>329.8</v>
      </c>
      <c r="H3752">
        <v>23.96</v>
      </c>
      <c r="I3752" t="s">
        <v>44</v>
      </c>
      <c r="J3752">
        <v>11</v>
      </c>
      <c r="K3752" t="s">
        <v>51</v>
      </c>
      <c r="L3752">
        <v>5</v>
      </c>
      <c r="M3752" t="str">
        <f>VLOOKUP(D3752,State_Lookup!$A$2:$B$28,2,FALSE)</f>
        <v>Espirito Santo</v>
      </c>
    </row>
    <row r="3753" spans="1:13" x14ac:dyDescent="0.45">
      <c r="A3753" t="s">
        <v>4382</v>
      </c>
      <c r="B3753" t="s">
        <v>4372</v>
      </c>
      <c r="C3753" t="s">
        <v>4359</v>
      </c>
      <c r="D3753" t="s">
        <v>16</v>
      </c>
      <c r="E3753" t="s">
        <v>192</v>
      </c>
      <c r="F3753">
        <v>1</v>
      </c>
      <c r="G3753">
        <v>14.9</v>
      </c>
      <c r="H3753">
        <v>12.79</v>
      </c>
      <c r="I3753" t="s">
        <v>44</v>
      </c>
      <c r="J3753">
        <v>6</v>
      </c>
      <c r="K3753" t="s">
        <v>51</v>
      </c>
      <c r="L3753">
        <v>5</v>
      </c>
      <c r="M3753" t="str">
        <f>VLOOKUP(D3753,State_Lookup!$A$2:$B$28,2,FALSE)</f>
        <v>Sao Paulo</v>
      </c>
    </row>
    <row r="3754" spans="1:13" x14ac:dyDescent="0.45">
      <c r="A3754" t="s">
        <v>4383</v>
      </c>
      <c r="B3754" t="s">
        <v>4372</v>
      </c>
      <c r="C3754" t="s">
        <v>4359</v>
      </c>
      <c r="D3754" t="s">
        <v>17</v>
      </c>
      <c r="E3754" t="s">
        <v>199</v>
      </c>
      <c r="F3754">
        <v>2</v>
      </c>
      <c r="G3754">
        <v>23.8</v>
      </c>
      <c r="H3754">
        <v>36.46</v>
      </c>
      <c r="I3754" t="s">
        <v>44</v>
      </c>
      <c r="J3754">
        <v>9</v>
      </c>
      <c r="K3754" t="s">
        <v>51</v>
      </c>
      <c r="L3754">
        <v>1</v>
      </c>
      <c r="M3754" t="str">
        <f>VLOOKUP(D3754,State_Lookup!$A$2:$B$28,2,FALSE)</f>
        <v>Rio de Janeiro</v>
      </c>
    </row>
    <row r="3755" spans="1:13" x14ac:dyDescent="0.45">
      <c r="A3755" t="s">
        <v>4384</v>
      </c>
      <c r="B3755" t="s">
        <v>4372</v>
      </c>
      <c r="C3755" t="s">
        <v>4359</v>
      </c>
      <c r="D3755" t="s">
        <v>16</v>
      </c>
      <c r="E3755" t="s">
        <v>192</v>
      </c>
      <c r="F3755">
        <v>1</v>
      </c>
      <c r="G3755">
        <v>129.9</v>
      </c>
      <c r="H3755">
        <v>15.76</v>
      </c>
      <c r="I3755" t="s">
        <v>44</v>
      </c>
      <c r="J3755">
        <v>6</v>
      </c>
      <c r="K3755" t="s">
        <v>51</v>
      </c>
      <c r="L3755">
        <v>5</v>
      </c>
      <c r="M3755" t="str">
        <f>VLOOKUP(D3755,State_Lookup!$A$2:$B$28,2,FALSE)</f>
        <v>Sao Paulo</v>
      </c>
    </row>
    <row r="3756" spans="1:13" x14ac:dyDescent="0.45">
      <c r="A3756" t="s">
        <v>4385</v>
      </c>
      <c r="B3756" t="s">
        <v>4372</v>
      </c>
      <c r="C3756" t="s">
        <v>4359</v>
      </c>
      <c r="D3756" t="s">
        <v>208</v>
      </c>
      <c r="E3756" t="s">
        <v>69</v>
      </c>
      <c r="F3756">
        <v>2</v>
      </c>
      <c r="G3756">
        <v>107.8</v>
      </c>
      <c r="H3756">
        <v>0</v>
      </c>
      <c r="I3756" t="s">
        <v>50</v>
      </c>
      <c r="J3756">
        <v>11</v>
      </c>
      <c r="K3756" t="s">
        <v>51</v>
      </c>
      <c r="L3756">
        <v>5</v>
      </c>
      <c r="M3756" t="str">
        <f>VLOOKUP(D3756,State_Lookup!$A$2:$B$28,2,FALSE)</f>
        <v>Mato Grosso</v>
      </c>
    </row>
    <row r="3757" spans="1:13" x14ac:dyDescent="0.45">
      <c r="A3757" t="s">
        <v>4386</v>
      </c>
      <c r="B3757" t="s">
        <v>4387</v>
      </c>
      <c r="C3757" t="s">
        <v>4359</v>
      </c>
      <c r="D3757" t="s">
        <v>21</v>
      </c>
      <c r="E3757" t="s">
        <v>244</v>
      </c>
      <c r="F3757">
        <v>1</v>
      </c>
      <c r="G3757">
        <v>127</v>
      </c>
      <c r="H3757">
        <v>27.62</v>
      </c>
      <c r="I3757" t="s">
        <v>44</v>
      </c>
      <c r="J3757">
        <v>11</v>
      </c>
      <c r="K3757" t="s">
        <v>51</v>
      </c>
      <c r="L3757">
        <v>5</v>
      </c>
      <c r="M3757" t="str">
        <f>VLOOKUP(D3757,State_Lookup!$A$2:$B$28,2,FALSE)</f>
        <v>Santa Catarina</v>
      </c>
    </row>
    <row r="3758" spans="1:13" x14ac:dyDescent="0.45">
      <c r="A3758" t="s">
        <v>4388</v>
      </c>
      <c r="B3758" t="s">
        <v>4387</v>
      </c>
      <c r="C3758" t="s">
        <v>4359</v>
      </c>
      <c r="D3758" t="s">
        <v>22</v>
      </c>
      <c r="E3758" t="s">
        <v>152</v>
      </c>
      <c r="F3758">
        <v>1</v>
      </c>
      <c r="G3758">
        <v>97</v>
      </c>
      <c r="H3758">
        <v>27.41</v>
      </c>
      <c r="I3758" t="s">
        <v>44</v>
      </c>
      <c r="J3758">
        <v>11</v>
      </c>
      <c r="K3758" t="s">
        <v>51</v>
      </c>
      <c r="L3758">
        <v>5</v>
      </c>
      <c r="M3758" t="str">
        <f>VLOOKUP(D3758,State_Lookup!$A$2:$B$28,2,FALSE)</f>
        <v>Bahia</v>
      </c>
    </row>
    <row r="3759" spans="1:13" x14ac:dyDescent="0.45">
      <c r="A3759" t="s">
        <v>4389</v>
      </c>
      <c r="B3759" t="s">
        <v>4387</v>
      </c>
      <c r="C3759" t="s">
        <v>4359</v>
      </c>
      <c r="D3759" t="s">
        <v>16</v>
      </c>
      <c r="E3759" t="s">
        <v>110</v>
      </c>
      <c r="F3759">
        <v>1</v>
      </c>
      <c r="G3759">
        <v>88.9</v>
      </c>
      <c r="H3759">
        <v>14.71</v>
      </c>
      <c r="I3759" t="s">
        <v>44</v>
      </c>
      <c r="J3759">
        <v>7</v>
      </c>
      <c r="K3759" t="s">
        <v>51</v>
      </c>
      <c r="L3759">
        <v>4</v>
      </c>
      <c r="M3759" t="str">
        <f>VLOOKUP(D3759,State_Lookup!$A$2:$B$28,2,FALSE)</f>
        <v>Sao Paulo</v>
      </c>
    </row>
    <row r="3760" spans="1:13" x14ac:dyDescent="0.45">
      <c r="A3760" t="s">
        <v>4390</v>
      </c>
      <c r="B3760" t="s">
        <v>4387</v>
      </c>
      <c r="C3760" t="s">
        <v>4359</v>
      </c>
      <c r="D3760" t="s">
        <v>16</v>
      </c>
      <c r="E3760" t="s">
        <v>1935</v>
      </c>
      <c r="F3760">
        <v>1</v>
      </c>
      <c r="G3760">
        <v>57.89</v>
      </c>
      <c r="H3760">
        <v>11.15</v>
      </c>
      <c r="I3760" t="s">
        <v>44</v>
      </c>
      <c r="J3760">
        <v>7</v>
      </c>
      <c r="K3760" t="s">
        <v>51</v>
      </c>
      <c r="L3760">
        <v>5</v>
      </c>
      <c r="M3760" t="str">
        <f>VLOOKUP(D3760,State_Lookup!$A$2:$B$28,2,FALSE)</f>
        <v>Sao Paulo</v>
      </c>
    </row>
    <row r="3761" spans="1:13" x14ac:dyDescent="0.45">
      <c r="A3761" t="s">
        <v>4391</v>
      </c>
      <c r="B3761" t="s">
        <v>4387</v>
      </c>
      <c r="C3761" t="s">
        <v>4359</v>
      </c>
      <c r="D3761" t="s">
        <v>21</v>
      </c>
      <c r="E3761" t="s">
        <v>69</v>
      </c>
      <c r="F3761">
        <v>1</v>
      </c>
      <c r="G3761">
        <v>53.9</v>
      </c>
      <c r="H3761">
        <v>0</v>
      </c>
      <c r="I3761" t="s">
        <v>50</v>
      </c>
      <c r="J3761">
        <v>11</v>
      </c>
      <c r="K3761" t="s">
        <v>51</v>
      </c>
      <c r="L3761">
        <v>5</v>
      </c>
      <c r="M3761" t="str">
        <f>VLOOKUP(D3761,State_Lookup!$A$2:$B$28,2,FALSE)</f>
        <v>Santa Catarina</v>
      </c>
    </row>
    <row r="3762" spans="1:13" x14ac:dyDescent="0.45">
      <c r="A3762" t="s">
        <v>4392</v>
      </c>
      <c r="B3762" t="s">
        <v>4387</v>
      </c>
      <c r="C3762" t="s">
        <v>4359</v>
      </c>
      <c r="D3762" t="s">
        <v>25</v>
      </c>
      <c r="E3762" t="s">
        <v>53</v>
      </c>
      <c r="F3762">
        <v>1</v>
      </c>
      <c r="G3762">
        <v>89.99</v>
      </c>
      <c r="H3762">
        <v>19.600000000000001</v>
      </c>
      <c r="I3762" t="s">
        <v>44</v>
      </c>
      <c r="J3762">
        <v>8</v>
      </c>
      <c r="K3762" t="s">
        <v>51</v>
      </c>
      <c r="L3762">
        <v>5</v>
      </c>
      <c r="M3762" t="str">
        <f>VLOOKUP(D3762,State_Lookup!$A$2:$B$28,2,FALSE)</f>
        <v>Goias</v>
      </c>
    </row>
    <row r="3763" spans="1:13" x14ac:dyDescent="0.45">
      <c r="A3763" t="s">
        <v>4393</v>
      </c>
      <c r="B3763" t="s">
        <v>4387</v>
      </c>
      <c r="C3763" t="s">
        <v>4359</v>
      </c>
      <c r="D3763" t="s">
        <v>19</v>
      </c>
      <c r="E3763" t="s">
        <v>49</v>
      </c>
      <c r="F3763">
        <v>1</v>
      </c>
      <c r="G3763">
        <v>107.7</v>
      </c>
      <c r="H3763">
        <v>18.63</v>
      </c>
      <c r="I3763" t="s">
        <v>44</v>
      </c>
      <c r="J3763">
        <v>8</v>
      </c>
      <c r="K3763" t="s">
        <v>51</v>
      </c>
      <c r="L3763">
        <v>4</v>
      </c>
      <c r="M3763" t="str">
        <f>VLOOKUP(D3763,State_Lookup!$A$2:$B$28,2,FALSE)</f>
        <v>Rio Grande do Sul</v>
      </c>
    </row>
    <row r="3764" spans="1:13" x14ac:dyDescent="0.45">
      <c r="A3764" t="s">
        <v>4394</v>
      </c>
      <c r="B3764" t="s">
        <v>4387</v>
      </c>
      <c r="C3764" t="s">
        <v>4359</v>
      </c>
      <c r="D3764" t="s">
        <v>22</v>
      </c>
      <c r="E3764" t="s">
        <v>43</v>
      </c>
      <c r="F3764">
        <v>1</v>
      </c>
      <c r="G3764">
        <v>64.900000000000006</v>
      </c>
      <c r="H3764">
        <v>17.16</v>
      </c>
      <c r="I3764" t="s">
        <v>44</v>
      </c>
      <c r="J3764">
        <v>16</v>
      </c>
      <c r="K3764" t="s">
        <v>51</v>
      </c>
      <c r="L3764">
        <v>3</v>
      </c>
      <c r="M3764" t="str">
        <f>VLOOKUP(D3764,State_Lookup!$A$2:$B$28,2,FALSE)</f>
        <v>Bahia</v>
      </c>
    </row>
    <row r="3765" spans="1:13" x14ac:dyDescent="0.45">
      <c r="A3765" t="s">
        <v>4395</v>
      </c>
      <c r="B3765" t="s">
        <v>4387</v>
      </c>
      <c r="C3765" t="s">
        <v>4359</v>
      </c>
      <c r="D3765" t="s">
        <v>17</v>
      </c>
      <c r="E3765" t="s">
        <v>157</v>
      </c>
      <c r="F3765">
        <v>1</v>
      </c>
      <c r="G3765">
        <v>99.9</v>
      </c>
      <c r="H3765">
        <v>0</v>
      </c>
      <c r="I3765" t="s">
        <v>44</v>
      </c>
      <c r="J3765">
        <v>14</v>
      </c>
      <c r="K3765" t="s">
        <v>51</v>
      </c>
      <c r="L3765">
        <v>5</v>
      </c>
      <c r="M3765" t="str">
        <f>VLOOKUP(D3765,State_Lookup!$A$2:$B$28,2,FALSE)</f>
        <v>Rio de Janeiro</v>
      </c>
    </row>
    <row r="3766" spans="1:13" x14ac:dyDescent="0.45">
      <c r="A3766" t="s">
        <v>4396</v>
      </c>
      <c r="B3766" t="s">
        <v>4387</v>
      </c>
      <c r="C3766" t="s">
        <v>4359</v>
      </c>
      <c r="D3766" t="s">
        <v>16</v>
      </c>
      <c r="E3766" t="s">
        <v>79</v>
      </c>
      <c r="F3766">
        <v>1</v>
      </c>
      <c r="G3766">
        <v>159.9</v>
      </c>
      <c r="H3766">
        <v>20.09</v>
      </c>
      <c r="I3766" t="s">
        <v>44</v>
      </c>
      <c r="J3766">
        <v>5</v>
      </c>
      <c r="K3766" t="s">
        <v>51</v>
      </c>
      <c r="L3766">
        <v>5</v>
      </c>
      <c r="M3766" t="str">
        <f>VLOOKUP(D3766,State_Lookup!$A$2:$B$28,2,FALSE)</f>
        <v>Sao Paulo</v>
      </c>
    </row>
    <row r="3767" spans="1:13" x14ac:dyDescent="0.45">
      <c r="A3767" t="s">
        <v>4397</v>
      </c>
      <c r="B3767" t="s">
        <v>4387</v>
      </c>
      <c r="C3767" t="s">
        <v>4359</v>
      </c>
      <c r="D3767" t="s">
        <v>18</v>
      </c>
      <c r="E3767" t="s">
        <v>49</v>
      </c>
      <c r="F3767">
        <v>1</v>
      </c>
      <c r="G3767">
        <v>120</v>
      </c>
      <c r="H3767">
        <v>15.72</v>
      </c>
      <c r="I3767" t="s">
        <v>50</v>
      </c>
      <c r="J3767">
        <v>8</v>
      </c>
      <c r="K3767" t="s">
        <v>51</v>
      </c>
      <c r="L3767">
        <v>4</v>
      </c>
      <c r="M3767" t="str">
        <f>VLOOKUP(D3767,State_Lookup!$A$2:$B$28,2,FALSE)</f>
        <v>Minas Gerais</v>
      </c>
    </row>
    <row r="3768" spans="1:13" x14ac:dyDescent="0.45">
      <c r="A3768" t="s">
        <v>4398</v>
      </c>
      <c r="B3768" t="s">
        <v>4387</v>
      </c>
      <c r="C3768" t="s">
        <v>4359</v>
      </c>
      <c r="D3768" t="s">
        <v>16</v>
      </c>
      <c r="E3768" t="s">
        <v>107</v>
      </c>
      <c r="F3768">
        <v>2</v>
      </c>
      <c r="G3768">
        <v>31.89</v>
      </c>
      <c r="H3768">
        <v>31.94</v>
      </c>
      <c r="I3768" t="s">
        <v>44</v>
      </c>
      <c r="J3768">
        <v>7</v>
      </c>
      <c r="K3768" t="s">
        <v>51</v>
      </c>
      <c r="L3768">
        <v>4</v>
      </c>
      <c r="M3768" t="str">
        <f>VLOOKUP(D3768,State_Lookup!$A$2:$B$28,2,FALSE)</f>
        <v>Sao Paulo</v>
      </c>
    </row>
    <row r="3769" spans="1:13" x14ac:dyDescent="0.45">
      <c r="A3769" t="s">
        <v>4399</v>
      </c>
      <c r="B3769" t="s">
        <v>4387</v>
      </c>
      <c r="C3769" t="s">
        <v>4359</v>
      </c>
      <c r="D3769" t="s">
        <v>17</v>
      </c>
      <c r="E3769" t="s">
        <v>157</v>
      </c>
      <c r="F3769">
        <v>1</v>
      </c>
      <c r="G3769">
        <v>144</v>
      </c>
      <c r="H3769">
        <v>18.89</v>
      </c>
      <c r="I3769" t="s">
        <v>44</v>
      </c>
      <c r="J3769">
        <v>42</v>
      </c>
      <c r="K3769" t="s">
        <v>143</v>
      </c>
      <c r="L3769">
        <v>3</v>
      </c>
      <c r="M3769" t="str">
        <f>VLOOKUP(D3769,State_Lookup!$A$2:$B$28,2,FALSE)</f>
        <v>Rio de Janeiro</v>
      </c>
    </row>
    <row r="3770" spans="1:13" x14ac:dyDescent="0.45">
      <c r="A3770" t="s">
        <v>4400</v>
      </c>
      <c r="B3770" t="s">
        <v>4387</v>
      </c>
      <c r="C3770" t="s">
        <v>4359</v>
      </c>
      <c r="D3770" t="s">
        <v>17</v>
      </c>
      <c r="E3770" t="s">
        <v>132</v>
      </c>
      <c r="F3770">
        <v>1</v>
      </c>
      <c r="G3770">
        <v>39.9</v>
      </c>
      <c r="H3770">
        <v>15.23</v>
      </c>
      <c r="I3770" t="s">
        <v>133</v>
      </c>
      <c r="J3770">
        <v>4</v>
      </c>
      <c r="K3770" t="s">
        <v>51</v>
      </c>
      <c r="L3770">
        <v>5</v>
      </c>
      <c r="M3770" t="str">
        <f>VLOOKUP(D3770,State_Lookup!$A$2:$B$28,2,FALSE)</f>
        <v>Rio de Janeiro</v>
      </c>
    </row>
    <row r="3771" spans="1:13" x14ac:dyDescent="0.45">
      <c r="A3771" t="s">
        <v>4401</v>
      </c>
      <c r="B3771" t="s">
        <v>4387</v>
      </c>
      <c r="C3771" t="s">
        <v>4359</v>
      </c>
      <c r="D3771" t="s">
        <v>16</v>
      </c>
      <c r="E3771" t="s">
        <v>79</v>
      </c>
      <c r="F3771">
        <v>1</v>
      </c>
      <c r="G3771">
        <v>95</v>
      </c>
      <c r="H3771">
        <v>7.53</v>
      </c>
      <c r="I3771" t="s">
        <v>44</v>
      </c>
      <c r="J3771">
        <v>3</v>
      </c>
      <c r="K3771" t="s">
        <v>51</v>
      </c>
      <c r="L3771">
        <v>5</v>
      </c>
      <c r="M3771" t="str">
        <f>VLOOKUP(D3771,State_Lookup!$A$2:$B$28,2,FALSE)</f>
        <v>Sao Paulo</v>
      </c>
    </row>
    <row r="3772" spans="1:13" x14ac:dyDescent="0.45">
      <c r="A3772" t="s">
        <v>4402</v>
      </c>
      <c r="B3772" t="s">
        <v>4387</v>
      </c>
      <c r="C3772" t="s">
        <v>4359</v>
      </c>
      <c r="D3772" t="s">
        <v>16</v>
      </c>
      <c r="E3772" t="s">
        <v>69</v>
      </c>
      <c r="F3772">
        <v>1</v>
      </c>
      <c r="G3772">
        <v>53.9</v>
      </c>
      <c r="H3772">
        <v>10.130000000000001</v>
      </c>
      <c r="I3772" t="s">
        <v>44</v>
      </c>
      <c r="J3772">
        <v>7</v>
      </c>
      <c r="K3772" t="s">
        <v>51</v>
      </c>
      <c r="L3772">
        <v>5</v>
      </c>
      <c r="M3772" t="str">
        <f>VLOOKUP(D3772,State_Lookup!$A$2:$B$28,2,FALSE)</f>
        <v>Sao Paulo</v>
      </c>
    </row>
    <row r="3773" spans="1:13" x14ac:dyDescent="0.45">
      <c r="A3773" t="s">
        <v>4403</v>
      </c>
      <c r="B3773" t="s">
        <v>4387</v>
      </c>
      <c r="C3773" t="s">
        <v>4359</v>
      </c>
      <c r="D3773" t="s">
        <v>16</v>
      </c>
      <c r="E3773" t="s">
        <v>69</v>
      </c>
      <c r="F3773">
        <v>1</v>
      </c>
      <c r="G3773">
        <v>48.28</v>
      </c>
      <c r="H3773">
        <v>18.23</v>
      </c>
      <c r="I3773" t="s">
        <v>50</v>
      </c>
      <c r="J3773">
        <v>12</v>
      </c>
      <c r="K3773" t="s">
        <v>51</v>
      </c>
      <c r="L3773">
        <v>5</v>
      </c>
      <c r="M3773" t="str">
        <f>VLOOKUP(D3773,State_Lookup!$A$2:$B$28,2,FALSE)</f>
        <v>Sao Paulo</v>
      </c>
    </row>
    <row r="3774" spans="1:13" x14ac:dyDescent="0.45">
      <c r="A3774" t="s">
        <v>4404</v>
      </c>
      <c r="B3774" t="s">
        <v>4387</v>
      </c>
      <c r="C3774" t="s">
        <v>4359</v>
      </c>
      <c r="D3774" t="s">
        <v>16</v>
      </c>
      <c r="E3774" t="s">
        <v>110</v>
      </c>
      <c r="F3774">
        <v>1</v>
      </c>
      <c r="G3774">
        <v>169.99</v>
      </c>
      <c r="H3774">
        <v>46.05</v>
      </c>
      <c r="I3774" t="s">
        <v>44</v>
      </c>
      <c r="J3774">
        <v>6</v>
      </c>
      <c r="K3774" t="s">
        <v>51</v>
      </c>
      <c r="L3774">
        <v>5</v>
      </c>
      <c r="M3774" t="str">
        <f>VLOOKUP(D3774,State_Lookup!$A$2:$B$28,2,FALSE)</f>
        <v>Sao Paulo</v>
      </c>
    </row>
    <row r="3775" spans="1:13" x14ac:dyDescent="0.45">
      <c r="A3775" t="s">
        <v>4405</v>
      </c>
      <c r="B3775" t="s">
        <v>4406</v>
      </c>
      <c r="C3775" t="s">
        <v>4359</v>
      </c>
      <c r="D3775" t="s">
        <v>19</v>
      </c>
      <c r="E3775" t="s">
        <v>244</v>
      </c>
      <c r="F3775">
        <v>1</v>
      </c>
      <c r="G3775">
        <v>79</v>
      </c>
      <c r="H3775">
        <v>23.13</v>
      </c>
      <c r="I3775" t="s">
        <v>44</v>
      </c>
      <c r="J3775">
        <v>4</v>
      </c>
      <c r="K3775" t="s">
        <v>51</v>
      </c>
      <c r="L3775">
        <v>5</v>
      </c>
      <c r="M3775" t="str">
        <f>VLOOKUP(D3775,State_Lookup!$A$2:$B$28,2,FALSE)</f>
        <v>Rio Grande do Sul</v>
      </c>
    </row>
    <row r="3776" spans="1:13" x14ac:dyDescent="0.45">
      <c r="A3776" t="s">
        <v>4407</v>
      </c>
      <c r="B3776" t="s">
        <v>4406</v>
      </c>
      <c r="C3776" t="s">
        <v>4359</v>
      </c>
      <c r="D3776" t="s">
        <v>17</v>
      </c>
      <c r="E3776" t="s">
        <v>79</v>
      </c>
      <c r="F3776">
        <v>1</v>
      </c>
      <c r="G3776">
        <v>139.9</v>
      </c>
      <c r="H3776">
        <v>13.97</v>
      </c>
      <c r="I3776" t="s">
        <v>44</v>
      </c>
      <c r="J3776">
        <v>4</v>
      </c>
      <c r="K3776" t="s">
        <v>51</v>
      </c>
      <c r="L3776">
        <v>4</v>
      </c>
      <c r="M3776" t="str">
        <f>VLOOKUP(D3776,State_Lookup!$A$2:$B$28,2,FALSE)</f>
        <v>Rio de Janeiro</v>
      </c>
    </row>
    <row r="3777" spans="1:13" x14ac:dyDescent="0.45">
      <c r="A3777" t="s">
        <v>4408</v>
      </c>
      <c r="B3777" t="s">
        <v>4406</v>
      </c>
      <c r="C3777" t="s">
        <v>4359</v>
      </c>
      <c r="D3777" t="s">
        <v>18</v>
      </c>
      <c r="E3777" t="s">
        <v>142</v>
      </c>
      <c r="F3777">
        <v>1</v>
      </c>
      <c r="G3777">
        <v>74.59</v>
      </c>
      <c r="H3777">
        <v>11.62</v>
      </c>
      <c r="I3777" t="s">
        <v>44</v>
      </c>
      <c r="J3777">
        <v>7</v>
      </c>
      <c r="K3777" t="s">
        <v>51</v>
      </c>
      <c r="L3777">
        <v>3</v>
      </c>
      <c r="M3777" t="str">
        <f>VLOOKUP(D3777,State_Lookup!$A$2:$B$28,2,FALSE)</f>
        <v>Minas Gerais</v>
      </c>
    </row>
    <row r="3778" spans="1:13" x14ac:dyDescent="0.45">
      <c r="A3778" t="s">
        <v>4409</v>
      </c>
      <c r="B3778" t="s">
        <v>4406</v>
      </c>
      <c r="C3778" t="s">
        <v>4359</v>
      </c>
      <c r="D3778" t="s">
        <v>17</v>
      </c>
      <c r="E3778" t="s">
        <v>49</v>
      </c>
      <c r="F3778">
        <v>1</v>
      </c>
      <c r="G3778">
        <v>69.900000000000006</v>
      </c>
      <c r="H3778">
        <v>18.600000000000001</v>
      </c>
      <c r="I3778" t="s">
        <v>44</v>
      </c>
      <c r="J3778">
        <v>21</v>
      </c>
      <c r="K3778" t="s">
        <v>51</v>
      </c>
      <c r="L3778">
        <v>3</v>
      </c>
      <c r="M3778" t="str">
        <f>VLOOKUP(D3778,State_Lookup!$A$2:$B$28,2,FALSE)</f>
        <v>Rio de Janeiro</v>
      </c>
    </row>
    <row r="3779" spans="1:13" x14ac:dyDescent="0.45">
      <c r="A3779" t="s">
        <v>4410</v>
      </c>
      <c r="B3779" t="s">
        <v>4406</v>
      </c>
      <c r="C3779" t="s">
        <v>4359</v>
      </c>
      <c r="D3779" t="s">
        <v>16</v>
      </c>
      <c r="E3779" t="s">
        <v>110</v>
      </c>
      <c r="F3779">
        <v>4</v>
      </c>
      <c r="G3779">
        <v>299.60000000000002</v>
      </c>
      <c r="H3779">
        <v>44.6</v>
      </c>
      <c r="I3779" t="s">
        <v>44</v>
      </c>
      <c r="J3779">
        <v>6</v>
      </c>
      <c r="K3779" t="s">
        <v>51</v>
      </c>
      <c r="L3779">
        <v>2</v>
      </c>
      <c r="M3779" t="str">
        <f>VLOOKUP(D3779,State_Lookup!$A$2:$B$28,2,FALSE)</f>
        <v>Sao Paulo</v>
      </c>
    </row>
    <row r="3780" spans="1:13" x14ac:dyDescent="0.45">
      <c r="A3780" t="s">
        <v>4411</v>
      </c>
      <c r="B3780" t="s">
        <v>4406</v>
      </c>
      <c r="C3780" t="s">
        <v>4359</v>
      </c>
      <c r="D3780" t="s">
        <v>16</v>
      </c>
      <c r="E3780" t="s">
        <v>132</v>
      </c>
      <c r="F3780">
        <v>1</v>
      </c>
      <c r="G3780">
        <v>49</v>
      </c>
      <c r="H3780">
        <v>7.39</v>
      </c>
      <c r="I3780" t="s">
        <v>50</v>
      </c>
      <c r="J3780">
        <v>5</v>
      </c>
      <c r="K3780" t="s">
        <v>51</v>
      </c>
      <c r="L3780">
        <v>1</v>
      </c>
      <c r="M3780" t="str">
        <f>VLOOKUP(D3780,State_Lookup!$A$2:$B$28,2,FALSE)</f>
        <v>Sao Paulo</v>
      </c>
    </row>
    <row r="3781" spans="1:13" x14ac:dyDescent="0.45">
      <c r="A3781" t="s">
        <v>4412</v>
      </c>
      <c r="B3781" t="s">
        <v>4406</v>
      </c>
      <c r="C3781" t="s">
        <v>4359</v>
      </c>
      <c r="D3781" t="s">
        <v>17</v>
      </c>
      <c r="E3781" t="s">
        <v>157</v>
      </c>
      <c r="F3781">
        <v>2</v>
      </c>
      <c r="G3781">
        <v>301</v>
      </c>
      <c r="H3781">
        <v>37.85</v>
      </c>
      <c r="I3781" t="s">
        <v>44</v>
      </c>
      <c r="J3781">
        <v>17</v>
      </c>
      <c r="K3781" t="s">
        <v>51</v>
      </c>
      <c r="L3781">
        <v>1</v>
      </c>
      <c r="M3781" t="str">
        <f>VLOOKUP(D3781,State_Lookup!$A$2:$B$28,2,FALSE)</f>
        <v>Rio de Janeiro</v>
      </c>
    </row>
    <row r="3782" spans="1:13" x14ac:dyDescent="0.45">
      <c r="A3782" t="s">
        <v>4413</v>
      </c>
      <c r="B3782" t="s">
        <v>4406</v>
      </c>
      <c r="C3782" t="s">
        <v>4359</v>
      </c>
      <c r="D3782" t="s">
        <v>16</v>
      </c>
      <c r="E3782" t="s">
        <v>61</v>
      </c>
      <c r="F3782">
        <v>1</v>
      </c>
      <c r="G3782">
        <v>149.9</v>
      </c>
      <c r="H3782">
        <v>25.18</v>
      </c>
      <c r="I3782" t="s">
        <v>44</v>
      </c>
      <c r="J3782">
        <v>9</v>
      </c>
      <c r="K3782" t="s">
        <v>51</v>
      </c>
      <c r="L3782">
        <v>5</v>
      </c>
      <c r="M3782" t="str">
        <f>VLOOKUP(D3782,State_Lookup!$A$2:$B$28,2,FALSE)</f>
        <v>Sao Paulo</v>
      </c>
    </row>
    <row r="3783" spans="1:13" x14ac:dyDescent="0.45">
      <c r="A3783" t="s">
        <v>4414</v>
      </c>
      <c r="B3783" t="s">
        <v>4406</v>
      </c>
      <c r="C3783" t="s">
        <v>4359</v>
      </c>
      <c r="D3783" t="s">
        <v>20</v>
      </c>
      <c r="E3783" t="s">
        <v>148</v>
      </c>
      <c r="F3783">
        <v>1</v>
      </c>
      <c r="G3783">
        <v>199</v>
      </c>
      <c r="H3783">
        <v>23.14</v>
      </c>
      <c r="I3783" t="s">
        <v>50</v>
      </c>
      <c r="J3783">
        <v>6</v>
      </c>
      <c r="K3783" t="s">
        <v>51</v>
      </c>
      <c r="L3783">
        <v>5</v>
      </c>
      <c r="M3783" t="str">
        <f>VLOOKUP(D3783,State_Lookup!$A$2:$B$28,2,FALSE)</f>
        <v>Parana</v>
      </c>
    </row>
    <row r="3784" spans="1:13" x14ac:dyDescent="0.45">
      <c r="A3784" t="s">
        <v>4415</v>
      </c>
      <c r="B3784" t="s">
        <v>4406</v>
      </c>
      <c r="C3784" t="s">
        <v>4359</v>
      </c>
      <c r="D3784" t="s">
        <v>16</v>
      </c>
      <c r="E3784" t="s">
        <v>79</v>
      </c>
      <c r="F3784">
        <v>4</v>
      </c>
      <c r="G3784">
        <v>441.28</v>
      </c>
      <c r="H3784">
        <v>31.84</v>
      </c>
      <c r="I3784" t="s">
        <v>44</v>
      </c>
      <c r="J3784">
        <v>5</v>
      </c>
      <c r="K3784" t="s">
        <v>51</v>
      </c>
      <c r="L3784">
        <v>5</v>
      </c>
      <c r="M3784" t="str">
        <f>VLOOKUP(D3784,State_Lookup!$A$2:$B$28,2,FALSE)</f>
        <v>Sao Paulo</v>
      </c>
    </row>
    <row r="3785" spans="1:13" x14ac:dyDescent="0.45">
      <c r="A3785" t="s">
        <v>4416</v>
      </c>
      <c r="B3785" t="s">
        <v>4406</v>
      </c>
      <c r="C3785" t="s">
        <v>4359</v>
      </c>
      <c r="D3785" t="s">
        <v>16</v>
      </c>
      <c r="E3785" t="s">
        <v>110</v>
      </c>
      <c r="F3785">
        <v>1</v>
      </c>
      <c r="G3785">
        <v>109.9</v>
      </c>
      <c r="H3785">
        <v>11.86</v>
      </c>
      <c r="I3785" t="s">
        <v>44</v>
      </c>
      <c r="J3785">
        <v>4</v>
      </c>
      <c r="K3785" t="s">
        <v>51</v>
      </c>
      <c r="L3785">
        <v>4</v>
      </c>
      <c r="M3785" t="str">
        <f>VLOOKUP(D3785,State_Lookup!$A$2:$B$28,2,FALSE)</f>
        <v>Sao Paulo</v>
      </c>
    </row>
    <row r="3786" spans="1:13" x14ac:dyDescent="0.45">
      <c r="A3786" t="s">
        <v>4417</v>
      </c>
      <c r="B3786" t="s">
        <v>4406</v>
      </c>
      <c r="C3786" t="s">
        <v>4359</v>
      </c>
      <c r="D3786" t="s">
        <v>17</v>
      </c>
      <c r="E3786" t="s">
        <v>157</v>
      </c>
      <c r="F3786">
        <v>1</v>
      </c>
      <c r="G3786">
        <v>118</v>
      </c>
      <c r="H3786">
        <v>18.71</v>
      </c>
      <c r="I3786" t="s">
        <v>44</v>
      </c>
      <c r="J3786">
        <v>14</v>
      </c>
      <c r="K3786" t="s">
        <v>51</v>
      </c>
      <c r="L3786">
        <v>5</v>
      </c>
      <c r="M3786" t="str">
        <f>VLOOKUP(D3786,State_Lookup!$A$2:$B$28,2,FALSE)</f>
        <v>Rio de Janeiro</v>
      </c>
    </row>
    <row r="3787" spans="1:13" x14ac:dyDescent="0.45">
      <c r="A3787" t="s">
        <v>4418</v>
      </c>
      <c r="B3787" t="s">
        <v>4419</v>
      </c>
      <c r="C3787" t="s">
        <v>4359</v>
      </c>
      <c r="D3787" t="s">
        <v>16</v>
      </c>
      <c r="E3787" t="s">
        <v>69</v>
      </c>
      <c r="F3787">
        <v>1</v>
      </c>
      <c r="G3787">
        <v>53.9</v>
      </c>
      <c r="H3787">
        <v>10.130000000000001</v>
      </c>
      <c r="I3787" t="s">
        <v>44</v>
      </c>
      <c r="J3787">
        <v>5</v>
      </c>
      <c r="K3787" t="s">
        <v>51</v>
      </c>
      <c r="L3787">
        <v>5</v>
      </c>
      <c r="M3787" t="str">
        <f>VLOOKUP(D3787,State_Lookup!$A$2:$B$28,2,FALSE)</f>
        <v>Sao Paulo</v>
      </c>
    </row>
    <row r="3788" spans="1:13" x14ac:dyDescent="0.45">
      <c r="A3788" t="s">
        <v>4420</v>
      </c>
      <c r="B3788" t="s">
        <v>4419</v>
      </c>
      <c r="C3788" t="s">
        <v>4359</v>
      </c>
      <c r="D3788" t="s">
        <v>16</v>
      </c>
      <c r="E3788" t="s">
        <v>340</v>
      </c>
      <c r="F3788">
        <v>1</v>
      </c>
      <c r="G3788">
        <v>449.9</v>
      </c>
      <c r="H3788">
        <v>85.47</v>
      </c>
      <c r="I3788" t="s">
        <v>44</v>
      </c>
      <c r="J3788">
        <v>4</v>
      </c>
      <c r="K3788" t="s">
        <v>51</v>
      </c>
      <c r="L3788">
        <v>3</v>
      </c>
      <c r="M3788" t="str">
        <f>VLOOKUP(D3788,State_Lookup!$A$2:$B$28,2,FALSE)</f>
        <v>Sao Paulo</v>
      </c>
    </row>
    <row r="3789" spans="1:13" x14ac:dyDescent="0.45">
      <c r="A3789" t="s">
        <v>4421</v>
      </c>
      <c r="B3789" t="s">
        <v>4419</v>
      </c>
      <c r="C3789" t="s">
        <v>4359</v>
      </c>
      <c r="D3789" t="s">
        <v>19</v>
      </c>
      <c r="E3789" t="s">
        <v>142</v>
      </c>
      <c r="F3789">
        <v>1</v>
      </c>
      <c r="G3789">
        <v>40.5</v>
      </c>
      <c r="H3789">
        <v>46.43</v>
      </c>
      <c r="I3789" t="s">
        <v>44</v>
      </c>
      <c r="J3789">
        <v>6</v>
      </c>
      <c r="K3789" t="s">
        <v>51</v>
      </c>
      <c r="L3789">
        <v>4</v>
      </c>
      <c r="M3789" t="str">
        <f>VLOOKUP(D3789,State_Lookup!$A$2:$B$28,2,FALSE)</f>
        <v>Rio Grande do Sul</v>
      </c>
    </row>
    <row r="3790" spans="1:13" x14ac:dyDescent="0.45">
      <c r="A3790" t="s">
        <v>4422</v>
      </c>
      <c r="B3790" t="s">
        <v>4419</v>
      </c>
      <c r="C3790" t="s">
        <v>4359</v>
      </c>
      <c r="D3790" t="s">
        <v>128</v>
      </c>
      <c r="E3790" t="s">
        <v>66</v>
      </c>
      <c r="F3790">
        <v>1</v>
      </c>
      <c r="G3790">
        <v>29.99</v>
      </c>
      <c r="H3790">
        <v>19.04</v>
      </c>
      <c r="I3790" t="s">
        <v>44</v>
      </c>
      <c r="J3790">
        <v>23</v>
      </c>
      <c r="K3790" t="s">
        <v>51</v>
      </c>
      <c r="L3790">
        <v>5</v>
      </c>
      <c r="M3790" t="str">
        <f>VLOOKUP(D3790,State_Lookup!$A$2:$B$28,2,FALSE)</f>
        <v>Ceara</v>
      </c>
    </row>
    <row r="3791" spans="1:13" x14ac:dyDescent="0.45">
      <c r="A3791" t="s">
        <v>4423</v>
      </c>
      <c r="B3791" t="s">
        <v>4419</v>
      </c>
      <c r="C3791" t="s">
        <v>4359</v>
      </c>
      <c r="D3791" t="s">
        <v>16</v>
      </c>
      <c r="E3791" t="s">
        <v>43</v>
      </c>
      <c r="F3791">
        <v>3</v>
      </c>
      <c r="G3791">
        <v>130</v>
      </c>
      <c r="H3791">
        <v>37.17</v>
      </c>
      <c r="I3791" t="s">
        <v>44</v>
      </c>
      <c r="J3791">
        <v>4</v>
      </c>
      <c r="K3791" t="s">
        <v>51</v>
      </c>
      <c r="L3791">
        <v>1</v>
      </c>
      <c r="M3791" t="str">
        <f>VLOOKUP(D3791,State_Lookup!$A$2:$B$28,2,FALSE)</f>
        <v>Sao Paulo</v>
      </c>
    </row>
    <row r="3792" spans="1:13" x14ac:dyDescent="0.45">
      <c r="A3792" t="s">
        <v>4424</v>
      </c>
      <c r="B3792" t="s">
        <v>4419</v>
      </c>
      <c r="C3792" t="s">
        <v>4359</v>
      </c>
      <c r="D3792" t="s">
        <v>16</v>
      </c>
      <c r="E3792" t="s">
        <v>107</v>
      </c>
      <c r="F3792">
        <v>1</v>
      </c>
      <c r="G3792">
        <v>23</v>
      </c>
      <c r="H3792">
        <v>12.79</v>
      </c>
      <c r="I3792" t="s">
        <v>44</v>
      </c>
      <c r="J3792">
        <v>6</v>
      </c>
      <c r="K3792" t="s">
        <v>51</v>
      </c>
      <c r="L3792">
        <v>5</v>
      </c>
      <c r="M3792" t="str">
        <f>VLOOKUP(D3792,State_Lookup!$A$2:$B$28,2,FALSE)</f>
        <v>Sao Paulo</v>
      </c>
    </row>
    <row r="3793" spans="1:13" x14ac:dyDescent="0.45">
      <c r="A3793" t="s">
        <v>4425</v>
      </c>
      <c r="B3793" t="s">
        <v>4419</v>
      </c>
      <c r="C3793" t="s">
        <v>4359</v>
      </c>
      <c r="D3793" t="s">
        <v>17</v>
      </c>
      <c r="E3793" t="s">
        <v>43</v>
      </c>
      <c r="F3793">
        <v>1</v>
      </c>
      <c r="G3793">
        <v>65.900000000000006</v>
      </c>
      <c r="H3793">
        <v>15.34</v>
      </c>
      <c r="I3793" t="s">
        <v>50</v>
      </c>
      <c r="J3793">
        <v>9</v>
      </c>
      <c r="K3793" t="s">
        <v>51</v>
      </c>
      <c r="L3793">
        <v>5</v>
      </c>
      <c r="M3793" t="str">
        <f>VLOOKUP(D3793,State_Lookup!$A$2:$B$28,2,FALSE)</f>
        <v>Rio de Janeiro</v>
      </c>
    </row>
    <row r="3794" spans="1:13" x14ac:dyDescent="0.45">
      <c r="A3794" t="s">
        <v>4426</v>
      </c>
      <c r="B3794" t="s">
        <v>4427</v>
      </c>
      <c r="C3794" t="s">
        <v>4359</v>
      </c>
      <c r="D3794" t="s">
        <v>16</v>
      </c>
      <c r="E3794" t="s">
        <v>110</v>
      </c>
      <c r="F3794">
        <v>1</v>
      </c>
      <c r="G3794">
        <v>164.9</v>
      </c>
      <c r="H3794">
        <v>13.63</v>
      </c>
      <c r="I3794" t="s">
        <v>44</v>
      </c>
      <c r="J3794">
        <v>4</v>
      </c>
      <c r="K3794" t="s">
        <v>51</v>
      </c>
      <c r="L3794">
        <v>3</v>
      </c>
      <c r="M3794" t="str">
        <f>VLOOKUP(D3794,State_Lookup!$A$2:$B$28,2,FALSE)</f>
        <v>Sao Paulo</v>
      </c>
    </row>
    <row r="3795" spans="1:13" x14ac:dyDescent="0.45">
      <c r="A3795" t="s">
        <v>4428</v>
      </c>
      <c r="B3795" t="s">
        <v>4427</v>
      </c>
      <c r="C3795" t="s">
        <v>4359</v>
      </c>
      <c r="D3795" t="s">
        <v>17</v>
      </c>
      <c r="E3795" t="s">
        <v>79</v>
      </c>
      <c r="F3795">
        <v>1</v>
      </c>
      <c r="G3795">
        <v>69.900000000000006</v>
      </c>
      <c r="H3795">
        <v>8.82</v>
      </c>
      <c r="I3795" t="s">
        <v>44</v>
      </c>
      <c r="J3795">
        <v>2</v>
      </c>
      <c r="K3795" t="s">
        <v>51</v>
      </c>
      <c r="L3795">
        <v>5</v>
      </c>
      <c r="M3795" t="str">
        <f>VLOOKUP(D3795,State_Lookup!$A$2:$B$28,2,FALSE)</f>
        <v>Rio de Janeiro</v>
      </c>
    </row>
    <row r="3796" spans="1:13" x14ac:dyDescent="0.45">
      <c r="A3796" t="s">
        <v>4429</v>
      </c>
      <c r="B3796" t="s">
        <v>4427</v>
      </c>
      <c r="C3796" t="s">
        <v>4359</v>
      </c>
      <c r="D3796" t="s">
        <v>17</v>
      </c>
      <c r="E3796" t="s">
        <v>148</v>
      </c>
      <c r="F3796">
        <v>1</v>
      </c>
      <c r="G3796">
        <v>131.99</v>
      </c>
      <c r="H3796">
        <v>11.82</v>
      </c>
      <c r="I3796" t="s">
        <v>44</v>
      </c>
      <c r="J3796">
        <v>8</v>
      </c>
      <c r="K3796" t="s">
        <v>51</v>
      </c>
      <c r="L3796">
        <v>2</v>
      </c>
      <c r="M3796" t="str">
        <f>VLOOKUP(D3796,State_Lookup!$A$2:$B$28,2,FALSE)</f>
        <v>Rio de Janeiro</v>
      </c>
    </row>
    <row r="3797" spans="1:13" x14ac:dyDescent="0.45">
      <c r="A3797" t="s">
        <v>4430</v>
      </c>
      <c r="B3797" t="s">
        <v>4427</v>
      </c>
      <c r="C3797" t="s">
        <v>4359</v>
      </c>
      <c r="D3797" t="s">
        <v>16</v>
      </c>
      <c r="E3797" t="s">
        <v>142</v>
      </c>
      <c r="F3797">
        <v>1</v>
      </c>
      <c r="G3797">
        <v>53.9</v>
      </c>
      <c r="H3797">
        <v>12.43</v>
      </c>
      <c r="I3797" t="s">
        <v>50</v>
      </c>
      <c r="J3797">
        <v>2</v>
      </c>
      <c r="K3797" t="s">
        <v>51</v>
      </c>
      <c r="L3797">
        <v>5</v>
      </c>
      <c r="M3797" t="str">
        <f>VLOOKUP(D3797,State_Lookup!$A$2:$B$28,2,FALSE)</f>
        <v>Sao Paulo</v>
      </c>
    </row>
    <row r="3798" spans="1:13" x14ac:dyDescent="0.45">
      <c r="A3798" t="s">
        <v>4431</v>
      </c>
      <c r="B3798" t="s">
        <v>4427</v>
      </c>
      <c r="C3798" t="s">
        <v>4359</v>
      </c>
      <c r="D3798" t="s">
        <v>24</v>
      </c>
      <c r="E3798" t="s">
        <v>152</v>
      </c>
      <c r="F3798">
        <v>1</v>
      </c>
      <c r="G3798">
        <v>54.54</v>
      </c>
      <c r="H3798">
        <v>22.96</v>
      </c>
      <c r="I3798" t="s">
        <v>44</v>
      </c>
      <c r="J3798">
        <v>8</v>
      </c>
      <c r="K3798" t="s">
        <v>51</v>
      </c>
      <c r="L3798">
        <v>5</v>
      </c>
      <c r="M3798" t="str">
        <f>VLOOKUP(D3798,State_Lookup!$A$2:$B$28,2,FALSE)</f>
        <v>Distrito Federal</v>
      </c>
    </row>
    <row r="3799" spans="1:13" x14ac:dyDescent="0.45">
      <c r="A3799" t="s">
        <v>4432</v>
      </c>
      <c r="B3799" t="s">
        <v>4427</v>
      </c>
      <c r="C3799" t="s">
        <v>4359</v>
      </c>
      <c r="D3799" t="s">
        <v>20</v>
      </c>
      <c r="E3799" t="s">
        <v>103</v>
      </c>
      <c r="F3799">
        <v>1</v>
      </c>
      <c r="G3799">
        <v>51.45</v>
      </c>
      <c r="H3799">
        <v>18.239999999999998</v>
      </c>
      <c r="I3799" t="s">
        <v>44</v>
      </c>
      <c r="J3799">
        <v>8</v>
      </c>
      <c r="K3799" t="s">
        <v>51</v>
      </c>
      <c r="L3799">
        <v>3</v>
      </c>
      <c r="M3799" t="str">
        <f>VLOOKUP(D3799,State_Lookup!$A$2:$B$28,2,FALSE)</f>
        <v>Parana</v>
      </c>
    </row>
    <row r="3800" spans="1:13" x14ac:dyDescent="0.45">
      <c r="A3800" t="s">
        <v>4433</v>
      </c>
      <c r="B3800" t="s">
        <v>4427</v>
      </c>
      <c r="C3800" t="s">
        <v>4359</v>
      </c>
      <c r="D3800" t="s">
        <v>16</v>
      </c>
      <c r="E3800" t="s">
        <v>107</v>
      </c>
      <c r="F3800">
        <v>1</v>
      </c>
      <c r="G3800">
        <v>58.9</v>
      </c>
      <c r="H3800">
        <v>14.5</v>
      </c>
      <c r="I3800" t="s">
        <v>44</v>
      </c>
      <c r="J3800">
        <v>5</v>
      </c>
      <c r="K3800" t="s">
        <v>51</v>
      </c>
      <c r="L3800">
        <v>5</v>
      </c>
      <c r="M3800" t="str">
        <f>VLOOKUP(D3800,State_Lookup!$A$2:$B$28,2,FALSE)</f>
        <v>Sao Paulo</v>
      </c>
    </row>
    <row r="3801" spans="1:13" x14ac:dyDescent="0.45">
      <c r="A3801" t="s">
        <v>4434</v>
      </c>
      <c r="B3801" t="s">
        <v>4427</v>
      </c>
      <c r="C3801" t="s">
        <v>4359</v>
      </c>
      <c r="D3801" t="s">
        <v>17</v>
      </c>
      <c r="E3801" t="s">
        <v>79</v>
      </c>
      <c r="F3801">
        <v>1</v>
      </c>
      <c r="G3801">
        <v>76.989999999999995</v>
      </c>
      <c r="H3801">
        <v>16.510000000000002</v>
      </c>
      <c r="I3801" t="s">
        <v>44</v>
      </c>
      <c r="J3801">
        <v>12</v>
      </c>
      <c r="K3801" t="s">
        <v>51</v>
      </c>
      <c r="L3801">
        <v>4</v>
      </c>
      <c r="M3801" t="str">
        <f>VLOOKUP(D3801,State_Lookup!$A$2:$B$28,2,FALSE)</f>
        <v>Rio de Janeiro</v>
      </c>
    </row>
    <row r="3802" spans="1:13" x14ac:dyDescent="0.45">
      <c r="A3802" t="s">
        <v>4435</v>
      </c>
      <c r="B3802" t="s">
        <v>4427</v>
      </c>
      <c r="C3802" t="s">
        <v>4359</v>
      </c>
      <c r="D3802" t="s">
        <v>21</v>
      </c>
      <c r="E3802" t="s">
        <v>1637</v>
      </c>
      <c r="F3802">
        <v>1</v>
      </c>
      <c r="G3802">
        <v>79.900000000000006</v>
      </c>
      <c r="H3802">
        <v>35.69</v>
      </c>
      <c r="I3802" t="s">
        <v>44</v>
      </c>
      <c r="J3802">
        <v>9</v>
      </c>
      <c r="K3802" t="s">
        <v>51</v>
      </c>
      <c r="L3802">
        <v>5</v>
      </c>
      <c r="M3802" t="str">
        <f>VLOOKUP(D3802,State_Lookup!$A$2:$B$28,2,FALSE)</f>
        <v>Santa Catarina</v>
      </c>
    </row>
    <row r="3803" spans="1:13" x14ac:dyDescent="0.45">
      <c r="A3803" t="s">
        <v>4436</v>
      </c>
      <c r="B3803" t="s">
        <v>4427</v>
      </c>
      <c r="C3803" t="s">
        <v>4359</v>
      </c>
      <c r="D3803" t="s">
        <v>16</v>
      </c>
      <c r="E3803" t="s">
        <v>173</v>
      </c>
      <c r="F3803">
        <v>1</v>
      </c>
      <c r="G3803">
        <v>8.9</v>
      </c>
      <c r="H3803">
        <v>7.87</v>
      </c>
      <c r="I3803" t="s">
        <v>44</v>
      </c>
      <c r="J3803">
        <v>5</v>
      </c>
      <c r="K3803" t="s">
        <v>51</v>
      </c>
      <c r="L3803">
        <v>5</v>
      </c>
      <c r="M3803" t="str">
        <f>VLOOKUP(D3803,State_Lookup!$A$2:$B$28,2,FALSE)</f>
        <v>Sao Paulo</v>
      </c>
    </row>
    <row r="3804" spans="1:13" x14ac:dyDescent="0.45">
      <c r="A3804" t="s">
        <v>4437</v>
      </c>
      <c r="B3804" t="s">
        <v>4438</v>
      </c>
      <c r="C3804" t="s">
        <v>4359</v>
      </c>
      <c r="D3804" t="s">
        <v>18</v>
      </c>
      <c r="E3804" t="s">
        <v>103</v>
      </c>
      <c r="F3804">
        <v>2</v>
      </c>
      <c r="G3804">
        <v>421.99</v>
      </c>
      <c r="H3804">
        <v>36.39</v>
      </c>
      <c r="I3804" t="s">
        <v>44</v>
      </c>
      <c r="J3804">
        <v>3</v>
      </c>
      <c r="K3804" t="s">
        <v>51</v>
      </c>
      <c r="L3804">
        <v>1</v>
      </c>
      <c r="M3804" t="str">
        <f>VLOOKUP(D3804,State_Lookup!$A$2:$B$28,2,FALSE)</f>
        <v>Minas Gerais</v>
      </c>
    </row>
    <row r="3805" spans="1:13" x14ac:dyDescent="0.45">
      <c r="A3805" t="s">
        <v>4439</v>
      </c>
      <c r="B3805" t="s">
        <v>4438</v>
      </c>
      <c r="C3805" t="s">
        <v>4359</v>
      </c>
      <c r="D3805" t="s">
        <v>16</v>
      </c>
      <c r="E3805" t="s">
        <v>61</v>
      </c>
      <c r="F3805">
        <v>1</v>
      </c>
      <c r="G3805">
        <v>14.99</v>
      </c>
      <c r="H3805">
        <v>7.39</v>
      </c>
      <c r="I3805" t="s">
        <v>44</v>
      </c>
      <c r="J3805">
        <v>1</v>
      </c>
      <c r="K3805" t="s">
        <v>51</v>
      </c>
      <c r="L3805">
        <v>3</v>
      </c>
      <c r="M3805" t="str">
        <f>VLOOKUP(D3805,State_Lookup!$A$2:$B$28,2,FALSE)</f>
        <v>Sao Paulo</v>
      </c>
    </row>
    <row r="3806" spans="1:13" x14ac:dyDescent="0.45">
      <c r="A3806" t="s">
        <v>4440</v>
      </c>
      <c r="B3806" t="s">
        <v>4438</v>
      </c>
      <c r="C3806" t="s">
        <v>4359</v>
      </c>
      <c r="D3806" t="s">
        <v>16</v>
      </c>
      <c r="E3806" t="s">
        <v>79</v>
      </c>
      <c r="F3806">
        <v>1</v>
      </c>
      <c r="G3806">
        <v>64.989999999999995</v>
      </c>
      <c r="H3806">
        <v>27.51</v>
      </c>
      <c r="I3806" t="s">
        <v>44</v>
      </c>
      <c r="J3806">
        <v>16</v>
      </c>
      <c r="K3806" t="s">
        <v>51</v>
      </c>
      <c r="L3806">
        <v>5</v>
      </c>
      <c r="M3806" t="str">
        <f>VLOOKUP(D3806,State_Lookup!$A$2:$B$28,2,FALSE)</f>
        <v>Sao Paulo</v>
      </c>
    </row>
    <row r="3807" spans="1:13" x14ac:dyDescent="0.45">
      <c r="A3807" t="s">
        <v>4441</v>
      </c>
      <c r="B3807" t="s">
        <v>4438</v>
      </c>
      <c r="C3807" t="s">
        <v>4359</v>
      </c>
      <c r="D3807" t="s">
        <v>16</v>
      </c>
      <c r="E3807" t="s">
        <v>537</v>
      </c>
      <c r="F3807">
        <v>1</v>
      </c>
      <c r="G3807">
        <v>169</v>
      </c>
      <c r="H3807">
        <v>48.04</v>
      </c>
      <c r="I3807" t="s">
        <v>50</v>
      </c>
      <c r="J3807">
        <v>10</v>
      </c>
      <c r="K3807" t="s">
        <v>51</v>
      </c>
      <c r="L3807">
        <v>5</v>
      </c>
      <c r="M3807" t="str">
        <f>VLOOKUP(D3807,State_Lookup!$A$2:$B$28,2,FALSE)</f>
        <v>Sao Paulo</v>
      </c>
    </row>
    <row r="3808" spans="1:13" x14ac:dyDescent="0.45">
      <c r="A3808" t="s">
        <v>4442</v>
      </c>
      <c r="B3808" t="s">
        <v>4438</v>
      </c>
      <c r="C3808" t="s">
        <v>4359</v>
      </c>
      <c r="D3808" t="s">
        <v>16</v>
      </c>
      <c r="E3808" t="s">
        <v>58</v>
      </c>
      <c r="F3808">
        <v>1</v>
      </c>
      <c r="G3808">
        <v>79</v>
      </c>
      <c r="H3808">
        <v>18.43</v>
      </c>
      <c r="I3808" t="s">
        <v>44</v>
      </c>
      <c r="J3808">
        <v>4</v>
      </c>
      <c r="K3808" t="s">
        <v>51</v>
      </c>
      <c r="L3808">
        <v>5</v>
      </c>
      <c r="M3808" t="str">
        <f>VLOOKUP(D3808,State_Lookup!$A$2:$B$28,2,FALSE)</f>
        <v>Sao Paulo</v>
      </c>
    </row>
    <row r="3809" spans="1:13" x14ac:dyDescent="0.45">
      <c r="A3809" t="s">
        <v>4443</v>
      </c>
      <c r="B3809" t="s">
        <v>4438</v>
      </c>
      <c r="C3809" t="s">
        <v>4359</v>
      </c>
      <c r="D3809" t="s">
        <v>16</v>
      </c>
      <c r="E3809" t="s">
        <v>61</v>
      </c>
      <c r="F3809">
        <v>1</v>
      </c>
      <c r="G3809">
        <v>24.98</v>
      </c>
      <c r="H3809">
        <v>7.39</v>
      </c>
      <c r="I3809" t="s">
        <v>44</v>
      </c>
      <c r="J3809">
        <v>1</v>
      </c>
      <c r="K3809" t="s">
        <v>51</v>
      </c>
      <c r="L3809">
        <v>5</v>
      </c>
      <c r="M3809" t="str">
        <f>VLOOKUP(D3809,State_Lookup!$A$2:$B$28,2,FALSE)</f>
        <v>Sao Paulo</v>
      </c>
    </row>
    <row r="3810" spans="1:13" x14ac:dyDescent="0.45">
      <c r="A3810" t="s">
        <v>4444</v>
      </c>
      <c r="B3810" t="s">
        <v>4438</v>
      </c>
      <c r="C3810" t="s">
        <v>4359</v>
      </c>
      <c r="D3810" t="s">
        <v>16</v>
      </c>
      <c r="E3810" t="s">
        <v>110</v>
      </c>
      <c r="F3810">
        <v>1</v>
      </c>
      <c r="G3810">
        <v>79.989999999999995</v>
      </c>
      <c r="H3810">
        <v>13.92</v>
      </c>
      <c r="I3810" t="s">
        <v>44</v>
      </c>
      <c r="J3810">
        <v>8</v>
      </c>
      <c r="K3810" t="s">
        <v>51</v>
      </c>
      <c r="L3810">
        <v>5</v>
      </c>
      <c r="M3810" t="str">
        <f>VLOOKUP(D3810,State_Lookup!$A$2:$B$28,2,FALSE)</f>
        <v>Sao Paulo</v>
      </c>
    </row>
    <row r="3811" spans="1:13" x14ac:dyDescent="0.45">
      <c r="A3811" t="s">
        <v>4445</v>
      </c>
      <c r="B3811" t="s">
        <v>4438</v>
      </c>
      <c r="C3811" t="s">
        <v>4359</v>
      </c>
      <c r="D3811" t="s">
        <v>16</v>
      </c>
      <c r="E3811" t="s">
        <v>43</v>
      </c>
      <c r="F3811">
        <v>1</v>
      </c>
      <c r="G3811">
        <v>44.99</v>
      </c>
      <c r="H3811">
        <v>8.82</v>
      </c>
      <c r="I3811" t="s">
        <v>44</v>
      </c>
      <c r="J3811">
        <v>7</v>
      </c>
      <c r="K3811" t="s">
        <v>51</v>
      </c>
      <c r="L3811">
        <v>1</v>
      </c>
      <c r="M3811" t="str">
        <f>VLOOKUP(D3811,State_Lookup!$A$2:$B$28,2,FALSE)</f>
        <v>Sao Paulo</v>
      </c>
    </row>
    <row r="3812" spans="1:13" x14ac:dyDescent="0.45">
      <c r="A3812" t="s">
        <v>4446</v>
      </c>
      <c r="B3812" t="s">
        <v>4438</v>
      </c>
      <c r="C3812" t="s">
        <v>4359</v>
      </c>
      <c r="D3812" t="s">
        <v>20</v>
      </c>
      <c r="E3812" t="s">
        <v>49</v>
      </c>
      <c r="F3812">
        <v>1</v>
      </c>
      <c r="G3812">
        <v>63.8</v>
      </c>
      <c r="H3812">
        <v>13.57</v>
      </c>
      <c r="I3812" t="s">
        <v>44</v>
      </c>
      <c r="J3812">
        <v>7</v>
      </c>
      <c r="K3812" t="s">
        <v>51</v>
      </c>
      <c r="L3812">
        <v>3</v>
      </c>
      <c r="M3812" t="str">
        <f>VLOOKUP(D3812,State_Lookup!$A$2:$B$28,2,FALSE)</f>
        <v>Parana</v>
      </c>
    </row>
    <row r="3813" spans="1:13" x14ac:dyDescent="0.45">
      <c r="A3813" t="s">
        <v>4447</v>
      </c>
      <c r="B3813" t="s">
        <v>4438</v>
      </c>
      <c r="C3813" t="s">
        <v>4359</v>
      </c>
      <c r="D3813" t="s">
        <v>18</v>
      </c>
      <c r="E3813" t="s">
        <v>66</v>
      </c>
      <c r="F3813">
        <v>1</v>
      </c>
      <c r="G3813">
        <v>49.99</v>
      </c>
      <c r="H3813">
        <v>15.23</v>
      </c>
      <c r="I3813" t="s">
        <v>44</v>
      </c>
      <c r="J3813">
        <v>8</v>
      </c>
      <c r="K3813" t="s">
        <v>51</v>
      </c>
      <c r="L3813">
        <v>5</v>
      </c>
      <c r="M3813" t="str">
        <f>VLOOKUP(D3813,State_Lookup!$A$2:$B$28,2,FALSE)</f>
        <v>Minas Gerais</v>
      </c>
    </row>
    <row r="3814" spans="1:13" x14ac:dyDescent="0.45">
      <c r="A3814" t="s">
        <v>4448</v>
      </c>
      <c r="B3814" t="s">
        <v>4438</v>
      </c>
      <c r="C3814" t="s">
        <v>4359</v>
      </c>
      <c r="D3814" t="s">
        <v>18</v>
      </c>
      <c r="E3814" t="s">
        <v>269</v>
      </c>
      <c r="F3814">
        <v>1</v>
      </c>
      <c r="G3814">
        <v>21.69</v>
      </c>
      <c r="H3814">
        <v>18.23</v>
      </c>
      <c r="I3814" t="s">
        <v>44</v>
      </c>
      <c r="J3814">
        <v>9</v>
      </c>
      <c r="K3814" t="s">
        <v>51</v>
      </c>
      <c r="L3814">
        <v>4</v>
      </c>
      <c r="M3814" t="str">
        <f>VLOOKUP(D3814,State_Lookup!$A$2:$B$28,2,FALSE)</f>
        <v>Minas Gerais</v>
      </c>
    </row>
    <row r="3815" spans="1:13" x14ac:dyDescent="0.45">
      <c r="A3815" t="s">
        <v>4449</v>
      </c>
      <c r="B3815" t="s">
        <v>4438</v>
      </c>
      <c r="C3815" t="s">
        <v>4359</v>
      </c>
      <c r="D3815" t="s">
        <v>17</v>
      </c>
      <c r="E3815" t="s">
        <v>49</v>
      </c>
      <c r="F3815">
        <v>1</v>
      </c>
      <c r="G3815">
        <v>149.9</v>
      </c>
      <c r="H3815">
        <v>46.34</v>
      </c>
      <c r="I3815" t="s">
        <v>44</v>
      </c>
      <c r="J3815">
        <v>7</v>
      </c>
      <c r="K3815" t="s">
        <v>51</v>
      </c>
      <c r="L3815">
        <v>5</v>
      </c>
      <c r="M3815" t="str">
        <f>VLOOKUP(D3815,State_Lookup!$A$2:$B$28,2,FALSE)</f>
        <v>Rio de Janeiro</v>
      </c>
    </row>
    <row r="3816" spans="1:13" x14ac:dyDescent="0.45">
      <c r="A3816" t="s">
        <v>4450</v>
      </c>
      <c r="B3816" t="s">
        <v>4438</v>
      </c>
      <c r="C3816" t="s">
        <v>4359</v>
      </c>
      <c r="D3816" t="s">
        <v>16</v>
      </c>
      <c r="E3816" t="s">
        <v>157</v>
      </c>
      <c r="F3816">
        <v>1</v>
      </c>
      <c r="G3816">
        <v>187</v>
      </c>
      <c r="H3816">
        <v>13.75</v>
      </c>
      <c r="I3816" t="s">
        <v>44</v>
      </c>
      <c r="J3816">
        <v>4</v>
      </c>
      <c r="K3816" t="s">
        <v>51</v>
      </c>
      <c r="L3816">
        <v>5</v>
      </c>
      <c r="M3816" t="str">
        <f>VLOOKUP(D3816,State_Lookup!$A$2:$B$28,2,FALSE)</f>
        <v>Sao Paulo</v>
      </c>
    </row>
    <row r="3817" spans="1:13" x14ac:dyDescent="0.45">
      <c r="A3817" t="s">
        <v>4451</v>
      </c>
      <c r="B3817" t="s">
        <v>4438</v>
      </c>
      <c r="C3817" t="s">
        <v>4359</v>
      </c>
      <c r="D3817" t="s">
        <v>128</v>
      </c>
      <c r="E3817" t="s">
        <v>58</v>
      </c>
      <c r="F3817">
        <v>1</v>
      </c>
      <c r="G3817">
        <v>51.81</v>
      </c>
      <c r="H3817">
        <v>37.049999999999997</v>
      </c>
      <c r="I3817" t="s">
        <v>44</v>
      </c>
      <c r="J3817">
        <v>28</v>
      </c>
      <c r="K3817" t="s">
        <v>51</v>
      </c>
      <c r="L3817">
        <v>4</v>
      </c>
      <c r="M3817" t="str">
        <f>VLOOKUP(D3817,State_Lookup!$A$2:$B$28,2,FALSE)</f>
        <v>Ceara</v>
      </c>
    </row>
    <row r="3818" spans="1:13" x14ac:dyDescent="0.45">
      <c r="A3818" t="s">
        <v>4452</v>
      </c>
      <c r="B3818" t="s">
        <v>4453</v>
      </c>
      <c r="C3818" t="s">
        <v>4359</v>
      </c>
      <c r="D3818" t="s">
        <v>18</v>
      </c>
      <c r="E3818" t="s">
        <v>66</v>
      </c>
      <c r="F3818">
        <v>1</v>
      </c>
      <c r="G3818">
        <v>22.99</v>
      </c>
      <c r="H3818">
        <v>18.23</v>
      </c>
      <c r="I3818" t="s">
        <v>44</v>
      </c>
      <c r="J3818">
        <v>7</v>
      </c>
      <c r="K3818" t="s">
        <v>51</v>
      </c>
      <c r="L3818">
        <v>5</v>
      </c>
      <c r="M3818" t="str">
        <f>VLOOKUP(D3818,State_Lookup!$A$2:$B$28,2,FALSE)</f>
        <v>Minas Gerais</v>
      </c>
    </row>
    <row r="3819" spans="1:13" x14ac:dyDescent="0.45">
      <c r="A3819" t="s">
        <v>4454</v>
      </c>
      <c r="B3819" t="s">
        <v>4453</v>
      </c>
      <c r="C3819" t="s">
        <v>4359</v>
      </c>
      <c r="D3819" t="s">
        <v>23</v>
      </c>
      <c r="E3819" t="s">
        <v>132</v>
      </c>
      <c r="F3819">
        <v>1</v>
      </c>
      <c r="G3819">
        <v>89</v>
      </c>
      <c r="H3819">
        <v>19.309999999999999</v>
      </c>
      <c r="I3819" t="s">
        <v>44</v>
      </c>
      <c r="J3819">
        <v>9</v>
      </c>
      <c r="K3819" t="s">
        <v>51</v>
      </c>
      <c r="L3819">
        <v>4</v>
      </c>
      <c r="M3819" t="str">
        <f>VLOOKUP(D3819,State_Lookup!$A$2:$B$28,2,FALSE)</f>
        <v>Espirito Santo</v>
      </c>
    </row>
    <row r="3820" spans="1:13" x14ac:dyDescent="0.45">
      <c r="A3820" t="s">
        <v>4455</v>
      </c>
      <c r="B3820" t="s">
        <v>4453</v>
      </c>
      <c r="C3820" t="s">
        <v>4359</v>
      </c>
      <c r="D3820" t="s">
        <v>19</v>
      </c>
      <c r="E3820" t="s">
        <v>66</v>
      </c>
      <c r="F3820">
        <v>1</v>
      </c>
      <c r="G3820">
        <v>13.77</v>
      </c>
      <c r="H3820">
        <v>16.41</v>
      </c>
      <c r="I3820" t="s">
        <v>44</v>
      </c>
      <c r="J3820">
        <v>16</v>
      </c>
      <c r="K3820" t="s">
        <v>51</v>
      </c>
      <c r="L3820">
        <v>5</v>
      </c>
      <c r="M3820" t="str">
        <f>VLOOKUP(D3820,State_Lookup!$A$2:$B$28,2,FALSE)</f>
        <v>Rio Grande do Sul</v>
      </c>
    </row>
    <row r="3821" spans="1:13" x14ac:dyDescent="0.45">
      <c r="A3821" t="s">
        <v>4456</v>
      </c>
      <c r="B3821" t="s">
        <v>4453</v>
      </c>
      <c r="C3821" t="s">
        <v>4359</v>
      </c>
      <c r="D3821" t="s">
        <v>17</v>
      </c>
      <c r="E3821" t="s">
        <v>192</v>
      </c>
      <c r="F3821">
        <v>1</v>
      </c>
      <c r="G3821">
        <v>29.9</v>
      </c>
      <c r="H3821">
        <v>17.93</v>
      </c>
      <c r="I3821" t="s">
        <v>44</v>
      </c>
      <c r="J3821">
        <v>18</v>
      </c>
      <c r="K3821" t="s">
        <v>51</v>
      </c>
      <c r="L3821">
        <v>5</v>
      </c>
      <c r="M3821" t="str">
        <f>VLOOKUP(D3821,State_Lookup!$A$2:$B$28,2,FALSE)</f>
        <v>Rio de Janeiro</v>
      </c>
    </row>
    <row r="3822" spans="1:13" x14ac:dyDescent="0.45">
      <c r="A3822" t="s">
        <v>4457</v>
      </c>
      <c r="B3822" t="s">
        <v>4453</v>
      </c>
      <c r="C3822" t="s">
        <v>4359</v>
      </c>
      <c r="D3822" t="s">
        <v>18</v>
      </c>
      <c r="E3822" t="s">
        <v>220</v>
      </c>
      <c r="F3822">
        <v>1</v>
      </c>
      <c r="G3822">
        <v>25</v>
      </c>
      <c r="H3822">
        <v>23.28</v>
      </c>
      <c r="I3822" t="s">
        <v>44</v>
      </c>
      <c r="J3822">
        <v>7</v>
      </c>
      <c r="K3822" t="s">
        <v>51</v>
      </c>
      <c r="L3822">
        <v>3</v>
      </c>
      <c r="M3822" t="str">
        <f>VLOOKUP(D3822,State_Lookup!$A$2:$B$28,2,FALSE)</f>
        <v>Minas Gerais</v>
      </c>
    </row>
    <row r="3823" spans="1:13" x14ac:dyDescent="0.45">
      <c r="A3823" t="s">
        <v>4458</v>
      </c>
      <c r="B3823" t="s">
        <v>4453</v>
      </c>
      <c r="C3823" t="s">
        <v>4359</v>
      </c>
      <c r="D3823" t="s">
        <v>18</v>
      </c>
      <c r="E3823" t="s">
        <v>244</v>
      </c>
      <c r="F3823">
        <v>1</v>
      </c>
      <c r="G3823">
        <v>149</v>
      </c>
      <c r="H3823">
        <v>23.62</v>
      </c>
      <c r="I3823" t="s">
        <v>44</v>
      </c>
      <c r="J3823">
        <v>4</v>
      </c>
      <c r="K3823" t="s">
        <v>51</v>
      </c>
      <c r="L3823">
        <v>5</v>
      </c>
      <c r="M3823" t="str">
        <f>VLOOKUP(D3823,State_Lookup!$A$2:$B$28,2,FALSE)</f>
        <v>Minas Gerais</v>
      </c>
    </row>
    <row r="3824" spans="1:13" x14ac:dyDescent="0.45">
      <c r="A3824" t="s">
        <v>4459</v>
      </c>
      <c r="B3824" t="s">
        <v>4453</v>
      </c>
      <c r="C3824" t="s">
        <v>4359</v>
      </c>
      <c r="D3824" t="s">
        <v>18</v>
      </c>
      <c r="E3824" t="s">
        <v>49</v>
      </c>
      <c r="F3824">
        <v>1</v>
      </c>
      <c r="G3824">
        <v>539</v>
      </c>
      <c r="H3824">
        <v>46.7</v>
      </c>
      <c r="I3824" t="s">
        <v>44</v>
      </c>
      <c r="J3824">
        <v>5</v>
      </c>
      <c r="K3824" t="s">
        <v>51</v>
      </c>
      <c r="L3824">
        <v>5</v>
      </c>
      <c r="M3824" t="str">
        <f>VLOOKUP(D3824,State_Lookup!$A$2:$B$28,2,FALSE)</f>
        <v>Minas Gerais</v>
      </c>
    </row>
    <row r="3825" spans="1:13" x14ac:dyDescent="0.45">
      <c r="A3825" t="s">
        <v>4460</v>
      </c>
      <c r="B3825" t="s">
        <v>4453</v>
      </c>
      <c r="C3825" t="s">
        <v>4359</v>
      </c>
      <c r="D3825" t="s">
        <v>20</v>
      </c>
      <c r="E3825" t="s">
        <v>49</v>
      </c>
      <c r="F3825">
        <v>1</v>
      </c>
      <c r="G3825">
        <v>104.9</v>
      </c>
      <c r="H3825">
        <v>19.7</v>
      </c>
      <c r="I3825" t="s">
        <v>44</v>
      </c>
      <c r="J3825">
        <v>9</v>
      </c>
      <c r="K3825" t="s">
        <v>51</v>
      </c>
      <c r="L3825">
        <v>5</v>
      </c>
      <c r="M3825" t="str">
        <f>VLOOKUP(D3825,State_Lookup!$A$2:$B$28,2,FALSE)</f>
        <v>Parana</v>
      </c>
    </row>
    <row r="3826" spans="1:13" x14ac:dyDescent="0.45">
      <c r="A3826" t="s">
        <v>4461</v>
      </c>
      <c r="B3826" t="s">
        <v>4453</v>
      </c>
      <c r="C3826" t="s">
        <v>4359</v>
      </c>
      <c r="D3826" t="s">
        <v>16</v>
      </c>
      <c r="E3826" t="s">
        <v>152</v>
      </c>
      <c r="F3826">
        <v>1</v>
      </c>
      <c r="G3826">
        <v>219.9</v>
      </c>
      <c r="H3826">
        <v>104.73</v>
      </c>
      <c r="I3826" t="s">
        <v>44</v>
      </c>
      <c r="J3826">
        <v>6</v>
      </c>
      <c r="K3826" t="s">
        <v>51</v>
      </c>
      <c r="L3826">
        <v>3</v>
      </c>
      <c r="M3826" t="str">
        <f>VLOOKUP(D3826,State_Lookup!$A$2:$B$28,2,FALSE)</f>
        <v>Sao Paulo</v>
      </c>
    </row>
    <row r="3827" spans="1:13" x14ac:dyDescent="0.45">
      <c r="A3827" t="s">
        <v>4462</v>
      </c>
      <c r="B3827" t="s">
        <v>4453</v>
      </c>
      <c r="C3827" t="s">
        <v>4359</v>
      </c>
      <c r="D3827" t="s">
        <v>23</v>
      </c>
      <c r="E3827" t="s">
        <v>79</v>
      </c>
      <c r="F3827">
        <v>1</v>
      </c>
      <c r="G3827">
        <v>64.989999999999995</v>
      </c>
      <c r="H3827">
        <v>15.61</v>
      </c>
      <c r="I3827" t="s">
        <v>44</v>
      </c>
      <c r="J3827">
        <v>34</v>
      </c>
      <c r="K3827" t="s">
        <v>143</v>
      </c>
      <c r="L3827">
        <v>3</v>
      </c>
      <c r="M3827" t="str">
        <f>VLOOKUP(D3827,State_Lookup!$A$2:$B$28,2,FALSE)</f>
        <v>Espirito Santo</v>
      </c>
    </row>
    <row r="3828" spans="1:13" x14ac:dyDescent="0.45">
      <c r="A3828" t="s">
        <v>4463</v>
      </c>
      <c r="B3828" t="s">
        <v>4453</v>
      </c>
      <c r="C3828" t="s">
        <v>4359</v>
      </c>
      <c r="D3828" t="s">
        <v>20</v>
      </c>
      <c r="E3828" t="s">
        <v>43</v>
      </c>
      <c r="F3828">
        <v>1</v>
      </c>
      <c r="G3828">
        <v>119</v>
      </c>
      <c r="H3828">
        <v>31.93</v>
      </c>
      <c r="I3828" t="s">
        <v>44</v>
      </c>
      <c r="J3828">
        <v>1</v>
      </c>
      <c r="K3828" t="s">
        <v>51</v>
      </c>
      <c r="L3828">
        <v>5</v>
      </c>
      <c r="M3828" t="str">
        <f>VLOOKUP(D3828,State_Lookup!$A$2:$B$28,2,FALSE)</f>
        <v>Parana</v>
      </c>
    </row>
    <row r="3829" spans="1:13" x14ac:dyDescent="0.45">
      <c r="A3829" t="s">
        <v>4464</v>
      </c>
      <c r="B3829" t="s">
        <v>4453</v>
      </c>
      <c r="C3829" t="s">
        <v>4359</v>
      </c>
      <c r="D3829" t="s">
        <v>128</v>
      </c>
      <c r="E3829" t="s">
        <v>192</v>
      </c>
      <c r="F3829">
        <v>1</v>
      </c>
      <c r="G3829">
        <v>35.9</v>
      </c>
      <c r="H3829">
        <v>22.41</v>
      </c>
      <c r="I3829" t="s">
        <v>44</v>
      </c>
      <c r="J3829">
        <v>27</v>
      </c>
      <c r="K3829" t="s">
        <v>143</v>
      </c>
      <c r="L3829">
        <v>5</v>
      </c>
      <c r="M3829" t="str">
        <f>VLOOKUP(D3829,State_Lookup!$A$2:$B$28,2,FALSE)</f>
        <v>Ceara</v>
      </c>
    </row>
    <row r="3830" spans="1:13" x14ac:dyDescent="0.45">
      <c r="A3830" t="s">
        <v>4465</v>
      </c>
      <c r="B3830" t="s">
        <v>4466</v>
      </c>
      <c r="C3830" t="s">
        <v>4359</v>
      </c>
      <c r="D3830" t="s">
        <v>16</v>
      </c>
      <c r="E3830" t="s">
        <v>157</v>
      </c>
      <c r="F3830">
        <v>1</v>
      </c>
      <c r="G3830">
        <v>599.99</v>
      </c>
      <c r="H3830">
        <v>12.55</v>
      </c>
      <c r="I3830" t="s">
        <v>133</v>
      </c>
      <c r="J3830">
        <v>5</v>
      </c>
      <c r="K3830" t="s">
        <v>51</v>
      </c>
      <c r="L3830">
        <v>3</v>
      </c>
      <c r="M3830" t="str">
        <f>VLOOKUP(D3830,State_Lookup!$A$2:$B$28,2,FALSE)</f>
        <v>Sao Paulo</v>
      </c>
    </row>
    <row r="3831" spans="1:13" x14ac:dyDescent="0.45">
      <c r="A3831" t="s">
        <v>4467</v>
      </c>
      <c r="B3831" t="s">
        <v>4466</v>
      </c>
      <c r="C3831" t="s">
        <v>4359</v>
      </c>
      <c r="D3831" t="s">
        <v>16</v>
      </c>
      <c r="E3831" t="s">
        <v>269</v>
      </c>
      <c r="F3831">
        <v>1</v>
      </c>
      <c r="G3831">
        <v>39.5</v>
      </c>
      <c r="H3831">
        <v>7.87</v>
      </c>
      <c r="I3831" t="s">
        <v>44</v>
      </c>
      <c r="J3831">
        <v>1</v>
      </c>
      <c r="K3831" t="s">
        <v>51</v>
      </c>
      <c r="L3831">
        <v>5</v>
      </c>
      <c r="M3831" t="str">
        <f>VLOOKUP(D3831,State_Lookup!$A$2:$B$28,2,FALSE)</f>
        <v>Sao Paulo</v>
      </c>
    </row>
    <row r="3832" spans="1:13" x14ac:dyDescent="0.45">
      <c r="A3832" t="s">
        <v>4468</v>
      </c>
      <c r="B3832" t="s">
        <v>4466</v>
      </c>
      <c r="C3832" t="s">
        <v>4359</v>
      </c>
      <c r="D3832" t="s">
        <v>17</v>
      </c>
      <c r="E3832" t="s">
        <v>148</v>
      </c>
      <c r="F3832">
        <v>1</v>
      </c>
      <c r="G3832">
        <v>199</v>
      </c>
      <c r="H3832">
        <v>32.79</v>
      </c>
      <c r="I3832" t="s">
        <v>44</v>
      </c>
      <c r="J3832">
        <v>12</v>
      </c>
      <c r="K3832" t="s">
        <v>51</v>
      </c>
      <c r="L3832">
        <v>4</v>
      </c>
      <c r="M3832" t="str">
        <f>VLOOKUP(D3832,State_Lookup!$A$2:$B$28,2,FALSE)</f>
        <v>Rio de Janeiro</v>
      </c>
    </row>
    <row r="3833" spans="1:13" x14ac:dyDescent="0.45">
      <c r="A3833" t="s">
        <v>4469</v>
      </c>
      <c r="B3833" t="s">
        <v>4466</v>
      </c>
      <c r="C3833" t="s">
        <v>4359</v>
      </c>
      <c r="D3833" t="s">
        <v>16</v>
      </c>
      <c r="E3833" t="s">
        <v>269</v>
      </c>
      <c r="F3833">
        <v>1</v>
      </c>
      <c r="G3833">
        <v>141.4</v>
      </c>
      <c r="H3833">
        <v>11.61</v>
      </c>
      <c r="I3833" t="s">
        <v>50</v>
      </c>
      <c r="J3833">
        <v>4</v>
      </c>
      <c r="K3833" t="s">
        <v>51</v>
      </c>
      <c r="L3833">
        <v>5</v>
      </c>
      <c r="M3833" t="str">
        <f>VLOOKUP(D3833,State_Lookup!$A$2:$B$28,2,FALSE)</f>
        <v>Sao Paulo</v>
      </c>
    </row>
    <row r="3834" spans="1:13" x14ac:dyDescent="0.45">
      <c r="A3834" t="s">
        <v>4470</v>
      </c>
      <c r="B3834" t="s">
        <v>4466</v>
      </c>
      <c r="C3834" t="s">
        <v>4359</v>
      </c>
      <c r="D3834" t="s">
        <v>19</v>
      </c>
      <c r="E3834" t="s">
        <v>110</v>
      </c>
      <c r="F3834">
        <v>1</v>
      </c>
      <c r="G3834">
        <v>149.9</v>
      </c>
      <c r="H3834">
        <v>17.09</v>
      </c>
      <c r="I3834" t="s">
        <v>44</v>
      </c>
      <c r="J3834">
        <v>12</v>
      </c>
      <c r="K3834" t="s">
        <v>51</v>
      </c>
      <c r="L3834">
        <v>5</v>
      </c>
      <c r="M3834" t="str">
        <f>VLOOKUP(D3834,State_Lookup!$A$2:$B$28,2,FALSE)</f>
        <v>Rio Grande do Sul</v>
      </c>
    </row>
    <row r="3835" spans="1:13" x14ac:dyDescent="0.45">
      <c r="A3835" t="s">
        <v>4471</v>
      </c>
      <c r="B3835" t="s">
        <v>4466</v>
      </c>
      <c r="C3835" t="s">
        <v>4359</v>
      </c>
      <c r="D3835" t="s">
        <v>17</v>
      </c>
      <c r="E3835" t="s">
        <v>79</v>
      </c>
      <c r="F3835">
        <v>1</v>
      </c>
      <c r="G3835">
        <v>64.989999999999995</v>
      </c>
      <c r="H3835">
        <v>41.15</v>
      </c>
      <c r="I3835" t="s">
        <v>44</v>
      </c>
      <c r="J3835">
        <v>34</v>
      </c>
      <c r="K3835" t="s">
        <v>143</v>
      </c>
      <c r="L3835">
        <v>1</v>
      </c>
      <c r="M3835" t="str">
        <f>VLOOKUP(D3835,State_Lookup!$A$2:$B$28,2,FALSE)</f>
        <v>Rio de Janeiro</v>
      </c>
    </row>
    <row r="3836" spans="1:13" x14ac:dyDescent="0.45">
      <c r="A3836" t="s">
        <v>4472</v>
      </c>
      <c r="B3836" t="s">
        <v>4466</v>
      </c>
      <c r="C3836" t="s">
        <v>4359</v>
      </c>
      <c r="D3836" t="s">
        <v>17</v>
      </c>
      <c r="E3836" t="s">
        <v>107</v>
      </c>
      <c r="F3836">
        <v>1</v>
      </c>
      <c r="G3836">
        <v>199.99</v>
      </c>
      <c r="H3836">
        <v>17.37</v>
      </c>
      <c r="I3836" t="s">
        <v>44</v>
      </c>
      <c r="J3836">
        <v>5</v>
      </c>
      <c r="K3836" t="s">
        <v>51</v>
      </c>
      <c r="L3836">
        <v>5</v>
      </c>
      <c r="M3836" t="str">
        <f>VLOOKUP(D3836,State_Lookup!$A$2:$B$28,2,FALSE)</f>
        <v>Rio de Janeiro</v>
      </c>
    </row>
    <row r="3837" spans="1:13" x14ac:dyDescent="0.45">
      <c r="A3837" t="s">
        <v>4473</v>
      </c>
      <c r="B3837" t="s">
        <v>4466</v>
      </c>
      <c r="C3837" t="s">
        <v>4359</v>
      </c>
      <c r="D3837" t="s">
        <v>16</v>
      </c>
      <c r="E3837" t="s">
        <v>69</v>
      </c>
      <c r="F3837">
        <v>1</v>
      </c>
      <c r="G3837">
        <v>22.99</v>
      </c>
      <c r="H3837">
        <v>8.2899999999999991</v>
      </c>
      <c r="I3837" t="s">
        <v>50</v>
      </c>
      <c r="J3837">
        <v>2</v>
      </c>
      <c r="K3837" t="s">
        <v>51</v>
      </c>
      <c r="M3837" t="str">
        <f>VLOOKUP(D3837,State_Lookup!$A$2:$B$28,2,FALSE)</f>
        <v>Sao Paulo</v>
      </c>
    </row>
    <row r="3838" spans="1:13" x14ac:dyDescent="0.45">
      <c r="A3838" t="s">
        <v>4474</v>
      </c>
      <c r="B3838" t="s">
        <v>4466</v>
      </c>
      <c r="C3838" t="s">
        <v>4359</v>
      </c>
      <c r="D3838" t="s">
        <v>17</v>
      </c>
      <c r="E3838" t="s">
        <v>61</v>
      </c>
      <c r="F3838">
        <v>1</v>
      </c>
      <c r="G3838">
        <v>70</v>
      </c>
      <c r="H3838">
        <v>18.37</v>
      </c>
      <c r="I3838" t="s">
        <v>44</v>
      </c>
      <c r="J3838">
        <v>14</v>
      </c>
      <c r="K3838" t="s">
        <v>51</v>
      </c>
      <c r="L3838">
        <v>5</v>
      </c>
      <c r="M3838" t="str">
        <f>VLOOKUP(D3838,State_Lookup!$A$2:$B$28,2,FALSE)</f>
        <v>Rio de Janeiro</v>
      </c>
    </row>
    <row r="3839" spans="1:13" x14ac:dyDescent="0.45">
      <c r="A3839" t="s">
        <v>4475</v>
      </c>
      <c r="B3839" t="s">
        <v>4466</v>
      </c>
      <c r="C3839" t="s">
        <v>4359</v>
      </c>
      <c r="D3839" t="s">
        <v>16</v>
      </c>
      <c r="E3839" t="s">
        <v>1935</v>
      </c>
      <c r="F3839">
        <v>1</v>
      </c>
      <c r="G3839">
        <v>57.89</v>
      </c>
      <c r="H3839">
        <v>10.29</v>
      </c>
      <c r="I3839" t="s">
        <v>50</v>
      </c>
      <c r="J3839">
        <v>29</v>
      </c>
      <c r="K3839" t="s">
        <v>143</v>
      </c>
      <c r="L3839">
        <v>1</v>
      </c>
      <c r="M3839" t="str">
        <f>VLOOKUP(D3839,State_Lookup!$A$2:$B$28,2,FALSE)</f>
        <v>Sao Paulo</v>
      </c>
    </row>
    <row r="3840" spans="1:13" x14ac:dyDescent="0.45">
      <c r="A3840" t="s">
        <v>4476</v>
      </c>
      <c r="B3840" t="s">
        <v>4466</v>
      </c>
      <c r="C3840" t="s">
        <v>4359</v>
      </c>
      <c r="D3840" t="s">
        <v>20</v>
      </c>
      <c r="E3840" t="s">
        <v>142</v>
      </c>
      <c r="F3840">
        <v>1</v>
      </c>
      <c r="G3840">
        <v>320.99</v>
      </c>
      <c r="H3840">
        <v>22.71</v>
      </c>
      <c r="I3840" t="s">
        <v>44</v>
      </c>
      <c r="J3840">
        <v>6</v>
      </c>
      <c r="K3840" t="s">
        <v>51</v>
      </c>
      <c r="L3840">
        <v>4</v>
      </c>
      <c r="M3840" t="str">
        <f>VLOOKUP(D3840,State_Lookup!$A$2:$B$28,2,FALSE)</f>
        <v>Parana</v>
      </c>
    </row>
    <row r="3841" spans="1:13" x14ac:dyDescent="0.45">
      <c r="A3841" t="s">
        <v>4477</v>
      </c>
      <c r="B3841" t="s">
        <v>4466</v>
      </c>
      <c r="C3841" t="s">
        <v>4359</v>
      </c>
      <c r="D3841" t="s">
        <v>16</v>
      </c>
      <c r="E3841" t="s">
        <v>79</v>
      </c>
      <c r="F3841">
        <v>1</v>
      </c>
      <c r="G3841">
        <v>29.9</v>
      </c>
      <c r="H3841">
        <v>7.71</v>
      </c>
      <c r="I3841" t="s">
        <v>44</v>
      </c>
      <c r="J3841">
        <v>4</v>
      </c>
      <c r="K3841" t="s">
        <v>51</v>
      </c>
      <c r="L3841">
        <v>5</v>
      </c>
      <c r="M3841" t="str">
        <f>VLOOKUP(D3841,State_Lookup!$A$2:$B$28,2,FALSE)</f>
        <v>Sao Paulo</v>
      </c>
    </row>
    <row r="3842" spans="1:13" x14ac:dyDescent="0.45">
      <c r="A3842" t="s">
        <v>4478</v>
      </c>
      <c r="B3842" t="s">
        <v>4466</v>
      </c>
      <c r="C3842" t="s">
        <v>4359</v>
      </c>
      <c r="D3842" t="s">
        <v>19</v>
      </c>
      <c r="E3842" t="s">
        <v>110</v>
      </c>
      <c r="F3842">
        <v>1</v>
      </c>
      <c r="G3842">
        <v>37</v>
      </c>
      <c r="H3842">
        <v>18.23</v>
      </c>
      <c r="I3842" t="s">
        <v>44</v>
      </c>
      <c r="J3842">
        <v>6</v>
      </c>
      <c r="K3842" t="s">
        <v>51</v>
      </c>
      <c r="L3842">
        <v>4</v>
      </c>
      <c r="M3842" t="str">
        <f>VLOOKUP(D3842,State_Lookup!$A$2:$B$28,2,FALSE)</f>
        <v>Rio Grande do Sul</v>
      </c>
    </row>
    <row r="3843" spans="1:13" x14ac:dyDescent="0.45">
      <c r="A3843" t="s">
        <v>4479</v>
      </c>
      <c r="B3843" t="s">
        <v>4466</v>
      </c>
      <c r="C3843" t="s">
        <v>4359</v>
      </c>
      <c r="D3843" t="s">
        <v>16</v>
      </c>
      <c r="E3843" t="s">
        <v>43</v>
      </c>
      <c r="F3843">
        <v>1</v>
      </c>
      <c r="G3843">
        <v>150</v>
      </c>
      <c r="H3843">
        <v>13.95</v>
      </c>
      <c r="I3843" t="s">
        <v>44</v>
      </c>
      <c r="J3843">
        <v>6</v>
      </c>
      <c r="K3843" t="s">
        <v>51</v>
      </c>
      <c r="L3843">
        <v>5</v>
      </c>
      <c r="M3843" t="str">
        <f>VLOOKUP(D3843,State_Lookup!$A$2:$B$28,2,FALSE)</f>
        <v>Sao Paulo</v>
      </c>
    </row>
    <row r="3844" spans="1:13" x14ac:dyDescent="0.45">
      <c r="A3844" t="s">
        <v>4480</v>
      </c>
      <c r="B3844" t="s">
        <v>4466</v>
      </c>
      <c r="C3844" t="s">
        <v>4359</v>
      </c>
      <c r="D3844" t="s">
        <v>16</v>
      </c>
      <c r="E3844" t="s">
        <v>157</v>
      </c>
      <c r="F3844">
        <v>1</v>
      </c>
      <c r="G3844">
        <v>519</v>
      </c>
      <c r="H3844">
        <v>11.99</v>
      </c>
      <c r="I3844" t="s">
        <v>44</v>
      </c>
      <c r="K3844" t="s">
        <v>45</v>
      </c>
      <c r="L3844">
        <v>1</v>
      </c>
      <c r="M3844" t="str">
        <f>VLOOKUP(D3844,State_Lookup!$A$2:$B$28,2,FALSE)</f>
        <v>Sao Paulo</v>
      </c>
    </row>
    <row r="3845" spans="1:13" x14ac:dyDescent="0.45">
      <c r="A3845" t="s">
        <v>4481</v>
      </c>
      <c r="B3845" t="s">
        <v>4466</v>
      </c>
      <c r="C3845" t="s">
        <v>4359</v>
      </c>
      <c r="D3845" t="s">
        <v>16</v>
      </c>
      <c r="E3845" t="s">
        <v>79</v>
      </c>
      <c r="F3845">
        <v>1</v>
      </c>
      <c r="G3845">
        <v>90</v>
      </c>
      <c r="H3845">
        <v>14.05</v>
      </c>
      <c r="I3845" t="s">
        <v>44</v>
      </c>
      <c r="J3845">
        <v>13</v>
      </c>
      <c r="K3845" t="s">
        <v>51</v>
      </c>
      <c r="L3845">
        <v>5</v>
      </c>
      <c r="M3845" t="str">
        <f>VLOOKUP(D3845,State_Lookup!$A$2:$B$28,2,FALSE)</f>
        <v>Sao Paulo</v>
      </c>
    </row>
    <row r="3846" spans="1:13" x14ac:dyDescent="0.45">
      <c r="A3846" t="s">
        <v>4482</v>
      </c>
      <c r="B3846" t="s">
        <v>4483</v>
      </c>
      <c r="C3846" t="s">
        <v>4359</v>
      </c>
      <c r="D3846" t="s">
        <v>24</v>
      </c>
      <c r="E3846" t="s">
        <v>49</v>
      </c>
      <c r="F3846">
        <v>1</v>
      </c>
      <c r="G3846">
        <v>135.21</v>
      </c>
      <c r="H3846">
        <v>15.83</v>
      </c>
      <c r="I3846" t="s">
        <v>50</v>
      </c>
      <c r="J3846">
        <v>6</v>
      </c>
      <c r="K3846" t="s">
        <v>51</v>
      </c>
      <c r="L3846">
        <v>5</v>
      </c>
      <c r="M3846" t="str">
        <f>VLOOKUP(D3846,State_Lookup!$A$2:$B$28,2,FALSE)</f>
        <v>Distrito Federal</v>
      </c>
    </row>
    <row r="3847" spans="1:13" x14ac:dyDescent="0.45">
      <c r="A3847" t="s">
        <v>4484</v>
      </c>
      <c r="B3847" t="s">
        <v>4483</v>
      </c>
      <c r="C3847" t="s">
        <v>4359</v>
      </c>
      <c r="D3847" t="s">
        <v>17</v>
      </c>
      <c r="E3847" t="s">
        <v>366</v>
      </c>
      <c r="F3847">
        <v>1</v>
      </c>
      <c r="G3847">
        <v>1054</v>
      </c>
      <c r="H3847">
        <v>35.96</v>
      </c>
      <c r="I3847" t="s">
        <v>44</v>
      </c>
      <c r="J3847">
        <v>8</v>
      </c>
      <c r="K3847" t="s">
        <v>51</v>
      </c>
      <c r="L3847">
        <v>4</v>
      </c>
      <c r="M3847" t="str">
        <f>VLOOKUP(D3847,State_Lookup!$A$2:$B$28,2,FALSE)</f>
        <v>Rio de Janeiro</v>
      </c>
    </row>
    <row r="3848" spans="1:13" x14ac:dyDescent="0.45">
      <c r="A3848" t="s">
        <v>4485</v>
      </c>
      <c r="B3848" t="s">
        <v>4483</v>
      </c>
      <c r="C3848" t="s">
        <v>4359</v>
      </c>
      <c r="D3848" t="s">
        <v>19</v>
      </c>
      <c r="E3848" t="s">
        <v>61</v>
      </c>
      <c r="F3848">
        <v>1</v>
      </c>
      <c r="G3848">
        <v>1360.02</v>
      </c>
      <c r="H3848">
        <v>76.44</v>
      </c>
      <c r="I3848" t="s">
        <v>44</v>
      </c>
      <c r="J3848">
        <v>10</v>
      </c>
      <c r="K3848" t="s">
        <v>51</v>
      </c>
      <c r="L3848">
        <v>5</v>
      </c>
      <c r="M3848" t="str">
        <f>VLOOKUP(D3848,State_Lookup!$A$2:$B$28,2,FALSE)</f>
        <v>Rio Grande do Sul</v>
      </c>
    </row>
    <row r="3849" spans="1:13" x14ac:dyDescent="0.45">
      <c r="A3849" t="s">
        <v>4486</v>
      </c>
      <c r="B3849" t="s">
        <v>4483</v>
      </c>
      <c r="C3849" t="s">
        <v>4359</v>
      </c>
      <c r="D3849" t="s">
        <v>17</v>
      </c>
      <c r="E3849" t="s">
        <v>269</v>
      </c>
      <c r="F3849">
        <v>6</v>
      </c>
      <c r="G3849">
        <v>960</v>
      </c>
      <c r="H3849">
        <v>348.18</v>
      </c>
      <c r="I3849" t="s">
        <v>44</v>
      </c>
      <c r="J3849">
        <v>7</v>
      </c>
      <c r="K3849" t="s">
        <v>51</v>
      </c>
      <c r="L3849">
        <v>2</v>
      </c>
      <c r="M3849" t="str">
        <f>VLOOKUP(D3849,State_Lookup!$A$2:$B$28,2,FALSE)</f>
        <v>Rio de Janeiro</v>
      </c>
    </row>
    <row r="3850" spans="1:13" x14ac:dyDescent="0.45">
      <c r="A3850" t="s">
        <v>4487</v>
      </c>
      <c r="B3850" t="s">
        <v>4483</v>
      </c>
      <c r="C3850" t="s">
        <v>4359</v>
      </c>
      <c r="D3850" t="s">
        <v>20</v>
      </c>
      <c r="E3850" t="s">
        <v>43</v>
      </c>
      <c r="F3850">
        <v>1</v>
      </c>
      <c r="G3850">
        <v>55.5</v>
      </c>
      <c r="H3850">
        <v>18.27</v>
      </c>
      <c r="I3850" t="s">
        <v>44</v>
      </c>
      <c r="J3850">
        <v>7</v>
      </c>
      <c r="K3850" t="s">
        <v>51</v>
      </c>
      <c r="L3850">
        <v>4</v>
      </c>
      <c r="M3850" t="str">
        <f>VLOOKUP(D3850,State_Lookup!$A$2:$B$28,2,FALSE)</f>
        <v>Parana</v>
      </c>
    </row>
    <row r="3851" spans="1:13" x14ac:dyDescent="0.45">
      <c r="A3851" t="s">
        <v>4488</v>
      </c>
      <c r="B3851" t="s">
        <v>4483</v>
      </c>
      <c r="C3851" t="s">
        <v>4359</v>
      </c>
      <c r="D3851" t="s">
        <v>17</v>
      </c>
      <c r="E3851" t="s">
        <v>157</v>
      </c>
      <c r="F3851">
        <v>1</v>
      </c>
      <c r="G3851">
        <v>129</v>
      </c>
      <c r="H3851">
        <v>18.78</v>
      </c>
      <c r="I3851" t="s">
        <v>50</v>
      </c>
      <c r="J3851">
        <v>7</v>
      </c>
      <c r="K3851" t="s">
        <v>51</v>
      </c>
      <c r="L3851">
        <v>5</v>
      </c>
      <c r="M3851" t="str">
        <f>VLOOKUP(D3851,State_Lookup!$A$2:$B$28,2,FALSE)</f>
        <v>Rio de Janeiro</v>
      </c>
    </row>
    <row r="3852" spans="1:13" x14ac:dyDescent="0.45">
      <c r="A3852" t="s">
        <v>4489</v>
      </c>
      <c r="B3852" t="s">
        <v>4483</v>
      </c>
      <c r="C3852" t="s">
        <v>4359</v>
      </c>
      <c r="D3852" t="s">
        <v>17</v>
      </c>
      <c r="E3852" t="s">
        <v>79</v>
      </c>
      <c r="F3852">
        <v>1</v>
      </c>
      <c r="G3852">
        <v>99.9</v>
      </c>
      <c r="H3852">
        <v>18.579999999999998</v>
      </c>
      <c r="I3852" t="s">
        <v>44</v>
      </c>
      <c r="K3852" t="s">
        <v>45</v>
      </c>
      <c r="M3852" t="str">
        <f>VLOOKUP(D3852,State_Lookup!$A$2:$B$28,2,FALSE)</f>
        <v>Rio de Janeiro</v>
      </c>
    </row>
    <row r="3853" spans="1:13" x14ac:dyDescent="0.45">
      <c r="A3853" t="s">
        <v>4490</v>
      </c>
      <c r="B3853" t="s">
        <v>4483</v>
      </c>
      <c r="C3853" t="s">
        <v>4359</v>
      </c>
      <c r="D3853" t="s">
        <v>21</v>
      </c>
      <c r="E3853" t="s">
        <v>173</v>
      </c>
      <c r="F3853">
        <v>1</v>
      </c>
      <c r="G3853">
        <v>24.9</v>
      </c>
      <c r="H3853">
        <v>18.23</v>
      </c>
      <c r="I3853" t="s">
        <v>44</v>
      </c>
      <c r="J3853">
        <v>12</v>
      </c>
      <c r="K3853" t="s">
        <v>51</v>
      </c>
      <c r="L3853">
        <v>4</v>
      </c>
      <c r="M3853" t="str">
        <f>VLOOKUP(D3853,State_Lookup!$A$2:$B$28,2,FALSE)</f>
        <v>Santa Catarina</v>
      </c>
    </row>
    <row r="3854" spans="1:13" x14ac:dyDescent="0.45">
      <c r="A3854" t="s">
        <v>4491</v>
      </c>
      <c r="B3854" t="s">
        <v>4483</v>
      </c>
      <c r="C3854" t="s">
        <v>4359</v>
      </c>
      <c r="D3854" t="s">
        <v>20</v>
      </c>
      <c r="E3854" t="s">
        <v>69</v>
      </c>
      <c r="F3854">
        <v>1</v>
      </c>
      <c r="G3854">
        <v>53.9</v>
      </c>
      <c r="H3854">
        <v>22.96</v>
      </c>
      <c r="I3854" t="s">
        <v>50</v>
      </c>
      <c r="J3854">
        <v>7</v>
      </c>
      <c r="K3854" t="s">
        <v>51</v>
      </c>
      <c r="L3854">
        <v>5</v>
      </c>
      <c r="M3854" t="str">
        <f>VLOOKUP(D3854,State_Lookup!$A$2:$B$28,2,FALSE)</f>
        <v>Parana</v>
      </c>
    </row>
    <row r="3855" spans="1:13" x14ac:dyDescent="0.45">
      <c r="A3855" t="s">
        <v>4492</v>
      </c>
      <c r="B3855" t="s">
        <v>4493</v>
      </c>
      <c r="C3855" t="s">
        <v>4359</v>
      </c>
      <c r="D3855" t="s">
        <v>22</v>
      </c>
      <c r="E3855" t="s">
        <v>79</v>
      </c>
      <c r="F3855">
        <v>1</v>
      </c>
      <c r="G3855">
        <v>79.989999999999995</v>
      </c>
      <c r="H3855">
        <v>13.16</v>
      </c>
      <c r="I3855" t="s">
        <v>44</v>
      </c>
      <c r="J3855">
        <v>28</v>
      </c>
      <c r="K3855" t="s">
        <v>143</v>
      </c>
      <c r="L3855">
        <v>4</v>
      </c>
      <c r="M3855" t="str">
        <f>VLOOKUP(D3855,State_Lookup!$A$2:$B$28,2,FALSE)</f>
        <v>Bahia</v>
      </c>
    </row>
    <row r="3856" spans="1:13" x14ac:dyDescent="0.45">
      <c r="A3856" t="s">
        <v>4494</v>
      </c>
      <c r="B3856" t="s">
        <v>4493</v>
      </c>
      <c r="C3856" t="s">
        <v>4359</v>
      </c>
      <c r="D3856" t="s">
        <v>17</v>
      </c>
      <c r="E3856" t="s">
        <v>79</v>
      </c>
      <c r="F3856">
        <v>1</v>
      </c>
      <c r="G3856">
        <v>54</v>
      </c>
      <c r="H3856">
        <v>18.260000000000002</v>
      </c>
      <c r="I3856" t="s">
        <v>108</v>
      </c>
      <c r="J3856">
        <v>4</v>
      </c>
      <c r="K3856" t="s">
        <v>51</v>
      </c>
      <c r="L3856">
        <v>5</v>
      </c>
      <c r="M3856" t="str">
        <f>VLOOKUP(D3856,State_Lookup!$A$2:$B$28,2,FALSE)</f>
        <v>Rio de Janeiro</v>
      </c>
    </row>
    <row r="3857" spans="1:13" x14ac:dyDescent="0.45">
      <c r="A3857" t="s">
        <v>4495</v>
      </c>
      <c r="B3857" t="s">
        <v>4493</v>
      </c>
      <c r="C3857" t="s">
        <v>4359</v>
      </c>
      <c r="D3857" t="s">
        <v>16</v>
      </c>
      <c r="E3857" t="s">
        <v>199</v>
      </c>
      <c r="F3857">
        <v>1</v>
      </c>
      <c r="G3857">
        <v>8.99</v>
      </c>
      <c r="H3857">
        <v>7.39</v>
      </c>
      <c r="I3857" t="s">
        <v>44</v>
      </c>
      <c r="J3857">
        <v>6</v>
      </c>
      <c r="K3857" t="s">
        <v>51</v>
      </c>
      <c r="L3857">
        <v>4</v>
      </c>
      <c r="M3857" t="str">
        <f>VLOOKUP(D3857,State_Lookup!$A$2:$B$28,2,FALSE)</f>
        <v>Sao Paulo</v>
      </c>
    </row>
    <row r="3858" spans="1:13" x14ac:dyDescent="0.45">
      <c r="A3858" t="s">
        <v>4496</v>
      </c>
      <c r="B3858" t="s">
        <v>4493</v>
      </c>
      <c r="C3858" t="s">
        <v>4359</v>
      </c>
      <c r="D3858" t="s">
        <v>18</v>
      </c>
      <c r="E3858" t="s">
        <v>61</v>
      </c>
      <c r="F3858">
        <v>2</v>
      </c>
      <c r="G3858">
        <v>299.8</v>
      </c>
      <c r="H3858">
        <v>41.44</v>
      </c>
      <c r="I3858" t="s">
        <v>44</v>
      </c>
      <c r="J3858">
        <v>19</v>
      </c>
      <c r="K3858" t="s">
        <v>51</v>
      </c>
      <c r="L3858">
        <v>5</v>
      </c>
      <c r="M3858" t="str">
        <f>VLOOKUP(D3858,State_Lookup!$A$2:$B$28,2,FALSE)</f>
        <v>Minas Gerais</v>
      </c>
    </row>
    <row r="3859" spans="1:13" x14ac:dyDescent="0.45">
      <c r="A3859" t="s">
        <v>4497</v>
      </c>
      <c r="B3859" t="s">
        <v>4493</v>
      </c>
      <c r="C3859" t="s">
        <v>4359</v>
      </c>
      <c r="D3859" t="s">
        <v>16</v>
      </c>
      <c r="E3859" t="s">
        <v>64</v>
      </c>
      <c r="F3859">
        <v>1</v>
      </c>
      <c r="G3859">
        <v>245</v>
      </c>
      <c r="H3859">
        <v>9.48</v>
      </c>
      <c r="I3859" t="s">
        <v>44</v>
      </c>
      <c r="J3859">
        <v>3</v>
      </c>
      <c r="K3859" t="s">
        <v>51</v>
      </c>
      <c r="L3859">
        <v>5</v>
      </c>
      <c r="M3859" t="str">
        <f>VLOOKUP(D3859,State_Lookup!$A$2:$B$28,2,FALSE)</f>
        <v>Sao Paulo</v>
      </c>
    </row>
    <row r="3860" spans="1:13" x14ac:dyDescent="0.45">
      <c r="A3860" t="s">
        <v>4498</v>
      </c>
      <c r="B3860" t="s">
        <v>4493</v>
      </c>
      <c r="C3860" t="s">
        <v>4359</v>
      </c>
      <c r="D3860" t="s">
        <v>16</v>
      </c>
      <c r="E3860" t="s">
        <v>199</v>
      </c>
      <c r="F3860">
        <v>1</v>
      </c>
      <c r="G3860">
        <v>33</v>
      </c>
      <c r="H3860">
        <v>8.2899999999999991</v>
      </c>
      <c r="I3860" t="s">
        <v>44</v>
      </c>
      <c r="J3860">
        <v>3</v>
      </c>
      <c r="K3860" t="s">
        <v>51</v>
      </c>
      <c r="L3860">
        <v>5</v>
      </c>
      <c r="M3860" t="str">
        <f>VLOOKUP(D3860,State_Lookup!$A$2:$B$28,2,FALSE)</f>
        <v>Sao Paulo</v>
      </c>
    </row>
    <row r="3861" spans="1:13" x14ac:dyDescent="0.45">
      <c r="A3861" t="s">
        <v>4499</v>
      </c>
      <c r="B3861" t="s">
        <v>4493</v>
      </c>
      <c r="C3861" t="s">
        <v>4359</v>
      </c>
      <c r="D3861" t="s">
        <v>23</v>
      </c>
      <c r="E3861" t="s">
        <v>61</v>
      </c>
      <c r="F3861">
        <v>1</v>
      </c>
      <c r="G3861">
        <v>64.900000000000006</v>
      </c>
      <c r="H3861">
        <v>18.329999999999998</v>
      </c>
      <c r="I3861" t="s">
        <v>50</v>
      </c>
      <c r="J3861">
        <v>13</v>
      </c>
      <c r="K3861" t="s">
        <v>51</v>
      </c>
      <c r="L3861">
        <v>5</v>
      </c>
      <c r="M3861" t="str">
        <f>VLOOKUP(D3861,State_Lookup!$A$2:$B$28,2,FALSE)</f>
        <v>Espirito Santo</v>
      </c>
    </row>
    <row r="3862" spans="1:13" x14ac:dyDescent="0.45">
      <c r="A3862" t="s">
        <v>4500</v>
      </c>
      <c r="B3862" t="s">
        <v>4501</v>
      </c>
      <c r="C3862" t="s">
        <v>4359</v>
      </c>
      <c r="D3862" t="s">
        <v>18</v>
      </c>
      <c r="E3862" t="s">
        <v>192</v>
      </c>
      <c r="F3862">
        <v>1</v>
      </c>
      <c r="G3862">
        <v>45</v>
      </c>
      <c r="H3862">
        <v>23.28</v>
      </c>
      <c r="I3862" t="s">
        <v>44</v>
      </c>
      <c r="J3862">
        <v>10</v>
      </c>
      <c r="K3862" t="s">
        <v>51</v>
      </c>
      <c r="L3862">
        <v>5</v>
      </c>
      <c r="M3862" t="str">
        <f>VLOOKUP(D3862,State_Lookup!$A$2:$B$28,2,FALSE)</f>
        <v>Minas Gerais</v>
      </c>
    </row>
    <row r="3863" spans="1:13" x14ac:dyDescent="0.45">
      <c r="A3863" t="s">
        <v>4502</v>
      </c>
      <c r="B3863" t="s">
        <v>4501</v>
      </c>
      <c r="C3863" t="s">
        <v>4359</v>
      </c>
      <c r="D3863" t="s">
        <v>16</v>
      </c>
      <c r="E3863" t="s">
        <v>69</v>
      </c>
      <c r="F3863">
        <v>1</v>
      </c>
      <c r="G3863">
        <v>55</v>
      </c>
      <c r="H3863">
        <v>8.8800000000000008</v>
      </c>
      <c r="I3863" t="s">
        <v>44</v>
      </c>
      <c r="J3863">
        <v>4</v>
      </c>
      <c r="K3863" t="s">
        <v>51</v>
      </c>
      <c r="L3863">
        <v>4</v>
      </c>
      <c r="M3863" t="str">
        <f>VLOOKUP(D3863,State_Lookup!$A$2:$B$28,2,FALSE)</f>
        <v>Sao Paulo</v>
      </c>
    </row>
    <row r="3864" spans="1:13" x14ac:dyDescent="0.45">
      <c r="A3864" t="s">
        <v>4503</v>
      </c>
      <c r="B3864" t="s">
        <v>4501</v>
      </c>
      <c r="C3864" t="s">
        <v>4359</v>
      </c>
      <c r="D3864" t="s">
        <v>128</v>
      </c>
      <c r="E3864" t="s">
        <v>157</v>
      </c>
      <c r="F3864">
        <v>1</v>
      </c>
      <c r="G3864">
        <v>207</v>
      </c>
      <c r="H3864">
        <v>38.14</v>
      </c>
      <c r="I3864" t="s">
        <v>44</v>
      </c>
      <c r="J3864">
        <v>37</v>
      </c>
      <c r="K3864" t="s">
        <v>143</v>
      </c>
      <c r="L3864">
        <v>3</v>
      </c>
      <c r="M3864" t="str">
        <f>VLOOKUP(D3864,State_Lookup!$A$2:$B$28,2,FALSE)</f>
        <v>Ceara</v>
      </c>
    </row>
    <row r="3865" spans="1:13" x14ac:dyDescent="0.45">
      <c r="A3865" t="s">
        <v>4504</v>
      </c>
      <c r="B3865" t="s">
        <v>4501</v>
      </c>
      <c r="C3865" t="s">
        <v>4359</v>
      </c>
      <c r="D3865" t="s">
        <v>16</v>
      </c>
      <c r="E3865" t="s">
        <v>79</v>
      </c>
      <c r="F3865">
        <v>1</v>
      </c>
      <c r="G3865">
        <v>99.99</v>
      </c>
      <c r="H3865">
        <v>16.670000000000002</v>
      </c>
      <c r="I3865" t="s">
        <v>44</v>
      </c>
      <c r="J3865">
        <v>5</v>
      </c>
      <c r="K3865" t="s">
        <v>51</v>
      </c>
      <c r="L3865">
        <v>3</v>
      </c>
      <c r="M3865" t="str">
        <f>VLOOKUP(D3865,State_Lookup!$A$2:$B$28,2,FALSE)</f>
        <v>Sao Paulo</v>
      </c>
    </row>
    <row r="3866" spans="1:13" x14ac:dyDescent="0.45">
      <c r="A3866" t="s">
        <v>4505</v>
      </c>
      <c r="B3866" t="s">
        <v>4501</v>
      </c>
      <c r="C3866" t="s">
        <v>4359</v>
      </c>
      <c r="D3866" t="s">
        <v>24</v>
      </c>
      <c r="E3866" t="s">
        <v>61</v>
      </c>
      <c r="F3866">
        <v>1</v>
      </c>
      <c r="G3866">
        <v>18.989999999999998</v>
      </c>
      <c r="H3866">
        <v>15.23</v>
      </c>
      <c r="I3866" t="s">
        <v>50</v>
      </c>
      <c r="J3866">
        <v>9</v>
      </c>
      <c r="K3866" t="s">
        <v>51</v>
      </c>
      <c r="L3866">
        <v>5</v>
      </c>
      <c r="M3866" t="str">
        <f>VLOOKUP(D3866,State_Lookup!$A$2:$B$28,2,FALSE)</f>
        <v>Distrito Federal</v>
      </c>
    </row>
    <row r="3867" spans="1:13" x14ac:dyDescent="0.45">
      <c r="A3867" t="s">
        <v>4506</v>
      </c>
      <c r="B3867" t="s">
        <v>4501</v>
      </c>
      <c r="C3867" t="s">
        <v>4359</v>
      </c>
      <c r="D3867" t="s">
        <v>672</v>
      </c>
      <c r="E3867" t="s">
        <v>100</v>
      </c>
      <c r="F3867">
        <v>1</v>
      </c>
      <c r="G3867">
        <v>899.9</v>
      </c>
      <c r="H3867">
        <v>28.8</v>
      </c>
      <c r="I3867" t="s">
        <v>50</v>
      </c>
      <c r="J3867">
        <v>29</v>
      </c>
      <c r="K3867" t="s">
        <v>51</v>
      </c>
      <c r="L3867">
        <v>5</v>
      </c>
      <c r="M3867" t="str">
        <f>VLOOKUP(D3867,State_Lookup!$A$2:$B$28,2,FALSE)</f>
        <v>Paraiba</v>
      </c>
    </row>
    <row r="3868" spans="1:13" x14ac:dyDescent="0.45">
      <c r="A3868" t="s">
        <v>4507</v>
      </c>
      <c r="B3868" t="s">
        <v>4501</v>
      </c>
      <c r="C3868" t="s">
        <v>4359</v>
      </c>
      <c r="D3868" t="s">
        <v>16</v>
      </c>
      <c r="E3868" t="s">
        <v>244</v>
      </c>
      <c r="F3868">
        <v>1</v>
      </c>
      <c r="G3868">
        <v>55</v>
      </c>
      <c r="H3868">
        <v>8.2899999999999991</v>
      </c>
      <c r="I3868" t="s">
        <v>44</v>
      </c>
      <c r="J3868">
        <v>2</v>
      </c>
      <c r="K3868" t="s">
        <v>51</v>
      </c>
      <c r="L3868">
        <v>5</v>
      </c>
      <c r="M3868" t="str">
        <f>VLOOKUP(D3868,State_Lookup!$A$2:$B$28,2,FALSE)</f>
        <v>Sao Paulo</v>
      </c>
    </row>
    <row r="3869" spans="1:13" x14ac:dyDescent="0.45">
      <c r="A3869" t="s">
        <v>4508</v>
      </c>
      <c r="B3869" t="s">
        <v>4501</v>
      </c>
      <c r="C3869" t="s">
        <v>4359</v>
      </c>
      <c r="D3869" t="s">
        <v>16</v>
      </c>
      <c r="E3869" t="s">
        <v>148</v>
      </c>
      <c r="F3869">
        <v>1</v>
      </c>
      <c r="G3869">
        <v>599.9</v>
      </c>
      <c r="H3869">
        <v>26.78</v>
      </c>
      <c r="I3869" t="s">
        <v>44</v>
      </c>
      <c r="J3869">
        <v>4</v>
      </c>
      <c r="K3869" t="s">
        <v>51</v>
      </c>
      <c r="L3869">
        <v>1</v>
      </c>
      <c r="M3869" t="str">
        <f>VLOOKUP(D3869,State_Lookup!$A$2:$B$28,2,FALSE)</f>
        <v>Sao Paulo</v>
      </c>
    </row>
    <row r="3870" spans="1:13" x14ac:dyDescent="0.45">
      <c r="A3870" t="s">
        <v>4509</v>
      </c>
      <c r="B3870" t="s">
        <v>4501</v>
      </c>
      <c r="C3870" t="s">
        <v>4359</v>
      </c>
      <c r="D3870" t="s">
        <v>208</v>
      </c>
      <c r="E3870" t="s">
        <v>43</v>
      </c>
      <c r="F3870">
        <v>1</v>
      </c>
      <c r="G3870">
        <v>299</v>
      </c>
      <c r="H3870">
        <v>68.53</v>
      </c>
      <c r="I3870" t="s">
        <v>44</v>
      </c>
      <c r="J3870">
        <v>23</v>
      </c>
      <c r="K3870" t="s">
        <v>51</v>
      </c>
      <c r="L3870">
        <v>5</v>
      </c>
      <c r="M3870" t="str">
        <f>VLOOKUP(D3870,State_Lookup!$A$2:$B$28,2,FALSE)</f>
        <v>Mato Grosso</v>
      </c>
    </row>
    <row r="3871" spans="1:13" x14ac:dyDescent="0.45">
      <c r="A3871" t="s">
        <v>4510</v>
      </c>
      <c r="B3871" t="s">
        <v>4511</v>
      </c>
      <c r="C3871" t="s">
        <v>4359</v>
      </c>
      <c r="D3871" t="s">
        <v>19</v>
      </c>
      <c r="E3871" t="s">
        <v>49</v>
      </c>
      <c r="F3871">
        <v>1</v>
      </c>
      <c r="G3871">
        <v>299</v>
      </c>
      <c r="H3871">
        <v>14.18</v>
      </c>
      <c r="I3871" t="s">
        <v>44</v>
      </c>
      <c r="J3871">
        <v>5</v>
      </c>
      <c r="K3871" t="s">
        <v>51</v>
      </c>
      <c r="L3871">
        <v>3</v>
      </c>
      <c r="M3871" t="str">
        <f>VLOOKUP(D3871,State_Lookup!$A$2:$B$28,2,FALSE)</f>
        <v>Rio Grande do Sul</v>
      </c>
    </row>
    <row r="3872" spans="1:13" x14ac:dyDescent="0.45">
      <c r="A3872" t="s">
        <v>4512</v>
      </c>
      <c r="B3872" t="s">
        <v>4511</v>
      </c>
      <c r="C3872" t="s">
        <v>4359</v>
      </c>
      <c r="D3872" t="s">
        <v>18</v>
      </c>
      <c r="E3872" t="s">
        <v>79</v>
      </c>
      <c r="F3872">
        <v>1</v>
      </c>
      <c r="G3872">
        <v>151</v>
      </c>
      <c r="H3872">
        <v>17.239999999999998</v>
      </c>
      <c r="I3872" t="s">
        <v>44</v>
      </c>
      <c r="J3872">
        <v>19</v>
      </c>
      <c r="K3872" t="s">
        <v>51</v>
      </c>
      <c r="L3872">
        <v>4</v>
      </c>
      <c r="M3872" t="str">
        <f>VLOOKUP(D3872,State_Lookup!$A$2:$B$28,2,FALSE)</f>
        <v>Minas Gerais</v>
      </c>
    </row>
    <row r="3873" spans="1:13" x14ac:dyDescent="0.45">
      <c r="A3873" t="s">
        <v>4513</v>
      </c>
      <c r="B3873" t="s">
        <v>4511</v>
      </c>
      <c r="C3873" t="s">
        <v>4359</v>
      </c>
      <c r="D3873" t="s">
        <v>16</v>
      </c>
      <c r="E3873" t="s">
        <v>43</v>
      </c>
      <c r="F3873">
        <v>1</v>
      </c>
      <c r="G3873">
        <v>189.9</v>
      </c>
      <c r="H3873">
        <v>13.77</v>
      </c>
      <c r="I3873" t="s">
        <v>44</v>
      </c>
      <c r="J3873">
        <v>22</v>
      </c>
      <c r="K3873" t="s">
        <v>143</v>
      </c>
      <c r="L3873">
        <v>5</v>
      </c>
      <c r="M3873" t="str">
        <f>VLOOKUP(D3873,State_Lookup!$A$2:$B$28,2,FALSE)</f>
        <v>Sao Paulo</v>
      </c>
    </row>
    <row r="3874" spans="1:13" x14ac:dyDescent="0.45">
      <c r="A3874" t="s">
        <v>4514</v>
      </c>
      <c r="B3874" t="s">
        <v>4511</v>
      </c>
      <c r="C3874" t="s">
        <v>4359</v>
      </c>
      <c r="D3874" t="s">
        <v>16</v>
      </c>
      <c r="E3874" t="s">
        <v>110</v>
      </c>
      <c r="F3874">
        <v>1</v>
      </c>
      <c r="G3874">
        <v>149.9</v>
      </c>
      <c r="H3874">
        <v>12.14</v>
      </c>
      <c r="I3874" t="s">
        <v>44</v>
      </c>
      <c r="J3874">
        <v>1</v>
      </c>
      <c r="K3874" t="s">
        <v>51</v>
      </c>
      <c r="L3874">
        <v>5</v>
      </c>
      <c r="M3874" t="str">
        <f>VLOOKUP(D3874,State_Lookup!$A$2:$B$28,2,FALSE)</f>
        <v>Sao Paulo</v>
      </c>
    </row>
    <row r="3875" spans="1:13" x14ac:dyDescent="0.45">
      <c r="A3875" t="s">
        <v>4515</v>
      </c>
      <c r="B3875" t="s">
        <v>4511</v>
      </c>
      <c r="C3875" t="s">
        <v>4359</v>
      </c>
      <c r="D3875" t="s">
        <v>16</v>
      </c>
      <c r="E3875" t="s">
        <v>598</v>
      </c>
      <c r="F3875">
        <v>1</v>
      </c>
      <c r="G3875">
        <v>47.9</v>
      </c>
      <c r="H3875">
        <v>19.32</v>
      </c>
      <c r="I3875" t="s">
        <v>44</v>
      </c>
      <c r="J3875">
        <v>4</v>
      </c>
      <c r="K3875" t="s">
        <v>51</v>
      </c>
      <c r="L3875">
        <v>4</v>
      </c>
      <c r="M3875" t="str">
        <f>VLOOKUP(D3875,State_Lookup!$A$2:$B$28,2,FALSE)</f>
        <v>Sao Paulo</v>
      </c>
    </row>
    <row r="3876" spans="1:13" x14ac:dyDescent="0.45">
      <c r="A3876" t="s">
        <v>4516</v>
      </c>
      <c r="B3876" t="s">
        <v>4511</v>
      </c>
      <c r="C3876" t="s">
        <v>4359</v>
      </c>
      <c r="D3876" t="s">
        <v>16</v>
      </c>
      <c r="E3876" t="s">
        <v>49</v>
      </c>
      <c r="F3876">
        <v>2</v>
      </c>
      <c r="G3876">
        <v>219.8</v>
      </c>
      <c r="H3876">
        <v>17.059999999999999</v>
      </c>
      <c r="I3876" t="s">
        <v>44</v>
      </c>
      <c r="J3876">
        <v>3</v>
      </c>
      <c r="K3876" t="s">
        <v>51</v>
      </c>
      <c r="L3876">
        <v>5</v>
      </c>
      <c r="M3876" t="str">
        <f>VLOOKUP(D3876,State_Lookup!$A$2:$B$28,2,FALSE)</f>
        <v>Sao Paulo</v>
      </c>
    </row>
    <row r="3877" spans="1:13" x14ac:dyDescent="0.45">
      <c r="A3877" t="s">
        <v>4517</v>
      </c>
      <c r="B3877" t="s">
        <v>4511</v>
      </c>
      <c r="C3877" t="s">
        <v>4359</v>
      </c>
      <c r="D3877" t="s">
        <v>19</v>
      </c>
      <c r="E3877" t="s">
        <v>49</v>
      </c>
      <c r="F3877">
        <v>1</v>
      </c>
      <c r="G3877">
        <v>62.9</v>
      </c>
      <c r="H3877">
        <v>19.41</v>
      </c>
      <c r="I3877" t="s">
        <v>44</v>
      </c>
      <c r="J3877">
        <v>8</v>
      </c>
      <c r="K3877" t="s">
        <v>51</v>
      </c>
      <c r="L3877">
        <v>4</v>
      </c>
      <c r="M3877" t="str">
        <f>VLOOKUP(D3877,State_Lookup!$A$2:$B$28,2,FALSE)</f>
        <v>Rio Grande do Sul</v>
      </c>
    </row>
    <row r="3878" spans="1:13" x14ac:dyDescent="0.45">
      <c r="A3878" t="s">
        <v>4518</v>
      </c>
      <c r="B3878" t="s">
        <v>4511</v>
      </c>
      <c r="C3878" t="s">
        <v>4359</v>
      </c>
      <c r="D3878" t="s">
        <v>17</v>
      </c>
      <c r="E3878" t="s">
        <v>148</v>
      </c>
      <c r="F3878">
        <v>1</v>
      </c>
      <c r="G3878">
        <v>199</v>
      </c>
      <c r="H3878">
        <v>32.79</v>
      </c>
      <c r="I3878" t="s">
        <v>44</v>
      </c>
      <c r="J3878">
        <v>8</v>
      </c>
      <c r="K3878" t="s">
        <v>51</v>
      </c>
      <c r="L3878">
        <v>5</v>
      </c>
      <c r="M3878" t="str">
        <f>VLOOKUP(D3878,State_Lookup!$A$2:$B$28,2,FALSE)</f>
        <v>Rio de Janeiro</v>
      </c>
    </row>
    <row r="3879" spans="1:13" x14ac:dyDescent="0.45">
      <c r="A3879" t="s">
        <v>4519</v>
      </c>
      <c r="B3879" t="s">
        <v>4511</v>
      </c>
      <c r="C3879" t="s">
        <v>4359</v>
      </c>
      <c r="D3879" t="s">
        <v>16</v>
      </c>
      <c r="E3879" t="s">
        <v>3316</v>
      </c>
      <c r="F3879">
        <v>1</v>
      </c>
      <c r="G3879">
        <v>858.9</v>
      </c>
      <c r="H3879">
        <v>17.920000000000002</v>
      </c>
      <c r="I3879" t="s">
        <v>44</v>
      </c>
      <c r="J3879">
        <v>2</v>
      </c>
      <c r="K3879" t="s">
        <v>51</v>
      </c>
      <c r="L3879">
        <v>4</v>
      </c>
      <c r="M3879" t="str">
        <f>VLOOKUP(D3879,State_Lookup!$A$2:$B$28,2,FALSE)</f>
        <v>Sao Paulo</v>
      </c>
    </row>
    <row r="3880" spans="1:13" x14ac:dyDescent="0.45">
      <c r="A3880" t="s">
        <v>4520</v>
      </c>
      <c r="B3880" t="s">
        <v>4521</v>
      </c>
      <c r="C3880" t="s">
        <v>4359</v>
      </c>
      <c r="D3880" t="s">
        <v>18</v>
      </c>
      <c r="E3880" t="s">
        <v>668</v>
      </c>
      <c r="F3880">
        <v>1</v>
      </c>
      <c r="G3880">
        <v>14.9</v>
      </c>
      <c r="H3880">
        <v>15.23</v>
      </c>
      <c r="I3880" t="s">
        <v>44</v>
      </c>
      <c r="J3880">
        <v>6</v>
      </c>
      <c r="K3880" t="s">
        <v>51</v>
      </c>
      <c r="L3880">
        <v>4</v>
      </c>
      <c r="M3880" t="str">
        <f>VLOOKUP(D3880,State_Lookup!$A$2:$B$28,2,FALSE)</f>
        <v>Minas Gerais</v>
      </c>
    </row>
    <row r="3881" spans="1:13" x14ac:dyDescent="0.45">
      <c r="A3881" t="s">
        <v>4522</v>
      </c>
      <c r="B3881" t="s">
        <v>4521</v>
      </c>
      <c r="C3881" t="s">
        <v>4359</v>
      </c>
      <c r="D3881" t="s">
        <v>19</v>
      </c>
      <c r="E3881" t="s">
        <v>157</v>
      </c>
      <c r="F3881">
        <v>1</v>
      </c>
      <c r="G3881">
        <v>96</v>
      </c>
      <c r="H3881">
        <v>13.38</v>
      </c>
      <c r="I3881" t="s">
        <v>44</v>
      </c>
      <c r="J3881">
        <v>8</v>
      </c>
      <c r="K3881" t="s">
        <v>51</v>
      </c>
      <c r="L3881">
        <v>4</v>
      </c>
      <c r="M3881" t="str">
        <f>VLOOKUP(D3881,State_Lookup!$A$2:$B$28,2,FALSE)</f>
        <v>Rio Grande do Sul</v>
      </c>
    </row>
    <row r="3882" spans="1:13" x14ac:dyDescent="0.45">
      <c r="A3882" t="s">
        <v>4523</v>
      </c>
      <c r="B3882" t="s">
        <v>4521</v>
      </c>
      <c r="C3882" t="s">
        <v>4359</v>
      </c>
      <c r="D3882" t="s">
        <v>16</v>
      </c>
      <c r="E3882" t="s">
        <v>366</v>
      </c>
      <c r="F3882">
        <v>1</v>
      </c>
      <c r="G3882">
        <v>129.99</v>
      </c>
      <c r="H3882">
        <v>22.51</v>
      </c>
      <c r="I3882" t="s">
        <v>50</v>
      </c>
      <c r="J3882">
        <v>35</v>
      </c>
      <c r="K3882" t="s">
        <v>143</v>
      </c>
      <c r="L3882">
        <v>1</v>
      </c>
      <c r="M3882" t="str">
        <f>VLOOKUP(D3882,State_Lookup!$A$2:$B$28,2,FALSE)</f>
        <v>Sao Paulo</v>
      </c>
    </row>
    <row r="3883" spans="1:13" x14ac:dyDescent="0.45">
      <c r="A3883" t="s">
        <v>4524</v>
      </c>
      <c r="B3883" t="s">
        <v>4521</v>
      </c>
      <c r="C3883" t="s">
        <v>4359</v>
      </c>
      <c r="D3883" t="s">
        <v>17</v>
      </c>
      <c r="E3883" t="s">
        <v>142</v>
      </c>
      <c r="F3883">
        <v>1</v>
      </c>
      <c r="G3883">
        <v>36</v>
      </c>
      <c r="H3883">
        <v>18.28</v>
      </c>
      <c r="I3883" t="s">
        <v>50</v>
      </c>
      <c r="J3883">
        <v>7</v>
      </c>
      <c r="K3883" t="s">
        <v>51</v>
      </c>
      <c r="L3883">
        <v>5</v>
      </c>
      <c r="M3883" t="str">
        <f>VLOOKUP(D3883,State_Lookup!$A$2:$B$28,2,FALSE)</f>
        <v>Rio de Janeiro</v>
      </c>
    </row>
    <row r="3884" spans="1:13" x14ac:dyDescent="0.45">
      <c r="A3884" t="s">
        <v>4525</v>
      </c>
      <c r="B3884" t="s">
        <v>4521</v>
      </c>
      <c r="C3884" t="s">
        <v>4359</v>
      </c>
      <c r="D3884" t="s">
        <v>18</v>
      </c>
      <c r="E3884" t="s">
        <v>69</v>
      </c>
      <c r="F3884">
        <v>1</v>
      </c>
      <c r="G3884">
        <v>110</v>
      </c>
      <c r="H3884">
        <v>19.48</v>
      </c>
      <c r="I3884" t="s">
        <v>44</v>
      </c>
      <c r="J3884">
        <v>2</v>
      </c>
      <c r="K3884" t="s">
        <v>51</v>
      </c>
      <c r="L3884">
        <v>5</v>
      </c>
      <c r="M3884" t="str">
        <f>VLOOKUP(D3884,State_Lookup!$A$2:$B$28,2,FALSE)</f>
        <v>Minas Gerais</v>
      </c>
    </row>
    <row r="3885" spans="1:13" x14ac:dyDescent="0.45">
      <c r="A3885" t="s">
        <v>4526</v>
      </c>
      <c r="B3885" t="s">
        <v>4521</v>
      </c>
      <c r="C3885" t="s">
        <v>4359</v>
      </c>
      <c r="D3885" t="s">
        <v>21</v>
      </c>
      <c r="E3885" t="s">
        <v>186</v>
      </c>
      <c r="F3885">
        <v>1</v>
      </c>
      <c r="G3885">
        <v>89</v>
      </c>
      <c r="H3885">
        <v>34.69</v>
      </c>
      <c r="I3885" t="s">
        <v>44</v>
      </c>
      <c r="J3885">
        <v>7</v>
      </c>
      <c r="K3885" t="s">
        <v>51</v>
      </c>
      <c r="L3885">
        <v>5</v>
      </c>
      <c r="M3885" t="str">
        <f>VLOOKUP(D3885,State_Lookup!$A$2:$B$28,2,FALSE)</f>
        <v>Santa Catarina</v>
      </c>
    </row>
    <row r="3886" spans="1:13" x14ac:dyDescent="0.45">
      <c r="A3886" t="s">
        <v>4527</v>
      </c>
      <c r="B3886" t="s">
        <v>4521</v>
      </c>
      <c r="C3886" t="s">
        <v>4359</v>
      </c>
      <c r="D3886" t="s">
        <v>16</v>
      </c>
      <c r="E3886" t="s">
        <v>110</v>
      </c>
      <c r="F3886">
        <v>2</v>
      </c>
      <c r="G3886">
        <v>152.9</v>
      </c>
      <c r="H3886">
        <v>27.78</v>
      </c>
      <c r="I3886" t="s">
        <v>44</v>
      </c>
      <c r="J3886">
        <v>7</v>
      </c>
      <c r="K3886" t="s">
        <v>51</v>
      </c>
      <c r="L3886">
        <v>4</v>
      </c>
      <c r="M3886" t="str">
        <f>VLOOKUP(D3886,State_Lookup!$A$2:$B$28,2,FALSE)</f>
        <v>Sao Paulo</v>
      </c>
    </row>
    <row r="3887" spans="1:13" x14ac:dyDescent="0.45">
      <c r="A3887" t="s">
        <v>4528</v>
      </c>
      <c r="B3887" t="s">
        <v>4521</v>
      </c>
      <c r="C3887" t="s">
        <v>4359</v>
      </c>
      <c r="D3887" t="s">
        <v>18</v>
      </c>
      <c r="E3887" t="s">
        <v>61</v>
      </c>
      <c r="F3887">
        <v>2</v>
      </c>
      <c r="G3887">
        <v>225.98</v>
      </c>
      <c r="H3887">
        <v>46.66</v>
      </c>
      <c r="I3887" t="s">
        <v>44</v>
      </c>
      <c r="J3887">
        <v>6</v>
      </c>
      <c r="K3887" t="s">
        <v>51</v>
      </c>
      <c r="L3887">
        <v>3</v>
      </c>
      <c r="M3887" t="str">
        <f>VLOOKUP(D3887,State_Lookup!$A$2:$B$28,2,FALSE)</f>
        <v>Minas Gerais</v>
      </c>
    </row>
    <row r="3888" spans="1:13" x14ac:dyDescent="0.45">
      <c r="A3888" t="s">
        <v>4529</v>
      </c>
      <c r="B3888" t="s">
        <v>4521</v>
      </c>
      <c r="C3888" t="s">
        <v>4359</v>
      </c>
      <c r="D3888" t="s">
        <v>16</v>
      </c>
      <c r="E3888" t="s">
        <v>79</v>
      </c>
      <c r="F3888">
        <v>1</v>
      </c>
      <c r="G3888">
        <v>53.79</v>
      </c>
      <c r="H3888">
        <v>7.39</v>
      </c>
      <c r="I3888" t="s">
        <v>44</v>
      </c>
      <c r="J3888">
        <v>2</v>
      </c>
      <c r="K3888" t="s">
        <v>51</v>
      </c>
      <c r="L3888">
        <v>5</v>
      </c>
      <c r="M3888" t="str">
        <f>VLOOKUP(D3888,State_Lookup!$A$2:$B$28,2,FALSE)</f>
        <v>Sao Paulo</v>
      </c>
    </row>
    <row r="3889" spans="1:13" x14ac:dyDescent="0.45">
      <c r="A3889" t="s">
        <v>4530</v>
      </c>
      <c r="B3889" t="s">
        <v>4521</v>
      </c>
      <c r="C3889" t="s">
        <v>4359</v>
      </c>
      <c r="D3889" t="s">
        <v>22</v>
      </c>
      <c r="E3889" t="s">
        <v>157</v>
      </c>
      <c r="F3889">
        <v>1</v>
      </c>
      <c r="G3889">
        <v>189</v>
      </c>
      <c r="H3889">
        <v>23.03</v>
      </c>
      <c r="I3889" t="s">
        <v>44</v>
      </c>
      <c r="J3889">
        <v>27</v>
      </c>
      <c r="K3889" t="s">
        <v>143</v>
      </c>
      <c r="L3889">
        <v>1</v>
      </c>
      <c r="M3889" t="str">
        <f>VLOOKUP(D3889,State_Lookup!$A$2:$B$28,2,FALSE)</f>
        <v>Bahia</v>
      </c>
    </row>
    <row r="3890" spans="1:13" x14ac:dyDescent="0.45">
      <c r="A3890" t="s">
        <v>4531</v>
      </c>
      <c r="B3890" t="s">
        <v>4521</v>
      </c>
      <c r="C3890" t="s">
        <v>4359</v>
      </c>
      <c r="D3890" t="s">
        <v>20</v>
      </c>
      <c r="E3890" t="s">
        <v>53</v>
      </c>
      <c r="F3890">
        <v>1</v>
      </c>
      <c r="G3890">
        <v>99</v>
      </c>
      <c r="H3890">
        <v>15.31</v>
      </c>
      <c r="I3890" t="s">
        <v>44</v>
      </c>
      <c r="J3890">
        <v>2</v>
      </c>
      <c r="K3890" t="s">
        <v>51</v>
      </c>
      <c r="L3890">
        <v>5</v>
      </c>
      <c r="M3890" t="str">
        <f>VLOOKUP(D3890,State_Lookup!$A$2:$B$28,2,FALSE)</f>
        <v>Parana</v>
      </c>
    </row>
    <row r="3891" spans="1:13" x14ac:dyDescent="0.45">
      <c r="A3891" t="s">
        <v>4532</v>
      </c>
      <c r="B3891" t="s">
        <v>4521</v>
      </c>
      <c r="C3891" t="s">
        <v>4359</v>
      </c>
      <c r="D3891" t="s">
        <v>16</v>
      </c>
      <c r="E3891" t="s">
        <v>2079</v>
      </c>
      <c r="F3891">
        <v>1</v>
      </c>
      <c r="G3891">
        <v>100</v>
      </c>
      <c r="H3891">
        <v>13.14</v>
      </c>
      <c r="I3891" t="s">
        <v>44</v>
      </c>
      <c r="J3891">
        <v>4</v>
      </c>
      <c r="K3891" t="s">
        <v>51</v>
      </c>
      <c r="L3891">
        <v>5</v>
      </c>
      <c r="M3891" t="str">
        <f>VLOOKUP(D3891,State_Lookup!$A$2:$B$28,2,FALSE)</f>
        <v>Sao Paulo</v>
      </c>
    </row>
    <row r="3892" spans="1:13" x14ac:dyDescent="0.45">
      <c r="A3892" t="s">
        <v>4533</v>
      </c>
      <c r="B3892" t="s">
        <v>4521</v>
      </c>
      <c r="C3892" t="s">
        <v>4359</v>
      </c>
      <c r="D3892" t="s">
        <v>16</v>
      </c>
      <c r="E3892" t="s">
        <v>125</v>
      </c>
      <c r="F3892">
        <v>1</v>
      </c>
      <c r="G3892">
        <v>26.9</v>
      </c>
      <c r="H3892">
        <v>8.2899999999999991</v>
      </c>
      <c r="I3892" t="s">
        <v>50</v>
      </c>
      <c r="J3892">
        <v>3</v>
      </c>
      <c r="K3892" t="s">
        <v>51</v>
      </c>
      <c r="L3892">
        <v>5</v>
      </c>
      <c r="M3892" t="str">
        <f>VLOOKUP(D3892,State_Lookup!$A$2:$B$28,2,FALSE)</f>
        <v>Sao Paulo</v>
      </c>
    </row>
    <row r="3893" spans="1:13" x14ac:dyDescent="0.45">
      <c r="A3893" t="s">
        <v>4534</v>
      </c>
      <c r="B3893" t="s">
        <v>4521</v>
      </c>
      <c r="C3893" t="s">
        <v>4359</v>
      </c>
      <c r="D3893" t="s">
        <v>17</v>
      </c>
      <c r="E3893" t="s">
        <v>142</v>
      </c>
      <c r="F3893">
        <v>2</v>
      </c>
      <c r="G3893">
        <v>190</v>
      </c>
      <c r="H3893">
        <v>46.5</v>
      </c>
      <c r="I3893" t="s">
        <v>44</v>
      </c>
      <c r="J3893">
        <v>7</v>
      </c>
      <c r="K3893" t="s">
        <v>51</v>
      </c>
      <c r="L3893">
        <v>4</v>
      </c>
      <c r="M3893" t="str">
        <f>VLOOKUP(D3893,State_Lookup!$A$2:$B$28,2,FALSE)</f>
        <v>Rio de Janeiro</v>
      </c>
    </row>
    <row r="3894" spans="1:13" x14ac:dyDescent="0.45">
      <c r="A3894" t="s">
        <v>4535</v>
      </c>
      <c r="B3894" t="s">
        <v>4521</v>
      </c>
      <c r="C3894" t="s">
        <v>4359</v>
      </c>
      <c r="D3894" t="s">
        <v>17</v>
      </c>
      <c r="E3894" t="s">
        <v>49</v>
      </c>
      <c r="F3894">
        <v>2</v>
      </c>
      <c r="G3894">
        <v>598</v>
      </c>
      <c r="H3894">
        <v>33.799999999999997</v>
      </c>
      <c r="I3894" t="s">
        <v>44</v>
      </c>
      <c r="J3894">
        <v>7</v>
      </c>
      <c r="K3894" t="s">
        <v>51</v>
      </c>
      <c r="L3894">
        <v>4</v>
      </c>
      <c r="M3894" t="str">
        <f>VLOOKUP(D3894,State_Lookup!$A$2:$B$28,2,FALSE)</f>
        <v>Rio de Janeiro</v>
      </c>
    </row>
    <row r="3895" spans="1:13" x14ac:dyDescent="0.45">
      <c r="A3895" t="s">
        <v>4536</v>
      </c>
      <c r="B3895" t="s">
        <v>4521</v>
      </c>
      <c r="C3895" t="s">
        <v>4359</v>
      </c>
      <c r="D3895" t="s">
        <v>16</v>
      </c>
      <c r="E3895" t="s">
        <v>142</v>
      </c>
      <c r="F3895">
        <v>2</v>
      </c>
      <c r="G3895">
        <v>156</v>
      </c>
      <c r="H3895">
        <v>17.8</v>
      </c>
      <c r="I3895" t="s">
        <v>44</v>
      </c>
      <c r="J3895">
        <v>3</v>
      </c>
      <c r="K3895" t="s">
        <v>51</v>
      </c>
      <c r="L3895">
        <v>4</v>
      </c>
      <c r="M3895" t="str">
        <f>VLOOKUP(D3895,State_Lookup!$A$2:$B$28,2,FALSE)</f>
        <v>Sao Paulo</v>
      </c>
    </row>
    <row r="3896" spans="1:13" x14ac:dyDescent="0.45">
      <c r="A3896" t="s">
        <v>4537</v>
      </c>
      <c r="B3896" t="s">
        <v>4521</v>
      </c>
      <c r="C3896" t="s">
        <v>4359</v>
      </c>
      <c r="D3896" t="s">
        <v>16</v>
      </c>
      <c r="E3896" t="s">
        <v>142</v>
      </c>
      <c r="F3896">
        <v>1</v>
      </c>
      <c r="G3896">
        <v>179</v>
      </c>
      <c r="H3896">
        <v>13.16</v>
      </c>
      <c r="I3896" t="s">
        <v>44</v>
      </c>
      <c r="J3896">
        <v>3</v>
      </c>
      <c r="K3896" t="s">
        <v>51</v>
      </c>
      <c r="L3896">
        <v>4</v>
      </c>
      <c r="M3896" t="str">
        <f>VLOOKUP(D3896,State_Lookup!$A$2:$B$28,2,FALSE)</f>
        <v>Sao Paulo</v>
      </c>
    </row>
    <row r="3897" spans="1:13" x14ac:dyDescent="0.45">
      <c r="A3897" t="s">
        <v>4538</v>
      </c>
      <c r="B3897" t="s">
        <v>4521</v>
      </c>
      <c r="C3897" t="s">
        <v>4359</v>
      </c>
      <c r="D3897" t="s">
        <v>19</v>
      </c>
      <c r="E3897" t="s">
        <v>61</v>
      </c>
      <c r="F3897">
        <v>1</v>
      </c>
      <c r="G3897">
        <v>29.9</v>
      </c>
      <c r="H3897">
        <v>19.32</v>
      </c>
      <c r="I3897" t="s">
        <v>50</v>
      </c>
      <c r="J3897">
        <v>9</v>
      </c>
      <c r="K3897" t="s">
        <v>51</v>
      </c>
      <c r="L3897">
        <v>3</v>
      </c>
      <c r="M3897" t="str">
        <f>VLOOKUP(D3897,State_Lookup!$A$2:$B$28,2,FALSE)</f>
        <v>Rio Grande do Sul</v>
      </c>
    </row>
    <row r="3898" spans="1:13" x14ac:dyDescent="0.45">
      <c r="A3898" t="s">
        <v>4539</v>
      </c>
      <c r="B3898" t="s">
        <v>4521</v>
      </c>
      <c r="C3898" t="s">
        <v>4359</v>
      </c>
      <c r="D3898" t="s">
        <v>20</v>
      </c>
      <c r="E3898" t="s">
        <v>1648</v>
      </c>
      <c r="F3898">
        <v>1</v>
      </c>
      <c r="G3898">
        <v>193.65</v>
      </c>
      <c r="H3898">
        <v>19.239999999999998</v>
      </c>
      <c r="I3898" t="s">
        <v>50</v>
      </c>
      <c r="J3898">
        <v>21</v>
      </c>
      <c r="K3898" t="s">
        <v>51</v>
      </c>
      <c r="L3898">
        <v>4</v>
      </c>
      <c r="M3898" t="str">
        <f>VLOOKUP(D3898,State_Lookup!$A$2:$B$28,2,FALSE)</f>
        <v>Parana</v>
      </c>
    </row>
    <row r="3899" spans="1:13" x14ac:dyDescent="0.45">
      <c r="A3899" t="s">
        <v>4540</v>
      </c>
      <c r="B3899" t="s">
        <v>4521</v>
      </c>
      <c r="C3899" t="s">
        <v>4359</v>
      </c>
      <c r="D3899" t="s">
        <v>16</v>
      </c>
      <c r="E3899" t="s">
        <v>79</v>
      </c>
      <c r="F3899">
        <v>1</v>
      </c>
      <c r="G3899">
        <v>146.30000000000001</v>
      </c>
      <c r="H3899">
        <v>19.989999999999998</v>
      </c>
      <c r="I3899" t="s">
        <v>44</v>
      </c>
      <c r="J3899">
        <v>6</v>
      </c>
      <c r="K3899" t="s">
        <v>51</v>
      </c>
      <c r="L3899">
        <v>5</v>
      </c>
      <c r="M3899" t="str">
        <f>VLOOKUP(D3899,State_Lookup!$A$2:$B$28,2,FALSE)</f>
        <v>Sao Paulo</v>
      </c>
    </row>
    <row r="3900" spans="1:13" x14ac:dyDescent="0.45">
      <c r="A3900" t="s">
        <v>4541</v>
      </c>
      <c r="B3900" t="s">
        <v>4521</v>
      </c>
      <c r="C3900" t="s">
        <v>4359</v>
      </c>
      <c r="D3900" t="s">
        <v>16</v>
      </c>
      <c r="E3900" t="s">
        <v>125</v>
      </c>
      <c r="F3900">
        <v>1</v>
      </c>
      <c r="G3900">
        <v>12.25</v>
      </c>
      <c r="H3900">
        <v>7.39</v>
      </c>
      <c r="I3900" t="s">
        <v>44</v>
      </c>
      <c r="J3900">
        <v>2</v>
      </c>
      <c r="K3900" t="s">
        <v>51</v>
      </c>
      <c r="L3900">
        <v>5</v>
      </c>
      <c r="M3900" t="str">
        <f>VLOOKUP(D3900,State_Lookup!$A$2:$B$28,2,FALSE)</f>
        <v>Sao Paulo</v>
      </c>
    </row>
    <row r="3901" spans="1:13" x14ac:dyDescent="0.45">
      <c r="A3901" t="s">
        <v>4542</v>
      </c>
      <c r="B3901" t="s">
        <v>4521</v>
      </c>
      <c r="C3901" t="s">
        <v>4359</v>
      </c>
      <c r="D3901" t="s">
        <v>17</v>
      </c>
      <c r="E3901" t="s">
        <v>79</v>
      </c>
      <c r="F3901">
        <v>1</v>
      </c>
      <c r="G3901">
        <v>75.25</v>
      </c>
      <c r="H3901">
        <v>18.41</v>
      </c>
      <c r="I3901" t="s">
        <v>44</v>
      </c>
      <c r="J3901">
        <v>22</v>
      </c>
      <c r="K3901" t="s">
        <v>51</v>
      </c>
      <c r="L3901">
        <v>5</v>
      </c>
      <c r="M3901" t="str">
        <f>VLOOKUP(D3901,State_Lookup!$A$2:$B$28,2,FALSE)</f>
        <v>Rio de Janeiro</v>
      </c>
    </row>
    <row r="3902" spans="1:13" x14ac:dyDescent="0.45">
      <c r="A3902" t="s">
        <v>4543</v>
      </c>
      <c r="B3902" t="s">
        <v>4544</v>
      </c>
      <c r="C3902" t="s">
        <v>4359</v>
      </c>
      <c r="D3902" t="s">
        <v>17</v>
      </c>
      <c r="E3902" t="s">
        <v>950</v>
      </c>
      <c r="F3902">
        <v>1</v>
      </c>
      <c r="G3902">
        <v>119.99</v>
      </c>
      <c r="H3902">
        <v>35.97</v>
      </c>
      <c r="I3902" t="s">
        <v>50</v>
      </c>
      <c r="J3902">
        <v>6</v>
      </c>
      <c r="K3902" t="s">
        <v>51</v>
      </c>
      <c r="L3902">
        <v>5</v>
      </c>
      <c r="M3902" t="str">
        <f>VLOOKUP(D3902,State_Lookup!$A$2:$B$28,2,FALSE)</f>
        <v>Rio de Janeiro</v>
      </c>
    </row>
    <row r="3903" spans="1:13" x14ac:dyDescent="0.45">
      <c r="A3903" t="s">
        <v>4545</v>
      </c>
      <c r="B3903" t="s">
        <v>4544</v>
      </c>
      <c r="C3903" t="s">
        <v>4359</v>
      </c>
      <c r="D3903" t="s">
        <v>16</v>
      </c>
      <c r="E3903" t="s">
        <v>64</v>
      </c>
      <c r="F3903">
        <v>1</v>
      </c>
      <c r="G3903">
        <v>15.5</v>
      </c>
      <c r="H3903">
        <v>12.79</v>
      </c>
      <c r="I3903" t="s">
        <v>50</v>
      </c>
      <c r="J3903">
        <v>5</v>
      </c>
      <c r="K3903" t="s">
        <v>51</v>
      </c>
      <c r="L3903">
        <v>5</v>
      </c>
      <c r="M3903" t="str">
        <f>VLOOKUP(D3903,State_Lookup!$A$2:$B$28,2,FALSE)</f>
        <v>Sao Paulo</v>
      </c>
    </row>
    <row r="3904" spans="1:13" x14ac:dyDescent="0.45">
      <c r="A3904" t="s">
        <v>4546</v>
      </c>
      <c r="B3904" t="s">
        <v>4544</v>
      </c>
      <c r="C3904" t="s">
        <v>4359</v>
      </c>
      <c r="D3904" t="s">
        <v>16</v>
      </c>
      <c r="E3904" t="s">
        <v>79</v>
      </c>
      <c r="F3904">
        <v>1</v>
      </c>
      <c r="G3904">
        <v>110</v>
      </c>
      <c r="H3904">
        <v>8.5299999999999994</v>
      </c>
      <c r="I3904" t="s">
        <v>44</v>
      </c>
      <c r="J3904">
        <v>1</v>
      </c>
      <c r="K3904" t="s">
        <v>51</v>
      </c>
      <c r="L3904">
        <v>5</v>
      </c>
      <c r="M3904" t="str">
        <f>VLOOKUP(D3904,State_Lookup!$A$2:$B$28,2,FALSE)</f>
        <v>Sao Paulo</v>
      </c>
    </row>
    <row r="3905" spans="1:13" x14ac:dyDescent="0.45">
      <c r="A3905" t="s">
        <v>4547</v>
      </c>
      <c r="B3905" t="s">
        <v>4544</v>
      </c>
      <c r="C3905" t="s">
        <v>4359</v>
      </c>
      <c r="D3905" t="s">
        <v>16</v>
      </c>
      <c r="E3905" t="s">
        <v>107</v>
      </c>
      <c r="F3905">
        <v>1</v>
      </c>
      <c r="G3905">
        <v>249.9</v>
      </c>
      <c r="H3905">
        <v>8.61</v>
      </c>
      <c r="I3905" t="s">
        <v>44</v>
      </c>
      <c r="J3905">
        <v>18</v>
      </c>
      <c r="K3905" t="s">
        <v>143</v>
      </c>
      <c r="L3905">
        <v>1</v>
      </c>
      <c r="M3905" t="str">
        <f>VLOOKUP(D3905,State_Lookup!$A$2:$B$28,2,FALSE)</f>
        <v>Sao Paulo</v>
      </c>
    </row>
    <row r="3906" spans="1:13" x14ac:dyDescent="0.45">
      <c r="A3906" t="s">
        <v>4548</v>
      </c>
      <c r="B3906" t="s">
        <v>4544</v>
      </c>
      <c r="C3906" t="s">
        <v>4359</v>
      </c>
      <c r="D3906" t="s">
        <v>208</v>
      </c>
      <c r="E3906" t="s">
        <v>49</v>
      </c>
      <c r="F3906">
        <v>1</v>
      </c>
      <c r="G3906">
        <v>169.99</v>
      </c>
      <c r="H3906">
        <v>20.92</v>
      </c>
      <c r="I3906" t="s">
        <v>44</v>
      </c>
      <c r="J3906">
        <v>14</v>
      </c>
      <c r="K3906" t="s">
        <v>51</v>
      </c>
      <c r="L3906">
        <v>5</v>
      </c>
      <c r="M3906" t="str">
        <f>VLOOKUP(D3906,State_Lookup!$A$2:$B$28,2,FALSE)</f>
        <v>Mato Grosso</v>
      </c>
    </row>
    <row r="3907" spans="1:13" x14ac:dyDescent="0.45">
      <c r="A3907" t="s">
        <v>4549</v>
      </c>
      <c r="B3907" t="s">
        <v>4544</v>
      </c>
      <c r="C3907" t="s">
        <v>4359</v>
      </c>
      <c r="D3907" t="s">
        <v>16</v>
      </c>
      <c r="E3907" t="s">
        <v>142</v>
      </c>
      <c r="F3907">
        <v>1</v>
      </c>
      <c r="G3907">
        <v>14.9</v>
      </c>
      <c r="H3907">
        <v>7.39</v>
      </c>
      <c r="I3907" t="s">
        <v>44</v>
      </c>
      <c r="J3907">
        <v>1</v>
      </c>
      <c r="K3907" t="s">
        <v>51</v>
      </c>
      <c r="L3907">
        <v>5</v>
      </c>
      <c r="M3907" t="str">
        <f>VLOOKUP(D3907,State_Lookup!$A$2:$B$28,2,FALSE)</f>
        <v>Sao Paulo</v>
      </c>
    </row>
    <row r="3908" spans="1:13" x14ac:dyDescent="0.45">
      <c r="A3908" t="s">
        <v>4550</v>
      </c>
      <c r="B3908" t="s">
        <v>4544</v>
      </c>
      <c r="C3908" t="s">
        <v>4359</v>
      </c>
      <c r="D3908" t="s">
        <v>21</v>
      </c>
      <c r="E3908" t="s">
        <v>49</v>
      </c>
      <c r="F3908">
        <v>1</v>
      </c>
      <c r="G3908">
        <v>46.99</v>
      </c>
      <c r="H3908">
        <v>18.23</v>
      </c>
      <c r="I3908" t="s">
        <v>44</v>
      </c>
      <c r="J3908">
        <v>22</v>
      </c>
      <c r="K3908" t="s">
        <v>143</v>
      </c>
      <c r="L3908">
        <v>5</v>
      </c>
      <c r="M3908" t="str">
        <f>VLOOKUP(D3908,State_Lookup!$A$2:$B$28,2,FALSE)</f>
        <v>Santa Catarina</v>
      </c>
    </row>
    <row r="3909" spans="1:13" x14ac:dyDescent="0.45">
      <c r="A3909" t="s">
        <v>4551</v>
      </c>
      <c r="B3909" t="s">
        <v>4544</v>
      </c>
      <c r="C3909" t="s">
        <v>4359</v>
      </c>
      <c r="D3909" t="s">
        <v>16</v>
      </c>
      <c r="E3909" t="s">
        <v>157</v>
      </c>
      <c r="F3909">
        <v>1</v>
      </c>
      <c r="G3909">
        <v>489</v>
      </c>
      <c r="H3909">
        <v>10.29</v>
      </c>
      <c r="I3909" t="s">
        <v>44</v>
      </c>
      <c r="J3909">
        <v>48</v>
      </c>
      <c r="K3909" t="s">
        <v>143</v>
      </c>
      <c r="L3909">
        <v>1</v>
      </c>
      <c r="M3909" t="str">
        <f>VLOOKUP(D3909,State_Lookup!$A$2:$B$28,2,FALSE)</f>
        <v>Sao Paulo</v>
      </c>
    </row>
    <row r="3910" spans="1:13" x14ac:dyDescent="0.45">
      <c r="A3910" t="s">
        <v>4552</v>
      </c>
      <c r="B3910" t="s">
        <v>4544</v>
      </c>
      <c r="C3910" t="s">
        <v>4359</v>
      </c>
      <c r="D3910" t="s">
        <v>19</v>
      </c>
      <c r="E3910" t="s">
        <v>61</v>
      </c>
      <c r="F3910">
        <v>2</v>
      </c>
      <c r="G3910">
        <v>197.25</v>
      </c>
      <c r="H3910">
        <v>37.14</v>
      </c>
      <c r="I3910" t="s">
        <v>44</v>
      </c>
      <c r="J3910">
        <v>20</v>
      </c>
      <c r="K3910" t="s">
        <v>51</v>
      </c>
      <c r="L3910">
        <v>5</v>
      </c>
      <c r="M3910" t="str">
        <f>VLOOKUP(D3910,State_Lookup!$A$2:$B$28,2,FALSE)</f>
        <v>Rio Grande do Sul</v>
      </c>
    </row>
    <row r="3911" spans="1:13" x14ac:dyDescent="0.45">
      <c r="A3911" t="s">
        <v>4553</v>
      </c>
      <c r="B3911" t="s">
        <v>4544</v>
      </c>
      <c r="C3911" t="s">
        <v>4359</v>
      </c>
      <c r="D3911" t="s">
        <v>16</v>
      </c>
      <c r="E3911" t="s">
        <v>662</v>
      </c>
      <c r="F3911">
        <v>2</v>
      </c>
      <c r="G3911">
        <v>173.8</v>
      </c>
      <c r="H3911">
        <v>17.34</v>
      </c>
      <c r="I3911" t="s">
        <v>44</v>
      </c>
      <c r="J3911">
        <v>6</v>
      </c>
      <c r="K3911" t="s">
        <v>51</v>
      </c>
      <c r="L3911">
        <v>3</v>
      </c>
      <c r="M3911" t="str">
        <f>VLOOKUP(D3911,State_Lookup!$A$2:$B$28,2,FALSE)</f>
        <v>Sao Paulo</v>
      </c>
    </row>
    <row r="3912" spans="1:13" x14ac:dyDescent="0.45">
      <c r="A3912" t="s">
        <v>4554</v>
      </c>
      <c r="B3912" t="s">
        <v>4544</v>
      </c>
      <c r="C3912" t="s">
        <v>4359</v>
      </c>
      <c r="D3912" t="s">
        <v>141</v>
      </c>
      <c r="E3912" t="s">
        <v>142</v>
      </c>
      <c r="F3912">
        <v>1</v>
      </c>
      <c r="G3912">
        <v>48.9</v>
      </c>
      <c r="H3912">
        <v>50.85</v>
      </c>
      <c r="I3912" t="s">
        <v>44</v>
      </c>
      <c r="J3912">
        <v>19</v>
      </c>
      <c r="K3912" t="s">
        <v>143</v>
      </c>
      <c r="L3912">
        <v>5</v>
      </c>
      <c r="M3912" t="str">
        <f>VLOOKUP(D3912,State_Lookup!$A$2:$B$28,2,FALSE)</f>
        <v>Maranhao</v>
      </c>
    </row>
    <row r="3913" spans="1:13" x14ac:dyDescent="0.45">
      <c r="A3913" t="s">
        <v>4555</v>
      </c>
      <c r="B3913" t="s">
        <v>4544</v>
      </c>
      <c r="C3913" t="s">
        <v>4359</v>
      </c>
      <c r="D3913" t="s">
        <v>20</v>
      </c>
      <c r="E3913" t="s">
        <v>58</v>
      </c>
      <c r="F3913">
        <v>1</v>
      </c>
      <c r="G3913">
        <v>19.989999999999998</v>
      </c>
      <c r="H3913">
        <v>15.23</v>
      </c>
      <c r="I3913" t="s">
        <v>44</v>
      </c>
      <c r="J3913">
        <v>5</v>
      </c>
      <c r="K3913" t="s">
        <v>51</v>
      </c>
      <c r="L3913">
        <v>5</v>
      </c>
      <c r="M3913" t="str">
        <f>VLOOKUP(D3913,State_Lookup!$A$2:$B$28,2,FALSE)</f>
        <v>Parana</v>
      </c>
    </row>
    <row r="3914" spans="1:13" x14ac:dyDescent="0.45">
      <c r="A3914" t="s">
        <v>4556</v>
      </c>
      <c r="B3914" t="s">
        <v>4544</v>
      </c>
      <c r="C3914" t="s">
        <v>4359</v>
      </c>
      <c r="D3914" t="s">
        <v>22</v>
      </c>
      <c r="E3914" t="s">
        <v>142</v>
      </c>
      <c r="F3914">
        <v>2</v>
      </c>
      <c r="G3914">
        <v>83.38</v>
      </c>
      <c r="H3914">
        <v>46.56</v>
      </c>
      <c r="I3914" t="s">
        <v>44</v>
      </c>
      <c r="J3914">
        <v>8</v>
      </c>
      <c r="K3914" t="s">
        <v>51</v>
      </c>
      <c r="L3914">
        <v>5</v>
      </c>
      <c r="M3914" t="str">
        <f>VLOOKUP(D3914,State_Lookup!$A$2:$B$28,2,FALSE)</f>
        <v>Bahia</v>
      </c>
    </row>
    <row r="3915" spans="1:13" x14ac:dyDescent="0.45">
      <c r="A3915" t="s">
        <v>4557</v>
      </c>
      <c r="B3915" t="s">
        <v>4544</v>
      </c>
      <c r="C3915" t="s">
        <v>4359</v>
      </c>
      <c r="D3915" t="s">
        <v>19</v>
      </c>
      <c r="E3915" t="s">
        <v>49</v>
      </c>
      <c r="F3915">
        <v>1</v>
      </c>
      <c r="G3915">
        <v>47.99</v>
      </c>
      <c r="H3915">
        <v>15.36</v>
      </c>
      <c r="I3915" t="s">
        <v>44</v>
      </c>
      <c r="J3915">
        <v>21</v>
      </c>
      <c r="K3915" t="s">
        <v>51</v>
      </c>
      <c r="L3915">
        <v>5</v>
      </c>
      <c r="M3915" t="str">
        <f>VLOOKUP(D3915,State_Lookup!$A$2:$B$28,2,FALSE)</f>
        <v>Rio Grande do Sul</v>
      </c>
    </row>
    <row r="3916" spans="1:13" x14ac:dyDescent="0.45">
      <c r="A3916" t="s">
        <v>4558</v>
      </c>
      <c r="B3916" t="s">
        <v>4559</v>
      </c>
      <c r="C3916" t="s">
        <v>4359</v>
      </c>
      <c r="D3916" t="s">
        <v>16</v>
      </c>
      <c r="E3916" t="s">
        <v>49</v>
      </c>
      <c r="F3916">
        <v>1</v>
      </c>
      <c r="G3916">
        <v>129.9</v>
      </c>
      <c r="H3916">
        <v>9.26</v>
      </c>
      <c r="I3916" t="s">
        <v>44</v>
      </c>
      <c r="J3916">
        <v>1</v>
      </c>
      <c r="K3916" t="s">
        <v>51</v>
      </c>
      <c r="L3916">
        <v>4</v>
      </c>
      <c r="M3916" t="str">
        <f>VLOOKUP(D3916,State_Lookup!$A$2:$B$28,2,FALSE)</f>
        <v>Sao Paulo</v>
      </c>
    </row>
    <row r="3917" spans="1:13" x14ac:dyDescent="0.45">
      <c r="A3917" t="s">
        <v>4560</v>
      </c>
      <c r="B3917" t="s">
        <v>4559</v>
      </c>
      <c r="C3917" t="s">
        <v>4359</v>
      </c>
      <c r="D3917" t="s">
        <v>17</v>
      </c>
      <c r="E3917" t="s">
        <v>49</v>
      </c>
      <c r="F3917">
        <v>1</v>
      </c>
      <c r="G3917">
        <v>149.9</v>
      </c>
      <c r="H3917">
        <v>23.98</v>
      </c>
      <c r="I3917" t="s">
        <v>44</v>
      </c>
      <c r="J3917">
        <v>12</v>
      </c>
      <c r="K3917" t="s">
        <v>51</v>
      </c>
      <c r="L3917">
        <v>5</v>
      </c>
      <c r="M3917" t="str">
        <f>VLOOKUP(D3917,State_Lookup!$A$2:$B$28,2,FALSE)</f>
        <v>Rio de Janeiro</v>
      </c>
    </row>
    <row r="3918" spans="1:13" x14ac:dyDescent="0.45">
      <c r="A3918" t="s">
        <v>4561</v>
      </c>
      <c r="B3918" t="s">
        <v>4559</v>
      </c>
      <c r="C3918" t="s">
        <v>4359</v>
      </c>
      <c r="D3918" t="s">
        <v>249</v>
      </c>
      <c r="E3918" t="s">
        <v>43</v>
      </c>
      <c r="F3918">
        <v>1</v>
      </c>
      <c r="G3918">
        <v>69.900000000000006</v>
      </c>
      <c r="H3918">
        <v>0</v>
      </c>
      <c r="I3918" t="s">
        <v>50</v>
      </c>
      <c r="J3918">
        <v>17</v>
      </c>
      <c r="K3918" t="s">
        <v>51</v>
      </c>
      <c r="L3918">
        <v>5</v>
      </c>
      <c r="M3918" t="str">
        <f>VLOOKUP(D3918,State_Lookup!$A$2:$B$28,2,FALSE)</f>
        <v>Tocantins</v>
      </c>
    </row>
    <row r="3919" spans="1:13" x14ac:dyDescent="0.45">
      <c r="A3919" t="s">
        <v>4562</v>
      </c>
      <c r="B3919" t="s">
        <v>4559</v>
      </c>
      <c r="C3919" t="s">
        <v>4359</v>
      </c>
      <c r="D3919" t="s">
        <v>25</v>
      </c>
      <c r="E3919" t="s">
        <v>103</v>
      </c>
      <c r="F3919">
        <v>1</v>
      </c>
      <c r="G3919">
        <v>889</v>
      </c>
      <c r="H3919">
        <v>28.8</v>
      </c>
      <c r="I3919" t="s">
        <v>44</v>
      </c>
      <c r="J3919">
        <v>21</v>
      </c>
      <c r="K3919" t="s">
        <v>51</v>
      </c>
      <c r="L3919">
        <v>5</v>
      </c>
      <c r="M3919" t="str">
        <f>VLOOKUP(D3919,State_Lookup!$A$2:$B$28,2,FALSE)</f>
        <v>Goias</v>
      </c>
    </row>
    <row r="3920" spans="1:13" x14ac:dyDescent="0.45">
      <c r="A3920" t="s">
        <v>4563</v>
      </c>
      <c r="B3920" t="s">
        <v>4559</v>
      </c>
      <c r="C3920" t="s">
        <v>4359</v>
      </c>
      <c r="D3920" t="s">
        <v>16</v>
      </c>
      <c r="E3920" t="s">
        <v>66</v>
      </c>
      <c r="F3920">
        <v>2</v>
      </c>
      <c r="G3920">
        <v>51.54</v>
      </c>
      <c r="H3920">
        <v>14.78</v>
      </c>
      <c r="I3920" t="s">
        <v>44</v>
      </c>
      <c r="J3920">
        <v>5</v>
      </c>
      <c r="K3920" t="s">
        <v>51</v>
      </c>
      <c r="L3920">
        <v>4</v>
      </c>
      <c r="M3920" t="str">
        <f>VLOOKUP(D3920,State_Lookup!$A$2:$B$28,2,FALSE)</f>
        <v>Sao Paulo</v>
      </c>
    </row>
    <row r="3921" spans="1:13" x14ac:dyDescent="0.45">
      <c r="A3921" t="s">
        <v>4564</v>
      </c>
      <c r="B3921" t="s">
        <v>4559</v>
      </c>
      <c r="C3921" t="s">
        <v>4359</v>
      </c>
      <c r="D3921" t="s">
        <v>23</v>
      </c>
      <c r="E3921" t="s">
        <v>49</v>
      </c>
      <c r="F3921">
        <v>1</v>
      </c>
      <c r="G3921">
        <v>370</v>
      </c>
      <c r="H3921">
        <v>15.74</v>
      </c>
      <c r="I3921" t="s">
        <v>44</v>
      </c>
      <c r="J3921">
        <v>23</v>
      </c>
      <c r="K3921" t="s">
        <v>143</v>
      </c>
      <c r="L3921">
        <v>1</v>
      </c>
      <c r="M3921" t="str">
        <f>VLOOKUP(D3921,State_Lookup!$A$2:$B$28,2,FALSE)</f>
        <v>Espirito Santo</v>
      </c>
    </row>
    <row r="3922" spans="1:13" x14ac:dyDescent="0.45">
      <c r="A3922" t="s">
        <v>4565</v>
      </c>
      <c r="B3922" t="s">
        <v>4559</v>
      </c>
      <c r="C3922" t="s">
        <v>4359</v>
      </c>
      <c r="D3922" t="s">
        <v>16</v>
      </c>
      <c r="E3922" t="s">
        <v>103</v>
      </c>
      <c r="F3922">
        <v>4</v>
      </c>
      <c r="G3922">
        <v>23.6</v>
      </c>
      <c r="H3922">
        <v>29.56</v>
      </c>
      <c r="I3922" t="s">
        <v>44</v>
      </c>
      <c r="J3922">
        <v>4</v>
      </c>
      <c r="K3922" t="s">
        <v>51</v>
      </c>
      <c r="L3922">
        <v>5</v>
      </c>
      <c r="M3922" t="str">
        <f>VLOOKUP(D3922,State_Lookup!$A$2:$B$28,2,FALSE)</f>
        <v>Sao Paulo</v>
      </c>
    </row>
    <row r="3923" spans="1:13" x14ac:dyDescent="0.45">
      <c r="A3923" t="s">
        <v>4566</v>
      </c>
      <c r="B3923" t="s">
        <v>4559</v>
      </c>
      <c r="C3923" t="s">
        <v>4359</v>
      </c>
      <c r="D3923" t="s">
        <v>16</v>
      </c>
      <c r="E3923" t="s">
        <v>43</v>
      </c>
      <c r="F3923">
        <v>1</v>
      </c>
      <c r="G3923">
        <v>120</v>
      </c>
      <c r="H3923">
        <v>30.7</v>
      </c>
      <c r="I3923" t="s">
        <v>44</v>
      </c>
      <c r="J3923">
        <v>7</v>
      </c>
      <c r="K3923" t="s">
        <v>51</v>
      </c>
      <c r="L3923">
        <v>5</v>
      </c>
      <c r="M3923" t="str">
        <f>VLOOKUP(D3923,State_Lookup!$A$2:$B$28,2,FALSE)</f>
        <v>Sao Paulo</v>
      </c>
    </row>
    <row r="3924" spans="1:13" x14ac:dyDescent="0.45">
      <c r="A3924" t="s">
        <v>4567</v>
      </c>
      <c r="B3924" t="s">
        <v>4559</v>
      </c>
      <c r="C3924" t="s">
        <v>4359</v>
      </c>
      <c r="D3924" t="s">
        <v>16</v>
      </c>
      <c r="E3924" t="s">
        <v>49</v>
      </c>
      <c r="F3924">
        <v>1</v>
      </c>
      <c r="G3924">
        <v>299</v>
      </c>
      <c r="H3924">
        <v>10.8</v>
      </c>
      <c r="I3924" t="s">
        <v>44</v>
      </c>
      <c r="J3924">
        <v>6</v>
      </c>
      <c r="K3924" t="s">
        <v>51</v>
      </c>
      <c r="L3924">
        <v>5</v>
      </c>
      <c r="M3924" t="str">
        <f>VLOOKUP(D3924,State_Lookup!$A$2:$B$28,2,FALSE)</f>
        <v>Sao Paulo</v>
      </c>
    </row>
    <row r="3925" spans="1:13" x14ac:dyDescent="0.45">
      <c r="A3925" t="s">
        <v>4568</v>
      </c>
      <c r="B3925" t="s">
        <v>4559</v>
      </c>
      <c r="C3925" t="s">
        <v>4359</v>
      </c>
      <c r="D3925" t="s">
        <v>17</v>
      </c>
      <c r="E3925" t="s">
        <v>43</v>
      </c>
      <c r="F3925">
        <v>1</v>
      </c>
      <c r="G3925">
        <v>89.9</v>
      </c>
      <c r="H3925">
        <v>41.39</v>
      </c>
      <c r="I3925" t="s">
        <v>44</v>
      </c>
      <c r="J3925">
        <v>12</v>
      </c>
      <c r="K3925" t="s">
        <v>51</v>
      </c>
      <c r="L3925">
        <v>5</v>
      </c>
      <c r="M3925" t="str">
        <f>VLOOKUP(D3925,State_Lookup!$A$2:$B$28,2,FALSE)</f>
        <v>Rio de Janeiro</v>
      </c>
    </row>
    <row r="3926" spans="1:13" x14ac:dyDescent="0.45">
      <c r="A3926" t="s">
        <v>4569</v>
      </c>
      <c r="B3926" t="s">
        <v>4559</v>
      </c>
      <c r="C3926" t="s">
        <v>4359</v>
      </c>
      <c r="D3926" t="s">
        <v>16</v>
      </c>
      <c r="E3926" t="s">
        <v>148</v>
      </c>
      <c r="F3926">
        <v>1</v>
      </c>
      <c r="G3926">
        <v>65</v>
      </c>
      <c r="H3926">
        <v>7.39</v>
      </c>
      <c r="I3926" t="s">
        <v>44</v>
      </c>
      <c r="J3926">
        <v>2</v>
      </c>
      <c r="K3926" t="s">
        <v>51</v>
      </c>
      <c r="L3926">
        <v>5</v>
      </c>
      <c r="M3926" t="str">
        <f>VLOOKUP(D3926,State_Lookup!$A$2:$B$28,2,FALSE)</f>
        <v>Sao Paulo</v>
      </c>
    </row>
    <row r="3927" spans="1:13" x14ac:dyDescent="0.45">
      <c r="A3927" t="s">
        <v>4570</v>
      </c>
      <c r="B3927" t="s">
        <v>4559</v>
      </c>
      <c r="C3927" t="s">
        <v>4359</v>
      </c>
      <c r="D3927" t="s">
        <v>19</v>
      </c>
      <c r="E3927" t="s">
        <v>49</v>
      </c>
      <c r="F3927">
        <v>1</v>
      </c>
      <c r="G3927">
        <v>329</v>
      </c>
      <c r="H3927">
        <v>14.74</v>
      </c>
      <c r="I3927" t="s">
        <v>44</v>
      </c>
      <c r="J3927">
        <v>4</v>
      </c>
      <c r="K3927" t="s">
        <v>51</v>
      </c>
      <c r="L3927">
        <v>5</v>
      </c>
      <c r="M3927" t="str">
        <f>VLOOKUP(D3927,State_Lookup!$A$2:$B$28,2,FALSE)</f>
        <v>Rio Grande do Sul</v>
      </c>
    </row>
    <row r="3928" spans="1:13" x14ac:dyDescent="0.45">
      <c r="A3928" t="s">
        <v>4571</v>
      </c>
      <c r="B3928" t="s">
        <v>4559</v>
      </c>
      <c r="C3928" t="s">
        <v>4359</v>
      </c>
      <c r="D3928" t="s">
        <v>16</v>
      </c>
      <c r="E3928" t="s">
        <v>142</v>
      </c>
      <c r="F3928">
        <v>1</v>
      </c>
      <c r="G3928">
        <v>59</v>
      </c>
      <c r="H3928">
        <v>14.5</v>
      </c>
      <c r="I3928" t="s">
        <v>44</v>
      </c>
      <c r="J3928">
        <v>6</v>
      </c>
      <c r="K3928" t="s">
        <v>51</v>
      </c>
      <c r="L3928">
        <v>4</v>
      </c>
      <c r="M3928" t="str">
        <f>VLOOKUP(D3928,State_Lookup!$A$2:$B$28,2,FALSE)</f>
        <v>Sao Paulo</v>
      </c>
    </row>
    <row r="3929" spans="1:13" x14ac:dyDescent="0.45">
      <c r="A3929" t="s">
        <v>4572</v>
      </c>
      <c r="B3929" t="s">
        <v>4559</v>
      </c>
      <c r="C3929" t="s">
        <v>4359</v>
      </c>
      <c r="D3929" t="s">
        <v>16</v>
      </c>
      <c r="E3929" t="s">
        <v>66</v>
      </c>
      <c r="F3929">
        <v>1</v>
      </c>
      <c r="G3929">
        <v>19.989999999999998</v>
      </c>
      <c r="H3929">
        <v>7.39</v>
      </c>
      <c r="I3929" t="s">
        <v>44</v>
      </c>
      <c r="J3929">
        <v>1</v>
      </c>
      <c r="K3929" t="s">
        <v>51</v>
      </c>
      <c r="L3929">
        <v>4</v>
      </c>
      <c r="M3929" t="str">
        <f>VLOOKUP(D3929,State_Lookup!$A$2:$B$28,2,FALSE)</f>
        <v>Sao Paulo</v>
      </c>
    </row>
    <row r="3930" spans="1:13" x14ac:dyDescent="0.45">
      <c r="A3930" t="s">
        <v>4573</v>
      </c>
      <c r="B3930" t="s">
        <v>4559</v>
      </c>
      <c r="C3930" t="s">
        <v>4359</v>
      </c>
      <c r="D3930" t="s">
        <v>16</v>
      </c>
      <c r="E3930" t="s">
        <v>142</v>
      </c>
      <c r="F3930">
        <v>1</v>
      </c>
      <c r="G3930">
        <v>265</v>
      </c>
      <c r="H3930">
        <v>43.96</v>
      </c>
      <c r="I3930" t="s">
        <v>44</v>
      </c>
      <c r="J3930">
        <v>19</v>
      </c>
      <c r="K3930" t="s">
        <v>143</v>
      </c>
      <c r="L3930">
        <v>5</v>
      </c>
      <c r="M3930" t="str">
        <f>VLOOKUP(D3930,State_Lookup!$A$2:$B$28,2,FALSE)</f>
        <v>Sao Paulo</v>
      </c>
    </row>
    <row r="3931" spans="1:13" x14ac:dyDescent="0.45">
      <c r="A3931" t="s">
        <v>4574</v>
      </c>
      <c r="B3931" t="s">
        <v>4559</v>
      </c>
      <c r="C3931" t="s">
        <v>4359</v>
      </c>
      <c r="D3931" t="s">
        <v>16</v>
      </c>
      <c r="E3931" t="s">
        <v>79</v>
      </c>
      <c r="F3931">
        <v>1</v>
      </c>
      <c r="G3931">
        <v>29.9</v>
      </c>
      <c r="H3931">
        <v>7.71</v>
      </c>
      <c r="I3931" t="s">
        <v>50</v>
      </c>
      <c r="J3931">
        <v>5</v>
      </c>
      <c r="K3931" t="s">
        <v>51</v>
      </c>
      <c r="L3931">
        <v>5</v>
      </c>
      <c r="M3931" t="str">
        <f>VLOOKUP(D3931,State_Lookup!$A$2:$B$28,2,FALSE)</f>
        <v>Sao Paulo</v>
      </c>
    </row>
    <row r="3932" spans="1:13" x14ac:dyDescent="0.45">
      <c r="A3932" t="s">
        <v>4575</v>
      </c>
      <c r="B3932" t="s">
        <v>4559</v>
      </c>
      <c r="C3932" t="s">
        <v>4359</v>
      </c>
      <c r="D3932" t="s">
        <v>17</v>
      </c>
      <c r="E3932" t="s">
        <v>64</v>
      </c>
      <c r="F3932">
        <v>2</v>
      </c>
      <c r="G3932">
        <v>296</v>
      </c>
      <c r="H3932">
        <v>28.98</v>
      </c>
      <c r="I3932" t="s">
        <v>44</v>
      </c>
      <c r="J3932">
        <v>27</v>
      </c>
      <c r="K3932" t="s">
        <v>143</v>
      </c>
      <c r="L3932">
        <v>1</v>
      </c>
      <c r="M3932" t="str">
        <f>VLOOKUP(D3932,State_Lookup!$A$2:$B$28,2,FALSE)</f>
        <v>Rio de Janeiro</v>
      </c>
    </row>
    <row r="3933" spans="1:13" x14ac:dyDescent="0.45">
      <c r="A3933" t="s">
        <v>4576</v>
      </c>
      <c r="B3933" t="s">
        <v>4559</v>
      </c>
      <c r="C3933" t="s">
        <v>4359</v>
      </c>
      <c r="D3933" t="s">
        <v>19</v>
      </c>
      <c r="E3933" t="s">
        <v>148</v>
      </c>
      <c r="F3933">
        <v>1</v>
      </c>
      <c r="G3933">
        <v>87.97</v>
      </c>
      <c r="H3933">
        <v>23.2</v>
      </c>
      <c r="I3933" t="s">
        <v>44</v>
      </c>
      <c r="J3933">
        <v>9</v>
      </c>
      <c r="K3933" t="s">
        <v>51</v>
      </c>
      <c r="L3933">
        <v>5</v>
      </c>
      <c r="M3933" t="str">
        <f>VLOOKUP(D3933,State_Lookup!$A$2:$B$28,2,FALSE)</f>
        <v>Rio Grande do Sul</v>
      </c>
    </row>
    <row r="3934" spans="1:13" x14ac:dyDescent="0.45">
      <c r="A3934" t="s">
        <v>4577</v>
      </c>
      <c r="B3934" t="s">
        <v>4559</v>
      </c>
      <c r="C3934" t="s">
        <v>4359</v>
      </c>
      <c r="D3934" t="s">
        <v>16</v>
      </c>
      <c r="E3934" t="s">
        <v>110</v>
      </c>
      <c r="F3934">
        <v>1</v>
      </c>
      <c r="G3934">
        <v>70.25</v>
      </c>
      <c r="H3934">
        <v>23.07</v>
      </c>
      <c r="I3934" t="s">
        <v>44</v>
      </c>
      <c r="J3934">
        <v>22</v>
      </c>
      <c r="K3934" t="s">
        <v>51</v>
      </c>
      <c r="L3934">
        <v>4</v>
      </c>
      <c r="M3934" t="str">
        <f>VLOOKUP(D3934,State_Lookup!$A$2:$B$28,2,FALSE)</f>
        <v>Sao Paulo</v>
      </c>
    </row>
    <row r="3935" spans="1:13" x14ac:dyDescent="0.45">
      <c r="A3935" t="s">
        <v>4578</v>
      </c>
      <c r="B3935" t="s">
        <v>4579</v>
      </c>
      <c r="C3935" t="s">
        <v>4359</v>
      </c>
      <c r="D3935" t="s">
        <v>487</v>
      </c>
      <c r="E3935" t="s">
        <v>79</v>
      </c>
      <c r="F3935">
        <v>2</v>
      </c>
      <c r="G3935">
        <v>43.98</v>
      </c>
      <c r="H3935">
        <v>45.7</v>
      </c>
      <c r="I3935" t="s">
        <v>44</v>
      </c>
      <c r="J3935">
        <v>21</v>
      </c>
      <c r="K3935" t="s">
        <v>51</v>
      </c>
      <c r="L3935">
        <v>5</v>
      </c>
      <c r="M3935" t="str">
        <f>VLOOKUP(D3935,State_Lookup!$A$2:$B$28,2,FALSE)</f>
        <v>Rio Grande do Norte</v>
      </c>
    </row>
    <row r="3936" spans="1:13" x14ac:dyDescent="0.45">
      <c r="A3936" t="s">
        <v>4580</v>
      </c>
      <c r="B3936" t="s">
        <v>4579</v>
      </c>
      <c r="C3936" t="s">
        <v>4359</v>
      </c>
      <c r="D3936" t="s">
        <v>16</v>
      </c>
      <c r="E3936" t="s">
        <v>110</v>
      </c>
      <c r="F3936">
        <v>2</v>
      </c>
      <c r="G3936">
        <v>98</v>
      </c>
      <c r="H3936">
        <v>28.88</v>
      </c>
      <c r="I3936" t="s">
        <v>44</v>
      </c>
      <c r="J3936">
        <v>5</v>
      </c>
      <c r="K3936" t="s">
        <v>51</v>
      </c>
      <c r="L3936">
        <v>5</v>
      </c>
      <c r="M3936" t="str">
        <f>VLOOKUP(D3936,State_Lookup!$A$2:$B$28,2,FALSE)</f>
        <v>Sao Paulo</v>
      </c>
    </row>
    <row r="3937" spans="1:13" x14ac:dyDescent="0.45">
      <c r="A3937" t="s">
        <v>4581</v>
      </c>
      <c r="B3937" t="s">
        <v>4579</v>
      </c>
      <c r="C3937" t="s">
        <v>4359</v>
      </c>
      <c r="D3937" t="s">
        <v>19</v>
      </c>
      <c r="E3937" t="s">
        <v>110</v>
      </c>
      <c r="F3937">
        <v>2</v>
      </c>
      <c r="G3937">
        <v>139.80000000000001</v>
      </c>
      <c r="H3937">
        <v>36.14</v>
      </c>
      <c r="I3937" t="s">
        <v>44</v>
      </c>
      <c r="J3937">
        <v>19</v>
      </c>
      <c r="K3937" t="s">
        <v>51</v>
      </c>
      <c r="L3937">
        <v>4</v>
      </c>
      <c r="M3937" t="str">
        <f>VLOOKUP(D3937,State_Lookup!$A$2:$B$28,2,FALSE)</f>
        <v>Rio Grande do Sul</v>
      </c>
    </row>
    <row r="3938" spans="1:13" x14ac:dyDescent="0.45">
      <c r="A3938" t="s">
        <v>4582</v>
      </c>
      <c r="B3938" t="s">
        <v>4579</v>
      </c>
      <c r="C3938" t="s">
        <v>4359</v>
      </c>
      <c r="D3938" t="s">
        <v>122</v>
      </c>
      <c r="E3938" t="s">
        <v>125</v>
      </c>
      <c r="F3938">
        <v>1</v>
      </c>
      <c r="G3938">
        <v>44</v>
      </c>
      <c r="H3938">
        <v>19.04</v>
      </c>
      <c r="I3938" t="s">
        <v>44</v>
      </c>
      <c r="J3938">
        <v>22</v>
      </c>
      <c r="K3938" t="s">
        <v>51</v>
      </c>
      <c r="L3938">
        <v>4</v>
      </c>
      <c r="M3938" t="str">
        <f>VLOOKUP(D3938,State_Lookup!$A$2:$B$28,2,FALSE)</f>
        <v>Para</v>
      </c>
    </row>
    <row r="3939" spans="1:13" x14ac:dyDescent="0.45">
      <c r="A3939" t="s">
        <v>4583</v>
      </c>
      <c r="B3939" t="s">
        <v>4579</v>
      </c>
      <c r="C3939" t="s">
        <v>4359</v>
      </c>
      <c r="D3939" t="s">
        <v>18</v>
      </c>
      <c r="E3939" t="s">
        <v>61</v>
      </c>
      <c r="F3939">
        <v>1</v>
      </c>
      <c r="G3939">
        <v>30</v>
      </c>
      <c r="H3939">
        <v>19.32</v>
      </c>
      <c r="I3939" t="s">
        <v>50</v>
      </c>
      <c r="J3939">
        <v>27</v>
      </c>
      <c r="K3939" t="s">
        <v>143</v>
      </c>
      <c r="L3939">
        <v>1</v>
      </c>
      <c r="M3939" t="str">
        <f>VLOOKUP(D3939,State_Lookup!$A$2:$B$28,2,FALSE)</f>
        <v>Minas Gerais</v>
      </c>
    </row>
    <row r="3940" spans="1:13" x14ac:dyDescent="0.45">
      <c r="A3940" t="s">
        <v>4584</v>
      </c>
      <c r="B3940" t="s">
        <v>4579</v>
      </c>
      <c r="C3940" t="s">
        <v>4359</v>
      </c>
      <c r="D3940" t="s">
        <v>16</v>
      </c>
      <c r="E3940" t="s">
        <v>110</v>
      </c>
      <c r="F3940">
        <v>1</v>
      </c>
      <c r="G3940">
        <v>69.900000000000006</v>
      </c>
      <c r="H3940">
        <v>13.85</v>
      </c>
      <c r="I3940" t="s">
        <v>50</v>
      </c>
      <c r="J3940">
        <v>7</v>
      </c>
      <c r="K3940" t="s">
        <v>51</v>
      </c>
      <c r="L3940">
        <v>5</v>
      </c>
      <c r="M3940" t="str">
        <f>VLOOKUP(D3940,State_Lookup!$A$2:$B$28,2,FALSE)</f>
        <v>Sao Paulo</v>
      </c>
    </row>
    <row r="3941" spans="1:13" x14ac:dyDescent="0.45">
      <c r="A3941" t="s">
        <v>4585</v>
      </c>
      <c r="B3941" t="s">
        <v>4579</v>
      </c>
      <c r="C3941" t="s">
        <v>4359</v>
      </c>
      <c r="D3941" t="s">
        <v>22</v>
      </c>
      <c r="E3941" t="s">
        <v>3316</v>
      </c>
      <c r="F3941">
        <v>1</v>
      </c>
      <c r="G3941">
        <v>750</v>
      </c>
      <c r="H3941">
        <v>49.87</v>
      </c>
      <c r="I3941" t="s">
        <v>50</v>
      </c>
      <c r="J3941">
        <v>21</v>
      </c>
      <c r="K3941" t="s">
        <v>143</v>
      </c>
      <c r="L3941">
        <v>5</v>
      </c>
      <c r="M3941" t="str">
        <f>VLOOKUP(D3941,State_Lookup!$A$2:$B$28,2,FALSE)</f>
        <v>Bahia</v>
      </c>
    </row>
    <row r="3942" spans="1:13" x14ac:dyDescent="0.45">
      <c r="A3942" t="s">
        <v>4586</v>
      </c>
      <c r="B3942" t="s">
        <v>4579</v>
      </c>
      <c r="C3942" t="s">
        <v>4359</v>
      </c>
      <c r="D3942" t="s">
        <v>16</v>
      </c>
      <c r="E3942" t="s">
        <v>110</v>
      </c>
      <c r="F3942">
        <v>2</v>
      </c>
      <c r="G3942">
        <v>598</v>
      </c>
      <c r="H3942">
        <v>42.28</v>
      </c>
      <c r="I3942" t="s">
        <v>44</v>
      </c>
      <c r="J3942">
        <v>4</v>
      </c>
      <c r="K3942" t="s">
        <v>51</v>
      </c>
      <c r="L3942">
        <v>5</v>
      </c>
      <c r="M3942" t="str">
        <f>VLOOKUP(D3942,State_Lookup!$A$2:$B$28,2,FALSE)</f>
        <v>Sao Paulo</v>
      </c>
    </row>
    <row r="3943" spans="1:13" x14ac:dyDescent="0.45">
      <c r="A3943" t="s">
        <v>4587</v>
      </c>
      <c r="B3943" t="s">
        <v>4579</v>
      </c>
      <c r="C3943" t="s">
        <v>4359</v>
      </c>
      <c r="D3943" t="s">
        <v>16</v>
      </c>
      <c r="E3943" t="s">
        <v>107</v>
      </c>
      <c r="F3943">
        <v>1</v>
      </c>
      <c r="G3943">
        <v>29.99</v>
      </c>
      <c r="H3943">
        <v>7.87</v>
      </c>
      <c r="I3943" t="s">
        <v>50</v>
      </c>
      <c r="J3943">
        <v>4</v>
      </c>
      <c r="K3943" t="s">
        <v>51</v>
      </c>
      <c r="L3943">
        <v>5</v>
      </c>
      <c r="M3943" t="str">
        <f>VLOOKUP(D3943,State_Lookup!$A$2:$B$28,2,FALSE)</f>
        <v>Sao Paulo</v>
      </c>
    </row>
    <row r="3944" spans="1:13" x14ac:dyDescent="0.45">
      <c r="A3944" t="s">
        <v>4588</v>
      </c>
      <c r="B3944" t="s">
        <v>4589</v>
      </c>
      <c r="C3944" t="s">
        <v>4359</v>
      </c>
      <c r="D3944" t="s">
        <v>16</v>
      </c>
      <c r="E3944" t="s">
        <v>64</v>
      </c>
      <c r="F3944">
        <v>1</v>
      </c>
      <c r="G3944">
        <v>114.9</v>
      </c>
      <c r="H3944">
        <v>15.68</v>
      </c>
      <c r="I3944" t="s">
        <v>44</v>
      </c>
      <c r="J3944">
        <v>5</v>
      </c>
      <c r="K3944" t="s">
        <v>51</v>
      </c>
      <c r="L3944">
        <v>4</v>
      </c>
      <c r="M3944" t="str">
        <f>VLOOKUP(D3944,State_Lookup!$A$2:$B$28,2,FALSE)</f>
        <v>Sao Paulo</v>
      </c>
    </row>
    <row r="3945" spans="1:13" x14ac:dyDescent="0.45">
      <c r="A3945" t="s">
        <v>4590</v>
      </c>
      <c r="B3945" t="s">
        <v>4589</v>
      </c>
      <c r="C3945" t="s">
        <v>4359</v>
      </c>
      <c r="D3945" t="s">
        <v>16</v>
      </c>
      <c r="E3945" t="s">
        <v>152</v>
      </c>
      <c r="F3945">
        <v>1</v>
      </c>
      <c r="G3945">
        <v>279.99</v>
      </c>
      <c r="H3945">
        <v>10.55</v>
      </c>
      <c r="I3945" t="s">
        <v>44</v>
      </c>
      <c r="J3945">
        <v>7</v>
      </c>
      <c r="K3945" t="s">
        <v>51</v>
      </c>
      <c r="L3945">
        <v>5</v>
      </c>
      <c r="M3945" t="str">
        <f>VLOOKUP(D3945,State_Lookup!$A$2:$B$28,2,FALSE)</f>
        <v>Sao Paulo</v>
      </c>
    </row>
    <row r="3946" spans="1:13" x14ac:dyDescent="0.45">
      <c r="A3946" t="s">
        <v>4591</v>
      </c>
      <c r="B3946" t="s">
        <v>4589</v>
      </c>
      <c r="C3946" t="s">
        <v>4359</v>
      </c>
      <c r="D3946" t="s">
        <v>16</v>
      </c>
      <c r="E3946" t="s">
        <v>125</v>
      </c>
      <c r="F3946">
        <v>1</v>
      </c>
      <c r="G3946">
        <v>13.65</v>
      </c>
      <c r="H3946">
        <v>7.39</v>
      </c>
      <c r="I3946" t="s">
        <v>44</v>
      </c>
      <c r="J3946">
        <v>3</v>
      </c>
      <c r="K3946" t="s">
        <v>51</v>
      </c>
      <c r="L3946">
        <v>5</v>
      </c>
      <c r="M3946" t="str">
        <f>VLOOKUP(D3946,State_Lookup!$A$2:$B$28,2,FALSE)</f>
        <v>Sao Paulo</v>
      </c>
    </row>
    <row r="3947" spans="1:13" x14ac:dyDescent="0.45">
      <c r="A3947" t="s">
        <v>4592</v>
      </c>
      <c r="B3947" t="s">
        <v>4589</v>
      </c>
      <c r="C3947" t="s">
        <v>4359</v>
      </c>
      <c r="D3947" t="s">
        <v>16</v>
      </c>
      <c r="E3947" t="s">
        <v>64</v>
      </c>
      <c r="F3947">
        <v>1</v>
      </c>
      <c r="G3947">
        <v>70.900000000000006</v>
      </c>
      <c r="H3947">
        <v>17.21</v>
      </c>
      <c r="I3947" t="s">
        <v>133</v>
      </c>
      <c r="J3947">
        <v>7</v>
      </c>
      <c r="K3947" t="s">
        <v>51</v>
      </c>
      <c r="L3947">
        <v>5</v>
      </c>
      <c r="M3947" t="str">
        <f>VLOOKUP(D3947,State_Lookup!$A$2:$B$28,2,FALSE)</f>
        <v>Sao Paulo</v>
      </c>
    </row>
    <row r="3948" spans="1:13" x14ac:dyDescent="0.45">
      <c r="A3948" t="s">
        <v>4593</v>
      </c>
      <c r="B3948" t="s">
        <v>4589</v>
      </c>
      <c r="C3948" t="s">
        <v>4359</v>
      </c>
      <c r="D3948" t="s">
        <v>16</v>
      </c>
      <c r="E3948" t="s">
        <v>61</v>
      </c>
      <c r="F3948">
        <v>1</v>
      </c>
      <c r="G3948">
        <v>98.44</v>
      </c>
      <c r="H3948">
        <v>18.57</v>
      </c>
      <c r="I3948" t="s">
        <v>44</v>
      </c>
      <c r="J3948">
        <v>19</v>
      </c>
      <c r="K3948" t="s">
        <v>51</v>
      </c>
      <c r="L3948">
        <v>3</v>
      </c>
      <c r="M3948" t="str">
        <f>VLOOKUP(D3948,State_Lookup!$A$2:$B$28,2,FALSE)</f>
        <v>Sao Paulo</v>
      </c>
    </row>
    <row r="3949" spans="1:13" x14ac:dyDescent="0.45">
      <c r="A3949" t="s">
        <v>4594</v>
      </c>
      <c r="B3949" t="s">
        <v>4589</v>
      </c>
      <c r="C3949" t="s">
        <v>4359</v>
      </c>
      <c r="D3949" t="s">
        <v>20</v>
      </c>
      <c r="E3949" t="s">
        <v>142</v>
      </c>
      <c r="F3949">
        <v>1</v>
      </c>
      <c r="G3949">
        <v>330.99</v>
      </c>
      <c r="H3949">
        <v>26.98</v>
      </c>
      <c r="I3949" t="s">
        <v>44</v>
      </c>
      <c r="J3949">
        <v>14</v>
      </c>
      <c r="K3949" t="s">
        <v>51</v>
      </c>
      <c r="L3949">
        <v>3</v>
      </c>
      <c r="M3949" t="str">
        <f>VLOOKUP(D3949,State_Lookup!$A$2:$B$28,2,FALSE)</f>
        <v>Parana</v>
      </c>
    </row>
    <row r="3950" spans="1:13" x14ac:dyDescent="0.45">
      <c r="A3950" t="s">
        <v>4595</v>
      </c>
      <c r="B3950" t="s">
        <v>4589</v>
      </c>
      <c r="C3950" t="s">
        <v>4359</v>
      </c>
      <c r="D3950" t="s">
        <v>22</v>
      </c>
      <c r="E3950" t="s">
        <v>49</v>
      </c>
      <c r="F3950">
        <v>1</v>
      </c>
      <c r="G3950">
        <v>34.9</v>
      </c>
      <c r="H3950">
        <v>22.06</v>
      </c>
      <c r="I3950" t="s">
        <v>44</v>
      </c>
      <c r="J3950">
        <v>19</v>
      </c>
      <c r="K3950" t="s">
        <v>51</v>
      </c>
      <c r="L3950">
        <v>4</v>
      </c>
      <c r="M3950" t="str">
        <f>VLOOKUP(D3950,State_Lookup!$A$2:$B$28,2,FALSE)</f>
        <v>Bahia</v>
      </c>
    </row>
    <row r="3951" spans="1:13" x14ac:dyDescent="0.45">
      <c r="A3951" t="s">
        <v>4596</v>
      </c>
      <c r="B3951" t="s">
        <v>4589</v>
      </c>
      <c r="C3951" t="s">
        <v>4359</v>
      </c>
      <c r="D3951" t="s">
        <v>16</v>
      </c>
      <c r="E3951" t="s">
        <v>66</v>
      </c>
      <c r="F3951">
        <v>1</v>
      </c>
      <c r="G3951">
        <v>13.77</v>
      </c>
      <c r="H3951">
        <v>7.39</v>
      </c>
      <c r="I3951" t="s">
        <v>44</v>
      </c>
      <c r="J3951">
        <v>4</v>
      </c>
      <c r="K3951" t="s">
        <v>51</v>
      </c>
      <c r="L3951">
        <v>3</v>
      </c>
      <c r="M3951" t="str">
        <f>VLOOKUP(D3951,State_Lookup!$A$2:$B$28,2,FALSE)</f>
        <v>Sao Paulo</v>
      </c>
    </row>
    <row r="3952" spans="1:13" x14ac:dyDescent="0.45">
      <c r="A3952" t="s">
        <v>4597</v>
      </c>
      <c r="B3952" t="s">
        <v>4589</v>
      </c>
      <c r="C3952" t="s">
        <v>4359</v>
      </c>
      <c r="D3952" t="s">
        <v>19</v>
      </c>
      <c r="E3952" t="s">
        <v>142</v>
      </c>
      <c r="F3952">
        <v>4</v>
      </c>
      <c r="G3952">
        <v>600</v>
      </c>
      <c r="H3952">
        <v>57.56</v>
      </c>
      <c r="I3952" t="s">
        <v>44</v>
      </c>
      <c r="J3952">
        <v>20</v>
      </c>
      <c r="K3952" t="s">
        <v>51</v>
      </c>
      <c r="L3952">
        <v>4</v>
      </c>
      <c r="M3952" t="str">
        <f>VLOOKUP(D3952,State_Lookup!$A$2:$B$28,2,FALSE)</f>
        <v>Rio Grande do Sul</v>
      </c>
    </row>
    <row r="3953" spans="1:13" x14ac:dyDescent="0.45">
      <c r="A3953" t="s">
        <v>4598</v>
      </c>
      <c r="B3953" t="s">
        <v>4589</v>
      </c>
      <c r="C3953" t="s">
        <v>4359</v>
      </c>
      <c r="D3953" t="s">
        <v>22</v>
      </c>
      <c r="E3953" t="s">
        <v>64</v>
      </c>
      <c r="F3953">
        <v>1</v>
      </c>
      <c r="G3953">
        <v>99</v>
      </c>
      <c r="H3953">
        <v>37.380000000000003</v>
      </c>
      <c r="I3953" t="s">
        <v>44</v>
      </c>
      <c r="J3953">
        <v>21</v>
      </c>
      <c r="K3953" t="s">
        <v>51</v>
      </c>
      <c r="L3953">
        <v>5</v>
      </c>
      <c r="M3953" t="str">
        <f>VLOOKUP(D3953,State_Lookup!$A$2:$B$28,2,FALSE)</f>
        <v>Bahia</v>
      </c>
    </row>
    <row r="3954" spans="1:13" x14ac:dyDescent="0.45">
      <c r="A3954" t="s">
        <v>4599</v>
      </c>
      <c r="B3954" t="s">
        <v>4600</v>
      </c>
      <c r="C3954" t="s">
        <v>4359</v>
      </c>
      <c r="D3954" t="s">
        <v>16</v>
      </c>
      <c r="E3954" t="s">
        <v>148</v>
      </c>
      <c r="F3954">
        <v>1</v>
      </c>
      <c r="G3954">
        <v>89.99</v>
      </c>
      <c r="H3954">
        <v>15.53</v>
      </c>
      <c r="I3954" t="s">
        <v>44</v>
      </c>
      <c r="J3954">
        <v>2</v>
      </c>
      <c r="K3954" t="s">
        <v>51</v>
      </c>
      <c r="L3954">
        <v>5</v>
      </c>
      <c r="M3954" t="str">
        <f>VLOOKUP(D3954,State_Lookup!$A$2:$B$28,2,FALSE)</f>
        <v>Sao Paulo</v>
      </c>
    </row>
    <row r="3955" spans="1:13" x14ac:dyDescent="0.45">
      <c r="A3955" t="s">
        <v>4601</v>
      </c>
      <c r="B3955" t="s">
        <v>4600</v>
      </c>
      <c r="C3955" t="s">
        <v>4359</v>
      </c>
      <c r="D3955" t="s">
        <v>21</v>
      </c>
      <c r="E3955" t="s">
        <v>107</v>
      </c>
      <c r="F3955">
        <v>1</v>
      </c>
      <c r="G3955">
        <v>319</v>
      </c>
      <c r="H3955">
        <v>20.11</v>
      </c>
      <c r="I3955" t="s">
        <v>44</v>
      </c>
      <c r="J3955">
        <v>14</v>
      </c>
      <c r="K3955" t="s">
        <v>51</v>
      </c>
      <c r="L3955">
        <v>4</v>
      </c>
      <c r="M3955" t="str">
        <f>VLOOKUP(D3955,State_Lookup!$A$2:$B$28,2,FALSE)</f>
        <v>Santa Catarina</v>
      </c>
    </row>
    <row r="3956" spans="1:13" x14ac:dyDescent="0.45">
      <c r="A3956" t="s">
        <v>4602</v>
      </c>
      <c r="B3956" t="s">
        <v>4600</v>
      </c>
      <c r="C3956" t="s">
        <v>4359</v>
      </c>
      <c r="D3956" t="s">
        <v>22</v>
      </c>
      <c r="E3956" t="s">
        <v>142</v>
      </c>
      <c r="F3956">
        <v>1</v>
      </c>
      <c r="G3956">
        <v>97</v>
      </c>
      <c r="H3956">
        <v>27.41</v>
      </c>
      <c r="I3956" t="s">
        <v>44</v>
      </c>
      <c r="J3956">
        <v>18</v>
      </c>
      <c r="K3956" t="s">
        <v>51</v>
      </c>
      <c r="L3956">
        <v>4</v>
      </c>
      <c r="M3956" t="str">
        <f>VLOOKUP(D3956,State_Lookup!$A$2:$B$28,2,FALSE)</f>
        <v>Bahia</v>
      </c>
    </row>
    <row r="3957" spans="1:13" x14ac:dyDescent="0.45">
      <c r="A3957" t="s">
        <v>4603</v>
      </c>
      <c r="B3957" t="s">
        <v>4600</v>
      </c>
      <c r="C3957" t="s">
        <v>4359</v>
      </c>
      <c r="D3957" t="s">
        <v>16</v>
      </c>
      <c r="E3957" t="s">
        <v>142</v>
      </c>
      <c r="F3957">
        <v>1</v>
      </c>
      <c r="G3957">
        <v>69.989999999999995</v>
      </c>
      <c r="H3957">
        <v>8.8800000000000008</v>
      </c>
      <c r="I3957" t="s">
        <v>44</v>
      </c>
      <c r="J3957">
        <v>4</v>
      </c>
      <c r="K3957" t="s">
        <v>51</v>
      </c>
      <c r="L3957">
        <v>3</v>
      </c>
      <c r="M3957" t="str">
        <f>VLOOKUP(D3957,State_Lookup!$A$2:$B$28,2,FALSE)</f>
        <v>Sao Paulo</v>
      </c>
    </row>
    <row r="3958" spans="1:13" x14ac:dyDescent="0.45">
      <c r="A3958" t="s">
        <v>4604</v>
      </c>
      <c r="B3958" t="s">
        <v>4600</v>
      </c>
      <c r="C3958" t="s">
        <v>4359</v>
      </c>
      <c r="D3958" t="s">
        <v>16</v>
      </c>
      <c r="E3958" t="s">
        <v>142</v>
      </c>
      <c r="F3958">
        <v>1</v>
      </c>
      <c r="G3958">
        <v>138</v>
      </c>
      <c r="H3958">
        <v>42.59</v>
      </c>
      <c r="I3958" t="s">
        <v>44</v>
      </c>
      <c r="J3958">
        <v>19</v>
      </c>
      <c r="K3958" t="s">
        <v>51</v>
      </c>
      <c r="L3958">
        <v>5</v>
      </c>
      <c r="M3958" t="str">
        <f>VLOOKUP(D3958,State_Lookup!$A$2:$B$28,2,FALSE)</f>
        <v>Sao Paulo</v>
      </c>
    </row>
    <row r="3959" spans="1:13" x14ac:dyDescent="0.45">
      <c r="A3959" t="s">
        <v>4605</v>
      </c>
      <c r="B3959" t="s">
        <v>4606</v>
      </c>
      <c r="C3959" t="s">
        <v>4359</v>
      </c>
      <c r="D3959" t="s">
        <v>16</v>
      </c>
      <c r="E3959" t="s">
        <v>79</v>
      </c>
      <c r="F3959">
        <v>1</v>
      </c>
      <c r="G3959">
        <v>53.69</v>
      </c>
      <c r="H3959">
        <v>8.64</v>
      </c>
      <c r="I3959" t="s">
        <v>44</v>
      </c>
      <c r="J3959">
        <v>3</v>
      </c>
      <c r="K3959" t="s">
        <v>51</v>
      </c>
      <c r="L3959">
        <v>4</v>
      </c>
      <c r="M3959" t="str">
        <f>VLOOKUP(D3959,State_Lookup!$A$2:$B$28,2,FALSE)</f>
        <v>Sao Paulo</v>
      </c>
    </row>
    <row r="3960" spans="1:13" x14ac:dyDescent="0.45">
      <c r="A3960" t="s">
        <v>4607</v>
      </c>
      <c r="B3960" t="s">
        <v>4606</v>
      </c>
      <c r="C3960" t="s">
        <v>4359</v>
      </c>
      <c r="D3960" t="s">
        <v>18</v>
      </c>
      <c r="E3960" t="s">
        <v>125</v>
      </c>
      <c r="F3960">
        <v>1</v>
      </c>
      <c r="G3960">
        <v>30</v>
      </c>
      <c r="H3960">
        <v>18.23</v>
      </c>
      <c r="I3960" t="s">
        <v>133</v>
      </c>
      <c r="J3960">
        <v>23</v>
      </c>
      <c r="K3960" t="s">
        <v>143</v>
      </c>
      <c r="L3960">
        <v>2</v>
      </c>
      <c r="M3960" t="str">
        <f>VLOOKUP(D3960,State_Lookup!$A$2:$B$28,2,FALSE)</f>
        <v>Minas Gerais</v>
      </c>
    </row>
    <row r="3961" spans="1:13" x14ac:dyDescent="0.45">
      <c r="A3961" t="s">
        <v>4608</v>
      </c>
      <c r="B3961" t="s">
        <v>4606</v>
      </c>
      <c r="C3961" t="s">
        <v>4359</v>
      </c>
      <c r="D3961" t="s">
        <v>18</v>
      </c>
      <c r="E3961" t="s">
        <v>148</v>
      </c>
      <c r="F3961">
        <v>1</v>
      </c>
      <c r="G3961">
        <v>19.899999999999999</v>
      </c>
      <c r="H3961">
        <v>18.23</v>
      </c>
      <c r="I3961" t="s">
        <v>44</v>
      </c>
      <c r="J3961">
        <v>8</v>
      </c>
      <c r="K3961" t="s">
        <v>51</v>
      </c>
      <c r="L3961">
        <v>5</v>
      </c>
      <c r="M3961" t="str">
        <f>VLOOKUP(D3961,State_Lookup!$A$2:$B$28,2,FALSE)</f>
        <v>Minas Gerais</v>
      </c>
    </row>
    <row r="3962" spans="1:13" x14ac:dyDescent="0.45">
      <c r="A3962" t="s">
        <v>4609</v>
      </c>
      <c r="B3962" t="s">
        <v>4606</v>
      </c>
      <c r="C3962" t="s">
        <v>4359</v>
      </c>
      <c r="D3962" t="s">
        <v>16</v>
      </c>
      <c r="E3962" t="s">
        <v>142</v>
      </c>
      <c r="F3962">
        <v>1</v>
      </c>
      <c r="G3962">
        <v>149.97</v>
      </c>
      <c r="H3962">
        <v>15.93</v>
      </c>
      <c r="I3962" t="s">
        <v>44</v>
      </c>
      <c r="J3962">
        <v>2</v>
      </c>
      <c r="K3962" t="s">
        <v>51</v>
      </c>
      <c r="L3962">
        <v>5</v>
      </c>
      <c r="M3962" t="str">
        <f>VLOOKUP(D3962,State_Lookup!$A$2:$B$28,2,FALSE)</f>
        <v>Sao Paulo</v>
      </c>
    </row>
    <row r="3963" spans="1:13" x14ac:dyDescent="0.45">
      <c r="A3963" t="s">
        <v>4610</v>
      </c>
      <c r="B3963" t="s">
        <v>4606</v>
      </c>
      <c r="C3963" t="s">
        <v>4359</v>
      </c>
      <c r="D3963" t="s">
        <v>19</v>
      </c>
      <c r="E3963" t="s">
        <v>1935</v>
      </c>
      <c r="F3963">
        <v>1</v>
      </c>
      <c r="G3963">
        <v>57.89</v>
      </c>
      <c r="H3963">
        <v>12.77</v>
      </c>
      <c r="I3963" t="s">
        <v>44</v>
      </c>
      <c r="J3963">
        <v>18</v>
      </c>
      <c r="K3963" t="s">
        <v>51</v>
      </c>
      <c r="L3963">
        <v>5</v>
      </c>
      <c r="M3963" t="str">
        <f>VLOOKUP(D3963,State_Lookup!$A$2:$B$28,2,FALSE)</f>
        <v>Rio Grande do Sul</v>
      </c>
    </row>
    <row r="3964" spans="1:13" x14ac:dyDescent="0.45">
      <c r="A3964" t="s">
        <v>4611</v>
      </c>
      <c r="B3964" t="s">
        <v>4606</v>
      </c>
      <c r="C3964" t="s">
        <v>4359</v>
      </c>
      <c r="D3964" t="s">
        <v>16</v>
      </c>
      <c r="E3964" t="s">
        <v>244</v>
      </c>
      <c r="F3964">
        <v>1</v>
      </c>
      <c r="G3964">
        <v>36.229999999999997</v>
      </c>
      <c r="H3964">
        <v>18.23</v>
      </c>
      <c r="I3964" t="s">
        <v>44</v>
      </c>
      <c r="J3964">
        <v>15</v>
      </c>
      <c r="K3964" t="s">
        <v>51</v>
      </c>
      <c r="L3964">
        <v>5</v>
      </c>
      <c r="M3964" t="str">
        <f>VLOOKUP(D3964,State_Lookup!$A$2:$B$28,2,FALSE)</f>
        <v>Sao Paulo</v>
      </c>
    </row>
    <row r="3965" spans="1:13" x14ac:dyDescent="0.45">
      <c r="A3965" t="s">
        <v>4612</v>
      </c>
      <c r="B3965" t="s">
        <v>4606</v>
      </c>
      <c r="C3965" t="s">
        <v>4359</v>
      </c>
      <c r="D3965" t="s">
        <v>18</v>
      </c>
      <c r="E3965" t="s">
        <v>142</v>
      </c>
      <c r="F3965">
        <v>1</v>
      </c>
      <c r="G3965">
        <v>69.900000000000006</v>
      </c>
      <c r="H3965">
        <v>7.87</v>
      </c>
      <c r="I3965" t="s">
        <v>44</v>
      </c>
      <c r="J3965">
        <v>12</v>
      </c>
      <c r="K3965" t="s">
        <v>51</v>
      </c>
      <c r="L3965">
        <v>5</v>
      </c>
      <c r="M3965" t="str">
        <f>VLOOKUP(D3965,State_Lookup!$A$2:$B$28,2,FALSE)</f>
        <v>Minas Gerais</v>
      </c>
    </row>
    <row r="3966" spans="1:13" x14ac:dyDescent="0.45">
      <c r="A3966" t="s">
        <v>4613</v>
      </c>
      <c r="B3966" t="s">
        <v>4606</v>
      </c>
      <c r="C3966" t="s">
        <v>4359</v>
      </c>
      <c r="D3966" t="s">
        <v>21</v>
      </c>
      <c r="E3966" t="s">
        <v>192</v>
      </c>
      <c r="F3966">
        <v>1</v>
      </c>
      <c r="G3966">
        <v>59.9</v>
      </c>
      <c r="H3966">
        <v>19.39</v>
      </c>
      <c r="I3966" t="s">
        <v>44</v>
      </c>
      <c r="J3966">
        <v>18</v>
      </c>
      <c r="K3966" t="s">
        <v>51</v>
      </c>
      <c r="L3966">
        <v>4</v>
      </c>
      <c r="M3966" t="str">
        <f>VLOOKUP(D3966,State_Lookup!$A$2:$B$28,2,FALSE)</f>
        <v>Santa Catarina</v>
      </c>
    </row>
    <row r="3967" spans="1:13" x14ac:dyDescent="0.45">
      <c r="A3967" t="s">
        <v>4614</v>
      </c>
      <c r="B3967" t="s">
        <v>4606</v>
      </c>
      <c r="C3967" t="s">
        <v>4359</v>
      </c>
      <c r="D3967" t="s">
        <v>17</v>
      </c>
      <c r="E3967" t="s">
        <v>142</v>
      </c>
      <c r="F3967">
        <v>1</v>
      </c>
      <c r="G3967">
        <v>189</v>
      </c>
      <c r="H3967">
        <v>27.4</v>
      </c>
      <c r="I3967" t="s">
        <v>50</v>
      </c>
      <c r="J3967">
        <v>19</v>
      </c>
      <c r="K3967" t="s">
        <v>51</v>
      </c>
      <c r="L3967">
        <v>5</v>
      </c>
      <c r="M3967" t="str">
        <f>VLOOKUP(D3967,State_Lookup!$A$2:$B$28,2,FALSE)</f>
        <v>Rio de Janeiro</v>
      </c>
    </row>
    <row r="3968" spans="1:13" x14ac:dyDescent="0.45">
      <c r="A3968" t="s">
        <v>4615</v>
      </c>
      <c r="B3968" t="s">
        <v>4606</v>
      </c>
      <c r="C3968" t="s">
        <v>4359</v>
      </c>
      <c r="D3968" t="s">
        <v>20</v>
      </c>
      <c r="E3968" t="s">
        <v>79</v>
      </c>
      <c r="F3968">
        <v>1</v>
      </c>
      <c r="G3968">
        <v>46.4</v>
      </c>
      <c r="H3968">
        <v>15.23</v>
      </c>
      <c r="I3968" t="s">
        <v>44</v>
      </c>
      <c r="J3968">
        <v>25</v>
      </c>
      <c r="K3968" t="s">
        <v>143</v>
      </c>
      <c r="L3968">
        <v>1</v>
      </c>
      <c r="M3968" t="str">
        <f>VLOOKUP(D3968,State_Lookup!$A$2:$B$28,2,FALSE)</f>
        <v>Parana</v>
      </c>
    </row>
    <row r="3969" spans="1:13" x14ac:dyDescent="0.45">
      <c r="A3969" t="s">
        <v>4616</v>
      </c>
      <c r="B3969" t="s">
        <v>4606</v>
      </c>
      <c r="C3969" t="s">
        <v>4359</v>
      </c>
      <c r="D3969" t="s">
        <v>16</v>
      </c>
      <c r="E3969" t="s">
        <v>125</v>
      </c>
      <c r="F3969">
        <v>2</v>
      </c>
      <c r="G3969">
        <v>53.8</v>
      </c>
      <c r="H3969">
        <v>17.760000000000002</v>
      </c>
      <c r="I3969" t="s">
        <v>44</v>
      </c>
      <c r="J3969">
        <v>2</v>
      </c>
      <c r="K3969" t="s">
        <v>51</v>
      </c>
      <c r="L3969">
        <v>3</v>
      </c>
      <c r="M3969" t="str">
        <f>VLOOKUP(D3969,State_Lookup!$A$2:$B$28,2,FALSE)</f>
        <v>Sao Paulo</v>
      </c>
    </row>
    <row r="3970" spans="1:13" x14ac:dyDescent="0.45">
      <c r="A3970" t="s">
        <v>4617</v>
      </c>
      <c r="B3970" t="s">
        <v>4606</v>
      </c>
      <c r="C3970" t="s">
        <v>4359</v>
      </c>
      <c r="D3970" t="s">
        <v>17</v>
      </c>
      <c r="E3970" t="s">
        <v>110</v>
      </c>
      <c r="F3970">
        <v>1</v>
      </c>
      <c r="G3970">
        <v>49.95</v>
      </c>
      <c r="H3970">
        <v>19.32</v>
      </c>
      <c r="I3970" t="s">
        <v>50</v>
      </c>
      <c r="J3970">
        <v>16</v>
      </c>
      <c r="K3970" t="s">
        <v>51</v>
      </c>
      <c r="L3970">
        <v>4</v>
      </c>
      <c r="M3970" t="str">
        <f>VLOOKUP(D3970,State_Lookup!$A$2:$B$28,2,FALSE)</f>
        <v>Rio de Janeiro</v>
      </c>
    </row>
    <row r="3971" spans="1:13" x14ac:dyDescent="0.45">
      <c r="A3971" t="s">
        <v>4618</v>
      </c>
      <c r="B3971" t="s">
        <v>4619</v>
      </c>
      <c r="C3971" t="s">
        <v>4359</v>
      </c>
      <c r="D3971" t="s">
        <v>17</v>
      </c>
      <c r="E3971" t="s">
        <v>1839</v>
      </c>
      <c r="F3971">
        <v>1</v>
      </c>
      <c r="G3971">
        <v>54.4</v>
      </c>
      <c r="H3971">
        <v>27.14</v>
      </c>
      <c r="I3971" t="s">
        <v>44</v>
      </c>
      <c r="J3971">
        <v>18</v>
      </c>
      <c r="K3971" t="s">
        <v>51</v>
      </c>
      <c r="L3971">
        <v>3</v>
      </c>
      <c r="M3971" t="str">
        <f>VLOOKUP(D3971,State_Lookup!$A$2:$B$28,2,FALSE)</f>
        <v>Rio de Janeiro</v>
      </c>
    </row>
    <row r="3972" spans="1:13" x14ac:dyDescent="0.45">
      <c r="A3972" t="s">
        <v>4620</v>
      </c>
      <c r="B3972" t="s">
        <v>4619</v>
      </c>
      <c r="C3972" t="s">
        <v>4359</v>
      </c>
      <c r="D3972" t="s">
        <v>16</v>
      </c>
      <c r="E3972" t="s">
        <v>43</v>
      </c>
      <c r="F3972">
        <v>1</v>
      </c>
      <c r="G3972">
        <v>79.900000000000006</v>
      </c>
      <c r="H3972">
        <v>18.14</v>
      </c>
      <c r="I3972" t="s">
        <v>44</v>
      </c>
      <c r="J3972">
        <v>15</v>
      </c>
      <c r="K3972" t="s">
        <v>51</v>
      </c>
      <c r="L3972">
        <v>5</v>
      </c>
      <c r="M3972" t="str">
        <f>VLOOKUP(D3972,State_Lookup!$A$2:$B$28,2,FALSE)</f>
        <v>Sao Paulo</v>
      </c>
    </row>
    <row r="3973" spans="1:13" x14ac:dyDescent="0.45">
      <c r="A3973" t="s">
        <v>4621</v>
      </c>
      <c r="B3973" t="s">
        <v>4619</v>
      </c>
      <c r="C3973" t="s">
        <v>4359</v>
      </c>
      <c r="D3973" t="s">
        <v>16</v>
      </c>
      <c r="E3973" t="s">
        <v>269</v>
      </c>
      <c r="F3973">
        <v>1</v>
      </c>
      <c r="G3973">
        <v>80</v>
      </c>
      <c r="H3973">
        <v>7.43</v>
      </c>
      <c r="I3973" t="s">
        <v>44</v>
      </c>
      <c r="J3973">
        <v>2</v>
      </c>
      <c r="K3973" t="s">
        <v>51</v>
      </c>
      <c r="L3973">
        <v>5</v>
      </c>
      <c r="M3973" t="str">
        <f>VLOOKUP(D3973,State_Lookup!$A$2:$B$28,2,FALSE)</f>
        <v>Sao Paulo</v>
      </c>
    </row>
    <row r="3974" spans="1:13" x14ac:dyDescent="0.45">
      <c r="A3974" t="s">
        <v>4622</v>
      </c>
      <c r="B3974" t="s">
        <v>4619</v>
      </c>
      <c r="C3974" t="s">
        <v>4359</v>
      </c>
      <c r="D3974" t="s">
        <v>19</v>
      </c>
      <c r="E3974" t="s">
        <v>1903</v>
      </c>
      <c r="F3974">
        <v>2</v>
      </c>
      <c r="G3974">
        <v>116</v>
      </c>
      <c r="H3974">
        <v>36.58</v>
      </c>
      <c r="I3974" t="s">
        <v>44</v>
      </c>
      <c r="J3974">
        <v>16</v>
      </c>
      <c r="K3974" t="s">
        <v>51</v>
      </c>
      <c r="L3974">
        <v>5</v>
      </c>
      <c r="M3974" t="str">
        <f>VLOOKUP(D3974,State_Lookup!$A$2:$B$28,2,FALSE)</f>
        <v>Rio Grande do Sul</v>
      </c>
    </row>
    <row r="3975" spans="1:13" x14ac:dyDescent="0.45">
      <c r="A3975" t="s">
        <v>4623</v>
      </c>
      <c r="B3975" t="s">
        <v>4619</v>
      </c>
      <c r="C3975" t="s">
        <v>4359</v>
      </c>
      <c r="D3975" t="s">
        <v>16</v>
      </c>
      <c r="E3975" t="s">
        <v>125</v>
      </c>
      <c r="F3975">
        <v>1</v>
      </c>
      <c r="G3975">
        <v>26.9</v>
      </c>
      <c r="H3975">
        <v>8.8800000000000008</v>
      </c>
      <c r="I3975" t="s">
        <v>44</v>
      </c>
      <c r="J3975">
        <v>7</v>
      </c>
      <c r="K3975" t="s">
        <v>143</v>
      </c>
      <c r="L3975">
        <v>5</v>
      </c>
      <c r="M3975" t="str">
        <f>VLOOKUP(D3975,State_Lookup!$A$2:$B$28,2,FALSE)</f>
        <v>Sao Paulo</v>
      </c>
    </row>
    <row r="3976" spans="1:13" x14ac:dyDescent="0.45">
      <c r="A3976" t="s">
        <v>4624</v>
      </c>
      <c r="B3976" t="s">
        <v>4619</v>
      </c>
      <c r="C3976" t="s">
        <v>4359</v>
      </c>
      <c r="D3976" t="s">
        <v>18</v>
      </c>
      <c r="E3976" t="s">
        <v>244</v>
      </c>
      <c r="F3976">
        <v>1</v>
      </c>
      <c r="G3976">
        <v>199</v>
      </c>
      <c r="H3976">
        <v>14.51</v>
      </c>
      <c r="I3976" t="s">
        <v>44</v>
      </c>
      <c r="J3976">
        <v>11</v>
      </c>
      <c r="K3976" t="s">
        <v>51</v>
      </c>
      <c r="L3976">
        <v>5</v>
      </c>
      <c r="M3976" t="str">
        <f>VLOOKUP(D3976,State_Lookup!$A$2:$B$28,2,FALSE)</f>
        <v>Minas Gerais</v>
      </c>
    </row>
    <row r="3977" spans="1:13" x14ac:dyDescent="0.45">
      <c r="A3977" t="s">
        <v>4625</v>
      </c>
      <c r="B3977" t="s">
        <v>4619</v>
      </c>
      <c r="C3977" t="s">
        <v>4359</v>
      </c>
      <c r="D3977" t="s">
        <v>16</v>
      </c>
      <c r="E3977" t="s">
        <v>43</v>
      </c>
      <c r="F3977">
        <v>2</v>
      </c>
      <c r="G3977">
        <v>139.80000000000001</v>
      </c>
      <c r="H3977">
        <v>24.86</v>
      </c>
      <c r="I3977" t="s">
        <v>44</v>
      </c>
      <c r="J3977">
        <v>2</v>
      </c>
      <c r="K3977" t="s">
        <v>51</v>
      </c>
      <c r="L3977">
        <v>5</v>
      </c>
      <c r="M3977" t="str">
        <f>VLOOKUP(D3977,State_Lookup!$A$2:$B$28,2,FALSE)</f>
        <v>Sao Paulo</v>
      </c>
    </row>
    <row r="3978" spans="1:13" x14ac:dyDescent="0.45">
      <c r="A3978" t="s">
        <v>4626</v>
      </c>
      <c r="B3978" t="s">
        <v>4627</v>
      </c>
      <c r="C3978" t="s">
        <v>4359</v>
      </c>
      <c r="D3978" t="s">
        <v>16</v>
      </c>
      <c r="E3978" t="s">
        <v>107</v>
      </c>
      <c r="F3978">
        <v>1</v>
      </c>
      <c r="G3978">
        <v>595</v>
      </c>
      <c r="H3978">
        <v>85.26</v>
      </c>
      <c r="I3978" t="s">
        <v>50</v>
      </c>
      <c r="J3978">
        <v>15</v>
      </c>
      <c r="K3978" t="s">
        <v>51</v>
      </c>
      <c r="L3978">
        <v>5</v>
      </c>
      <c r="M3978" t="str">
        <f>VLOOKUP(D3978,State_Lookup!$A$2:$B$28,2,FALSE)</f>
        <v>Sao Paulo</v>
      </c>
    </row>
    <row r="3979" spans="1:13" x14ac:dyDescent="0.45">
      <c r="A3979" t="s">
        <v>4628</v>
      </c>
      <c r="B3979" t="s">
        <v>4627</v>
      </c>
      <c r="C3979" t="s">
        <v>4359</v>
      </c>
      <c r="D3979" t="s">
        <v>16</v>
      </c>
      <c r="E3979" t="s">
        <v>107</v>
      </c>
      <c r="F3979">
        <v>1</v>
      </c>
      <c r="G3979">
        <v>69.989999999999995</v>
      </c>
      <c r="H3979">
        <v>8.2899999999999991</v>
      </c>
      <c r="I3979" t="s">
        <v>50</v>
      </c>
      <c r="J3979">
        <v>2</v>
      </c>
      <c r="K3979" t="s">
        <v>51</v>
      </c>
      <c r="L3979">
        <v>5</v>
      </c>
      <c r="M3979" t="str">
        <f>VLOOKUP(D3979,State_Lookup!$A$2:$B$28,2,FALSE)</f>
        <v>Sao Paulo</v>
      </c>
    </row>
    <row r="3980" spans="1:13" x14ac:dyDescent="0.45">
      <c r="A3980" t="s">
        <v>4629</v>
      </c>
      <c r="B3980" t="s">
        <v>4627</v>
      </c>
      <c r="C3980" t="s">
        <v>4359</v>
      </c>
      <c r="D3980" t="s">
        <v>16</v>
      </c>
      <c r="E3980" t="s">
        <v>53</v>
      </c>
      <c r="F3980">
        <v>1</v>
      </c>
      <c r="G3980">
        <v>38.9</v>
      </c>
      <c r="H3980">
        <v>9.44</v>
      </c>
      <c r="I3980" t="s">
        <v>44</v>
      </c>
      <c r="J3980">
        <v>1</v>
      </c>
      <c r="K3980" t="s">
        <v>51</v>
      </c>
      <c r="L3980">
        <v>5</v>
      </c>
      <c r="M3980" t="str">
        <f>VLOOKUP(D3980,State_Lookup!$A$2:$B$28,2,FALSE)</f>
        <v>Sao Paulo</v>
      </c>
    </row>
    <row r="3981" spans="1:13" x14ac:dyDescent="0.45">
      <c r="A3981" t="s">
        <v>4630</v>
      </c>
      <c r="B3981" t="s">
        <v>4627</v>
      </c>
      <c r="C3981" t="s">
        <v>4359</v>
      </c>
      <c r="D3981" t="s">
        <v>16</v>
      </c>
      <c r="E3981" t="s">
        <v>43</v>
      </c>
      <c r="F3981">
        <v>2</v>
      </c>
      <c r="G3981">
        <v>129.6</v>
      </c>
      <c r="H3981">
        <v>25.78</v>
      </c>
      <c r="I3981" t="s">
        <v>44</v>
      </c>
      <c r="J3981">
        <v>10</v>
      </c>
      <c r="K3981" t="s">
        <v>51</v>
      </c>
      <c r="L3981">
        <v>5</v>
      </c>
      <c r="M3981" t="str">
        <f>VLOOKUP(D3981,State_Lookup!$A$2:$B$28,2,FALSE)</f>
        <v>Sao Paulo</v>
      </c>
    </row>
    <row r="3982" spans="1:13" x14ac:dyDescent="0.45">
      <c r="A3982" t="s">
        <v>4631</v>
      </c>
      <c r="B3982" t="s">
        <v>4627</v>
      </c>
      <c r="C3982" t="s">
        <v>4359</v>
      </c>
      <c r="D3982" t="s">
        <v>16</v>
      </c>
      <c r="E3982" t="s">
        <v>110</v>
      </c>
      <c r="F3982">
        <v>1</v>
      </c>
      <c r="G3982">
        <v>91.3</v>
      </c>
      <c r="H3982">
        <v>23.22</v>
      </c>
      <c r="I3982" t="s">
        <v>133</v>
      </c>
      <c r="J3982">
        <v>14</v>
      </c>
      <c r="K3982" t="s">
        <v>51</v>
      </c>
      <c r="L3982">
        <v>5</v>
      </c>
      <c r="M3982" t="str">
        <f>VLOOKUP(D3982,State_Lookup!$A$2:$B$28,2,FALSE)</f>
        <v>Sao Paulo</v>
      </c>
    </row>
    <row r="3983" spans="1:13" x14ac:dyDescent="0.45">
      <c r="A3983" t="s">
        <v>4632</v>
      </c>
      <c r="B3983" t="s">
        <v>4627</v>
      </c>
      <c r="C3983" t="s">
        <v>4359</v>
      </c>
      <c r="D3983" t="s">
        <v>16</v>
      </c>
      <c r="E3983" t="s">
        <v>110</v>
      </c>
      <c r="F3983">
        <v>1</v>
      </c>
      <c r="G3983">
        <v>47.9</v>
      </c>
      <c r="H3983">
        <v>8.8800000000000008</v>
      </c>
      <c r="I3983" t="s">
        <v>50</v>
      </c>
      <c r="J3983">
        <v>6</v>
      </c>
      <c r="K3983" t="s">
        <v>51</v>
      </c>
      <c r="L3983">
        <v>3</v>
      </c>
      <c r="M3983" t="str">
        <f>VLOOKUP(D3983,State_Lookup!$A$2:$B$28,2,FALSE)</f>
        <v>Sao Paulo</v>
      </c>
    </row>
    <row r="3984" spans="1:13" x14ac:dyDescent="0.45">
      <c r="A3984" t="s">
        <v>4633</v>
      </c>
      <c r="B3984" t="s">
        <v>4627</v>
      </c>
      <c r="C3984" t="s">
        <v>4359</v>
      </c>
      <c r="D3984" t="s">
        <v>16</v>
      </c>
      <c r="E3984" t="s">
        <v>220</v>
      </c>
      <c r="F3984">
        <v>3</v>
      </c>
      <c r="G3984">
        <v>449.82</v>
      </c>
      <c r="H3984">
        <v>72.350000000000009</v>
      </c>
      <c r="I3984" t="s">
        <v>44</v>
      </c>
      <c r="J3984">
        <v>20</v>
      </c>
      <c r="K3984" t="s">
        <v>51</v>
      </c>
      <c r="L3984">
        <v>5</v>
      </c>
      <c r="M3984" t="str">
        <f>VLOOKUP(D3984,State_Lookup!$A$2:$B$28,2,FALSE)</f>
        <v>Sao Paulo</v>
      </c>
    </row>
    <row r="3985" spans="1:13" x14ac:dyDescent="0.45">
      <c r="A3985" t="s">
        <v>4634</v>
      </c>
      <c r="B3985" t="s">
        <v>4627</v>
      </c>
      <c r="C3985" t="s">
        <v>4359</v>
      </c>
      <c r="D3985" t="s">
        <v>16</v>
      </c>
      <c r="E3985" t="s">
        <v>76</v>
      </c>
      <c r="F3985">
        <v>1</v>
      </c>
      <c r="G3985">
        <v>110</v>
      </c>
      <c r="H3985">
        <v>15.67</v>
      </c>
      <c r="I3985" t="s">
        <v>44</v>
      </c>
      <c r="J3985">
        <v>2</v>
      </c>
      <c r="K3985" t="s">
        <v>51</v>
      </c>
      <c r="L3985">
        <v>5</v>
      </c>
      <c r="M3985" t="str">
        <f>VLOOKUP(D3985,State_Lookup!$A$2:$B$28,2,FALSE)</f>
        <v>Sao Paulo</v>
      </c>
    </row>
    <row r="3986" spans="1:13" x14ac:dyDescent="0.45">
      <c r="A3986" t="s">
        <v>4635</v>
      </c>
      <c r="B3986" t="s">
        <v>4627</v>
      </c>
      <c r="C3986" t="s">
        <v>4359</v>
      </c>
      <c r="D3986" t="s">
        <v>16</v>
      </c>
      <c r="E3986" t="s">
        <v>1648</v>
      </c>
      <c r="F3986">
        <v>1</v>
      </c>
      <c r="G3986">
        <v>120</v>
      </c>
      <c r="H3986">
        <v>17.55</v>
      </c>
      <c r="I3986" t="s">
        <v>50</v>
      </c>
      <c r="J3986">
        <v>8</v>
      </c>
      <c r="K3986" t="s">
        <v>51</v>
      </c>
      <c r="L3986">
        <v>5</v>
      </c>
      <c r="M3986" t="str">
        <f>VLOOKUP(D3986,State_Lookup!$A$2:$B$28,2,FALSE)</f>
        <v>Sao Paulo</v>
      </c>
    </row>
    <row r="3987" spans="1:13" x14ac:dyDescent="0.45">
      <c r="A3987" t="s">
        <v>4636</v>
      </c>
      <c r="B3987" t="s">
        <v>4627</v>
      </c>
      <c r="C3987" t="s">
        <v>4359</v>
      </c>
      <c r="D3987" t="s">
        <v>16</v>
      </c>
      <c r="E3987" t="s">
        <v>110</v>
      </c>
      <c r="F3987">
        <v>1</v>
      </c>
      <c r="G3987">
        <v>48.99</v>
      </c>
      <c r="H3987">
        <v>13.71</v>
      </c>
      <c r="I3987" t="s">
        <v>44</v>
      </c>
      <c r="J3987">
        <v>11</v>
      </c>
      <c r="K3987" t="s">
        <v>51</v>
      </c>
      <c r="L3987">
        <v>3</v>
      </c>
      <c r="M3987" t="str">
        <f>VLOOKUP(D3987,State_Lookup!$A$2:$B$28,2,FALSE)</f>
        <v>Sao Paulo</v>
      </c>
    </row>
    <row r="3988" spans="1:13" x14ac:dyDescent="0.45">
      <c r="A3988" t="s">
        <v>4637</v>
      </c>
      <c r="B3988" t="s">
        <v>4627</v>
      </c>
      <c r="C3988" t="s">
        <v>4359</v>
      </c>
      <c r="D3988" t="s">
        <v>16</v>
      </c>
      <c r="E3988" t="s">
        <v>220</v>
      </c>
      <c r="F3988">
        <v>1</v>
      </c>
      <c r="G3988">
        <v>1189.9000000000001</v>
      </c>
      <c r="H3988">
        <v>121.05</v>
      </c>
      <c r="I3988" t="s">
        <v>44</v>
      </c>
      <c r="J3988">
        <v>13</v>
      </c>
      <c r="K3988" t="s">
        <v>51</v>
      </c>
      <c r="L3988">
        <v>3</v>
      </c>
      <c r="M3988" t="str">
        <f>VLOOKUP(D3988,State_Lookup!$A$2:$B$28,2,FALSE)</f>
        <v>Sao Paulo</v>
      </c>
    </row>
    <row r="3989" spans="1:13" x14ac:dyDescent="0.45">
      <c r="A3989" t="s">
        <v>4638</v>
      </c>
      <c r="B3989" t="s">
        <v>4627</v>
      </c>
      <c r="C3989" t="s">
        <v>4359</v>
      </c>
      <c r="D3989" t="s">
        <v>16</v>
      </c>
      <c r="E3989" t="s">
        <v>142</v>
      </c>
      <c r="F3989">
        <v>1</v>
      </c>
      <c r="G3989">
        <v>24.2</v>
      </c>
      <c r="H3989">
        <v>17.34</v>
      </c>
      <c r="I3989" t="s">
        <v>50</v>
      </c>
      <c r="J3989">
        <v>5</v>
      </c>
      <c r="K3989" t="s">
        <v>51</v>
      </c>
      <c r="L3989">
        <v>5</v>
      </c>
      <c r="M3989" t="str">
        <f>VLOOKUP(D3989,State_Lookup!$A$2:$B$28,2,FALSE)</f>
        <v>Sao Paulo</v>
      </c>
    </row>
    <row r="3990" spans="1:13" x14ac:dyDescent="0.45">
      <c r="A3990" t="s">
        <v>4639</v>
      </c>
      <c r="B3990" t="s">
        <v>4627</v>
      </c>
      <c r="C3990" t="s">
        <v>4359</v>
      </c>
      <c r="D3990" t="s">
        <v>16</v>
      </c>
      <c r="E3990" t="s">
        <v>110</v>
      </c>
      <c r="F3990">
        <v>1</v>
      </c>
      <c r="G3990">
        <v>19.899999999999999</v>
      </c>
      <c r="H3990">
        <v>12.79</v>
      </c>
      <c r="I3990" t="s">
        <v>44</v>
      </c>
      <c r="J3990">
        <v>12</v>
      </c>
      <c r="K3990" t="s">
        <v>51</v>
      </c>
      <c r="L3990">
        <v>5</v>
      </c>
      <c r="M3990" t="str">
        <f>VLOOKUP(D3990,State_Lookup!$A$2:$B$28,2,FALSE)</f>
        <v>Sao Paulo</v>
      </c>
    </row>
    <row r="3991" spans="1:13" x14ac:dyDescent="0.45">
      <c r="A3991" t="s">
        <v>4640</v>
      </c>
      <c r="B3991" t="s">
        <v>4627</v>
      </c>
      <c r="C3991" t="s">
        <v>4359</v>
      </c>
      <c r="D3991" t="s">
        <v>16</v>
      </c>
      <c r="E3991" t="s">
        <v>69</v>
      </c>
      <c r="F3991">
        <v>3</v>
      </c>
      <c r="G3991">
        <v>198.7</v>
      </c>
      <c r="H3991">
        <v>63.19</v>
      </c>
      <c r="I3991" t="s">
        <v>50</v>
      </c>
      <c r="J3991">
        <v>2</v>
      </c>
      <c r="K3991" t="s">
        <v>51</v>
      </c>
      <c r="L3991">
        <v>5</v>
      </c>
      <c r="M3991" t="str">
        <f>VLOOKUP(D3991,State_Lookup!$A$2:$B$28,2,FALSE)</f>
        <v>Sao Paulo</v>
      </c>
    </row>
    <row r="3992" spans="1:13" x14ac:dyDescent="0.45">
      <c r="A3992" t="s">
        <v>4641</v>
      </c>
      <c r="B3992" t="s">
        <v>4642</v>
      </c>
      <c r="C3992" t="s">
        <v>4359</v>
      </c>
      <c r="D3992" t="s">
        <v>17</v>
      </c>
      <c r="E3992" t="s">
        <v>110</v>
      </c>
      <c r="F3992">
        <v>1</v>
      </c>
      <c r="G3992">
        <v>114.9</v>
      </c>
      <c r="H3992">
        <v>23.38</v>
      </c>
      <c r="I3992" t="s">
        <v>50</v>
      </c>
      <c r="J3992">
        <v>14</v>
      </c>
      <c r="K3992" t="s">
        <v>51</v>
      </c>
      <c r="L3992">
        <v>4</v>
      </c>
      <c r="M3992" t="str">
        <f>VLOOKUP(D3992,State_Lookup!$A$2:$B$28,2,FALSE)</f>
        <v>Rio de Janeiro</v>
      </c>
    </row>
    <row r="3993" spans="1:13" x14ac:dyDescent="0.45">
      <c r="A3993" t="s">
        <v>4643</v>
      </c>
      <c r="B3993" t="s">
        <v>4642</v>
      </c>
      <c r="C3993" t="s">
        <v>4359</v>
      </c>
      <c r="D3993" t="s">
        <v>21</v>
      </c>
      <c r="E3993" t="s">
        <v>110</v>
      </c>
      <c r="F3993">
        <v>1</v>
      </c>
      <c r="G3993">
        <v>51.9</v>
      </c>
      <c r="H3993">
        <v>19.05</v>
      </c>
      <c r="I3993" t="s">
        <v>44</v>
      </c>
      <c r="J3993">
        <v>15</v>
      </c>
      <c r="K3993" t="s">
        <v>51</v>
      </c>
      <c r="L3993">
        <v>5</v>
      </c>
      <c r="M3993" t="str">
        <f>VLOOKUP(D3993,State_Lookup!$A$2:$B$28,2,FALSE)</f>
        <v>Santa Catarina</v>
      </c>
    </row>
    <row r="3994" spans="1:13" x14ac:dyDescent="0.45">
      <c r="A3994" t="s">
        <v>4644</v>
      </c>
      <c r="B3994" t="s">
        <v>4642</v>
      </c>
      <c r="C3994" t="s">
        <v>4359</v>
      </c>
      <c r="D3994" t="s">
        <v>16</v>
      </c>
      <c r="E3994" t="s">
        <v>110</v>
      </c>
      <c r="F3994">
        <v>1</v>
      </c>
      <c r="G3994">
        <v>69.900000000000006</v>
      </c>
      <c r="H3994">
        <v>10.210000000000001</v>
      </c>
      <c r="I3994" t="s">
        <v>44</v>
      </c>
      <c r="J3994">
        <v>14</v>
      </c>
      <c r="K3994" t="s">
        <v>51</v>
      </c>
      <c r="L3994">
        <v>3</v>
      </c>
      <c r="M3994" t="str">
        <f>VLOOKUP(D3994,State_Lookup!$A$2:$B$28,2,FALSE)</f>
        <v>Sao Paulo</v>
      </c>
    </row>
    <row r="3995" spans="1:13" x14ac:dyDescent="0.45">
      <c r="A3995" t="s">
        <v>4645</v>
      </c>
      <c r="B3995" t="s">
        <v>4642</v>
      </c>
      <c r="C3995" t="s">
        <v>4359</v>
      </c>
      <c r="D3995" t="s">
        <v>17</v>
      </c>
      <c r="E3995" t="s">
        <v>142</v>
      </c>
      <c r="F3995">
        <v>1</v>
      </c>
      <c r="G3995">
        <v>97</v>
      </c>
      <c r="H3995">
        <v>23.26</v>
      </c>
      <c r="I3995" t="s">
        <v>44</v>
      </c>
      <c r="J3995">
        <v>9</v>
      </c>
      <c r="K3995" t="s">
        <v>51</v>
      </c>
      <c r="L3995">
        <v>3</v>
      </c>
      <c r="M3995" t="str">
        <f>VLOOKUP(D3995,State_Lookup!$A$2:$B$28,2,FALSE)</f>
        <v>Rio de Janeiro</v>
      </c>
    </row>
    <row r="3996" spans="1:13" x14ac:dyDescent="0.45">
      <c r="A3996" t="s">
        <v>4646</v>
      </c>
      <c r="B3996" t="s">
        <v>4642</v>
      </c>
      <c r="C3996" t="s">
        <v>4359</v>
      </c>
      <c r="D3996" t="s">
        <v>16</v>
      </c>
      <c r="E3996" t="s">
        <v>79</v>
      </c>
      <c r="F3996">
        <v>1</v>
      </c>
      <c r="G3996">
        <v>53</v>
      </c>
      <c r="H3996">
        <v>8.2899999999999991</v>
      </c>
      <c r="I3996" t="s">
        <v>50</v>
      </c>
      <c r="J3996">
        <v>2</v>
      </c>
      <c r="K3996" t="s">
        <v>51</v>
      </c>
      <c r="L3996">
        <v>5</v>
      </c>
      <c r="M3996" t="str">
        <f>VLOOKUP(D3996,State_Lookup!$A$2:$B$28,2,FALSE)</f>
        <v>Sao Paulo</v>
      </c>
    </row>
    <row r="3997" spans="1:13" x14ac:dyDescent="0.45">
      <c r="A3997" t="s">
        <v>4647</v>
      </c>
      <c r="B3997" t="s">
        <v>4648</v>
      </c>
      <c r="C3997" t="s">
        <v>4359</v>
      </c>
      <c r="D3997" t="s">
        <v>16</v>
      </c>
      <c r="E3997" t="s">
        <v>1839</v>
      </c>
      <c r="F3997">
        <v>1</v>
      </c>
      <c r="G3997">
        <v>150</v>
      </c>
      <c r="H3997">
        <v>11.31</v>
      </c>
      <c r="I3997" t="s">
        <v>50</v>
      </c>
      <c r="J3997">
        <v>13</v>
      </c>
      <c r="K3997" t="s">
        <v>51</v>
      </c>
      <c r="L3997">
        <v>1</v>
      </c>
      <c r="M3997" t="str">
        <f>VLOOKUP(D3997,State_Lookup!$A$2:$B$28,2,FALSE)</f>
        <v>Sao Paulo</v>
      </c>
    </row>
    <row r="3998" spans="1:13" x14ac:dyDescent="0.45">
      <c r="A3998" t="s">
        <v>4649</v>
      </c>
      <c r="B3998" t="s">
        <v>4648</v>
      </c>
      <c r="C3998" t="s">
        <v>4359</v>
      </c>
      <c r="D3998" t="s">
        <v>16</v>
      </c>
      <c r="E3998" t="s">
        <v>3316</v>
      </c>
      <c r="F3998">
        <v>1</v>
      </c>
      <c r="G3998">
        <v>1799</v>
      </c>
      <c r="H3998">
        <v>29.41</v>
      </c>
      <c r="I3998" t="s">
        <v>44</v>
      </c>
      <c r="J3998">
        <v>1</v>
      </c>
      <c r="K3998" t="s">
        <v>51</v>
      </c>
      <c r="L3998">
        <v>4</v>
      </c>
      <c r="M3998" t="str">
        <f>VLOOKUP(D3998,State_Lookup!$A$2:$B$28,2,FALSE)</f>
        <v>Sao Paulo</v>
      </c>
    </row>
    <row r="3999" spans="1:13" x14ac:dyDescent="0.45">
      <c r="A3999" t="s">
        <v>4650</v>
      </c>
      <c r="B3999" t="s">
        <v>4648</v>
      </c>
      <c r="C3999" t="s">
        <v>4359</v>
      </c>
      <c r="D3999" t="s">
        <v>16</v>
      </c>
      <c r="E3999" t="s">
        <v>49</v>
      </c>
      <c r="F3999">
        <v>2</v>
      </c>
      <c r="G3999">
        <v>39.979999999999997</v>
      </c>
      <c r="H3999">
        <v>14.78</v>
      </c>
      <c r="I3999" t="s">
        <v>44</v>
      </c>
      <c r="J3999">
        <v>1</v>
      </c>
      <c r="K3999" t="s">
        <v>51</v>
      </c>
      <c r="L3999">
        <v>5</v>
      </c>
      <c r="M3999" t="str">
        <f>VLOOKUP(D3999,State_Lookup!$A$2:$B$28,2,FALSE)</f>
        <v>Sao Paulo</v>
      </c>
    </row>
    <row r="4000" spans="1:13" x14ac:dyDescent="0.45">
      <c r="A4000" t="s">
        <v>4651</v>
      </c>
      <c r="B4000" t="s">
        <v>4648</v>
      </c>
      <c r="C4000" t="s">
        <v>4359</v>
      </c>
      <c r="D4000" t="s">
        <v>16</v>
      </c>
      <c r="E4000" t="s">
        <v>49</v>
      </c>
      <c r="F4000">
        <v>1</v>
      </c>
      <c r="G4000">
        <v>22.3</v>
      </c>
      <c r="H4000">
        <v>8.8800000000000008</v>
      </c>
      <c r="I4000" t="s">
        <v>50</v>
      </c>
      <c r="J4000">
        <v>8</v>
      </c>
      <c r="K4000" t="s">
        <v>51</v>
      </c>
      <c r="L4000">
        <v>5</v>
      </c>
      <c r="M4000" t="str">
        <f>VLOOKUP(D4000,State_Lookup!$A$2:$B$28,2,FALSE)</f>
        <v>Sao Paulo</v>
      </c>
    </row>
    <row r="4001" spans="1:13" x14ac:dyDescent="0.45">
      <c r="A4001" t="s">
        <v>4652</v>
      </c>
      <c r="B4001" t="s">
        <v>4648</v>
      </c>
      <c r="C4001" t="s">
        <v>4359</v>
      </c>
      <c r="D4001" t="s">
        <v>16</v>
      </c>
      <c r="E4001" t="s">
        <v>107</v>
      </c>
      <c r="F4001">
        <v>1</v>
      </c>
      <c r="G4001">
        <v>85</v>
      </c>
      <c r="H4001">
        <v>13.03</v>
      </c>
      <c r="I4001" t="s">
        <v>44</v>
      </c>
      <c r="J4001">
        <v>4</v>
      </c>
      <c r="K4001" t="s">
        <v>51</v>
      </c>
      <c r="L4001">
        <v>5</v>
      </c>
      <c r="M4001" t="str">
        <f>VLOOKUP(D4001,State_Lookup!$A$2:$B$28,2,FALSE)</f>
        <v>Sao Paulo</v>
      </c>
    </row>
    <row r="4002" spans="1:13" x14ac:dyDescent="0.45">
      <c r="A4002" t="s">
        <v>4653</v>
      </c>
      <c r="B4002" t="s">
        <v>4648</v>
      </c>
      <c r="C4002" t="s">
        <v>4359</v>
      </c>
      <c r="D4002" t="s">
        <v>20</v>
      </c>
      <c r="E4002" t="s">
        <v>43</v>
      </c>
      <c r="F4002">
        <v>1</v>
      </c>
      <c r="G4002">
        <v>99.9</v>
      </c>
      <c r="H4002">
        <v>11.38</v>
      </c>
      <c r="I4002" t="s">
        <v>44</v>
      </c>
      <c r="J4002">
        <v>8</v>
      </c>
      <c r="K4002" t="s">
        <v>51</v>
      </c>
      <c r="L4002">
        <v>5</v>
      </c>
      <c r="M4002" t="str">
        <f>VLOOKUP(D4002,State_Lookup!$A$2:$B$28,2,FALSE)</f>
        <v>Parana</v>
      </c>
    </row>
    <row r="4003" spans="1:13" x14ac:dyDescent="0.45">
      <c r="A4003" t="s">
        <v>4654</v>
      </c>
      <c r="B4003" t="s">
        <v>4648</v>
      </c>
      <c r="C4003" t="s">
        <v>4359</v>
      </c>
      <c r="D4003" t="s">
        <v>16</v>
      </c>
      <c r="E4003" t="s">
        <v>142</v>
      </c>
      <c r="F4003">
        <v>3</v>
      </c>
      <c r="G4003">
        <v>291</v>
      </c>
      <c r="H4003">
        <v>44.31</v>
      </c>
      <c r="I4003" t="s">
        <v>44</v>
      </c>
      <c r="J4003">
        <v>9</v>
      </c>
      <c r="K4003" t="s">
        <v>51</v>
      </c>
      <c r="L4003">
        <v>4</v>
      </c>
      <c r="M4003" t="str">
        <f>VLOOKUP(D4003,State_Lookup!$A$2:$B$28,2,FALSE)</f>
        <v>Sao Paulo</v>
      </c>
    </row>
    <row r="4004" spans="1:13" x14ac:dyDescent="0.45">
      <c r="A4004" t="s">
        <v>4655</v>
      </c>
      <c r="B4004" t="s">
        <v>4656</v>
      </c>
      <c r="C4004" t="s">
        <v>4359</v>
      </c>
      <c r="D4004" t="s">
        <v>16</v>
      </c>
      <c r="E4004" t="s">
        <v>61</v>
      </c>
      <c r="F4004">
        <v>1</v>
      </c>
      <c r="G4004">
        <v>75.900000000000006</v>
      </c>
      <c r="H4004">
        <v>13.65</v>
      </c>
      <c r="I4004" t="s">
        <v>44</v>
      </c>
      <c r="J4004">
        <v>13</v>
      </c>
      <c r="K4004" t="s">
        <v>51</v>
      </c>
      <c r="L4004">
        <v>4</v>
      </c>
      <c r="M4004" t="str">
        <f>VLOOKUP(D4004,State_Lookup!$A$2:$B$28,2,FALSE)</f>
        <v>Sao Paulo</v>
      </c>
    </row>
    <row r="4005" spans="1:13" x14ac:dyDescent="0.45">
      <c r="A4005" t="s">
        <v>4657</v>
      </c>
      <c r="B4005" t="s">
        <v>4656</v>
      </c>
      <c r="C4005" t="s">
        <v>4359</v>
      </c>
      <c r="D4005" t="s">
        <v>19</v>
      </c>
      <c r="E4005" t="s">
        <v>76</v>
      </c>
      <c r="F4005">
        <v>1</v>
      </c>
      <c r="G4005">
        <v>109.99</v>
      </c>
      <c r="H4005">
        <v>7.95</v>
      </c>
      <c r="I4005" t="s">
        <v>44</v>
      </c>
      <c r="J4005">
        <v>3</v>
      </c>
      <c r="K4005" t="s">
        <v>51</v>
      </c>
      <c r="L4005">
        <v>5</v>
      </c>
      <c r="M4005" t="str">
        <f>VLOOKUP(D4005,State_Lookup!$A$2:$B$28,2,FALSE)</f>
        <v>Rio Grande do Sul</v>
      </c>
    </row>
    <row r="4006" spans="1:13" x14ac:dyDescent="0.45">
      <c r="A4006" t="s">
        <v>4658</v>
      </c>
      <c r="B4006" t="s">
        <v>4656</v>
      </c>
      <c r="C4006" t="s">
        <v>4359</v>
      </c>
      <c r="D4006" t="s">
        <v>20</v>
      </c>
      <c r="E4006" t="s">
        <v>66</v>
      </c>
      <c r="F4006">
        <v>4</v>
      </c>
      <c r="G4006">
        <v>109.96</v>
      </c>
      <c r="H4006">
        <v>63.8</v>
      </c>
      <c r="I4006" t="s">
        <v>44</v>
      </c>
      <c r="J4006">
        <v>11</v>
      </c>
      <c r="K4006" t="s">
        <v>51</v>
      </c>
      <c r="L4006">
        <v>5</v>
      </c>
      <c r="M4006" t="str">
        <f>VLOOKUP(D4006,State_Lookup!$A$2:$B$28,2,FALSE)</f>
        <v>Parana</v>
      </c>
    </row>
    <row r="4007" spans="1:13" x14ac:dyDescent="0.45">
      <c r="A4007" t="s">
        <v>4659</v>
      </c>
      <c r="B4007" t="s">
        <v>4656</v>
      </c>
      <c r="C4007" t="s">
        <v>4359</v>
      </c>
      <c r="D4007" t="s">
        <v>16</v>
      </c>
      <c r="E4007" t="s">
        <v>110</v>
      </c>
      <c r="F4007">
        <v>1</v>
      </c>
      <c r="G4007">
        <v>74.989999999999995</v>
      </c>
      <c r="H4007">
        <v>8.8800000000000008</v>
      </c>
      <c r="I4007" t="s">
        <v>44</v>
      </c>
      <c r="J4007">
        <v>40</v>
      </c>
      <c r="K4007" t="s">
        <v>143</v>
      </c>
      <c r="L4007">
        <v>3</v>
      </c>
      <c r="M4007" t="str">
        <f>VLOOKUP(D4007,State_Lookup!$A$2:$B$28,2,FALSE)</f>
        <v>Sao Paulo</v>
      </c>
    </row>
    <row r="4008" spans="1:13" x14ac:dyDescent="0.45">
      <c r="A4008" t="s">
        <v>4660</v>
      </c>
      <c r="B4008" t="s">
        <v>4661</v>
      </c>
      <c r="C4008" t="s">
        <v>4359</v>
      </c>
      <c r="D4008" t="s">
        <v>19</v>
      </c>
      <c r="E4008" t="s">
        <v>142</v>
      </c>
      <c r="F4008">
        <v>1</v>
      </c>
      <c r="G4008">
        <v>18.95</v>
      </c>
      <c r="H4008">
        <v>18.23</v>
      </c>
      <c r="I4008" t="s">
        <v>44</v>
      </c>
      <c r="J4008">
        <v>25</v>
      </c>
      <c r="K4008" t="s">
        <v>51</v>
      </c>
      <c r="L4008">
        <v>5</v>
      </c>
      <c r="M4008" t="str">
        <f>VLOOKUP(D4008,State_Lookup!$A$2:$B$28,2,FALSE)</f>
        <v>Rio Grande do Sul</v>
      </c>
    </row>
    <row r="4009" spans="1:13" x14ac:dyDescent="0.45">
      <c r="A4009" t="s">
        <v>4662</v>
      </c>
      <c r="B4009" t="s">
        <v>4661</v>
      </c>
      <c r="C4009" t="s">
        <v>4359</v>
      </c>
      <c r="D4009" t="s">
        <v>21</v>
      </c>
      <c r="E4009" t="s">
        <v>79</v>
      </c>
      <c r="F4009">
        <v>1</v>
      </c>
      <c r="G4009">
        <v>151</v>
      </c>
      <c r="H4009">
        <v>15.72</v>
      </c>
      <c r="I4009" t="s">
        <v>44</v>
      </c>
      <c r="J4009">
        <v>17</v>
      </c>
      <c r="K4009" t="s">
        <v>51</v>
      </c>
      <c r="L4009">
        <v>5</v>
      </c>
      <c r="M4009" t="str">
        <f>VLOOKUP(D4009,State_Lookup!$A$2:$B$28,2,FALSE)</f>
        <v>Santa Catarina</v>
      </c>
    </row>
    <row r="4010" spans="1:13" x14ac:dyDescent="0.45">
      <c r="A4010" t="s">
        <v>4663</v>
      </c>
      <c r="B4010" t="s">
        <v>4661</v>
      </c>
      <c r="C4010" t="s">
        <v>4359</v>
      </c>
      <c r="D4010" t="s">
        <v>16</v>
      </c>
      <c r="E4010" t="s">
        <v>53</v>
      </c>
      <c r="F4010">
        <v>1</v>
      </c>
      <c r="G4010">
        <v>115.9</v>
      </c>
      <c r="H4010">
        <v>24.58</v>
      </c>
      <c r="I4010" t="s">
        <v>44</v>
      </c>
      <c r="J4010">
        <v>3</v>
      </c>
      <c r="K4010" t="s">
        <v>51</v>
      </c>
      <c r="L4010">
        <v>5</v>
      </c>
      <c r="M4010" t="str">
        <f>VLOOKUP(D4010,State_Lookup!$A$2:$B$28,2,FALSE)</f>
        <v>Sao Paulo</v>
      </c>
    </row>
    <row r="4011" spans="1:13" x14ac:dyDescent="0.45">
      <c r="A4011" t="s">
        <v>4664</v>
      </c>
      <c r="B4011" t="s">
        <v>4665</v>
      </c>
      <c r="C4011" t="s">
        <v>4359</v>
      </c>
      <c r="D4011" t="s">
        <v>22</v>
      </c>
      <c r="E4011" t="s">
        <v>61</v>
      </c>
      <c r="F4011">
        <v>1</v>
      </c>
      <c r="G4011">
        <v>149.9</v>
      </c>
      <c r="H4011">
        <v>12.06</v>
      </c>
      <c r="I4011" t="s">
        <v>50</v>
      </c>
      <c r="J4011">
        <v>11</v>
      </c>
      <c r="K4011" t="s">
        <v>51</v>
      </c>
      <c r="L4011">
        <v>5</v>
      </c>
      <c r="M4011" t="str">
        <f>VLOOKUP(D4011,State_Lookup!$A$2:$B$28,2,FALSE)</f>
        <v>Bahia</v>
      </c>
    </row>
    <row r="4012" spans="1:13" x14ac:dyDescent="0.45">
      <c r="A4012" t="s">
        <v>4666</v>
      </c>
      <c r="B4012" t="s">
        <v>4667</v>
      </c>
      <c r="C4012" t="s">
        <v>4359</v>
      </c>
      <c r="D4012" t="s">
        <v>16</v>
      </c>
      <c r="E4012" t="s">
        <v>152</v>
      </c>
      <c r="F4012">
        <v>1</v>
      </c>
      <c r="G4012">
        <v>70</v>
      </c>
      <c r="H4012">
        <v>19.46</v>
      </c>
      <c r="I4012" t="s">
        <v>44</v>
      </c>
      <c r="J4012">
        <v>11</v>
      </c>
      <c r="K4012" t="s">
        <v>51</v>
      </c>
      <c r="L4012">
        <v>5</v>
      </c>
      <c r="M4012" t="str">
        <f>VLOOKUP(D4012,State_Lookup!$A$2:$B$28,2,FALSE)</f>
        <v>Sao Paulo</v>
      </c>
    </row>
    <row r="4013" spans="1:13" x14ac:dyDescent="0.45">
      <c r="A4013" t="s">
        <v>4668</v>
      </c>
      <c r="B4013" t="s">
        <v>4667</v>
      </c>
      <c r="C4013" t="s">
        <v>4359</v>
      </c>
      <c r="D4013" t="s">
        <v>16</v>
      </c>
      <c r="E4013" t="s">
        <v>142</v>
      </c>
      <c r="F4013">
        <v>1</v>
      </c>
      <c r="G4013">
        <v>399</v>
      </c>
      <c r="H4013">
        <v>25.11</v>
      </c>
      <c r="I4013" t="s">
        <v>44</v>
      </c>
      <c r="J4013">
        <v>3</v>
      </c>
      <c r="K4013" t="s">
        <v>51</v>
      </c>
      <c r="L4013">
        <v>5</v>
      </c>
      <c r="M4013" t="str">
        <f>VLOOKUP(D4013,State_Lookup!$A$2:$B$28,2,FALSE)</f>
        <v>Sao Paulo</v>
      </c>
    </row>
    <row r="4014" spans="1:13" x14ac:dyDescent="0.45">
      <c r="A4014" t="s">
        <v>4669</v>
      </c>
      <c r="B4014" t="s">
        <v>4667</v>
      </c>
      <c r="C4014" t="s">
        <v>4359</v>
      </c>
      <c r="D4014" t="s">
        <v>16</v>
      </c>
      <c r="E4014" t="s">
        <v>142</v>
      </c>
      <c r="F4014">
        <v>1</v>
      </c>
      <c r="G4014">
        <v>79</v>
      </c>
      <c r="H4014">
        <v>13.46</v>
      </c>
      <c r="I4014" t="s">
        <v>44</v>
      </c>
      <c r="J4014">
        <v>4</v>
      </c>
      <c r="K4014" t="s">
        <v>51</v>
      </c>
      <c r="L4014">
        <v>5</v>
      </c>
      <c r="M4014" t="str">
        <f>VLOOKUP(D4014,State_Lookup!$A$2:$B$28,2,FALSE)</f>
        <v>Sao Paulo</v>
      </c>
    </row>
    <row r="4015" spans="1:13" x14ac:dyDescent="0.45">
      <c r="A4015" t="s">
        <v>4670</v>
      </c>
      <c r="B4015" t="s">
        <v>4667</v>
      </c>
      <c r="C4015" t="s">
        <v>4359</v>
      </c>
      <c r="D4015" t="s">
        <v>22</v>
      </c>
      <c r="E4015" t="s">
        <v>69</v>
      </c>
      <c r="F4015">
        <v>1</v>
      </c>
      <c r="G4015">
        <v>49.9</v>
      </c>
      <c r="H4015">
        <v>23.28</v>
      </c>
      <c r="I4015" t="s">
        <v>44</v>
      </c>
      <c r="J4015">
        <v>23</v>
      </c>
      <c r="K4015" t="s">
        <v>51</v>
      </c>
      <c r="L4015">
        <v>4</v>
      </c>
      <c r="M4015" t="str">
        <f>VLOOKUP(D4015,State_Lookup!$A$2:$B$28,2,FALSE)</f>
        <v>Bahia</v>
      </c>
    </row>
    <row r="4016" spans="1:13" x14ac:dyDescent="0.45">
      <c r="A4016" t="s">
        <v>4671</v>
      </c>
      <c r="B4016" t="s">
        <v>4667</v>
      </c>
      <c r="C4016" t="s">
        <v>4359</v>
      </c>
      <c r="D4016" t="s">
        <v>20</v>
      </c>
      <c r="E4016" t="s">
        <v>49</v>
      </c>
      <c r="F4016">
        <v>2</v>
      </c>
      <c r="G4016">
        <v>86</v>
      </c>
      <c r="H4016">
        <v>36.46</v>
      </c>
      <c r="I4016" t="s">
        <v>44</v>
      </c>
      <c r="J4016">
        <v>13</v>
      </c>
      <c r="K4016" t="s">
        <v>51</v>
      </c>
      <c r="L4016">
        <v>5</v>
      </c>
      <c r="M4016" t="str">
        <f>VLOOKUP(D4016,State_Lookup!$A$2:$B$28,2,FALSE)</f>
        <v>Parana</v>
      </c>
    </row>
    <row r="4017" spans="1:13" x14ac:dyDescent="0.45">
      <c r="A4017" t="s">
        <v>4672</v>
      </c>
      <c r="B4017" t="s">
        <v>4667</v>
      </c>
      <c r="C4017" t="s">
        <v>4359</v>
      </c>
      <c r="D4017" t="s">
        <v>16</v>
      </c>
      <c r="E4017" t="s">
        <v>110</v>
      </c>
      <c r="F4017">
        <v>1</v>
      </c>
      <c r="G4017">
        <v>199.9</v>
      </c>
      <c r="H4017">
        <v>13.84</v>
      </c>
      <c r="I4017" t="s">
        <v>44</v>
      </c>
      <c r="J4017">
        <v>9</v>
      </c>
      <c r="K4017" t="s">
        <v>51</v>
      </c>
      <c r="L4017">
        <v>3</v>
      </c>
      <c r="M4017" t="str">
        <f>VLOOKUP(D4017,State_Lookup!$A$2:$B$28,2,FALSE)</f>
        <v>Sao Paulo</v>
      </c>
    </row>
    <row r="4018" spans="1:13" x14ac:dyDescent="0.45">
      <c r="A4018" t="s">
        <v>4673</v>
      </c>
      <c r="B4018" t="s">
        <v>4667</v>
      </c>
      <c r="C4018" t="s">
        <v>4359</v>
      </c>
      <c r="D4018" t="s">
        <v>16</v>
      </c>
      <c r="E4018" t="s">
        <v>142</v>
      </c>
      <c r="F4018">
        <v>1</v>
      </c>
      <c r="G4018">
        <v>34.9</v>
      </c>
      <c r="H4018">
        <v>9.44</v>
      </c>
      <c r="I4018" t="s">
        <v>133</v>
      </c>
      <c r="J4018">
        <v>4</v>
      </c>
      <c r="K4018" t="s">
        <v>51</v>
      </c>
      <c r="L4018">
        <v>5</v>
      </c>
      <c r="M4018" t="str">
        <f>VLOOKUP(D4018,State_Lookup!$A$2:$B$28,2,FALSE)</f>
        <v>Sao Paulo</v>
      </c>
    </row>
    <row r="4019" spans="1:13" x14ac:dyDescent="0.45">
      <c r="A4019" t="s">
        <v>4674</v>
      </c>
      <c r="B4019" t="s">
        <v>4667</v>
      </c>
      <c r="C4019" t="s">
        <v>4359</v>
      </c>
      <c r="D4019" t="s">
        <v>16</v>
      </c>
      <c r="E4019" t="s">
        <v>110</v>
      </c>
      <c r="F4019">
        <v>1</v>
      </c>
      <c r="G4019">
        <v>149.9</v>
      </c>
      <c r="H4019">
        <v>12.14</v>
      </c>
      <c r="I4019" t="s">
        <v>44</v>
      </c>
      <c r="J4019">
        <v>6</v>
      </c>
      <c r="K4019" t="s">
        <v>51</v>
      </c>
      <c r="L4019">
        <v>5</v>
      </c>
      <c r="M4019" t="str">
        <f>VLOOKUP(D4019,State_Lookup!$A$2:$B$28,2,FALSE)</f>
        <v>Sao Paulo</v>
      </c>
    </row>
    <row r="4020" spans="1:13" x14ac:dyDescent="0.45">
      <c r="A4020" t="s">
        <v>4675</v>
      </c>
      <c r="B4020" t="s">
        <v>4676</v>
      </c>
      <c r="C4020" t="s">
        <v>4359</v>
      </c>
      <c r="D4020" t="s">
        <v>17</v>
      </c>
      <c r="E4020" t="s">
        <v>69</v>
      </c>
      <c r="F4020">
        <v>1</v>
      </c>
      <c r="G4020">
        <v>138.9</v>
      </c>
      <c r="H4020">
        <v>13.68</v>
      </c>
      <c r="I4020" t="s">
        <v>50</v>
      </c>
      <c r="J4020">
        <v>8</v>
      </c>
      <c r="K4020" t="s">
        <v>51</v>
      </c>
      <c r="L4020">
        <v>3</v>
      </c>
      <c r="M4020" t="str">
        <f>VLOOKUP(D4020,State_Lookup!$A$2:$B$28,2,FALSE)</f>
        <v>Rio de Janeiro</v>
      </c>
    </row>
    <row r="4021" spans="1:13" x14ac:dyDescent="0.45">
      <c r="A4021" t="s">
        <v>4677</v>
      </c>
      <c r="B4021" t="s">
        <v>4676</v>
      </c>
      <c r="C4021" t="s">
        <v>4359</v>
      </c>
      <c r="D4021" t="s">
        <v>17</v>
      </c>
      <c r="E4021" t="s">
        <v>79</v>
      </c>
      <c r="F4021">
        <v>1</v>
      </c>
      <c r="G4021">
        <v>90</v>
      </c>
      <c r="H4021">
        <v>27.36</v>
      </c>
      <c r="I4021" t="s">
        <v>50</v>
      </c>
      <c r="J4021">
        <v>14</v>
      </c>
      <c r="K4021" t="s">
        <v>51</v>
      </c>
      <c r="L4021">
        <v>1</v>
      </c>
      <c r="M4021" t="str">
        <f>VLOOKUP(D4021,State_Lookup!$A$2:$B$28,2,FALSE)</f>
        <v>Rio de Janeiro</v>
      </c>
    </row>
    <row r="4022" spans="1:13" x14ac:dyDescent="0.45">
      <c r="A4022" t="s">
        <v>4678</v>
      </c>
      <c r="B4022" t="s">
        <v>4676</v>
      </c>
      <c r="C4022" t="s">
        <v>4359</v>
      </c>
      <c r="D4022" t="s">
        <v>16</v>
      </c>
      <c r="E4022" t="s">
        <v>220</v>
      </c>
      <c r="F4022">
        <v>1</v>
      </c>
      <c r="G4022">
        <v>149.94</v>
      </c>
      <c r="H4022">
        <v>33.909999999999997</v>
      </c>
      <c r="I4022" t="s">
        <v>44</v>
      </c>
      <c r="J4022">
        <v>16</v>
      </c>
      <c r="K4022" t="s">
        <v>51</v>
      </c>
      <c r="L4022">
        <v>5</v>
      </c>
      <c r="M4022" t="str">
        <f>VLOOKUP(D4022,State_Lookup!$A$2:$B$28,2,FALSE)</f>
        <v>Sao Paulo</v>
      </c>
    </row>
    <row r="4023" spans="1:13" x14ac:dyDescent="0.45">
      <c r="A4023" t="s">
        <v>4679</v>
      </c>
      <c r="B4023" t="s">
        <v>4676</v>
      </c>
      <c r="C4023" t="s">
        <v>4359</v>
      </c>
      <c r="D4023" t="s">
        <v>19</v>
      </c>
      <c r="E4023" t="s">
        <v>49</v>
      </c>
      <c r="F4023">
        <v>1</v>
      </c>
      <c r="G4023">
        <v>28.9</v>
      </c>
      <c r="H4023">
        <v>18.23</v>
      </c>
      <c r="I4023" t="s">
        <v>44</v>
      </c>
      <c r="J4023">
        <v>14</v>
      </c>
      <c r="K4023" t="s">
        <v>51</v>
      </c>
      <c r="L4023">
        <v>5</v>
      </c>
      <c r="M4023" t="str">
        <f>VLOOKUP(D4023,State_Lookup!$A$2:$B$28,2,FALSE)</f>
        <v>Rio Grande do Sul</v>
      </c>
    </row>
    <row r="4024" spans="1:13" x14ac:dyDescent="0.45">
      <c r="A4024" t="s">
        <v>4680</v>
      </c>
      <c r="B4024" t="s">
        <v>4676</v>
      </c>
      <c r="C4024" t="s">
        <v>4359</v>
      </c>
      <c r="D4024" t="s">
        <v>16</v>
      </c>
      <c r="E4024" t="s">
        <v>61</v>
      </c>
      <c r="F4024">
        <v>1</v>
      </c>
      <c r="G4024">
        <v>12.88</v>
      </c>
      <c r="H4024">
        <v>7.87</v>
      </c>
      <c r="I4024" t="s">
        <v>44</v>
      </c>
      <c r="J4024">
        <v>3</v>
      </c>
      <c r="K4024" t="s">
        <v>51</v>
      </c>
      <c r="L4024">
        <v>5</v>
      </c>
      <c r="M4024" t="str">
        <f>VLOOKUP(D4024,State_Lookup!$A$2:$B$28,2,FALSE)</f>
        <v>Sao Paulo</v>
      </c>
    </row>
    <row r="4025" spans="1:13" x14ac:dyDescent="0.45">
      <c r="A4025" t="s">
        <v>4681</v>
      </c>
      <c r="B4025" t="s">
        <v>4676</v>
      </c>
      <c r="C4025" t="s">
        <v>4359</v>
      </c>
      <c r="D4025" t="s">
        <v>113</v>
      </c>
      <c r="E4025" t="s">
        <v>58</v>
      </c>
      <c r="F4025">
        <v>3</v>
      </c>
      <c r="G4025">
        <v>146.69999999999999</v>
      </c>
      <c r="H4025">
        <v>170.7</v>
      </c>
      <c r="I4025" t="s">
        <v>50</v>
      </c>
      <c r="J4025">
        <v>22</v>
      </c>
      <c r="K4025" t="s">
        <v>51</v>
      </c>
      <c r="L4025">
        <v>4</v>
      </c>
      <c r="M4025" t="str">
        <f>VLOOKUP(D4025,State_Lookup!$A$2:$B$28,2,FALSE)</f>
        <v>Piaui</v>
      </c>
    </row>
    <row r="4026" spans="1:13" x14ac:dyDescent="0.45">
      <c r="A4026" t="s">
        <v>4682</v>
      </c>
      <c r="B4026" t="s">
        <v>4676</v>
      </c>
      <c r="C4026" t="s">
        <v>4359</v>
      </c>
      <c r="D4026" t="s">
        <v>25</v>
      </c>
      <c r="E4026" t="s">
        <v>61</v>
      </c>
      <c r="F4026">
        <v>1</v>
      </c>
      <c r="G4026">
        <v>149.9</v>
      </c>
      <c r="H4026">
        <v>53.18</v>
      </c>
      <c r="I4026" t="s">
        <v>44</v>
      </c>
      <c r="J4026">
        <v>20</v>
      </c>
      <c r="K4026" t="s">
        <v>51</v>
      </c>
      <c r="L4026">
        <v>4</v>
      </c>
      <c r="M4026" t="str">
        <f>VLOOKUP(D4026,State_Lookup!$A$2:$B$28,2,FALSE)</f>
        <v>Goias</v>
      </c>
    </row>
    <row r="4027" spans="1:13" x14ac:dyDescent="0.45">
      <c r="A4027" t="s">
        <v>4683</v>
      </c>
      <c r="B4027" t="s">
        <v>4684</v>
      </c>
      <c r="C4027" t="s">
        <v>4359</v>
      </c>
      <c r="D4027" t="s">
        <v>16</v>
      </c>
      <c r="E4027" t="s">
        <v>142</v>
      </c>
      <c r="F4027">
        <v>1</v>
      </c>
      <c r="G4027">
        <v>16</v>
      </c>
      <c r="H4027">
        <v>12.79</v>
      </c>
      <c r="I4027" t="s">
        <v>44</v>
      </c>
      <c r="J4027">
        <v>9</v>
      </c>
      <c r="K4027" t="s">
        <v>51</v>
      </c>
      <c r="L4027">
        <v>4</v>
      </c>
      <c r="M4027" t="str">
        <f>VLOOKUP(D4027,State_Lookup!$A$2:$B$28,2,FALSE)</f>
        <v>Sao Paulo</v>
      </c>
    </row>
    <row r="4028" spans="1:13" x14ac:dyDescent="0.45">
      <c r="A4028" t="s">
        <v>4685</v>
      </c>
      <c r="B4028" t="s">
        <v>4684</v>
      </c>
      <c r="C4028" t="s">
        <v>4359</v>
      </c>
      <c r="D4028" t="s">
        <v>16</v>
      </c>
      <c r="E4028" t="s">
        <v>66</v>
      </c>
      <c r="F4028">
        <v>1</v>
      </c>
      <c r="G4028">
        <v>14.99</v>
      </c>
      <c r="H4028">
        <v>7.39</v>
      </c>
      <c r="I4028" t="s">
        <v>44</v>
      </c>
      <c r="J4028">
        <v>13</v>
      </c>
      <c r="K4028" t="s">
        <v>51</v>
      </c>
      <c r="L4028">
        <v>5</v>
      </c>
      <c r="M4028" t="str">
        <f>VLOOKUP(D4028,State_Lookup!$A$2:$B$28,2,FALSE)</f>
        <v>Sao Paulo</v>
      </c>
    </row>
    <row r="4029" spans="1:13" x14ac:dyDescent="0.45">
      <c r="A4029" t="s">
        <v>4686</v>
      </c>
      <c r="B4029" t="s">
        <v>4684</v>
      </c>
      <c r="C4029" t="s">
        <v>4359</v>
      </c>
      <c r="D4029" t="s">
        <v>16</v>
      </c>
      <c r="E4029" t="s">
        <v>103</v>
      </c>
      <c r="F4029">
        <v>2</v>
      </c>
      <c r="G4029">
        <v>155.96</v>
      </c>
      <c r="H4029">
        <v>27.82</v>
      </c>
      <c r="I4029" t="s">
        <v>44</v>
      </c>
      <c r="J4029">
        <v>5</v>
      </c>
      <c r="K4029" t="s">
        <v>51</v>
      </c>
      <c r="L4029">
        <v>5</v>
      </c>
      <c r="M4029" t="str">
        <f>VLOOKUP(D4029,State_Lookup!$A$2:$B$28,2,FALSE)</f>
        <v>Sao Paulo</v>
      </c>
    </row>
    <row r="4030" spans="1:13" x14ac:dyDescent="0.45">
      <c r="A4030" t="s">
        <v>4687</v>
      </c>
      <c r="B4030" t="s">
        <v>4688</v>
      </c>
      <c r="C4030" t="s">
        <v>4359</v>
      </c>
      <c r="D4030" t="s">
        <v>16</v>
      </c>
      <c r="E4030" t="s">
        <v>220</v>
      </c>
      <c r="F4030">
        <v>1</v>
      </c>
      <c r="G4030">
        <v>179.9</v>
      </c>
      <c r="H4030">
        <v>39.46</v>
      </c>
      <c r="I4030" t="s">
        <v>44</v>
      </c>
      <c r="J4030">
        <v>20</v>
      </c>
      <c r="K4030" t="s">
        <v>51</v>
      </c>
      <c r="L4030">
        <v>4</v>
      </c>
      <c r="M4030" t="str">
        <f>VLOOKUP(D4030,State_Lookup!$A$2:$B$28,2,FALSE)</f>
        <v>Sao Paulo</v>
      </c>
    </row>
    <row r="4031" spans="1:13" x14ac:dyDescent="0.45">
      <c r="A4031" t="s">
        <v>4689</v>
      </c>
      <c r="B4031" t="s">
        <v>4688</v>
      </c>
      <c r="C4031" t="s">
        <v>4359</v>
      </c>
      <c r="D4031" t="s">
        <v>141</v>
      </c>
      <c r="E4031" t="s">
        <v>157</v>
      </c>
      <c r="F4031">
        <v>1</v>
      </c>
      <c r="G4031">
        <v>180.54</v>
      </c>
      <c r="H4031">
        <v>53.39</v>
      </c>
      <c r="I4031" t="s">
        <v>44</v>
      </c>
      <c r="J4031">
        <v>24</v>
      </c>
      <c r="K4031" t="s">
        <v>51</v>
      </c>
      <c r="L4031">
        <v>5</v>
      </c>
      <c r="M4031" t="str">
        <f>VLOOKUP(D4031,State_Lookup!$A$2:$B$28,2,FALSE)</f>
        <v>Maranhao</v>
      </c>
    </row>
    <row r="4032" spans="1:13" x14ac:dyDescent="0.45">
      <c r="A4032" t="s">
        <v>4690</v>
      </c>
      <c r="B4032" t="s">
        <v>4688</v>
      </c>
      <c r="C4032" t="s">
        <v>4359</v>
      </c>
      <c r="D4032" t="s">
        <v>18</v>
      </c>
      <c r="E4032" t="s">
        <v>132</v>
      </c>
      <c r="F4032">
        <v>1</v>
      </c>
      <c r="G4032">
        <v>79.900000000000006</v>
      </c>
      <c r="H4032">
        <v>7.74</v>
      </c>
      <c r="I4032" t="s">
        <v>44</v>
      </c>
      <c r="J4032">
        <v>2</v>
      </c>
      <c r="K4032" t="s">
        <v>51</v>
      </c>
      <c r="L4032">
        <v>5</v>
      </c>
      <c r="M4032" t="str">
        <f>VLOOKUP(D4032,State_Lookup!$A$2:$B$28,2,FALSE)</f>
        <v>Minas Gerais</v>
      </c>
    </row>
    <row r="4033" spans="1:13" x14ac:dyDescent="0.45">
      <c r="A4033" t="s">
        <v>4691</v>
      </c>
      <c r="B4033" t="s">
        <v>4688</v>
      </c>
      <c r="C4033" t="s">
        <v>4359</v>
      </c>
      <c r="D4033" t="s">
        <v>18</v>
      </c>
      <c r="E4033" t="s">
        <v>110</v>
      </c>
      <c r="F4033">
        <v>1</v>
      </c>
      <c r="G4033">
        <v>79.900000000000006</v>
      </c>
      <c r="H4033">
        <v>23.14</v>
      </c>
      <c r="I4033" t="s">
        <v>44</v>
      </c>
      <c r="J4033">
        <v>15</v>
      </c>
      <c r="K4033" t="s">
        <v>51</v>
      </c>
      <c r="L4033">
        <v>4</v>
      </c>
      <c r="M4033" t="str">
        <f>VLOOKUP(D4033,State_Lookup!$A$2:$B$28,2,FALSE)</f>
        <v>Minas Gerais</v>
      </c>
    </row>
    <row r="4034" spans="1:13" x14ac:dyDescent="0.45">
      <c r="A4034" t="s">
        <v>4692</v>
      </c>
      <c r="B4034" t="s">
        <v>4688</v>
      </c>
      <c r="C4034" t="s">
        <v>4359</v>
      </c>
      <c r="D4034" t="s">
        <v>20</v>
      </c>
      <c r="E4034" t="s">
        <v>66</v>
      </c>
      <c r="F4034">
        <v>1</v>
      </c>
      <c r="G4034">
        <v>37.99</v>
      </c>
      <c r="H4034">
        <v>18.23</v>
      </c>
      <c r="I4034" t="s">
        <v>44</v>
      </c>
      <c r="J4034">
        <v>13</v>
      </c>
      <c r="K4034" t="s">
        <v>51</v>
      </c>
      <c r="L4034">
        <v>4</v>
      </c>
      <c r="M4034" t="str">
        <f>VLOOKUP(D4034,State_Lookup!$A$2:$B$28,2,FALSE)</f>
        <v>Parana</v>
      </c>
    </row>
    <row r="4035" spans="1:13" x14ac:dyDescent="0.45">
      <c r="A4035" t="s">
        <v>4693</v>
      </c>
      <c r="B4035" t="s">
        <v>4688</v>
      </c>
      <c r="C4035" t="s">
        <v>4359</v>
      </c>
      <c r="D4035" t="s">
        <v>16</v>
      </c>
      <c r="E4035" t="s">
        <v>157</v>
      </c>
      <c r="F4035">
        <v>1</v>
      </c>
      <c r="G4035">
        <v>227.9</v>
      </c>
      <c r="H4035">
        <v>8.4600000000000009</v>
      </c>
      <c r="I4035" t="s">
        <v>44</v>
      </c>
      <c r="J4035">
        <v>25</v>
      </c>
      <c r="K4035" t="s">
        <v>51</v>
      </c>
      <c r="L4035">
        <v>5</v>
      </c>
      <c r="M4035" t="str">
        <f>VLOOKUP(D4035,State_Lookup!$A$2:$B$28,2,FALSE)</f>
        <v>Sao Paulo</v>
      </c>
    </row>
    <row r="4036" spans="1:13" x14ac:dyDescent="0.45">
      <c r="A4036" t="s">
        <v>4694</v>
      </c>
      <c r="B4036" t="s">
        <v>4688</v>
      </c>
      <c r="C4036" t="s">
        <v>4359</v>
      </c>
      <c r="D4036" t="s">
        <v>16</v>
      </c>
      <c r="E4036" t="s">
        <v>132</v>
      </c>
      <c r="F4036">
        <v>1</v>
      </c>
      <c r="G4036">
        <v>49</v>
      </c>
      <c r="H4036">
        <v>12.79</v>
      </c>
      <c r="I4036" t="s">
        <v>44</v>
      </c>
      <c r="J4036">
        <v>11</v>
      </c>
      <c r="K4036" t="s">
        <v>51</v>
      </c>
      <c r="L4036">
        <v>5</v>
      </c>
      <c r="M4036" t="str">
        <f>VLOOKUP(D4036,State_Lookup!$A$2:$B$28,2,FALSE)</f>
        <v>Sao Paulo</v>
      </c>
    </row>
    <row r="4037" spans="1:13" x14ac:dyDescent="0.45">
      <c r="A4037" t="s">
        <v>4695</v>
      </c>
      <c r="B4037" t="s">
        <v>4688</v>
      </c>
      <c r="C4037" t="s">
        <v>4359</v>
      </c>
      <c r="D4037" t="s">
        <v>16</v>
      </c>
      <c r="E4037" t="s">
        <v>186</v>
      </c>
      <c r="F4037">
        <v>1</v>
      </c>
      <c r="G4037">
        <v>13.9</v>
      </c>
      <c r="H4037">
        <v>8.8800000000000008</v>
      </c>
      <c r="I4037" t="s">
        <v>44</v>
      </c>
      <c r="J4037">
        <v>13</v>
      </c>
      <c r="K4037" t="s">
        <v>51</v>
      </c>
      <c r="L4037">
        <v>5</v>
      </c>
      <c r="M4037" t="str">
        <f>VLOOKUP(D4037,State_Lookup!$A$2:$B$28,2,FALSE)</f>
        <v>Sao Paulo</v>
      </c>
    </row>
    <row r="4038" spans="1:13" x14ac:dyDescent="0.45">
      <c r="A4038" t="s">
        <v>4696</v>
      </c>
      <c r="B4038" t="s">
        <v>4688</v>
      </c>
      <c r="C4038" t="s">
        <v>4359</v>
      </c>
      <c r="D4038" t="s">
        <v>18</v>
      </c>
      <c r="E4038" t="s">
        <v>157</v>
      </c>
      <c r="F4038">
        <v>1</v>
      </c>
      <c r="G4038">
        <v>124.9</v>
      </c>
      <c r="H4038">
        <v>16.84</v>
      </c>
      <c r="I4038" t="s">
        <v>44</v>
      </c>
      <c r="J4038">
        <v>39</v>
      </c>
      <c r="K4038" t="s">
        <v>51</v>
      </c>
      <c r="L4038">
        <v>3</v>
      </c>
      <c r="M4038" t="str">
        <f>VLOOKUP(D4038,State_Lookup!$A$2:$B$28,2,FALSE)</f>
        <v>Minas Gerais</v>
      </c>
    </row>
    <row r="4039" spans="1:13" x14ac:dyDescent="0.45">
      <c r="A4039" t="s">
        <v>4697</v>
      </c>
      <c r="B4039" t="s">
        <v>4688</v>
      </c>
      <c r="C4039" t="s">
        <v>4359</v>
      </c>
      <c r="D4039" t="s">
        <v>16</v>
      </c>
      <c r="E4039" t="s">
        <v>79</v>
      </c>
      <c r="F4039">
        <v>1</v>
      </c>
      <c r="G4039">
        <v>2749.65</v>
      </c>
      <c r="H4039">
        <v>38.22</v>
      </c>
      <c r="I4039" t="s">
        <v>44</v>
      </c>
      <c r="J4039">
        <v>5</v>
      </c>
      <c r="K4039" t="s">
        <v>51</v>
      </c>
      <c r="L4039">
        <v>5</v>
      </c>
      <c r="M4039" t="str">
        <f>VLOOKUP(D4039,State_Lookup!$A$2:$B$28,2,FALSE)</f>
        <v>Sao Paulo</v>
      </c>
    </row>
    <row r="4040" spans="1:13" x14ac:dyDescent="0.45">
      <c r="A4040" t="s">
        <v>4698</v>
      </c>
      <c r="B4040" t="s">
        <v>4699</v>
      </c>
      <c r="C4040" t="s">
        <v>4700</v>
      </c>
      <c r="D4040" t="s">
        <v>18</v>
      </c>
      <c r="E4040" t="s">
        <v>192</v>
      </c>
      <c r="F4040">
        <v>1</v>
      </c>
      <c r="G4040">
        <v>123.99</v>
      </c>
      <c r="H4040">
        <v>15.75</v>
      </c>
      <c r="I4040" t="s">
        <v>44</v>
      </c>
      <c r="J4040">
        <v>7</v>
      </c>
      <c r="K4040" t="s">
        <v>51</v>
      </c>
      <c r="L4040">
        <v>5</v>
      </c>
      <c r="M4040" t="str">
        <f>VLOOKUP(D4040,State_Lookup!$A$2:$B$28,2,FALSE)</f>
        <v>Minas Gerais</v>
      </c>
    </row>
    <row r="4041" spans="1:13" x14ac:dyDescent="0.45">
      <c r="A4041" t="s">
        <v>4701</v>
      </c>
      <c r="B4041" t="s">
        <v>4699</v>
      </c>
      <c r="C4041" t="s">
        <v>4700</v>
      </c>
      <c r="D4041" t="s">
        <v>17</v>
      </c>
      <c r="E4041" t="s">
        <v>125</v>
      </c>
      <c r="F4041">
        <v>1</v>
      </c>
      <c r="G4041">
        <v>15</v>
      </c>
      <c r="H4041">
        <v>15.23</v>
      </c>
      <c r="I4041" t="s">
        <v>50</v>
      </c>
      <c r="J4041">
        <v>12</v>
      </c>
      <c r="K4041" t="s">
        <v>51</v>
      </c>
      <c r="L4041">
        <v>4</v>
      </c>
      <c r="M4041" t="str">
        <f>VLOOKUP(D4041,State_Lookup!$A$2:$B$28,2,FALSE)</f>
        <v>Rio de Janeiro</v>
      </c>
    </row>
    <row r="4042" spans="1:13" x14ac:dyDescent="0.45">
      <c r="A4042" t="s">
        <v>4702</v>
      </c>
      <c r="B4042" t="s">
        <v>4699</v>
      </c>
      <c r="C4042" t="s">
        <v>4700</v>
      </c>
      <c r="D4042" t="s">
        <v>16</v>
      </c>
      <c r="E4042" t="s">
        <v>64</v>
      </c>
      <c r="F4042">
        <v>1</v>
      </c>
      <c r="G4042">
        <v>116.5</v>
      </c>
      <c r="H4042">
        <v>8.16</v>
      </c>
      <c r="I4042" t="s">
        <v>44</v>
      </c>
      <c r="J4042">
        <v>6</v>
      </c>
      <c r="K4042" t="s">
        <v>51</v>
      </c>
      <c r="L4042">
        <v>5</v>
      </c>
      <c r="M4042" t="str">
        <f>VLOOKUP(D4042,State_Lookup!$A$2:$B$28,2,FALSE)</f>
        <v>Sao Paulo</v>
      </c>
    </row>
    <row r="4043" spans="1:13" x14ac:dyDescent="0.45">
      <c r="A4043" t="s">
        <v>4703</v>
      </c>
      <c r="B4043" t="s">
        <v>4699</v>
      </c>
      <c r="C4043" t="s">
        <v>4700</v>
      </c>
      <c r="D4043" t="s">
        <v>22</v>
      </c>
      <c r="E4043" t="s">
        <v>157</v>
      </c>
      <c r="F4043">
        <v>1</v>
      </c>
      <c r="G4043">
        <v>84.99</v>
      </c>
      <c r="H4043">
        <v>22.3</v>
      </c>
      <c r="I4043" t="s">
        <v>44</v>
      </c>
      <c r="J4043">
        <v>26</v>
      </c>
      <c r="K4043" t="s">
        <v>51</v>
      </c>
      <c r="L4043">
        <v>5</v>
      </c>
      <c r="M4043" t="str">
        <f>VLOOKUP(D4043,State_Lookup!$A$2:$B$28,2,FALSE)</f>
        <v>Bahia</v>
      </c>
    </row>
    <row r="4044" spans="1:13" x14ac:dyDescent="0.45">
      <c r="A4044" t="s">
        <v>4704</v>
      </c>
      <c r="B4044" t="s">
        <v>4699</v>
      </c>
      <c r="C4044" t="s">
        <v>4700</v>
      </c>
      <c r="D4044" t="s">
        <v>63</v>
      </c>
      <c r="E4044" t="s">
        <v>49</v>
      </c>
      <c r="F4044">
        <v>1</v>
      </c>
      <c r="G4044">
        <v>99.99</v>
      </c>
      <c r="H4044">
        <v>20.75</v>
      </c>
      <c r="I4044" t="s">
        <v>44</v>
      </c>
      <c r="J4044">
        <v>16</v>
      </c>
      <c r="K4044" t="s">
        <v>51</v>
      </c>
      <c r="L4044">
        <v>5</v>
      </c>
      <c r="M4044" t="str">
        <f>VLOOKUP(D4044,State_Lookup!$A$2:$B$28,2,FALSE)</f>
        <v>Pernambuco</v>
      </c>
    </row>
    <row r="4045" spans="1:13" x14ac:dyDescent="0.45">
      <c r="A4045" t="s">
        <v>4705</v>
      </c>
      <c r="B4045" t="s">
        <v>4699</v>
      </c>
      <c r="C4045" t="s">
        <v>4700</v>
      </c>
      <c r="D4045" t="s">
        <v>18</v>
      </c>
      <c r="E4045" t="s">
        <v>103</v>
      </c>
      <c r="F4045">
        <v>1</v>
      </c>
      <c r="G4045">
        <v>99.49</v>
      </c>
      <c r="H4045">
        <v>13.82</v>
      </c>
      <c r="I4045" t="s">
        <v>44</v>
      </c>
      <c r="J4045">
        <v>5</v>
      </c>
      <c r="K4045" t="s">
        <v>51</v>
      </c>
      <c r="L4045">
        <v>4</v>
      </c>
      <c r="M4045" t="str">
        <f>VLOOKUP(D4045,State_Lookup!$A$2:$B$28,2,FALSE)</f>
        <v>Minas Gerais</v>
      </c>
    </row>
    <row r="4046" spans="1:13" x14ac:dyDescent="0.45">
      <c r="A4046" t="s">
        <v>4706</v>
      </c>
      <c r="B4046" t="s">
        <v>4699</v>
      </c>
      <c r="C4046" t="s">
        <v>4700</v>
      </c>
      <c r="D4046" t="s">
        <v>16</v>
      </c>
      <c r="E4046" t="s">
        <v>157</v>
      </c>
      <c r="F4046">
        <v>1</v>
      </c>
      <c r="G4046">
        <v>229</v>
      </c>
      <c r="H4046">
        <v>14.04</v>
      </c>
      <c r="I4046" t="s">
        <v>50</v>
      </c>
      <c r="J4046">
        <v>12</v>
      </c>
      <c r="K4046" t="s">
        <v>51</v>
      </c>
      <c r="L4046">
        <v>5</v>
      </c>
      <c r="M4046" t="str">
        <f>VLOOKUP(D4046,State_Lookup!$A$2:$B$28,2,FALSE)</f>
        <v>Sao Paulo</v>
      </c>
    </row>
    <row r="4047" spans="1:13" x14ac:dyDescent="0.45">
      <c r="A4047" t="s">
        <v>4707</v>
      </c>
      <c r="B4047" t="s">
        <v>4699</v>
      </c>
      <c r="C4047" t="s">
        <v>4700</v>
      </c>
      <c r="D4047" t="s">
        <v>16</v>
      </c>
      <c r="E4047" t="s">
        <v>302</v>
      </c>
      <c r="F4047">
        <v>1</v>
      </c>
      <c r="G4047">
        <v>55</v>
      </c>
      <c r="H4047">
        <v>8.8800000000000008</v>
      </c>
      <c r="I4047" t="s">
        <v>44</v>
      </c>
      <c r="J4047">
        <v>6</v>
      </c>
      <c r="K4047" t="s">
        <v>51</v>
      </c>
      <c r="L4047">
        <v>2</v>
      </c>
      <c r="M4047" t="str">
        <f>VLOOKUP(D4047,State_Lookup!$A$2:$B$28,2,FALSE)</f>
        <v>Sao Paulo</v>
      </c>
    </row>
    <row r="4048" spans="1:13" x14ac:dyDescent="0.45">
      <c r="A4048" t="s">
        <v>4708</v>
      </c>
      <c r="B4048" t="s">
        <v>4699</v>
      </c>
      <c r="C4048" t="s">
        <v>4700</v>
      </c>
      <c r="D4048" t="s">
        <v>17</v>
      </c>
      <c r="E4048" t="s">
        <v>157</v>
      </c>
      <c r="F4048">
        <v>1</v>
      </c>
      <c r="G4048">
        <v>195.9</v>
      </c>
      <c r="H4048">
        <v>19.25</v>
      </c>
      <c r="I4048" t="s">
        <v>44</v>
      </c>
      <c r="J4048">
        <v>11</v>
      </c>
      <c r="K4048" t="s">
        <v>51</v>
      </c>
      <c r="L4048">
        <v>4</v>
      </c>
      <c r="M4048" t="str">
        <f>VLOOKUP(D4048,State_Lookup!$A$2:$B$28,2,FALSE)</f>
        <v>Rio de Janeiro</v>
      </c>
    </row>
    <row r="4049" spans="1:13" x14ac:dyDescent="0.45">
      <c r="A4049" t="s">
        <v>4709</v>
      </c>
      <c r="B4049" t="s">
        <v>4699</v>
      </c>
      <c r="C4049" t="s">
        <v>4700</v>
      </c>
      <c r="D4049" t="s">
        <v>16</v>
      </c>
      <c r="E4049" t="s">
        <v>43</v>
      </c>
      <c r="F4049">
        <v>1</v>
      </c>
      <c r="G4049">
        <v>139.99</v>
      </c>
      <c r="H4049">
        <v>9.33</v>
      </c>
      <c r="I4049" t="s">
        <v>44</v>
      </c>
      <c r="J4049">
        <v>7</v>
      </c>
      <c r="K4049" t="s">
        <v>51</v>
      </c>
      <c r="L4049">
        <v>4</v>
      </c>
      <c r="M4049" t="str">
        <f>VLOOKUP(D4049,State_Lookup!$A$2:$B$28,2,FALSE)</f>
        <v>Sao Paulo</v>
      </c>
    </row>
    <row r="4050" spans="1:13" x14ac:dyDescent="0.45">
      <c r="A4050" t="s">
        <v>4710</v>
      </c>
      <c r="B4050" t="s">
        <v>4699</v>
      </c>
      <c r="C4050" t="s">
        <v>4700</v>
      </c>
      <c r="D4050" t="s">
        <v>22</v>
      </c>
      <c r="E4050" t="s">
        <v>53</v>
      </c>
      <c r="F4050">
        <v>1</v>
      </c>
      <c r="G4050">
        <v>125</v>
      </c>
      <c r="H4050">
        <v>37.56</v>
      </c>
      <c r="I4050" t="s">
        <v>44</v>
      </c>
      <c r="J4050">
        <v>12</v>
      </c>
      <c r="K4050" t="s">
        <v>51</v>
      </c>
      <c r="L4050">
        <v>4</v>
      </c>
      <c r="M4050" t="str">
        <f>VLOOKUP(D4050,State_Lookup!$A$2:$B$28,2,FALSE)</f>
        <v>Bahia</v>
      </c>
    </row>
    <row r="4051" spans="1:13" x14ac:dyDescent="0.45">
      <c r="A4051" t="s">
        <v>4711</v>
      </c>
      <c r="B4051" t="s">
        <v>4712</v>
      </c>
      <c r="C4051" t="s">
        <v>4700</v>
      </c>
      <c r="D4051" t="s">
        <v>16</v>
      </c>
      <c r="E4051" t="s">
        <v>43</v>
      </c>
      <c r="F4051">
        <v>1</v>
      </c>
      <c r="G4051">
        <v>21.5</v>
      </c>
      <c r="H4051">
        <v>7.39</v>
      </c>
      <c r="I4051" t="s">
        <v>44</v>
      </c>
      <c r="J4051">
        <v>9</v>
      </c>
      <c r="K4051" t="s">
        <v>51</v>
      </c>
      <c r="L4051">
        <v>3</v>
      </c>
      <c r="M4051" t="str">
        <f>VLOOKUP(D4051,State_Lookup!$A$2:$B$28,2,FALSE)</f>
        <v>Sao Paulo</v>
      </c>
    </row>
    <row r="4052" spans="1:13" x14ac:dyDescent="0.45">
      <c r="A4052" t="s">
        <v>4713</v>
      </c>
      <c r="B4052" t="s">
        <v>4712</v>
      </c>
      <c r="C4052" t="s">
        <v>4700</v>
      </c>
      <c r="D4052" t="s">
        <v>18</v>
      </c>
      <c r="E4052" t="s">
        <v>79</v>
      </c>
      <c r="F4052">
        <v>1</v>
      </c>
      <c r="G4052">
        <v>199.9</v>
      </c>
      <c r="H4052">
        <v>23.98</v>
      </c>
      <c r="I4052" t="s">
        <v>44</v>
      </c>
      <c r="J4052">
        <v>8</v>
      </c>
      <c r="K4052" t="s">
        <v>51</v>
      </c>
      <c r="L4052">
        <v>5</v>
      </c>
      <c r="M4052" t="str">
        <f>VLOOKUP(D4052,State_Lookup!$A$2:$B$28,2,FALSE)</f>
        <v>Minas Gerais</v>
      </c>
    </row>
    <row r="4053" spans="1:13" x14ac:dyDescent="0.45">
      <c r="A4053" t="s">
        <v>4714</v>
      </c>
      <c r="B4053" t="s">
        <v>4712</v>
      </c>
      <c r="C4053" t="s">
        <v>4700</v>
      </c>
      <c r="D4053" t="s">
        <v>23</v>
      </c>
      <c r="E4053" t="s">
        <v>125</v>
      </c>
      <c r="F4053">
        <v>1</v>
      </c>
      <c r="G4053">
        <v>14.99</v>
      </c>
      <c r="H4053">
        <v>15.23</v>
      </c>
      <c r="I4053" t="s">
        <v>44</v>
      </c>
      <c r="J4053">
        <v>10</v>
      </c>
      <c r="K4053" t="s">
        <v>51</v>
      </c>
      <c r="L4053">
        <v>4</v>
      </c>
      <c r="M4053" t="str">
        <f>VLOOKUP(D4053,State_Lookup!$A$2:$B$28,2,FALSE)</f>
        <v>Espirito Santo</v>
      </c>
    </row>
    <row r="4054" spans="1:13" x14ac:dyDescent="0.45">
      <c r="A4054" t="s">
        <v>4715</v>
      </c>
      <c r="B4054" t="s">
        <v>4712</v>
      </c>
      <c r="C4054" t="s">
        <v>4700</v>
      </c>
      <c r="D4054" t="s">
        <v>16</v>
      </c>
      <c r="E4054" t="s">
        <v>107</v>
      </c>
      <c r="F4054">
        <v>3</v>
      </c>
      <c r="G4054">
        <v>180</v>
      </c>
      <c r="H4054">
        <v>61.71</v>
      </c>
      <c r="I4054" t="s">
        <v>44</v>
      </c>
      <c r="J4054">
        <v>3</v>
      </c>
      <c r="K4054" t="s">
        <v>51</v>
      </c>
      <c r="L4054">
        <v>5</v>
      </c>
      <c r="M4054" t="str">
        <f>VLOOKUP(D4054,State_Lookup!$A$2:$B$28,2,FALSE)</f>
        <v>Sao Paulo</v>
      </c>
    </row>
    <row r="4055" spans="1:13" x14ac:dyDescent="0.45">
      <c r="A4055" t="s">
        <v>4716</v>
      </c>
      <c r="B4055" t="s">
        <v>4717</v>
      </c>
      <c r="C4055" t="s">
        <v>4700</v>
      </c>
      <c r="D4055" t="s">
        <v>16</v>
      </c>
      <c r="E4055" t="s">
        <v>125</v>
      </c>
      <c r="F4055">
        <v>1</v>
      </c>
      <c r="G4055">
        <v>16.989999999999998</v>
      </c>
      <c r="H4055">
        <v>7.39</v>
      </c>
      <c r="I4055" t="s">
        <v>44</v>
      </c>
      <c r="J4055">
        <v>2</v>
      </c>
      <c r="K4055" t="s">
        <v>51</v>
      </c>
      <c r="L4055">
        <v>5</v>
      </c>
      <c r="M4055" t="str">
        <f>VLOOKUP(D4055,State_Lookup!$A$2:$B$28,2,FALSE)</f>
        <v>Sao Paulo</v>
      </c>
    </row>
    <row r="4056" spans="1:13" x14ac:dyDescent="0.45">
      <c r="A4056" t="s">
        <v>4718</v>
      </c>
      <c r="B4056" t="s">
        <v>4717</v>
      </c>
      <c r="C4056" t="s">
        <v>4700</v>
      </c>
      <c r="D4056" t="s">
        <v>19</v>
      </c>
      <c r="E4056" t="s">
        <v>79</v>
      </c>
      <c r="F4056">
        <v>1</v>
      </c>
      <c r="G4056">
        <v>330</v>
      </c>
      <c r="H4056">
        <v>20.190000000000001</v>
      </c>
      <c r="I4056" t="s">
        <v>50</v>
      </c>
      <c r="J4056">
        <v>10</v>
      </c>
      <c r="K4056" t="s">
        <v>51</v>
      </c>
      <c r="L4056">
        <v>5</v>
      </c>
      <c r="M4056" t="str">
        <f>VLOOKUP(D4056,State_Lookup!$A$2:$B$28,2,FALSE)</f>
        <v>Rio Grande do Sul</v>
      </c>
    </row>
    <row r="4057" spans="1:13" x14ac:dyDescent="0.45">
      <c r="A4057" t="s">
        <v>4719</v>
      </c>
      <c r="B4057" t="s">
        <v>4717</v>
      </c>
      <c r="C4057" t="s">
        <v>4700</v>
      </c>
      <c r="D4057" t="s">
        <v>20</v>
      </c>
      <c r="E4057" t="s">
        <v>58</v>
      </c>
      <c r="F4057">
        <v>1</v>
      </c>
      <c r="G4057">
        <v>80</v>
      </c>
      <c r="H4057">
        <v>7.75</v>
      </c>
      <c r="I4057" t="s">
        <v>44</v>
      </c>
      <c r="J4057">
        <v>2</v>
      </c>
      <c r="K4057" t="s">
        <v>51</v>
      </c>
      <c r="L4057">
        <v>2</v>
      </c>
      <c r="M4057" t="str">
        <f>VLOOKUP(D4057,State_Lookup!$A$2:$B$28,2,FALSE)</f>
        <v>Parana</v>
      </c>
    </row>
    <row r="4058" spans="1:13" x14ac:dyDescent="0.45">
      <c r="A4058" t="s">
        <v>4720</v>
      </c>
      <c r="B4058" t="s">
        <v>4717</v>
      </c>
      <c r="C4058" t="s">
        <v>4700</v>
      </c>
      <c r="D4058" t="s">
        <v>24</v>
      </c>
      <c r="E4058" t="s">
        <v>79</v>
      </c>
      <c r="F4058">
        <v>1</v>
      </c>
      <c r="G4058">
        <v>330</v>
      </c>
      <c r="H4058">
        <v>17.190000000000001</v>
      </c>
      <c r="I4058" t="s">
        <v>44</v>
      </c>
      <c r="J4058">
        <v>8</v>
      </c>
      <c r="K4058" t="s">
        <v>51</v>
      </c>
      <c r="L4058">
        <v>3</v>
      </c>
      <c r="M4058" t="str">
        <f>VLOOKUP(D4058,State_Lookup!$A$2:$B$28,2,FALSE)</f>
        <v>Distrito Federal</v>
      </c>
    </row>
    <row r="4059" spans="1:13" x14ac:dyDescent="0.45">
      <c r="A4059" t="s">
        <v>4721</v>
      </c>
      <c r="B4059" t="s">
        <v>4717</v>
      </c>
      <c r="C4059" t="s">
        <v>4700</v>
      </c>
      <c r="D4059" t="s">
        <v>16</v>
      </c>
      <c r="E4059" t="s">
        <v>79</v>
      </c>
      <c r="F4059">
        <v>1</v>
      </c>
      <c r="G4059">
        <v>79.989999999999995</v>
      </c>
      <c r="H4059">
        <v>8.32</v>
      </c>
      <c r="I4059" t="s">
        <v>44</v>
      </c>
      <c r="J4059">
        <v>2</v>
      </c>
      <c r="K4059" t="s">
        <v>51</v>
      </c>
      <c r="L4059">
        <v>5</v>
      </c>
      <c r="M4059" t="str">
        <f>VLOOKUP(D4059,State_Lookup!$A$2:$B$28,2,FALSE)</f>
        <v>Sao Paulo</v>
      </c>
    </row>
    <row r="4060" spans="1:13" x14ac:dyDescent="0.45">
      <c r="A4060" t="s">
        <v>4722</v>
      </c>
      <c r="B4060" t="s">
        <v>4717</v>
      </c>
      <c r="C4060" t="s">
        <v>4700</v>
      </c>
      <c r="D4060" t="s">
        <v>18</v>
      </c>
      <c r="E4060" t="s">
        <v>148</v>
      </c>
      <c r="F4060">
        <v>1</v>
      </c>
      <c r="G4060">
        <v>157</v>
      </c>
      <c r="H4060">
        <v>18.98</v>
      </c>
      <c r="I4060" t="s">
        <v>44</v>
      </c>
      <c r="J4060">
        <v>8</v>
      </c>
      <c r="K4060" t="s">
        <v>51</v>
      </c>
      <c r="L4060">
        <v>5</v>
      </c>
      <c r="M4060" t="str">
        <f>VLOOKUP(D4060,State_Lookup!$A$2:$B$28,2,FALSE)</f>
        <v>Minas Gerais</v>
      </c>
    </row>
    <row r="4061" spans="1:13" x14ac:dyDescent="0.45">
      <c r="A4061" t="s">
        <v>4723</v>
      </c>
      <c r="B4061" t="s">
        <v>4717</v>
      </c>
      <c r="C4061" t="s">
        <v>4700</v>
      </c>
      <c r="D4061" t="s">
        <v>19</v>
      </c>
      <c r="E4061" t="s">
        <v>125</v>
      </c>
      <c r="F4061">
        <v>1</v>
      </c>
      <c r="G4061">
        <v>12.9</v>
      </c>
      <c r="H4061">
        <v>15.23</v>
      </c>
      <c r="I4061" t="s">
        <v>44</v>
      </c>
      <c r="J4061">
        <v>15</v>
      </c>
      <c r="K4061" t="s">
        <v>51</v>
      </c>
      <c r="L4061">
        <v>4</v>
      </c>
      <c r="M4061" t="str">
        <f>VLOOKUP(D4061,State_Lookup!$A$2:$B$28,2,FALSE)</f>
        <v>Rio Grande do Sul</v>
      </c>
    </row>
    <row r="4062" spans="1:13" x14ac:dyDescent="0.45">
      <c r="A4062" t="s">
        <v>4724</v>
      </c>
      <c r="B4062" t="s">
        <v>4717</v>
      </c>
      <c r="C4062" t="s">
        <v>4700</v>
      </c>
      <c r="D4062" t="s">
        <v>16</v>
      </c>
      <c r="E4062" t="s">
        <v>79</v>
      </c>
      <c r="F4062">
        <v>1</v>
      </c>
      <c r="G4062">
        <v>330</v>
      </c>
      <c r="H4062">
        <v>10.07</v>
      </c>
      <c r="I4062" t="s">
        <v>50</v>
      </c>
      <c r="J4062">
        <v>3</v>
      </c>
      <c r="K4062" t="s">
        <v>51</v>
      </c>
      <c r="L4062">
        <v>5</v>
      </c>
      <c r="M4062" t="str">
        <f>VLOOKUP(D4062,State_Lookup!$A$2:$B$28,2,FALSE)</f>
        <v>Sao Paulo</v>
      </c>
    </row>
    <row r="4063" spans="1:13" x14ac:dyDescent="0.45">
      <c r="A4063" t="s">
        <v>4725</v>
      </c>
      <c r="B4063" t="s">
        <v>4717</v>
      </c>
      <c r="C4063" t="s">
        <v>4700</v>
      </c>
      <c r="D4063" t="s">
        <v>21</v>
      </c>
      <c r="E4063" t="s">
        <v>157</v>
      </c>
      <c r="F4063">
        <v>1</v>
      </c>
      <c r="G4063">
        <v>227.9</v>
      </c>
      <c r="H4063">
        <v>19.48</v>
      </c>
      <c r="I4063" t="s">
        <v>44</v>
      </c>
      <c r="J4063">
        <v>25</v>
      </c>
      <c r="K4063" t="s">
        <v>51</v>
      </c>
      <c r="L4063">
        <v>2</v>
      </c>
      <c r="M4063" t="str">
        <f>VLOOKUP(D4063,State_Lookup!$A$2:$B$28,2,FALSE)</f>
        <v>Santa Catarina</v>
      </c>
    </row>
    <row r="4064" spans="1:13" x14ac:dyDescent="0.45">
      <c r="A4064" t="s">
        <v>4726</v>
      </c>
      <c r="B4064" t="s">
        <v>4717</v>
      </c>
      <c r="C4064" t="s">
        <v>4700</v>
      </c>
      <c r="D4064" t="s">
        <v>17</v>
      </c>
      <c r="E4064" t="s">
        <v>157</v>
      </c>
      <c r="F4064">
        <v>1</v>
      </c>
      <c r="G4064">
        <v>95</v>
      </c>
      <c r="H4064">
        <v>18.55</v>
      </c>
      <c r="I4064" t="s">
        <v>44</v>
      </c>
      <c r="J4064">
        <v>7</v>
      </c>
      <c r="K4064" t="s">
        <v>51</v>
      </c>
      <c r="L4064">
        <v>5</v>
      </c>
      <c r="M4064" t="str">
        <f>VLOOKUP(D4064,State_Lookup!$A$2:$B$28,2,FALSE)</f>
        <v>Rio de Janeiro</v>
      </c>
    </row>
    <row r="4065" spans="1:13" x14ac:dyDescent="0.45">
      <c r="A4065" t="s">
        <v>4727</v>
      </c>
      <c r="B4065" t="s">
        <v>4728</v>
      </c>
      <c r="C4065" t="s">
        <v>4700</v>
      </c>
      <c r="D4065" t="s">
        <v>17</v>
      </c>
      <c r="E4065" t="s">
        <v>1903</v>
      </c>
      <c r="F4065">
        <v>1</v>
      </c>
      <c r="G4065">
        <v>167.5</v>
      </c>
      <c r="H4065">
        <v>48</v>
      </c>
      <c r="I4065" t="s">
        <v>108</v>
      </c>
      <c r="J4065">
        <v>4</v>
      </c>
      <c r="K4065" t="s">
        <v>51</v>
      </c>
      <c r="L4065">
        <v>5</v>
      </c>
      <c r="M4065" t="str">
        <f>VLOOKUP(D4065,State_Lookup!$A$2:$B$28,2,FALSE)</f>
        <v>Rio de Janeiro</v>
      </c>
    </row>
    <row r="4066" spans="1:13" x14ac:dyDescent="0.45">
      <c r="A4066" t="s">
        <v>4729</v>
      </c>
      <c r="B4066" t="s">
        <v>4728</v>
      </c>
      <c r="C4066" t="s">
        <v>4700</v>
      </c>
      <c r="D4066" t="s">
        <v>18</v>
      </c>
      <c r="E4066" t="s">
        <v>220</v>
      </c>
      <c r="F4066">
        <v>1</v>
      </c>
      <c r="G4066">
        <v>149.99</v>
      </c>
      <c r="H4066">
        <v>33.31</v>
      </c>
      <c r="I4066" t="s">
        <v>44</v>
      </c>
      <c r="J4066">
        <v>13</v>
      </c>
      <c r="K4066" t="s">
        <v>51</v>
      </c>
      <c r="L4066">
        <v>5</v>
      </c>
      <c r="M4066" t="str">
        <f>VLOOKUP(D4066,State_Lookup!$A$2:$B$28,2,FALSE)</f>
        <v>Minas Gerais</v>
      </c>
    </row>
    <row r="4067" spans="1:13" x14ac:dyDescent="0.45">
      <c r="A4067" t="s">
        <v>4730</v>
      </c>
      <c r="B4067" t="s">
        <v>4728</v>
      </c>
      <c r="C4067" t="s">
        <v>4700</v>
      </c>
      <c r="D4067" t="s">
        <v>16</v>
      </c>
      <c r="E4067" t="s">
        <v>79</v>
      </c>
      <c r="F4067">
        <v>1</v>
      </c>
      <c r="G4067">
        <v>69.900000000000006</v>
      </c>
      <c r="H4067">
        <v>18.37</v>
      </c>
      <c r="I4067" t="s">
        <v>44</v>
      </c>
      <c r="J4067">
        <v>7</v>
      </c>
      <c r="K4067" t="s">
        <v>51</v>
      </c>
      <c r="L4067">
        <v>4</v>
      </c>
      <c r="M4067" t="str">
        <f>VLOOKUP(D4067,State_Lookup!$A$2:$B$28,2,FALSE)</f>
        <v>Sao Paulo</v>
      </c>
    </row>
    <row r="4068" spans="1:13" x14ac:dyDescent="0.45">
      <c r="A4068" t="s">
        <v>4731</v>
      </c>
      <c r="B4068" t="s">
        <v>4728</v>
      </c>
      <c r="C4068" t="s">
        <v>4700</v>
      </c>
      <c r="D4068" t="s">
        <v>18</v>
      </c>
      <c r="E4068" t="s">
        <v>366</v>
      </c>
      <c r="F4068">
        <v>1</v>
      </c>
      <c r="G4068">
        <v>29.9</v>
      </c>
      <c r="H4068">
        <v>18.23</v>
      </c>
      <c r="I4068" t="s">
        <v>44</v>
      </c>
      <c r="J4068">
        <v>6</v>
      </c>
      <c r="K4068" t="s">
        <v>51</v>
      </c>
      <c r="L4068">
        <v>4</v>
      </c>
      <c r="M4068" t="str">
        <f>VLOOKUP(D4068,State_Lookup!$A$2:$B$28,2,FALSE)</f>
        <v>Minas Gerais</v>
      </c>
    </row>
    <row r="4069" spans="1:13" x14ac:dyDescent="0.45">
      <c r="A4069" t="s">
        <v>4732</v>
      </c>
      <c r="B4069" t="s">
        <v>4728</v>
      </c>
      <c r="C4069" t="s">
        <v>4700</v>
      </c>
      <c r="D4069" t="s">
        <v>18</v>
      </c>
      <c r="E4069" t="s">
        <v>1935</v>
      </c>
      <c r="F4069">
        <v>1</v>
      </c>
      <c r="G4069">
        <v>274.95</v>
      </c>
      <c r="H4069">
        <v>28</v>
      </c>
      <c r="I4069" t="s">
        <v>44</v>
      </c>
      <c r="J4069">
        <v>15</v>
      </c>
      <c r="K4069" t="s">
        <v>51</v>
      </c>
      <c r="L4069">
        <v>5</v>
      </c>
      <c r="M4069" t="str">
        <f>VLOOKUP(D4069,State_Lookup!$A$2:$B$28,2,FALSE)</f>
        <v>Minas Gerais</v>
      </c>
    </row>
    <row r="4070" spans="1:13" x14ac:dyDescent="0.45">
      <c r="A4070" t="s">
        <v>4733</v>
      </c>
      <c r="B4070" t="s">
        <v>4728</v>
      </c>
      <c r="C4070" t="s">
        <v>4700</v>
      </c>
      <c r="D4070" t="s">
        <v>141</v>
      </c>
      <c r="E4070" t="s">
        <v>61</v>
      </c>
      <c r="F4070">
        <v>1</v>
      </c>
      <c r="G4070">
        <v>40</v>
      </c>
      <c r="H4070">
        <v>22.85</v>
      </c>
      <c r="I4070" t="s">
        <v>50</v>
      </c>
      <c r="J4070">
        <v>22</v>
      </c>
      <c r="K4070" t="s">
        <v>51</v>
      </c>
      <c r="L4070">
        <v>5</v>
      </c>
      <c r="M4070" t="str">
        <f>VLOOKUP(D4070,State_Lookup!$A$2:$B$28,2,FALSE)</f>
        <v>Maranhao</v>
      </c>
    </row>
    <row r="4071" spans="1:13" x14ac:dyDescent="0.45">
      <c r="A4071" t="s">
        <v>4734</v>
      </c>
      <c r="B4071" t="s">
        <v>4728</v>
      </c>
      <c r="C4071" t="s">
        <v>4700</v>
      </c>
      <c r="D4071" t="s">
        <v>16</v>
      </c>
      <c r="E4071" t="s">
        <v>125</v>
      </c>
      <c r="F4071">
        <v>1</v>
      </c>
      <c r="G4071">
        <v>9.9</v>
      </c>
      <c r="H4071">
        <v>12.79</v>
      </c>
      <c r="I4071" t="s">
        <v>44</v>
      </c>
      <c r="J4071">
        <v>14</v>
      </c>
      <c r="K4071" t="s">
        <v>51</v>
      </c>
      <c r="L4071">
        <v>5</v>
      </c>
      <c r="M4071" t="str">
        <f>VLOOKUP(D4071,State_Lookup!$A$2:$B$28,2,FALSE)</f>
        <v>Sao Paulo</v>
      </c>
    </row>
    <row r="4072" spans="1:13" x14ac:dyDescent="0.45">
      <c r="A4072" t="s">
        <v>4735</v>
      </c>
      <c r="B4072" t="s">
        <v>4728</v>
      </c>
      <c r="C4072" t="s">
        <v>4700</v>
      </c>
      <c r="D4072" t="s">
        <v>16</v>
      </c>
      <c r="E4072" t="s">
        <v>2079</v>
      </c>
      <c r="F4072">
        <v>2</v>
      </c>
      <c r="G4072">
        <v>90</v>
      </c>
      <c r="H4072">
        <v>25.58</v>
      </c>
      <c r="I4072" t="s">
        <v>44</v>
      </c>
      <c r="J4072">
        <v>8</v>
      </c>
      <c r="K4072" t="s">
        <v>51</v>
      </c>
      <c r="L4072">
        <v>4</v>
      </c>
      <c r="M4072" t="str">
        <f>VLOOKUP(D4072,State_Lookup!$A$2:$B$28,2,FALSE)</f>
        <v>Sao Paulo</v>
      </c>
    </row>
    <row r="4073" spans="1:13" x14ac:dyDescent="0.45">
      <c r="A4073" t="s">
        <v>4736</v>
      </c>
      <c r="B4073" t="s">
        <v>4728</v>
      </c>
      <c r="C4073" t="s">
        <v>4700</v>
      </c>
      <c r="D4073" t="s">
        <v>16</v>
      </c>
      <c r="E4073" t="s">
        <v>142</v>
      </c>
      <c r="F4073">
        <v>1</v>
      </c>
      <c r="G4073">
        <v>179</v>
      </c>
      <c r="H4073">
        <v>27.69</v>
      </c>
      <c r="I4073" t="s">
        <v>44</v>
      </c>
      <c r="J4073">
        <v>2</v>
      </c>
      <c r="K4073" t="s">
        <v>51</v>
      </c>
      <c r="L4073">
        <v>5</v>
      </c>
      <c r="M4073" t="str">
        <f>VLOOKUP(D4073,State_Lookup!$A$2:$B$28,2,FALSE)</f>
        <v>Sao Paulo</v>
      </c>
    </row>
    <row r="4074" spans="1:13" x14ac:dyDescent="0.45">
      <c r="A4074" t="s">
        <v>4737</v>
      </c>
      <c r="B4074" t="s">
        <v>4728</v>
      </c>
      <c r="C4074" t="s">
        <v>4700</v>
      </c>
      <c r="D4074" t="s">
        <v>16</v>
      </c>
      <c r="E4074" t="s">
        <v>79</v>
      </c>
      <c r="F4074">
        <v>1</v>
      </c>
      <c r="G4074">
        <v>141.9</v>
      </c>
      <c r="H4074">
        <v>19.96</v>
      </c>
      <c r="I4074" t="s">
        <v>44</v>
      </c>
      <c r="J4074">
        <v>3</v>
      </c>
      <c r="K4074" t="s">
        <v>51</v>
      </c>
      <c r="L4074">
        <v>5</v>
      </c>
      <c r="M4074" t="str">
        <f>VLOOKUP(D4074,State_Lookup!$A$2:$B$28,2,FALSE)</f>
        <v>Sao Paulo</v>
      </c>
    </row>
    <row r="4075" spans="1:13" x14ac:dyDescent="0.45">
      <c r="A4075" t="s">
        <v>4738</v>
      </c>
      <c r="B4075" t="s">
        <v>4728</v>
      </c>
      <c r="C4075" t="s">
        <v>4700</v>
      </c>
      <c r="D4075" t="s">
        <v>16</v>
      </c>
      <c r="E4075" t="s">
        <v>103</v>
      </c>
      <c r="F4075">
        <v>1</v>
      </c>
      <c r="G4075">
        <v>34.99</v>
      </c>
      <c r="H4075">
        <v>8.2899999999999991</v>
      </c>
      <c r="I4075" t="s">
        <v>44</v>
      </c>
      <c r="J4075">
        <v>1</v>
      </c>
      <c r="K4075" t="s">
        <v>51</v>
      </c>
      <c r="L4075">
        <v>5</v>
      </c>
      <c r="M4075" t="str">
        <f>VLOOKUP(D4075,State_Lookup!$A$2:$B$28,2,FALSE)</f>
        <v>Sao Paulo</v>
      </c>
    </row>
    <row r="4076" spans="1:13" x14ac:dyDescent="0.45">
      <c r="A4076" t="s">
        <v>4739</v>
      </c>
      <c r="B4076" t="s">
        <v>4728</v>
      </c>
      <c r="C4076" t="s">
        <v>4700</v>
      </c>
      <c r="D4076" t="s">
        <v>17</v>
      </c>
      <c r="E4076" t="s">
        <v>53</v>
      </c>
      <c r="F4076">
        <v>1</v>
      </c>
      <c r="G4076">
        <v>79</v>
      </c>
      <c r="H4076">
        <v>17.260000000000002</v>
      </c>
      <c r="I4076" t="s">
        <v>44</v>
      </c>
      <c r="J4076">
        <v>7</v>
      </c>
      <c r="K4076" t="s">
        <v>51</v>
      </c>
      <c r="L4076">
        <v>2</v>
      </c>
      <c r="M4076" t="str">
        <f>VLOOKUP(D4076,State_Lookup!$A$2:$B$28,2,FALSE)</f>
        <v>Rio de Janeiro</v>
      </c>
    </row>
    <row r="4077" spans="1:13" x14ac:dyDescent="0.45">
      <c r="A4077" t="s">
        <v>4740</v>
      </c>
      <c r="B4077" t="s">
        <v>4728</v>
      </c>
      <c r="C4077" t="s">
        <v>4700</v>
      </c>
      <c r="D4077" t="s">
        <v>16</v>
      </c>
      <c r="E4077" t="s">
        <v>152</v>
      </c>
      <c r="F4077">
        <v>1</v>
      </c>
      <c r="G4077">
        <v>149.9</v>
      </c>
      <c r="H4077">
        <v>60.06</v>
      </c>
      <c r="I4077" t="s">
        <v>133</v>
      </c>
      <c r="J4077">
        <v>7</v>
      </c>
      <c r="K4077" t="s">
        <v>51</v>
      </c>
      <c r="L4077">
        <v>5</v>
      </c>
      <c r="M4077" t="str">
        <f>VLOOKUP(D4077,State_Lookup!$A$2:$B$28,2,FALSE)</f>
        <v>Sao Paulo</v>
      </c>
    </row>
    <row r="4078" spans="1:13" x14ac:dyDescent="0.45">
      <c r="A4078" t="s">
        <v>4741</v>
      </c>
      <c r="B4078" t="s">
        <v>4728</v>
      </c>
      <c r="C4078" t="s">
        <v>4700</v>
      </c>
      <c r="D4078" t="s">
        <v>16</v>
      </c>
      <c r="E4078" t="s">
        <v>366</v>
      </c>
      <c r="F4078">
        <v>1</v>
      </c>
      <c r="G4078">
        <v>46.2</v>
      </c>
      <c r="H4078">
        <v>9.44</v>
      </c>
      <c r="I4078" t="s">
        <v>44</v>
      </c>
      <c r="J4078">
        <v>3</v>
      </c>
      <c r="K4078" t="s">
        <v>51</v>
      </c>
      <c r="L4078">
        <v>2</v>
      </c>
      <c r="M4078" t="str">
        <f>VLOOKUP(D4078,State_Lookup!$A$2:$B$28,2,FALSE)</f>
        <v>Sao Paulo</v>
      </c>
    </row>
    <row r="4079" spans="1:13" x14ac:dyDescent="0.45">
      <c r="A4079" t="s">
        <v>4742</v>
      </c>
      <c r="B4079" t="s">
        <v>4728</v>
      </c>
      <c r="C4079" t="s">
        <v>4700</v>
      </c>
      <c r="D4079" t="s">
        <v>16</v>
      </c>
      <c r="E4079" t="s">
        <v>142</v>
      </c>
      <c r="F4079">
        <v>1</v>
      </c>
      <c r="G4079">
        <v>49.9</v>
      </c>
      <c r="H4079">
        <v>8.2899999999999991</v>
      </c>
      <c r="I4079" t="s">
        <v>133</v>
      </c>
      <c r="J4079">
        <v>7</v>
      </c>
      <c r="K4079" t="s">
        <v>51</v>
      </c>
      <c r="L4079">
        <v>2</v>
      </c>
      <c r="M4079" t="str">
        <f>VLOOKUP(D4079,State_Lookup!$A$2:$B$28,2,FALSE)</f>
        <v>Sao Paulo</v>
      </c>
    </row>
    <row r="4080" spans="1:13" x14ac:dyDescent="0.45">
      <c r="A4080" t="s">
        <v>4743</v>
      </c>
      <c r="B4080" t="s">
        <v>4728</v>
      </c>
      <c r="C4080" t="s">
        <v>4700</v>
      </c>
      <c r="D4080" t="s">
        <v>16</v>
      </c>
      <c r="E4080" t="s">
        <v>61</v>
      </c>
      <c r="F4080">
        <v>1</v>
      </c>
      <c r="G4080">
        <v>119</v>
      </c>
      <c r="H4080">
        <v>57.09</v>
      </c>
      <c r="I4080" t="s">
        <v>44</v>
      </c>
      <c r="J4080">
        <v>9</v>
      </c>
      <c r="K4080" t="s">
        <v>51</v>
      </c>
      <c r="L4080">
        <v>5</v>
      </c>
      <c r="M4080" t="str">
        <f>VLOOKUP(D4080,State_Lookup!$A$2:$B$28,2,FALSE)</f>
        <v>Sao Paulo</v>
      </c>
    </row>
    <row r="4081" spans="1:13" x14ac:dyDescent="0.45">
      <c r="A4081" t="s">
        <v>4744</v>
      </c>
      <c r="B4081" t="s">
        <v>4728</v>
      </c>
      <c r="C4081" t="s">
        <v>4700</v>
      </c>
      <c r="D4081" t="s">
        <v>16</v>
      </c>
      <c r="E4081" t="s">
        <v>199</v>
      </c>
      <c r="F4081">
        <v>1</v>
      </c>
      <c r="G4081">
        <v>8.99</v>
      </c>
      <c r="H4081">
        <v>7.39</v>
      </c>
      <c r="I4081" t="s">
        <v>44</v>
      </c>
      <c r="J4081">
        <v>2</v>
      </c>
      <c r="K4081" t="s">
        <v>51</v>
      </c>
      <c r="L4081">
        <v>4</v>
      </c>
      <c r="M4081" t="str">
        <f>VLOOKUP(D4081,State_Lookup!$A$2:$B$28,2,FALSE)</f>
        <v>Sao Paulo</v>
      </c>
    </row>
    <row r="4082" spans="1:13" x14ac:dyDescent="0.45">
      <c r="A4082" t="s">
        <v>4745</v>
      </c>
      <c r="B4082" t="s">
        <v>4728</v>
      </c>
      <c r="C4082" t="s">
        <v>4700</v>
      </c>
      <c r="D4082" t="s">
        <v>16</v>
      </c>
      <c r="E4082" t="s">
        <v>244</v>
      </c>
      <c r="F4082">
        <v>1</v>
      </c>
      <c r="G4082">
        <v>114.9</v>
      </c>
      <c r="H4082">
        <v>7.67</v>
      </c>
      <c r="I4082" t="s">
        <v>44</v>
      </c>
      <c r="J4082">
        <v>6</v>
      </c>
      <c r="K4082" t="s">
        <v>51</v>
      </c>
      <c r="L4082">
        <v>5</v>
      </c>
      <c r="M4082" t="str">
        <f>VLOOKUP(D4082,State_Lookup!$A$2:$B$28,2,FALSE)</f>
        <v>Sao Paulo</v>
      </c>
    </row>
    <row r="4083" spans="1:13" x14ac:dyDescent="0.45">
      <c r="A4083" t="s">
        <v>4746</v>
      </c>
      <c r="B4083" t="s">
        <v>4728</v>
      </c>
      <c r="C4083" t="s">
        <v>4700</v>
      </c>
      <c r="D4083" t="s">
        <v>16</v>
      </c>
      <c r="E4083" t="s">
        <v>142</v>
      </c>
      <c r="F4083">
        <v>1</v>
      </c>
      <c r="G4083">
        <v>87</v>
      </c>
      <c r="H4083">
        <v>34.700000000000003</v>
      </c>
      <c r="I4083" t="s">
        <v>50</v>
      </c>
      <c r="J4083">
        <v>5</v>
      </c>
      <c r="K4083" t="s">
        <v>51</v>
      </c>
      <c r="L4083">
        <v>4</v>
      </c>
      <c r="M4083" t="str">
        <f>VLOOKUP(D4083,State_Lookup!$A$2:$B$28,2,FALSE)</f>
        <v>Sao Paulo</v>
      </c>
    </row>
    <row r="4084" spans="1:13" x14ac:dyDescent="0.45">
      <c r="A4084" t="s">
        <v>4747</v>
      </c>
      <c r="B4084" t="s">
        <v>4728</v>
      </c>
      <c r="C4084" t="s">
        <v>4700</v>
      </c>
      <c r="D4084" t="s">
        <v>19</v>
      </c>
      <c r="E4084" t="s">
        <v>79</v>
      </c>
      <c r="F4084">
        <v>1</v>
      </c>
      <c r="G4084">
        <v>122.99</v>
      </c>
      <c r="H4084">
        <v>84.41</v>
      </c>
      <c r="I4084" t="s">
        <v>50</v>
      </c>
      <c r="J4084">
        <v>16</v>
      </c>
      <c r="K4084" t="s">
        <v>51</v>
      </c>
      <c r="L4084">
        <v>5</v>
      </c>
      <c r="M4084" t="str">
        <f>VLOOKUP(D4084,State_Lookup!$A$2:$B$28,2,FALSE)</f>
        <v>Rio Grande do Sul</v>
      </c>
    </row>
    <row r="4085" spans="1:13" x14ac:dyDescent="0.45">
      <c r="A4085" t="s">
        <v>4748</v>
      </c>
      <c r="B4085" t="s">
        <v>4728</v>
      </c>
      <c r="C4085" t="s">
        <v>4700</v>
      </c>
      <c r="D4085" t="s">
        <v>63</v>
      </c>
      <c r="E4085" t="s">
        <v>110</v>
      </c>
      <c r="F4085">
        <v>1</v>
      </c>
      <c r="G4085">
        <v>144.99</v>
      </c>
      <c r="H4085">
        <v>47.45</v>
      </c>
      <c r="I4085" t="s">
        <v>50</v>
      </c>
      <c r="J4085">
        <v>17</v>
      </c>
      <c r="K4085" t="s">
        <v>51</v>
      </c>
      <c r="L4085">
        <v>4</v>
      </c>
      <c r="M4085" t="str">
        <f>VLOOKUP(D4085,State_Lookup!$A$2:$B$28,2,FALSE)</f>
        <v>Pernambuco</v>
      </c>
    </row>
    <row r="4086" spans="1:13" x14ac:dyDescent="0.45">
      <c r="A4086" t="s">
        <v>4749</v>
      </c>
      <c r="B4086" t="s">
        <v>4728</v>
      </c>
      <c r="C4086" t="s">
        <v>4700</v>
      </c>
      <c r="D4086" t="s">
        <v>16</v>
      </c>
      <c r="E4086" t="s">
        <v>69</v>
      </c>
      <c r="F4086">
        <v>1</v>
      </c>
      <c r="G4086">
        <v>49.9</v>
      </c>
      <c r="H4086">
        <v>17.260000000000002</v>
      </c>
      <c r="I4086" t="s">
        <v>44</v>
      </c>
      <c r="J4086">
        <v>7</v>
      </c>
      <c r="K4086" t="s">
        <v>51</v>
      </c>
      <c r="L4086">
        <v>5</v>
      </c>
      <c r="M4086" t="str">
        <f>VLOOKUP(D4086,State_Lookup!$A$2:$B$28,2,FALSE)</f>
        <v>Sao Paulo</v>
      </c>
    </row>
    <row r="4087" spans="1:13" x14ac:dyDescent="0.45">
      <c r="A4087" t="s">
        <v>4750</v>
      </c>
      <c r="B4087" t="s">
        <v>4751</v>
      </c>
      <c r="C4087" t="s">
        <v>4700</v>
      </c>
      <c r="D4087" t="s">
        <v>16</v>
      </c>
      <c r="E4087" t="s">
        <v>157</v>
      </c>
      <c r="F4087">
        <v>1</v>
      </c>
      <c r="G4087">
        <v>95</v>
      </c>
      <c r="H4087">
        <v>7.53</v>
      </c>
      <c r="I4087" t="s">
        <v>108</v>
      </c>
      <c r="J4087">
        <v>3</v>
      </c>
      <c r="K4087" t="s">
        <v>51</v>
      </c>
      <c r="L4087">
        <v>5</v>
      </c>
      <c r="M4087" t="str">
        <f>VLOOKUP(D4087,State_Lookup!$A$2:$B$28,2,FALSE)</f>
        <v>Sao Paulo</v>
      </c>
    </row>
    <row r="4088" spans="1:13" x14ac:dyDescent="0.45">
      <c r="A4088" t="s">
        <v>4752</v>
      </c>
      <c r="B4088" t="s">
        <v>4751</v>
      </c>
      <c r="C4088" t="s">
        <v>4700</v>
      </c>
      <c r="D4088" t="s">
        <v>16</v>
      </c>
      <c r="E4088" t="s">
        <v>64</v>
      </c>
      <c r="F4088">
        <v>1</v>
      </c>
      <c r="G4088">
        <v>19.899999999999999</v>
      </c>
      <c r="H4088">
        <v>7.39</v>
      </c>
      <c r="I4088" t="s">
        <v>50</v>
      </c>
      <c r="J4088">
        <v>4</v>
      </c>
      <c r="K4088" t="s">
        <v>51</v>
      </c>
      <c r="L4088">
        <v>3</v>
      </c>
      <c r="M4088" t="str">
        <f>VLOOKUP(D4088,State_Lookup!$A$2:$B$28,2,FALSE)</f>
        <v>Sao Paulo</v>
      </c>
    </row>
    <row r="4089" spans="1:13" x14ac:dyDescent="0.45">
      <c r="A4089" t="s">
        <v>4753</v>
      </c>
      <c r="B4089" t="s">
        <v>4751</v>
      </c>
      <c r="C4089" t="s">
        <v>4700</v>
      </c>
      <c r="D4089" t="s">
        <v>16</v>
      </c>
      <c r="E4089" t="s">
        <v>110</v>
      </c>
      <c r="F4089">
        <v>4</v>
      </c>
      <c r="G4089">
        <v>239.6</v>
      </c>
      <c r="H4089">
        <v>77.56</v>
      </c>
      <c r="I4089" t="s">
        <v>108</v>
      </c>
      <c r="J4089">
        <v>7</v>
      </c>
      <c r="K4089" t="s">
        <v>51</v>
      </c>
      <c r="L4089">
        <v>1</v>
      </c>
      <c r="M4089" t="str">
        <f>VLOOKUP(D4089,State_Lookup!$A$2:$B$28,2,FALSE)</f>
        <v>Sao Paulo</v>
      </c>
    </row>
    <row r="4090" spans="1:13" x14ac:dyDescent="0.45">
      <c r="A4090" t="s">
        <v>4754</v>
      </c>
      <c r="B4090" t="s">
        <v>4751</v>
      </c>
      <c r="C4090" t="s">
        <v>4700</v>
      </c>
      <c r="D4090" t="s">
        <v>16</v>
      </c>
      <c r="E4090" t="s">
        <v>244</v>
      </c>
      <c r="F4090">
        <v>1</v>
      </c>
      <c r="G4090">
        <v>8.6999999999999993</v>
      </c>
      <c r="H4090">
        <v>7.39</v>
      </c>
      <c r="I4090" t="s">
        <v>44</v>
      </c>
      <c r="J4090">
        <v>6</v>
      </c>
      <c r="K4090" t="s">
        <v>51</v>
      </c>
      <c r="L4090">
        <v>5</v>
      </c>
      <c r="M4090" t="str">
        <f>VLOOKUP(D4090,State_Lookup!$A$2:$B$28,2,FALSE)</f>
        <v>Sao Paulo</v>
      </c>
    </row>
    <row r="4091" spans="1:13" x14ac:dyDescent="0.45">
      <c r="A4091" t="s">
        <v>4755</v>
      </c>
      <c r="B4091" t="s">
        <v>4751</v>
      </c>
      <c r="C4091" t="s">
        <v>4700</v>
      </c>
      <c r="D4091" t="s">
        <v>63</v>
      </c>
      <c r="E4091" t="s">
        <v>103</v>
      </c>
      <c r="F4091">
        <v>1</v>
      </c>
      <c r="G4091">
        <v>134.9</v>
      </c>
      <c r="H4091">
        <v>38.99</v>
      </c>
      <c r="I4091" t="s">
        <v>44</v>
      </c>
      <c r="J4091">
        <v>15</v>
      </c>
      <c r="K4091" t="s">
        <v>51</v>
      </c>
      <c r="L4091">
        <v>5</v>
      </c>
      <c r="M4091" t="str">
        <f>VLOOKUP(D4091,State_Lookup!$A$2:$B$28,2,FALSE)</f>
        <v>Pernambuco</v>
      </c>
    </row>
    <row r="4092" spans="1:13" x14ac:dyDescent="0.45">
      <c r="A4092" t="s">
        <v>4756</v>
      </c>
      <c r="B4092" t="s">
        <v>4751</v>
      </c>
      <c r="C4092" t="s">
        <v>4700</v>
      </c>
      <c r="D4092" t="s">
        <v>22</v>
      </c>
      <c r="E4092" t="s">
        <v>49</v>
      </c>
      <c r="F4092">
        <v>1</v>
      </c>
      <c r="G4092">
        <v>55</v>
      </c>
      <c r="H4092">
        <v>27.12</v>
      </c>
      <c r="I4092" t="s">
        <v>50</v>
      </c>
      <c r="J4092">
        <v>28</v>
      </c>
      <c r="K4092" t="s">
        <v>51</v>
      </c>
      <c r="L4092">
        <v>5</v>
      </c>
      <c r="M4092" t="str">
        <f>VLOOKUP(D4092,State_Lookup!$A$2:$B$28,2,FALSE)</f>
        <v>Bahia</v>
      </c>
    </row>
    <row r="4093" spans="1:13" x14ac:dyDescent="0.45">
      <c r="A4093" t="s">
        <v>4757</v>
      </c>
      <c r="B4093" t="s">
        <v>4751</v>
      </c>
      <c r="C4093" t="s">
        <v>4700</v>
      </c>
      <c r="D4093" t="s">
        <v>18</v>
      </c>
      <c r="E4093" t="s">
        <v>132</v>
      </c>
      <c r="F4093">
        <v>1</v>
      </c>
      <c r="G4093">
        <v>34.99</v>
      </c>
      <c r="H4093">
        <v>15.23</v>
      </c>
      <c r="I4093" t="s">
        <v>44</v>
      </c>
      <c r="J4093">
        <v>9</v>
      </c>
      <c r="K4093" t="s">
        <v>51</v>
      </c>
      <c r="L4093">
        <v>5</v>
      </c>
      <c r="M4093" t="str">
        <f>VLOOKUP(D4093,State_Lookup!$A$2:$B$28,2,FALSE)</f>
        <v>Minas Gerais</v>
      </c>
    </row>
    <row r="4094" spans="1:13" x14ac:dyDescent="0.45">
      <c r="A4094" t="s">
        <v>4758</v>
      </c>
      <c r="B4094" t="s">
        <v>4751</v>
      </c>
      <c r="C4094" t="s">
        <v>4700</v>
      </c>
      <c r="D4094" t="s">
        <v>17</v>
      </c>
      <c r="E4094" t="s">
        <v>110</v>
      </c>
      <c r="F4094">
        <v>1</v>
      </c>
      <c r="G4094">
        <v>56.99</v>
      </c>
      <c r="H4094">
        <v>19.37</v>
      </c>
      <c r="I4094" t="s">
        <v>44</v>
      </c>
      <c r="J4094">
        <v>56</v>
      </c>
      <c r="K4094" t="s">
        <v>143</v>
      </c>
      <c r="L4094">
        <v>1</v>
      </c>
      <c r="M4094" t="str">
        <f>VLOOKUP(D4094,State_Lookup!$A$2:$B$28,2,FALSE)</f>
        <v>Rio de Janeiro</v>
      </c>
    </row>
    <row r="4095" spans="1:13" x14ac:dyDescent="0.45">
      <c r="A4095" t="s">
        <v>4759</v>
      </c>
      <c r="B4095" t="s">
        <v>4760</v>
      </c>
      <c r="C4095" t="s">
        <v>4700</v>
      </c>
      <c r="D4095" t="s">
        <v>17</v>
      </c>
      <c r="E4095" t="s">
        <v>110</v>
      </c>
      <c r="F4095">
        <v>1</v>
      </c>
      <c r="G4095">
        <v>119.9</v>
      </c>
      <c r="H4095">
        <v>40.909999999999997</v>
      </c>
      <c r="I4095" t="s">
        <v>44</v>
      </c>
      <c r="J4095">
        <v>14</v>
      </c>
      <c r="K4095" t="s">
        <v>51</v>
      </c>
      <c r="L4095">
        <v>5</v>
      </c>
      <c r="M4095" t="str">
        <f>VLOOKUP(D4095,State_Lookup!$A$2:$B$28,2,FALSE)</f>
        <v>Rio de Janeiro</v>
      </c>
    </row>
    <row r="4096" spans="1:13" x14ac:dyDescent="0.45">
      <c r="A4096" t="s">
        <v>4761</v>
      </c>
      <c r="B4096" t="s">
        <v>4760</v>
      </c>
      <c r="C4096" t="s">
        <v>4700</v>
      </c>
      <c r="D4096" t="s">
        <v>25</v>
      </c>
      <c r="E4096" t="s">
        <v>103</v>
      </c>
      <c r="F4096">
        <v>1</v>
      </c>
      <c r="G4096">
        <v>67.989999999999995</v>
      </c>
      <c r="H4096">
        <v>16.45</v>
      </c>
      <c r="I4096" t="s">
        <v>44</v>
      </c>
      <c r="J4096">
        <v>11</v>
      </c>
      <c r="K4096" t="s">
        <v>51</v>
      </c>
      <c r="L4096">
        <v>5</v>
      </c>
      <c r="M4096" t="str">
        <f>VLOOKUP(D4096,State_Lookup!$A$2:$B$28,2,FALSE)</f>
        <v>Goias</v>
      </c>
    </row>
    <row r="4097" spans="1:13" x14ac:dyDescent="0.45">
      <c r="A4097" t="s">
        <v>4762</v>
      </c>
      <c r="B4097" t="s">
        <v>4760</v>
      </c>
      <c r="C4097" t="s">
        <v>4700</v>
      </c>
      <c r="D4097" t="s">
        <v>17</v>
      </c>
      <c r="E4097" t="s">
        <v>110</v>
      </c>
      <c r="F4097">
        <v>1</v>
      </c>
      <c r="G4097">
        <v>199.9</v>
      </c>
      <c r="H4097">
        <v>27.48</v>
      </c>
      <c r="I4097" t="s">
        <v>50</v>
      </c>
      <c r="J4097">
        <v>9</v>
      </c>
      <c r="K4097" t="s">
        <v>51</v>
      </c>
      <c r="L4097">
        <v>4</v>
      </c>
      <c r="M4097" t="str">
        <f>VLOOKUP(D4097,State_Lookup!$A$2:$B$28,2,FALSE)</f>
        <v>Rio de Janeiro</v>
      </c>
    </row>
    <row r="4098" spans="1:13" x14ac:dyDescent="0.45">
      <c r="A4098" t="s">
        <v>4763</v>
      </c>
      <c r="B4098" t="s">
        <v>4760</v>
      </c>
      <c r="C4098" t="s">
        <v>4700</v>
      </c>
      <c r="D4098" t="s">
        <v>17</v>
      </c>
      <c r="E4098" t="s">
        <v>157</v>
      </c>
      <c r="F4098">
        <v>1</v>
      </c>
      <c r="G4098">
        <v>105</v>
      </c>
      <c r="H4098">
        <v>9.27</v>
      </c>
      <c r="I4098" t="s">
        <v>50</v>
      </c>
      <c r="J4098">
        <v>13</v>
      </c>
      <c r="K4098" t="s">
        <v>51</v>
      </c>
      <c r="L4098">
        <v>3</v>
      </c>
      <c r="M4098" t="str">
        <f>VLOOKUP(D4098,State_Lookup!$A$2:$B$28,2,FALSE)</f>
        <v>Rio de Janeiro</v>
      </c>
    </row>
    <row r="4099" spans="1:13" x14ac:dyDescent="0.45">
      <c r="A4099" t="s">
        <v>4764</v>
      </c>
      <c r="B4099" t="s">
        <v>4760</v>
      </c>
      <c r="C4099" t="s">
        <v>4700</v>
      </c>
      <c r="D4099" t="s">
        <v>18</v>
      </c>
      <c r="E4099" t="s">
        <v>103</v>
      </c>
      <c r="F4099">
        <v>1</v>
      </c>
      <c r="G4099">
        <v>36.75</v>
      </c>
      <c r="H4099">
        <v>18.23</v>
      </c>
      <c r="I4099" t="s">
        <v>44</v>
      </c>
      <c r="J4099">
        <v>7</v>
      </c>
      <c r="K4099" t="s">
        <v>51</v>
      </c>
      <c r="L4099">
        <v>4</v>
      </c>
      <c r="M4099" t="str">
        <f>VLOOKUP(D4099,State_Lookup!$A$2:$B$28,2,FALSE)</f>
        <v>Minas Gerais</v>
      </c>
    </row>
    <row r="4100" spans="1:13" x14ac:dyDescent="0.45">
      <c r="A4100" t="s">
        <v>4765</v>
      </c>
      <c r="B4100" t="s">
        <v>4760</v>
      </c>
      <c r="C4100" t="s">
        <v>4700</v>
      </c>
      <c r="D4100" t="s">
        <v>16</v>
      </c>
      <c r="E4100" t="s">
        <v>1935</v>
      </c>
      <c r="F4100">
        <v>1</v>
      </c>
      <c r="G4100">
        <v>14.95</v>
      </c>
      <c r="H4100">
        <v>8.2899999999999991</v>
      </c>
      <c r="I4100" t="s">
        <v>44</v>
      </c>
      <c r="J4100">
        <v>5</v>
      </c>
      <c r="K4100" t="s">
        <v>51</v>
      </c>
      <c r="L4100">
        <v>5</v>
      </c>
      <c r="M4100" t="str">
        <f>VLOOKUP(D4100,State_Lookup!$A$2:$B$28,2,FALSE)</f>
        <v>Sao Paulo</v>
      </c>
    </row>
    <row r="4101" spans="1:13" x14ac:dyDescent="0.45">
      <c r="A4101" t="s">
        <v>4766</v>
      </c>
      <c r="B4101" t="s">
        <v>4760</v>
      </c>
      <c r="C4101" t="s">
        <v>4700</v>
      </c>
      <c r="D4101" t="s">
        <v>17</v>
      </c>
      <c r="E4101" t="s">
        <v>142</v>
      </c>
      <c r="F4101">
        <v>1</v>
      </c>
      <c r="G4101">
        <v>22.9</v>
      </c>
      <c r="H4101">
        <v>13.34</v>
      </c>
      <c r="I4101" t="s">
        <v>50</v>
      </c>
      <c r="J4101">
        <v>13</v>
      </c>
      <c r="K4101" t="s">
        <v>51</v>
      </c>
      <c r="L4101">
        <v>3</v>
      </c>
      <c r="M4101" t="str">
        <f>VLOOKUP(D4101,State_Lookup!$A$2:$B$28,2,FALSE)</f>
        <v>Rio de Janeiro</v>
      </c>
    </row>
    <row r="4102" spans="1:13" x14ac:dyDescent="0.45">
      <c r="A4102" t="s">
        <v>4767</v>
      </c>
      <c r="B4102" t="s">
        <v>4760</v>
      </c>
      <c r="C4102" t="s">
        <v>4700</v>
      </c>
      <c r="D4102" t="s">
        <v>17</v>
      </c>
      <c r="E4102" t="s">
        <v>157</v>
      </c>
      <c r="F4102">
        <v>1</v>
      </c>
      <c r="G4102">
        <v>95</v>
      </c>
      <c r="H4102">
        <v>15.55</v>
      </c>
      <c r="I4102" t="s">
        <v>44</v>
      </c>
      <c r="J4102">
        <v>5</v>
      </c>
      <c r="K4102" t="s">
        <v>51</v>
      </c>
      <c r="L4102">
        <v>4</v>
      </c>
      <c r="M4102" t="str">
        <f>VLOOKUP(D4102,State_Lookup!$A$2:$B$28,2,FALSE)</f>
        <v>Rio de Janeiro</v>
      </c>
    </row>
    <row r="4103" spans="1:13" x14ac:dyDescent="0.45">
      <c r="A4103" t="s">
        <v>4768</v>
      </c>
      <c r="B4103" t="s">
        <v>4760</v>
      </c>
      <c r="C4103" t="s">
        <v>4700</v>
      </c>
      <c r="D4103" t="s">
        <v>20</v>
      </c>
      <c r="E4103" t="s">
        <v>157</v>
      </c>
      <c r="F4103">
        <v>1</v>
      </c>
      <c r="G4103">
        <v>78</v>
      </c>
      <c r="H4103">
        <v>18.43</v>
      </c>
      <c r="I4103" t="s">
        <v>44</v>
      </c>
      <c r="J4103">
        <v>6</v>
      </c>
      <c r="K4103" t="s">
        <v>51</v>
      </c>
      <c r="L4103">
        <v>4</v>
      </c>
      <c r="M4103" t="str">
        <f>VLOOKUP(D4103,State_Lookup!$A$2:$B$28,2,FALSE)</f>
        <v>Parana</v>
      </c>
    </row>
    <row r="4104" spans="1:13" x14ac:dyDescent="0.45">
      <c r="A4104" t="s">
        <v>4769</v>
      </c>
      <c r="B4104" t="s">
        <v>4760</v>
      </c>
      <c r="C4104" t="s">
        <v>4700</v>
      </c>
      <c r="D4104" t="s">
        <v>17</v>
      </c>
      <c r="E4104" t="s">
        <v>110</v>
      </c>
      <c r="F4104">
        <v>1</v>
      </c>
      <c r="G4104">
        <v>89.9</v>
      </c>
      <c r="H4104">
        <v>23.21</v>
      </c>
      <c r="I4104" t="s">
        <v>44</v>
      </c>
      <c r="J4104">
        <v>13</v>
      </c>
      <c r="K4104" t="s">
        <v>51</v>
      </c>
      <c r="L4104">
        <v>4</v>
      </c>
      <c r="M4104" t="str">
        <f>VLOOKUP(D4104,State_Lookup!$A$2:$B$28,2,FALSE)</f>
        <v>Rio de Janeiro</v>
      </c>
    </row>
    <row r="4105" spans="1:13" x14ac:dyDescent="0.45">
      <c r="A4105" t="s">
        <v>4770</v>
      </c>
      <c r="B4105" t="s">
        <v>4760</v>
      </c>
      <c r="C4105" t="s">
        <v>4700</v>
      </c>
      <c r="D4105" t="s">
        <v>24</v>
      </c>
      <c r="E4105" t="s">
        <v>53</v>
      </c>
      <c r="F4105">
        <v>1</v>
      </c>
      <c r="G4105">
        <v>29.9</v>
      </c>
      <c r="H4105">
        <v>15.23</v>
      </c>
      <c r="I4105" t="s">
        <v>44</v>
      </c>
      <c r="J4105">
        <v>5</v>
      </c>
      <c r="K4105" t="s">
        <v>51</v>
      </c>
      <c r="L4105">
        <v>5</v>
      </c>
      <c r="M4105" t="str">
        <f>VLOOKUP(D4105,State_Lookup!$A$2:$B$28,2,FALSE)</f>
        <v>Distrito Federal</v>
      </c>
    </row>
    <row r="4106" spans="1:13" x14ac:dyDescent="0.45">
      <c r="A4106" t="s">
        <v>4771</v>
      </c>
      <c r="B4106" t="s">
        <v>4760</v>
      </c>
      <c r="C4106" t="s">
        <v>4700</v>
      </c>
      <c r="D4106" t="s">
        <v>18</v>
      </c>
      <c r="E4106" t="s">
        <v>244</v>
      </c>
      <c r="F4106">
        <v>1</v>
      </c>
      <c r="G4106">
        <v>79.900000000000006</v>
      </c>
      <c r="H4106">
        <v>16.53</v>
      </c>
      <c r="I4106" t="s">
        <v>44</v>
      </c>
      <c r="J4106">
        <v>5</v>
      </c>
      <c r="K4106" t="s">
        <v>51</v>
      </c>
      <c r="L4106">
        <v>5</v>
      </c>
      <c r="M4106" t="str">
        <f>VLOOKUP(D4106,State_Lookup!$A$2:$B$28,2,FALSE)</f>
        <v>Minas Gerais</v>
      </c>
    </row>
    <row r="4107" spans="1:13" x14ac:dyDescent="0.45">
      <c r="A4107" t="s">
        <v>4772</v>
      </c>
      <c r="B4107" t="s">
        <v>4760</v>
      </c>
      <c r="C4107" t="s">
        <v>4700</v>
      </c>
      <c r="D4107" t="s">
        <v>16</v>
      </c>
      <c r="E4107" t="s">
        <v>152</v>
      </c>
      <c r="F4107">
        <v>1</v>
      </c>
      <c r="G4107">
        <v>39.99</v>
      </c>
      <c r="H4107">
        <v>7.71</v>
      </c>
      <c r="I4107" t="s">
        <v>44</v>
      </c>
      <c r="J4107">
        <v>2</v>
      </c>
      <c r="K4107" t="s">
        <v>51</v>
      </c>
      <c r="L4107">
        <v>5</v>
      </c>
      <c r="M4107" t="str">
        <f>VLOOKUP(D4107,State_Lookup!$A$2:$B$28,2,FALSE)</f>
        <v>Sao Paulo</v>
      </c>
    </row>
    <row r="4108" spans="1:13" x14ac:dyDescent="0.45">
      <c r="A4108" t="s">
        <v>4773</v>
      </c>
      <c r="B4108" t="s">
        <v>4760</v>
      </c>
      <c r="C4108" t="s">
        <v>4700</v>
      </c>
      <c r="D4108" t="s">
        <v>113</v>
      </c>
      <c r="E4108" t="s">
        <v>79</v>
      </c>
      <c r="F4108">
        <v>1</v>
      </c>
      <c r="G4108">
        <v>110.32</v>
      </c>
      <c r="H4108">
        <v>23.27</v>
      </c>
      <c r="I4108" t="s">
        <v>44</v>
      </c>
      <c r="J4108">
        <v>51</v>
      </c>
      <c r="K4108" t="s">
        <v>143</v>
      </c>
      <c r="L4108">
        <v>1</v>
      </c>
      <c r="M4108" t="str">
        <f>VLOOKUP(D4108,State_Lookup!$A$2:$B$28,2,FALSE)</f>
        <v>Piaui</v>
      </c>
    </row>
    <row r="4109" spans="1:13" x14ac:dyDescent="0.45">
      <c r="A4109" t="s">
        <v>4774</v>
      </c>
      <c r="B4109" t="s">
        <v>4760</v>
      </c>
      <c r="C4109" t="s">
        <v>4700</v>
      </c>
      <c r="D4109" t="s">
        <v>16</v>
      </c>
      <c r="E4109" t="s">
        <v>199</v>
      </c>
      <c r="F4109">
        <v>1</v>
      </c>
      <c r="G4109">
        <v>86</v>
      </c>
      <c r="H4109">
        <v>8.9</v>
      </c>
      <c r="I4109" t="s">
        <v>44</v>
      </c>
      <c r="J4109">
        <v>4</v>
      </c>
      <c r="K4109" t="s">
        <v>51</v>
      </c>
      <c r="L4109">
        <v>5</v>
      </c>
      <c r="M4109" t="str">
        <f>VLOOKUP(D4109,State_Lookup!$A$2:$B$28,2,FALSE)</f>
        <v>Sao Paulo</v>
      </c>
    </row>
    <row r="4110" spans="1:13" x14ac:dyDescent="0.45">
      <c r="A4110" t="s">
        <v>4775</v>
      </c>
      <c r="B4110" t="s">
        <v>4776</v>
      </c>
      <c r="C4110" t="s">
        <v>4700</v>
      </c>
      <c r="D4110" t="s">
        <v>194</v>
      </c>
      <c r="E4110" t="s">
        <v>79</v>
      </c>
      <c r="F4110">
        <v>1</v>
      </c>
      <c r="G4110">
        <v>66.989999999999995</v>
      </c>
      <c r="H4110">
        <v>60.53</v>
      </c>
      <c r="I4110" t="s">
        <v>50</v>
      </c>
      <c r="J4110">
        <v>12</v>
      </c>
      <c r="K4110" t="s">
        <v>51</v>
      </c>
      <c r="L4110">
        <v>5</v>
      </c>
      <c r="M4110" t="str">
        <f>VLOOKUP(D4110,State_Lookup!$A$2:$B$28,2,FALSE)</f>
        <v>Mato Grosso do Sul</v>
      </c>
    </row>
    <row r="4111" spans="1:13" x14ac:dyDescent="0.45">
      <c r="A4111" t="s">
        <v>4777</v>
      </c>
      <c r="B4111" t="s">
        <v>4776</v>
      </c>
      <c r="C4111" t="s">
        <v>4700</v>
      </c>
      <c r="D4111" t="s">
        <v>63</v>
      </c>
      <c r="E4111" t="s">
        <v>110</v>
      </c>
      <c r="F4111">
        <v>1</v>
      </c>
      <c r="G4111">
        <v>52.9</v>
      </c>
      <c r="H4111">
        <v>42.43</v>
      </c>
      <c r="I4111" t="s">
        <v>44</v>
      </c>
      <c r="J4111">
        <v>18</v>
      </c>
      <c r="K4111" t="s">
        <v>51</v>
      </c>
      <c r="L4111">
        <v>4</v>
      </c>
      <c r="M4111" t="str">
        <f>VLOOKUP(D4111,State_Lookup!$A$2:$B$28,2,FALSE)</f>
        <v>Pernambuco</v>
      </c>
    </row>
    <row r="4112" spans="1:13" x14ac:dyDescent="0.45">
      <c r="A4112" t="s">
        <v>4778</v>
      </c>
      <c r="B4112" t="s">
        <v>4776</v>
      </c>
      <c r="C4112" t="s">
        <v>4700</v>
      </c>
      <c r="D4112" t="s">
        <v>16</v>
      </c>
      <c r="E4112" t="s">
        <v>110</v>
      </c>
      <c r="F4112">
        <v>2</v>
      </c>
      <c r="G4112">
        <v>164.8</v>
      </c>
      <c r="H4112">
        <v>29.33</v>
      </c>
      <c r="I4112" t="s">
        <v>44</v>
      </c>
      <c r="J4112">
        <v>7</v>
      </c>
      <c r="K4112" t="s">
        <v>51</v>
      </c>
      <c r="L4112">
        <v>1</v>
      </c>
      <c r="M4112" t="str">
        <f>VLOOKUP(D4112,State_Lookup!$A$2:$B$28,2,FALSE)</f>
        <v>Sao Paulo</v>
      </c>
    </row>
    <row r="4113" spans="1:13" x14ac:dyDescent="0.45">
      <c r="A4113" t="s">
        <v>4779</v>
      </c>
      <c r="B4113" t="s">
        <v>4776</v>
      </c>
      <c r="C4113" t="s">
        <v>4700</v>
      </c>
      <c r="D4113" t="s">
        <v>63</v>
      </c>
      <c r="E4113" t="s">
        <v>49</v>
      </c>
      <c r="F4113">
        <v>1</v>
      </c>
      <c r="G4113">
        <v>65.900000000000006</v>
      </c>
      <c r="H4113">
        <v>22.96</v>
      </c>
      <c r="I4113" t="s">
        <v>44</v>
      </c>
      <c r="J4113">
        <v>20</v>
      </c>
      <c r="K4113" t="s">
        <v>51</v>
      </c>
      <c r="L4113">
        <v>5</v>
      </c>
      <c r="M4113" t="str">
        <f>VLOOKUP(D4113,State_Lookup!$A$2:$B$28,2,FALSE)</f>
        <v>Pernambuco</v>
      </c>
    </row>
    <row r="4114" spans="1:13" x14ac:dyDescent="0.45">
      <c r="A4114" t="s">
        <v>4780</v>
      </c>
      <c r="B4114" t="s">
        <v>4776</v>
      </c>
      <c r="C4114" t="s">
        <v>4700</v>
      </c>
      <c r="D4114" t="s">
        <v>20</v>
      </c>
      <c r="E4114" t="s">
        <v>61</v>
      </c>
      <c r="F4114">
        <v>1</v>
      </c>
      <c r="G4114">
        <v>109.99</v>
      </c>
      <c r="H4114">
        <v>63.92</v>
      </c>
      <c r="I4114" t="s">
        <v>44</v>
      </c>
      <c r="J4114">
        <v>8</v>
      </c>
      <c r="K4114" t="s">
        <v>51</v>
      </c>
      <c r="L4114">
        <v>5</v>
      </c>
      <c r="M4114" t="str">
        <f>VLOOKUP(D4114,State_Lookup!$A$2:$B$28,2,FALSE)</f>
        <v>Parana</v>
      </c>
    </row>
    <row r="4115" spans="1:13" x14ac:dyDescent="0.45">
      <c r="A4115" t="s">
        <v>4781</v>
      </c>
      <c r="B4115" t="s">
        <v>4776</v>
      </c>
      <c r="C4115" t="s">
        <v>4700</v>
      </c>
      <c r="D4115" t="s">
        <v>16</v>
      </c>
      <c r="E4115" t="s">
        <v>110</v>
      </c>
      <c r="F4115">
        <v>1</v>
      </c>
      <c r="G4115">
        <v>129</v>
      </c>
      <c r="H4115">
        <v>18.78</v>
      </c>
      <c r="I4115" t="s">
        <v>44</v>
      </c>
      <c r="J4115">
        <v>7</v>
      </c>
      <c r="K4115" t="s">
        <v>51</v>
      </c>
      <c r="L4115">
        <v>4</v>
      </c>
      <c r="M4115" t="str">
        <f>VLOOKUP(D4115,State_Lookup!$A$2:$B$28,2,FALSE)</f>
        <v>Sao Paulo</v>
      </c>
    </row>
    <row r="4116" spans="1:13" x14ac:dyDescent="0.45">
      <c r="A4116" t="s">
        <v>4782</v>
      </c>
      <c r="B4116" t="s">
        <v>4776</v>
      </c>
      <c r="C4116" t="s">
        <v>4700</v>
      </c>
      <c r="D4116" t="s">
        <v>17</v>
      </c>
      <c r="E4116" t="s">
        <v>157</v>
      </c>
      <c r="F4116">
        <v>1</v>
      </c>
      <c r="G4116">
        <v>359.9</v>
      </c>
      <c r="H4116">
        <v>20.399999999999999</v>
      </c>
      <c r="I4116" t="s">
        <v>44</v>
      </c>
      <c r="J4116">
        <v>7</v>
      </c>
      <c r="K4116" t="s">
        <v>51</v>
      </c>
      <c r="L4116">
        <v>3</v>
      </c>
      <c r="M4116" t="str">
        <f>VLOOKUP(D4116,State_Lookup!$A$2:$B$28,2,FALSE)</f>
        <v>Rio de Janeiro</v>
      </c>
    </row>
    <row r="4117" spans="1:13" x14ac:dyDescent="0.45">
      <c r="A4117" t="s">
        <v>4783</v>
      </c>
      <c r="B4117" t="s">
        <v>4776</v>
      </c>
      <c r="C4117" t="s">
        <v>4700</v>
      </c>
      <c r="D4117" t="s">
        <v>16</v>
      </c>
      <c r="E4117" t="s">
        <v>110</v>
      </c>
      <c r="F4117">
        <v>1</v>
      </c>
      <c r="G4117">
        <v>51.99</v>
      </c>
      <c r="H4117">
        <v>8.8800000000000008</v>
      </c>
      <c r="I4117" t="s">
        <v>44</v>
      </c>
      <c r="J4117">
        <v>1</v>
      </c>
      <c r="K4117" t="s">
        <v>51</v>
      </c>
      <c r="L4117">
        <v>5</v>
      </c>
      <c r="M4117" t="str">
        <f>VLOOKUP(D4117,State_Lookup!$A$2:$B$28,2,FALSE)</f>
        <v>Sao Paulo</v>
      </c>
    </row>
    <row r="4118" spans="1:13" x14ac:dyDescent="0.45">
      <c r="A4118" t="s">
        <v>4784</v>
      </c>
      <c r="B4118" t="s">
        <v>4776</v>
      </c>
      <c r="C4118" t="s">
        <v>4700</v>
      </c>
      <c r="D4118" t="s">
        <v>16</v>
      </c>
      <c r="E4118" t="s">
        <v>125</v>
      </c>
      <c r="F4118">
        <v>1</v>
      </c>
      <c r="G4118">
        <v>60.9</v>
      </c>
      <c r="H4118">
        <v>11.15</v>
      </c>
      <c r="I4118" t="s">
        <v>50</v>
      </c>
      <c r="J4118">
        <v>3</v>
      </c>
      <c r="K4118" t="s">
        <v>51</v>
      </c>
      <c r="L4118">
        <v>5</v>
      </c>
      <c r="M4118" t="str">
        <f>VLOOKUP(D4118,State_Lookup!$A$2:$B$28,2,FALSE)</f>
        <v>Sao Paulo</v>
      </c>
    </row>
    <row r="4119" spans="1:13" x14ac:dyDescent="0.45">
      <c r="A4119" t="s">
        <v>4785</v>
      </c>
      <c r="B4119" t="s">
        <v>4776</v>
      </c>
      <c r="C4119" t="s">
        <v>4700</v>
      </c>
      <c r="D4119" t="s">
        <v>22</v>
      </c>
      <c r="E4119" t="s">
        <v>61</v>
      </c>
      <c r="F4119">
        <v>1</v>
      </c>
      <c r="G4119">
        <v>99.99</v>
      </c>
      <c r="H4119">
        <v>7.88</v>
      </c>
      <c r="I4119" t="s">
        <v>44</v>
      </c>
      <c r="J4119">
        <v>14</v>
      </c>
      <c r="K4119" t="s">
        <v>51</v>
      </c>
      <c r="L4119">
        <v>2</v>
      </c>
      <c r="M4119" t="str">
        <f>VLOOKUP(D4119,State_Lookup!$A$2:$B$28,2,FALSE)</f>
        <v>Bahia</v>
      </c>
    </row>
    <row r="4120" spans="1:13" x14ac:dyDescent="0.45">
      <c r="A4120" t="s">
        <v>4786</v>
      </c>
      <c r="B4120" t="s">
        <v>4787</v>
      </c>
      <c r="C4120" t="s">
        <v>4700</v>
      </c>
      <c r="D4120" t="s">
        <v>17</v>
      </c>
      <c r="E4120" t="s">
        <v>103</v>
      </c>
      <c r="F4120">
        <v>1</v>
      </c>
      <c r="G4120">
        <v>89.99</v>
      </c>
      <c r="H4120">
        <v>18.21</v>
      </c>
      <c r="I4120" t="s">
        <v>44</v>
      </c>
      <c r="J4120">
        <v>17</v>
      </c>
      <c r="K4120" t="s">
        <v>51</v>
      </c>
      <c r="L4120">
        <v>3</v>
      </c>
      <c r="M4120" t="str">
        <f>VLOOKUP(D4120,State_Lookup!$A$2:$B$28,2,FALSE)</f>
        <v>Rio de Janeiro</v>
      </c>
    </row>
    <row r="4121" spans="1:13" x14ac:dyDescent="0.45">
      <c r="A4121" t="s">
        <v>4788</v>
      </c>
      <c r="B4121" t="s">
        <v>4787</v>
      </c>
      <c r="C4121" t="s">
        <v>4700</v>
      </c>
      <c r="D4121" t="s">
        <v>16</v>
      </c>
      <c r="E4121" t="s">
        <v>142</v>
      </c>
      <c r="F4121">
        <v>1</v>
      </c>
      <c r="G4121">
        <v>75</v>
      </c>
      <c r="H4121">
        <v>18.41</v>
      </c>
      <c r="I4121" t="s">
        <v>44</v>
      </c>
      <c r="J4121">
        <v>18</v>
      </c>
      <c r="K4121" t="s">
        <v>51</v>
      </c>
      <c r="L4121">
        <v>5</v>
      </c>
      <c r="M4121" t="str">
        <f>VLOOKUP(D4121,State_Lookup!$A$2:$B$28,2,FALSE)</f>
        <v>Sao Paulo</v>
      </c>
    </row>
    <row r="4122" spans="1:13" x14ac:dyDescent="0.45">
      <c r="A4122" t="s">
        <v>4789</v>
      </c>
      <c r="B4122" t="s">
        <v>4787</v>
      </c>
      <c r="C4122" t="s">
        <v>4700</v>
      </c>
      <c r="D4122" t="s">
        <v>21</v>
      </c>
      <c r="E4122" t="s">
        <v>69</v>
      </c>
      <c r="F4122">
        <v>1</v>
      </c>
      <c r="G4122">
        <v>174.99</v>
      </c>
      <c r="H4122">
        <v>23.8</v>
      </c>
      <c r="I4122" t="s">
        <v>44</v>
      </c>
      <c r="J4122">
        <v>21</v>
      </c>
      <c r="K4122" t="s">
        <v>51</v>
      </c>
      <c r="L4122">
        <v>4</v>
      </c>
      <c r="M4122" t="str">
        <f>VLOOKUP(D4122,State_Lookup!$A$2:$B$28,2,FALSE)</f>
        <v>Santa Catarina</v>
      </c>
    </row>
    <row r="4123" spans="1:13" x14ac:dyDescent="0.45">
      <c r="A4123" t="s">
        <v>4790</v>
      </c>
      <c r="B4123" t="s">
        <v>4787</v>
      </c>
      <c r="C4123" t="s">
        <v>4700</v>
      </c>
      <c r="D4123" t="s">
        <v>16</v>
      </c>
      <c r="E4123" t="s">
        <v>125</v>
      </c>
      <c r="F4123">
        <v>1</v>
      </c>
      <c r="G4123">
        <v>11.89</v>
      </c>
      <c r="H4123">
        <v>17.059999999999999</v>
      </c>
      <c r="I4123" t="s">
        <v>50</v>
      </c>
      <c r="J4123">
        <v>10</v>
      </c>
      <c r="K4123" t="s">
        <v>51</v>
      </c>
      <c r="L4123">
        <v>4</v>
      </c>
      <c r="M4123" t="str">
        <f>VLOOKUP(D4123,State_Lookup!$A$2:$B$28,2,FALSE)</f>
        <v>Sao Paulo</v>
      </c>
    </row>
    <row r="4124" spans="1:13" x14ac:dyDescent="0.45">
      <c r="A4124" t="s">
        <v>4791</v>
      </c>
      <c r="B4124" t="s">
        <v>4787</v>
      </c>
      <c r="C4124" t="s">
        <v>4700</v>
      </c>
      <c r="D4124" t="s">
        <v>16</v>
      </c>
      <c r="E4124" t="s">
        <v>79</v>
      </c>
      <c r="F4124">
        <v>1</v>
      </c>
      <c r="G4124">
        <v>54</v>
      </c>
      <c r="H4124">
        <v>13.74</v>
      </c>
      <c r="I4124" t="s">
        <v>44</v>
      </c>
      <c r="J4124">
        <v>6</v>
      </c>
      <c r="K4124" t="s">
        <v>51</v>
      </c>
      <c r="L4124">
        <v>3</v>
      </c>
      <c r="M4124" t="str">
        <f>VLOOKUP(D4124,State_Lookup!$A$2:$B$28,2,FALSE)</f>
        <v>Sao Paulo</v>
      </c>
    </row>
    <row r="4125" spans="1:13" x14ac:dyDescent="0.45">
      <c r="A4125" t="s">
        <v>4792</v>
      </c>
      <c r="B4125" t="s">
        <v>4787</v>
      </c>
      <c r="C4125" t="s">
        <v>4700</v>
      </c>
      <c r="D4125" t="s">
        <v>16</v>
      </c>
      <c r="E4125" t="s">
        <v>53</v>
      </c>
      <c r="F4125">
        <v>2</v>
      </c>
      <c r="G4125">
        <v>123.8</v>
      </c>
      <c r="H4125">
        <v>23.38</v>
      </c>
      <c r="I4125" t="s">
        <v>44</v>
      </c>
      <c r="J4125">
        <v>3</v>
      </c>
      <c r="K4125" t="s">
        <v>51</v>
      </c>
      <c r="L4125">
        <v>5</v>
      </c>
      <c r="M4125" t="str">
        <f>VLOOKUP(D4125,State_Lookup!$A$2:$B$28,2,FALSE)</f>
        <v>Sao Paulo</v>
      </c>
    </row>
    <row r="4126" spans="1:13" x14ac:dyDescent="0.45">
      <c r="A4126" t="s">
        <v>4793</v>
      </c>
      <c r="B4126" t="s">
        <v>4787</v>
      </c>
      <c r="C4126" t="s">
        <v>4700</v>
      </c>
      <c r="D4126" t="s">
        <v>128</v>
      </c>
      <c r="E4126" t="s">
        <v>302</v>
      </c>
      <c r="F4126">
        <v>1</v>
      </c>
      <c r="G4126">
        <v>164.9</v>
      </c>
      <c r="H4126">
        <v>82.31</v>
      </c>
      <c r="I4126" t="s">
        <v>108</v>
      </c>
      <c r="J4126">
        <v>14</v>
      </c>
      <c r="K4126" t="s">
        <v>51</v>
      </c>
      <c r="L4126">
        <v>5</v>
      </c>
      <c r="M4126" t="str">
        <f>VLOOKUP(D4126,State_Lookup!$A$2:$B$28,2,FALSE)</f>
        <v>Ceara</v>
      </c>
    </row>
    <row r="4127" spans="1:13" x14ac:dyDescent="0.45">
      <c r="A4127" t="s">
        <v>4794</v>
      </c>
      <c r="B4127" t="s">
        <v>4787</v>
      </c>
      <c r="C4127" t="s">
        <v>4700</v>
      </c>
      <c r="D4127" t="s">
        <v>16</v>
      </c>
      <c r="E4127" t="s">
        <v>1903</v>
      </c>
      <c r="F4127">
        <v>1</v>
      </c>
      <c r="G4127">
        <v>59.3</v>
      </c>
      <c r="H4127">
        <v>7.39</v>
      </c>
      <c r="I4127" t="s">
        <v>50</v>
      </c>
      <c r="J4127">
        <v>18</v>
      </c>
      <c r="K4127" t="s">
        <v>143</v>
      </c>
      <c r="L4127">
        <v>1</v>
      </c>
      <c r="M4127" t="str">
        <f>VLOOKUP(D4127,State_Lookup!$A$2:$B$28,2,FALSE)</f>
        <v>Sao Paulo</v>
      </c>
    </row>
    <row r="4128" spans="1:13" x14ac:dyDescent="0.45">
      <c r="A4128" t="s">
        <v>4795</v>
      </c>
      <c r="B4128" t="s">
        <v>4787</v>
      </c>
      <c r="C4128" t="s">
        <v>4700</v>
      </c>
      <c r="D4128" t="s">
        <v>194</v>
      </c>
      <c r="E4128" t="s">
        <v>157</v>
      </c>
      <c r="F4128">
        <v>1</v>
      </c>
      <c r="G4128">
        <v>178.9</v>
      </c>
      <c r="H4128">
        <v>19.13</v>
      </c>
      <c r="I4128" t="s">
        <v>44</v>
      </c>
      <c r="J4128">
        <v>17</v>
      </c>
      <c r="K4128" t="s">
        <v>51</v>
      </c>
      <c r="L4128">
        <v>3</v>
      </c>
      <c r="M4128" t="str">
        <f>VLOOKUP(D4128,State_Lookup!$A$2:$B$28,2,FALSE)</f>
        <v>Mato Grosso do Sul</v>
      </c>
    </row>
    <row r="4129" spans="1:13" x14ac:dyDescent="0.45">
      <c r="A4129" t="s">
        <v>4796</v>
      </c>
      <c r="B4129" t="s">
        <v>4787</v>
      </c>
      <c r="C4129" t="s">
        <v>4700</v>
      </c>
      <c r="D4129" t="s">
        <v>16</v>
      </c>
      <c r="E4129" t="s">
        <v>79</v>
      </c>
      <c r="F4129">
        <v>1</v>
      </c>
      <c r="G4129">
        <v>32</v>
      </c>
      <c r="H4129">
        <v>7.39</v>
      </c>
      <c r="I4129" t="s">
        <v>44</v>
      </c>
      <c r="J4129">
        <v>3</v>
      </c>
      <c r="K4129" t="s">
        <v>51</v>
      </c>
      <c r="L4129">
        <v>5</v>
      </c>
      <c r="M4129" t="str">
        <f>VLOOKUP(D4129,State_Lookup!$A$2:$B$28,2,FALSE)</f>
        <v>Sao Paulo</v>
      </c>
    </row>
    <row r="4130" spans="1:13" x14ac:dyDescent="0.45">
      <c r="A4130" t="s">
        <v>4797</v>
      </c>
      <c r="B4130" t="s">
        <v>4798</v>
      </c>
      <c r="C4130" t="s">
        <v>4700</v>
      </c>
      <c r="D4130" t="s">
        <v>16</v>
      </c>
      <c r="E4130" t="s">
        <v>43</v>
      </c>
      <c r="F4130">
        <v>1</v>
      </c>
      <c r="G4130">
        <v>65</v>
      </c>
      <c r="H4130">
        <v>8.8800000000000008</v>
      </c>
      <c r="I4130" t="s">
        <v>44</v>
      </c>
      <c r="J4130">
        <v>5</v>
      </c>
      <c r="K4130" t="s">
        <v>51</v>
      </c>
      <c r="L4130">
        <v>5</v>
      </c>
      <c r="M4130" t="str">
        <f>VLOOKUP(D4130,State_Lookup!$A$2:$B$28,2,FALSE)</f>
        <v>Sao Paulo</v>
      </c>
    </row>
    <row r="4131" spans="1:13" x14ac:dyDescent="0.45">
      <c r="A4131" t="s">
        <v>4799</v>
      </c>
      <c r="B4131" t="s">
        <v>4798</v>
      </c>
      <c r="C4131" t="s">
        <v>4700</v>
      </c>
      <c r="D4131" t="s">
        <v>17</v>
      </c>
      <c r="E4131" t="s">
        <v>220</v>
      </c>
      <c r="F4131">
        <v>1</v>
      </c>
      <c r="G4131">
        <v>119.99</v>
      </c>
      <c r="H4131">
        <v>33.1</v>
      </c>
      <c r="I4131" t="s">
        <v>44</v>
      </c>
      <c r="J4131">
        <v>30</v>
      </c>
      <c r="K4131" t="s">
        <v>51</v>
      </c>
      <c r="L4131">
        <v>5</v>
      </c>
      <c r="M4131" t="str">
        <f>VLOOKUP(D4131,State_Lookup!$A$2:$B$28,2,FALSE)</f>
        <v>Rio de Janeiro</v>
      </c>
    </row>
    <row r="4132" spans="1:13" x14ac:dyDescent="0.45">
      <c r="A4132" t="s">
        <v>4800</v>
      </c>
      <c r="B4132" t="s">
        <v>4798</v>
      </c>
      <c r="C4132" t="s">
        <v>4700</v>
      </c>
      <c r="D4132" t="s">
        <v>672</v>
      </c>
      <c r="E4132" t="s">
        <v>79</v>
      </c>
      <c r="F4132">
        <v>1</v>
      </c>
      <c r="G4132">
        <v>168.48</v>
      </c>
      <c r="H4132">
        <v>23.68</v>
      </c>
      <c r="I4132" t="s">
        <v>44</v>
      </c>
      <c r="J4132">
        <v>8</v>
      </c>
      <c r="K4132" t="s">
        <v>51</v>
      </c>
      <c r="L4132">
        <v>5</v>
      </c>
      <c r="M4132" t="str">
        <f>VLOOKUP(D4132,State_Lookup!$A$2:$B$28,2,FALSE)</f>
        <v>Paraiba</v>
      </c>
    </row>
    <row r="4133" spans="1:13" x14ac:dyDescent="0.45">
      <c r="A4133" t="s">
        <v>4801</v>
      </c>
      <c r="B4133" t="s">
        <v>4798</v>
      </c>
      <c r="C4133" t="s">
        <v>4700</v>
      </c>
      <c r="D4133" t="s">
        <v>16</v>
      </c>
      <c r="E4133" t="s">
        <v>110</v>
      </c>
      <c r="F4133">
        <v>1</v>
      </c>
      <c r="G4133">
        <v>43</v>
      </c>
      <c r="H4133">
        <v>12.79</v>
      </c>
      <c r="I4133" t="s">
        <v>44</v>
      </c>
      <c r="J4133">
        <v>5</v>
      </c>
      <c r="K4133" t="s">
        <v>51</v>
      </c>
      <c r="L4133">
        <v>5</v>
      </c>
      <c r="M4133" t="str">
        <f>VLOOKUP(D4133,State_Lookup!$A$2:$B$28,2,FALSE)</f>
        <v>Sao Paulo</v>
      </c>
    </row>
    <row r="4134" spans="1:13" x14ac:dyDescent="0.45">
      <c r="A4134" t="s">
        <v>4802</v>
      </c>
      <c r="B4134" t="s">
        <v>4798</v>
      </c>
      <c r="C4134" t="s">
        <v>4700</v>
      </c>
      <c r="D4134" t="s">
        <v>16</v>
      </c>
      <c r="E4134" t="s">
        <v>43</v>
      </c>
      <c r="F4134">
        <v>1</v>
      </c>
      <c r="G4134">
        <v>78.8</v>
      </c>
      <c r="H4134">
        <v>12.99</v>
      </c>
      <c r="I4134" t="s">
        <v>44</v>
      </c>
      <c r="J4134">
        <v>5</v>
      </c>
      <c r="K4134" t="s">
        <v>51</v>
      </c>
      <c r="L4134">
        <v>3</v>
      </c>
      <c r="M4134" t="str">
        <f>VLOOKUP(D4134,State_Lookup!$A$2:$B$28,2,FALSE)</f>
        <v>Sao Paulo</v>
      </c>
    </row>
    <row r="4135" spans="1:13" x14ac:dyDescent="0.45">
      <c r="A4135" t="s">
        <v>4803</v>
      </c>
      <c r="B4135" t="s">
        <v>4798</v>
      </c>
      <c r="C4135" t="s">
        <v>4700</v>
      </c>
      <c r="D4135" t="s">
        <v>21</v>
      </c>
      <c r="E4135" t="s">
        <v>64</v>
      </c>
      <c r="F4135">
        <v>1</v>
      </c>
      <c r="G4135">
        <v>309.89999999999998</v>
      </c>
      <c r="H4135">
        <v>23.88</v>
      </c>
      <c r="I4135" t="s">
        <v>44</v>
      </c>
      <c r="J4135">
        <v>5</v>
      </c>
      <c r="K4135" t="s">
        <v>51</v>
      </c>
      <c r="L4135">
        <v>5</v>
      </c>
      <c r="M4135" t="str">
        <f>VLOOKUP(D4135,State_Lookup!$A$2:$B$28,2,FALSE)</f>
        <v>Santa Catarina</v>
      </c>
    </row>
    <row r="4136" spans="1:13" x14ac:dyDescent="0.45">
      <c r="A4136" t="s">
        <v>4804</v>
      </c>
      <c r="B4136" t="s">
        <v>4798</v>
      </c>
      <c r="C4136" t="s">
        <v>4700</v>
      </c>
      <c r="D4136" t="s">
        <v>63</v>
      </c>
      <c r="E4136" t="s">
        <v>302</v>
      </c>
      <c r="F4136">
        <v>1</v>
      </c>
      <c r="G4136">
        <v>890</v>
      </c>
      <c r="H4136">
        <v>101.09</v>
      </c>
      <c r="I4136" t="s">
        <v>44</v>
      </c>
      <c r="J4136">
        <v>12</v>
      </c>
      <c r="K4136" t="s">
        <v>51</v>
      </c>
      <c r="L4136">
        <v>5</v>
      </c>
      <c r="M4136" t="str">
        <f>VLOOKUP(D4136,State_Lookup!$A$2:$B$28,2,FALSE)</f>
        <v>Pernambuco</v>
      </c>
    </row>
    <row r="4137" spans="1:13" x14ac:dyDescent="0.45">
      <c r="A4137" t="s">
        <v>4805</v>
      </c>
      <c r="B4137" t="s">
        <v>4798</v>
      </c>
      <c r="C4137" t="s">
        <v>4700</v>
      </c>
      <c r="D4137" t="s">
        <v>19</v>
      </c>
      <c r="E4137" t="s">
        <v>64</v>
      </c>
      <c r="F4137">
        <v>1</v>
      </c>
      <c r="G4137">
        <v>154</v>
      </c>
      <c r="H4137">
        <v>20.05</v>
      </c>
      <c r="I4137" t="s">
        <v>44</v>
      </c>
      <c r="J4137">
        <v>11</v>
      </c>
      <c r="K4137" t="s">
        <v>51</v>
      </c>
      <c r="L4137">
        <v>5</v>
      </c>
      <c r="M4137" t="str">
        <f>VLOOKUP(D4137,State_Lookup!$A$2:$B$28,2,FALSE)</f>
        <v>Rio Grande do Sul</v>
      </c>
    </row>
    <row r="4138" spans="1:13" x14ac:dyDescent="0.45">
      <c r="A4138" t="s">
        <v>4806</v>
      </c>
      <c r="B4138" t="s">
        <v>4798</v>
      </c>
      <c r="C4138" t="s">
        <v>4700</v>
      </c>
      <c r="D4138" t="s">
        <v>210</v>
      </c>
      <c r="E4138" t="s">
        <v>481</v>
      </c>
      <c r="F4138">
        <v>1</v>
      </c>
      <c r="G4138">
        <v>50</v>
      </c>
      <c r="H4138">
        <v>22.85</v>
      </c>
      <c r="I4138" t="s">
        <v>44</v>
      </c>
      <c r="J4138">
        <v>24</v>
      </c>
      <c r="K4138" t="s">
        <v>51</v>
      </c>
      <c r="L4138">
        <v>4</v>
      </c>
      <c r="M4138" t="str">
        <f>VLOOKUP(D4138,State_Lookup!$A$2:$B$28,2,FALSE)</f>
        <v>Amazonas</v>
      </c>
    </row>
    <row r="4139" spans="1:13" x14ac:dyDescent="0.45">
      <c r="A4139" t="s">
        <v>4807</v>
      </c>
      <c r="B4139" t="s">
        <v>4808</v>
      </c>
      <c r="C4139" t="s">
        <v>4700</v>
      </c>
      <c r="D4139" t="s">
        <v>16</v>
      </c>
      <c r="E4139" t="s">
        <v>110</v>
      </c>
      <c r="F4139">
        <v>1</v>
      </c>
      <c r="G4139">
        <v>129</v>
      </c>
      <c r="H4139">
        <v>18.78</v>
      </c>
      <c r="I4139" t="s">
        <v>133</v>
      </c>
      <c r="J4139">
        <v>8</v>
      </c>
      <c r="K4139" t="s">
        <v>51</v>
      </c>
      <c r="L4139">
        <v>4</v>
      </c>
      <c r="M4139" t="str">
        <f>VLOOKUP(D4139,State_Lookup!$A$2:$B$28,2,FALSE)</f>
        <v>Sao Paulo</v>
      </c>
    </row>
    <row r="4140" spans="1:13" x14ac:dyDescent="0.45">
      <c r="A4140" t="s">
        <v>4809</v>
      </c>
      <c r="B4140" t="s">
        <v>4808</v>
      </c>
      <c r="C4140" t="s">
        <v>4700</v>
      </c>
      <c r="D4140" t="s">
        <v>16</v>
      </c>
      <c r="E4140" t="s">
        <v>157</v>
      </c>
      <c r="F4140">
        <v>1</v>
      </c>
      <c r="G4140">
        <v>178.99</v>
      </c>
      <c r="H4140">
        <v>13.69</v>
      </c>
      <c r="I4140" t="s">
        <v>44</v>
      </c>
      <c r="J4140">
        <v>9</v>
      </c>
      <c r="K4140" t="s">
        <v>51</v>
      </c>
      <c r="L4140">
        <v>5</v>
      </c>
      <c r="M4140" t="str">
        <f>VLOOKUP(D4140,State_Lookup!$A$2:$B$28,2,FALSE)</f>
        <v>Sao Paulo</v>
      </c>
    </row>
    <row r="4141" spans="1:13" x14ac:dyDescent="0.45">
      <c r="A4141" t="s">
        <v>4810</v>
      </c>
      <c r="B4141" t="s">
        <v>4808</v>
      </c>
      <c r="C4141" t="s">
        <v>4700</v>
      </c>
      <c r="D4141" t="s">
        <v>16</v>
      </c>
      <c r="E4141" t="s">
        <v>192</v>
      </c>
      <c r="F4141">
        <v>3</v>
      </c>
      <c r="G4141">
        <v>89.699999999999989</v>
      </c>
      <c r="H4141">
        <v>39.69</v>
      </c>
      <c r="I4141" t="s">
        <v>44</v>
      </c>
      <c r="J4141">
        <v>3</v>
      </c>
      <c r="K4141" t="s">
        <v>51</v>
      </c>
      <c r="L4141">
        <v>5</v>
      </c>
      <c r="M4141" t="str">
        <f>VLOOKUP(D4141,State_Lookup!$A$2:$B$28,2,FALSE)</f>
        <v>Sao Paulo</v>
      </c>
    </row>
    <row r="4142" spans="1:13" x14ac:dyDescent="0.45">
      <c r="A4142" t="s">
        <v>4811</v>
      </c>
      <c r="B4142" t="s">
        <v>4808</v>
      </c>
      <c r="C4142" t="s">
        <v>4700</v>
      </c>
      <c r="D4142" t="s">
        <v>16</v>
      </c>
      <c r="E4142" t="s">
        <v>132</v>
      </c>
      <c r="F4142">
        <v>1</v>
      </c>
      <c r="G4142">
        <v>39.9</v>
      </c>
      <c r="H4142">
        <v>7.39</v>
      </c>
      <c r="I4142" t="s">
        <v>44</v>
      </c>
      <c r="J4142">
        <v>3</v>
      </c>
      <c r="K4142" t="s">
        <v>51</v>
      </c>
      <c r="L4142">
        <v>4</v>
      </c>
      <c r="M4142" t="str">
        <f>VLOOKUP(D4142,State_Lookup!$A$2:$B$28,2,FALSE)</f>
        <v>Sao Paulo</v>
      </c>
    </row>
    <row r="4143" spans="1:13" x14ac:dyDescent="0.45">
      <c r="A4143" t="s">
        <v>4812</v>
      </c>
      <c r="B4143" t="s">
        <v>4808</v>
      </c>
      <c r="C4143" t="s">
        <v>4700</v>
      </c>
      <c r="D4143" t="s">
        <v>17</v>
      </c>
      <c r="E4143" t="s">
        <v>186</v>
      </c>
      <c r="F4143">
        <v>1</v>
      </c>
      <c r="G4143">
        <v>179.9</v>
      </c>
      <c r="H4143">
        <v>36.39</v>
      </c>
      <c r="I4143" t="s">
        <v>44</v>
      </c>
      <c r="J4143">
        <v>2</v>
      </c>
      <c r="K4143" t="s">
        <v>51</v>
      </c>
      <c r="L4143">
        <v>5</v>
      </c>
      <c r="M4143" t="str">
        <f>VLOOKUP(D4143,State_Lookup!$A$2:$B$28,2,FALSE)</f>
        <v>Rio de Janeiro</v>
      </c>
    </row>
    <row r="4144" spans="1:13" x14ac:dyDescent="0.45">
      <c r="A4144" t="s">
        <v>4813</v>
      </c>
      <c r="B4144" t="s">
        <v>4808</v>
      </c>
      <c r="C4144" t="s">
        <v>4700</v>
      </c>
      <c r="D4144" t="s">
        <v>16</v>
      </c>
      <c r="E4144" t="s">
        <v>110</v>
      </c>
      <c r="F4144">
        <v>1</v>
      </c>
      <c r="G4144">
        <v>39.99</v>
      </c>
      <c r="H4144">
        <v>13.71</v>
      </c>
      <c r="I4144" t="s">
        <v>44</v>
      </c>
      <c r="J4144">
        <v>8</v>
      </c>
      <c r="K4144" t="s">
        <v>51</v>
      </c>
      <c r="L4144">
        <v>5</v>
      </c>
      <c r="M4144" t="str">
        <f>VLOOKUP(D4144,State_Lookup!$A$2:$B$28,2,FALSE)</f>
        <v>Sao Paulo</v>
      </c>
    </row>
    <row r="4145" spans="1:13" x14ac:dyDescent="0.45">
      <c r="A4145" t="s">
        <v>4814</v>
      </c>
      <c r="B4145" t="s">
        <v>4808</v>
      </c>
      <c r="C4145" t="s">
        <v>4700</v>
      </c>
      <c r="D4145" t="s">
        <v>16</v>
      </c>
      <c r="E4145" t="s">
        <v>192</v>
      </c>
      <c r="F4145">
        <v>1</v>
      </c>
      <c r="G4145">
        <v>102.62</v>
      </c>
      <c r="H4145">
        <v>24.11</v>
      </c>
      <c r="I4145" t="s">
        <v>44</v>
      </c>
      <c r="J4145">
        <v>15</v>
      </c>
      <c r="K4145" t="s">
        <v>51</v>
      </c>
      <c r="L4145">
        <v>4</v>
      </c>
      <c r="M4145" t="str">
        <f>VLOOKUP(D4145,State_Lookup!$A$2:$B$28,2,FALSE)</f>
        <v>Sao Paulo</v>
      </c>
    </row>
    <row r="4146" spans="1:13" x14ac:dyDescent="0.45">
      <c r="A4146" t="s">
        <v>4815</v>
      </c>
      <c r="B4146" t="s">
        <v>4808</v>
      </c>
      <c r="C4146" t="s">
        <v>4700</v>
      </c>
      <c r="D4146" t="s">
        <v>16</v>
      </c>
      <c r="E4146" t="s">
        <v>192</v>
      </c>
      <c r="F4146">
        <v>1</v>
      </c>
      <c r="G4146">
        <v>29.9</v>
      </c>
      <c r="H4146">
        <v>13.23</v>
      </c>
      <c r="I4146" t="s">
        <v>44</v>
      </c>
      <c r="J4146">
        <v>2</v>
      </c>
      <c r="K4146" t="s">
        <v>51</v>
      </c>
      <c r="L4146">
        <v>5</v>
      </c>
      <c r="M4146" t="str">
        <f>VLOOKUP(D4146,State_Lookup!$A$2:$B$28,2,FALSE)</f>
        <v>Sao Paulo</v>
      </c>
    </row>
    <row r="4147" spans="1:13" x14ac:dyDescent="0.45">
      <c r="A4147" t="s">
        <v>4816</v>
      </c>
      <c r="B4147" t="s">
        <v>4808</v>
      </c>
      <c r="C4147" t="s">
        <v>4700</v>
      </c>
      <c r="D4147" t="s">
        <v>128</v>
      </c>
      <c r="E4147" t="s">
        <v>79</v>
      </c>
      <c r="F4147">
        <v>1</v>
      </c>
      <c r="G4147">
        <v>99.9</v>
      </c>
      <c r="H4147">
        <v>42.76</v>
      </c>
      <c r="I4147" t="s">
        <v>50</v>
      </c>
      <c r="J4147">
        <v>19</v>
      </c>
      <c r="K4147" t="s">
        <v>51</v>
      </c>
      <c r="L4147">
        <v>4</v>
      </c>
      <c r="M4147" t="str">
        <f>VLOOKUP(D4147,State_Lookup!$A$2:$B$28,2,FALSE)</f>
        <v>Ceara</v>
      </c>
    </row>
    <row r="4148" spans="1:13" x14ac:dyDescent="0.45">
      <c r="A4148" t="s">
        <v>4817</v>
      </c>
      <c r="B4148" t="s">
        <v>4808</v>
      </c>
      <c r="C4148" t="s">
        <v>4700</v>
      </c>
      <c r="D4148" t="s">
        <v>16</v>
      </c>
      <c r="E4148" t="s">
        <v>152</v>
      </c>
      <c r="F4148">
        <v>1</v>
      </c>
      <c r="G4148">
        <v>58</v>
      </c>
      <c r="H4148">
        <v>15.26</v>
      </c>
      <c r="I4148" t="s">
        <v>44</v>
      </c>
      <c r="J4148">
        <v>8</v>
      </c>
      <c r="K4148" t="s">
        <v>51</v>
      </c>
      <c r="L4148">
        <v>5</v>
      </c>
      <c r="M4148" t="str">
        <f>VLOOKUP(D4148,State_Lookup!$A$2:$B$28,2,FALSE)</f>
        <v>Sao Paulo</v>
      </c>
    </row>
    <row r="4149" spans="1:13" x14ac:dyDescent="0.45">
      <c r="A4149" t="s">
        <v>4818</v>
      </c>
      <c r="B4149" t="s">
        <v>4808</v>
      </c>
      <c r="C4149" t="s">
        <v>4700</v>
      </c>
      <c r="D4149" t="s">
        <v>16</v>
      </c>
      <c r="E4149" t="s">
        <v>118</v>
      </c>
      <c r="F4149">
        <v>1</v>
      </c>
      <c r="G4149">
        <v>109.9</v>
      </c>
      <c r="H4149">
        <v>14.86</v>
      </c>
      <c r="I4149" t="s">
        <v>44</v>
      </c>
      <c r="J4149">
        <v>8</v>
      </c>
      <c r="K4149" t="s">
        <v>51</v>
      </c>
      <c r="L4149">
        <v>4</v>
      </c>
      <c r="M4149" t="str">
        <f>VLOOKUP(D4149,State_Lookup!$A$2:$B$28,2,FALSE)</f>
        <v>Sao Paulo</v>
      </c>
    </row>
    <row r="4150" spans="1:13" x14ac:dyDescent="0.45">
      <c r="A4150" t="s">
        <v>4819</v>
      </c>
      <c r="B4150" t="s">
        <v>4808</v>
      </c>
      <c r="C4150" t="s">
        <v>4700</v>
      </c>
      <c r="D4150" t="s">
        <v>128</v>
      </c>
      <c r="E4150" t="s">
        <v>61</v>
      </c>
      <c r="F4150">
        <v>1</v>
      </c>
      <c r="G4150">
        <v>22.49</v>
      </c>
      <c r="H4150">
        <v>19.04</v>
      </c>
      <c r="I4150" t="s">
        <v>44</v>
      </c>
      <c r="J4150">
        <v>11</v>
      </c>
      <c r="K4150" t="s">
        <v>51</v>
      </c>
      <c r="L4150">
        <v>5</v>
      </c>
      <c r="M4150" t="str">
        <f>VLOOKUP(D4150,State_Lookup!$A$2:$B$28,2,FALSE)</f>
        <v>Ceara</v>
      </c>
    </row>
    <row r="4151" spans="1:13" x14ac:dyDescent="0.45">
      <c r="A4151" t="s">
        <v>4820</v>
      </c>
      <c r="B4151" t="s">
        <v>4808</v>
      </c>
      <c r="C4151" t="s">
        <v>4700</v>
      </c>
      <c r="D4151" t="s">
        <v>25</v>
      </c>
      <c r="E4151" t="s">
        <v>157</v>
      </c>
      <c r="F4151">
        <v>1</v>
      </c>
      <c r="G4151">
        <v>733</v>
      </c>
      <c r="H4151">
        <v>23.01</v>
      </c>
      <c r="I4151" t="s">
        <v>44</v>
      </c>
      <c r="J4151">
        <v>10</v>
      </c>
      <c r="K4151" t="s">
        <v>51</v>
      </c>
      <c r="L4151">
        <v>5</v>
      </c>
      <c r="M4151" t="str">
        <f>VLOOKUP(D4151,State_Lookup!$A$2:$B$28,2,FALSE)</f>
        <v>Goias</v>
      </c>
    </row>
    <row r="4152" spans="1:13" x14ac:dyDescent="0.45">
      <c r="A4152" t="s">
        <v>4821</v>
      </c>
      <c r="B4152" t="s">
        <v>4808</v>
      </c>
      <c r="C4152" t="s">
        <v>4700</v>
      </c>
      <c r="D4152" t="s">
        <v>16</v>
      </c>
      <c r="E4152" t="s">
        <v>110</v>
      </c>
      <c r="F4152">
        <v>1</v>
      </c>
      <c r="G4152">
        <v>19.899999999999999</v>
      </c>
      <c r="H4152">
        <v>12.79</v>
      </c>
      <c r="I4152" t="s">
        <v>44</v>
      </c>
      <c r="K4152" t="s">
        <v>45</v>
      </c>
      <c r="L4152">
        <v>3</v>
      </c>
      <c r="M4152" t="str">
        <f>VLOOKUP(D4152,State_Lookup!$A$2:$B$28,2,FALSE)</f>
        <v>Sao Paulo</v>
      </c>
    </row>
    <row r="4153" spans="1:13" x14ac:dyDescent="0.45">
      <c r="A4153" t="s">
        <v>4822</v>
      </c>
      <c r="B4153" t="s">
        <v>4808</v>
      </c>
      <c r="C4153" t="s">
        <v>4700</v>
      </c>
      <c r="D4153" t="s">
        <v>18</v>
      </c>
      <c r="E4153" t="s">
        <v>100</v>
      </c>
      <c r="F4153">
        <v>1</v>
      </c>
      <c r="G4153">
        <v>1199</v>
      </c>
      <c r="H4153">
        <v>35.15</v>
      </c>
      <c r="I4153" t="s">
        <v>44</v>
      </c>
      <c r="J4153">
        <v>3</v>
      </c>
      <c r="K4153" t="s">
        <v>51</v>
      </c>
      <c r="L4153">
        <v>5</v>
      </c>
      <c r="M4153" t="str">
        <f>VLOOKUP(D4153,State_Lookup!$A$2:$B$28,2,FALSE)</f>
        <v>Minas Gerais</v>
      </c>
    </row>
    <row r="4154" spans="1:13" x14ac:dyDescent="0.45">
      <c r="A4154" t="s">
        <v>4823</v>
      </c>
      <c r="B4154" t="s">
        <v>4808</v>
      </c>
      <c r="C4154" t="s">
        <v>4700</v>
      </c>
      <c r="D4154" t="s">
        <v>16</v>
      </c>
      <c r="E4154" t="s">
        <v>79</v>
      </c>
      <c r="F4154">
        <v>1</v>
      </c>
      <c r="G4154">
        <v>112.83</v>
      </c>
      <c r="H4154">
        <v>9.14</v>
      </c>
      <c r="I4154" t="s">
        <v>50</v>
      </c>
      <c r="K4154" t="s">
        <v>45</v>
      </c>
      <c r="L4154">
        <v>3</v>
      </c>
      <c r="M4154" t="str">
        <f>VLOOKUP(D4154,State_Lookup!$A$2:$B$28,2,FALSE)</f>
        <v>Sao Paulo</v>
      </c>
    </row>
    <row r="4155" spans="1:13" x14ac:dyDescent="0.45">
      <c r="A4155" t="s">
        <v>4824</v>
      </c>
      <c r="B4155" t="s">
        <v>4825</v>
      </c>
      <c r="C4155" t="s">
        <v>4700</v>
      </c>
      <c r="D4155" t="s">
        <v>122</v>
      </c>
      <c r="E4155" t="s">
        <v>157</v>
      </c>
      <c r="F4155">
        <v>1</v>
      </c>
      <c r="G4155">
        <v>29</v>
      </c>
      <c r="H4155">
        <v>37.11</v>
      </c>
      <c r="I4155" t="s">
        <v>44</v>
      </c>
      <c r="J4155">
        <v>13</v>
      </c>
      <c r="K4155" t="s">
        <v>51</v>
      </c>
      <c r="L4155">
        <v>5</v>
      </c>
      <c r="M4155" t="str">
        <f>VLOOKUP(D4155,State_Lookup!$A$2:$B$28,2,FALSE)</f>
        <v>Para</v>
      </c>
    </row>
    <row r="4156" spans="1:13" x14ac:dyDescent="0.45">
      <c r="A4156" t="s">
        <v>4826</v>
      </c>
      <c r="B4156" t="s">
        <v>4825</v>
      </c>
      <c r="C4156" t="s">
        <v>4700</v>
      </c>
      <c r="D4156" t="s">
        <v>18</v>
      </c>
      <c r="E4156" t="s">
        <v>142</v>
      </c>
      <c r="F4156">
        <v>1</v>
      </c>
      <c r="G4156">
        <v>129</v>
      </c>
      <c r="H4156">
        <v>26.05</v>
      </c>
      <c r="I4156" t="s">
        <v>44</v>
      </c>
      <c r="J4156">
        <v>4</v>
      </c>
      <c r="K4156" t="s">
        <v>51</v>
      </c>
      <c r="L4156">
        <v>5</v>
      </c>
      <c r="M4156" t="str">
        <f>VLOOKUP(D4156,State_Lookup!$A$2:$B$28,2,FALSE)</f>
        <v>Minas Gerais</v>
      </c>
    </row>
    <row r="4157" spans="1:13" x14ac:dyDescent="0.45">
      <c r="A4157" t="s">
        <v>4827</v>
      </c>
      <c r="B4157" t="s">
        <v>4825</v>
      </c>
      <c r="C4157" t="s">
        <v>4700</v>
      </c>
      <c r="D4157" t="s">
        <v>16</v>
      </c>
      <c r="E4157" t="s">
        <v>64</v>
      </c>
      <c r="F4157">
        <v>2</v>
      </c>
      <c r="G4157">
        <v>378</v>
      </c>
      <c r="H4157">
        <v>29.8</v>
      </c>
      <c r="I4157" t="s">
        <v>44</v>
      </c>
      <c r="J4157">
        <v>8</v>
      </c>
      <c r="K4157" t="s">
        <v>51</v>
      </c>
      <c r="L4157">
        <v>5</v>
      </c>
      <c r="M4157" t="str">
        <f>VLOOKUP(D4157,State_Lookup!$A$2:$B$28,2,FALSE)</f>
        <v>Sao Paulo</v>
      </c>
    </row>
    <row r="4158" spans="1:13" x14ac:dyDescent="0.45">
      <c r="A4158" t="s">
        <v>4828</v>
      </c>
      <c r="B4158" t="s">
        <v>4825</v>
      </c>
      <c r="C4158" t="s">
        <v>4700</v>
      </c>
      <c r="D4158" t="s">
        <v>18</v>
      </c>
      <c r="E4158" t="s">
        <v>125</v>
      </c>
      <c r="F4158">
        <v>2</v>
      </c>
      <c r="G4158">
        <v>39.299999999999997</v>
      </c>
      <c r="H4158">
        <v>36.479999999999997</v>
      </c>
      <c r="I4158" t="s">
        <v>44</v>
      </c>
      <c r="J4158">
        <v>9</v>
      </c>
      <c r="K4158" t="s">
        <v>51</v>
      </c>
      <c r="L4158">
        <v>2</v>
      </c>
      <c r="M4158" t="str">
        <f>VLOOKUP(D4158,State_Lookup!$A$2:$B$28,2,FALSE)</f>
        <v>Minas Gerais</v>
      </c>
    </row>
    <row r="4159" spans="1:13" x14ac:dyDescent="0.45">
      <c r="A4159" t="s">
        <v>4829</v>
      </c>
      <c r="B4159" t="s">
        <v>4825</v>
      </c>
      <c r="C4159" t="s">
        <v>4700</v>
      </c>
      <c r="D4159" t="s">
        <v>16</v>
      </c>
      <c r="E4159" t="s">
        <v>157</v>
      </c>
      <c r="F4159">
        <v>2</v>
      </c>
      <c r="G4159">
        <v>210</v>
      </c>
      <c r="H4159">
        <v>33.86</v>
      </c>
      <c r="I4159" t="s">
        <v>44</v>
      </c>
      <c r="J4159">
        <v>6</v>
      </c>
      <c r="K4159" t="s">
        <v>51</v>
      </c>
      <c r="L4159">
        <v>4</v>
      </c>
      <c r="M4159" t="str">
        <f>VLOOKUP(D4159,State_Lookup!$A$2:$B$28,2,FALSE)</f>
        <v>Sao Paulo</v>
      </c>
    </row>
    <row r="4160" spans="1:13" x14ac:dyDescent="0.45">
      <c r="A4160" t="s">
        <v>4830</v>
      </c>
      <c r="B4160" t="s">
        <v>4825</v>
      </c>
      <c r="C4160" t="s">
        <v>4700</v>
      </c>
      <c r="D4160" t="s">
        <v>19</v>
      </c>
      <c r="E4160" t="s">
        <v>1935</v>
      </c>
      <c r="F4160">
        <v>1</v>
      </c>
      <c r="G4160">
        <v>17.45</v>
      </c>
      <c r="H4160">
        <v>18.23</v>
      </c>
      <c r="I4160" t="s">
        <v>44</v>
      </c>
      <c r="J4160">
        <v>10</v>
      </c>
      <c r="K4160" t="s">
        <v>51</v>
      </c>
      <c r="L4160">
        <v>5</v>
      </c>
      <c r="M4160" t="str">
        <f>VLOOKUP(D4160,State_Lookup!$A$2:$B$28,2,FALSE)</f>
        <v>Rio Grande do Sul</v>
      </c>
    </row>
    <row r="4161" spans="1:13" x14ac:dyDescent="0.45">
      <c r="A4161" t="s">
        <v>4831</v>
      </c>
      <c r="B4161" t="s">
        <v>4825</v>
      </c>
      <c r="C4161" t="s">
        <v>4700</v>
      </c>
      <c r="D4161" t="s">
        <v>22</v>
      </c>
      <c r="E4161" t="s">
        <v>61</v>
      </c>
      <c r="F4161">
        <v>1</v>
      </c>
      <c r="G4161">
        <v>46</v>
      </c>
      <c r="H4161">
        <v>22.25</v>
      </c>
      <c r="I4161" t="s">
        <v>133</v>
      </c>
      <c r="J4161">
        <v>9</v>
      </c>
      <c r="K4161" t="s">
        <v>51</v>
      </c>
      <c r="L4161">
        <v>5</v>
      </c>
      <c r="M4161" t="str">
        <f>VLOOKUP(D4161,State_Lookup!$A$2:$B$28,2,FALSE)</f>
        <v>Bahia</v>
      </c>
    </row>
    <row r="4162" spans="1:13" x14ac:dyDescent="0.45">
      <c r="A4162" t="s">
        <v>4832</v>
      </c>
      <c r="B4162" t="s">
        <v>4825</v>
      </c>
      <c r="C4162" t="s">
        <v>4700</v>
      </c>
      <c r="D4162" t="s">
        <v>17</v>
      </c>
      <c r="E4162" t="s">
        <v>118</v>
      </c>
      <c r="F4162">
        <v>1</v>
      </c>
      <c r="G4162">
        <v>220.7</v>
      </c>
      <c r="H4162">
        <v>24.12</v>
      </c>
      <c r="I4162" t="s">
        <v>44</v>
      </c>
      <c r="J4162">
        <v>10</v>
      </c>
      <c r="K4162" t="s">
        <v>51</v>
      </c>
      <c r="L4162">
        <v>5</v>
      </c>
      <c r="M4162" t="str">
        <f>VLOOKUP(D4162,State_Lookup!$A$2:$B$28,2,FALSE)</f>
        <v>Rio de Janeiro</v>
      </c>
    </row>
    <row r="4163" spans="1:13" x14ac:dyDescent="0.45">
      <c r="A4163" t="s">
        <v>4833</v>
      </c>
      <c r="B4163" t="s">
        <v>4825</v>
      </c>
      <c r="C4163" t="s">
        <v>4700</v>
      </c>
      <c r="D4163" t="s">
        <v>63</v>
      </c>
      <c r="E4163" t="s">
        <v>125</v>
      </c>
      <c r="F4163">
        <v>1</v>
      </c>
      <c r="G4163">
        <v>9.5</v>
      </c>
      <c r="H4163">
        <v>37.04</v>
      </c>
      <c r="I4163" t="s">
        <v>44</v>
      </c>
      <c r="J4163">
        <v>9</v>
      </c>
      <c r="K4163" t="s">
        <v>51</v>
      </c>
      <c r="L4163">
        <v>5</v>
      </c>
      <c r="M4163" t="str">
        <f>VLOOKUP(D4163,State_Lookup!$A$2:$B$28,2,FALSE)</f>
        <v>Pernambuco</v>
      </c>
    </row>
    <row r="4164" spans="1:13" x14ac:dyDescent="0.45">
      <c r="A4164" t="s">
        <v>4834</v>
      </c>
      <c r="B4164" t="s">
        <v>4825</v>
      </c>
      <c r="C4164" t="s">
        <v>4700</v>
      </c>
      <c r="D4164" t="s">
        <v>16</v>
      </c>
      <c r="E4164" t="s">
        <v>260</v>
      </c>
      <c r="F4164">
        <v>1</v>
      </c>
      <c r="G4164">
        <v>27.9</v>
      </c>
      <c r="H4164">
        <v>7.87</v>
      </c>
      <c r="I4164" t="s">
        <v>44</v>
      </c>
      <c r="J4164">
        <v>2</v>
      </c>
      <c r="K4164" t="s">
        <v>51</v>
      </c>
      <c r="L4164">
        <v>4</v>
      </c>
      <c r="M4164" t="str">
        <f>VLOOKUP(D4164,State_Lookup!$A$2:$B$28,2,FALSE)</f>
        <v>Sao Paulo</v>
      </c>
    </row>
    <row r="4165" spans="1:13" x14ac:dyDescent="0.45">
      <c r="A4165" t="s">
        <v>4835</v>
      </c>
      <c r="B4165" t="s">
        <v>4825</v>
      </c>
      <c r="C4165" t="s">
        <v>4700</v>
      </c>
      <c r="D4165" t="s">
        <v>16</v>
      </c>
      <c r="E4165" t="s">
        <v>61</v>
      </c>
      <c r="F4165">
        <v>1</v>
      </c>
      <c r="G4165">
        <v>63.9</v>
      </c>
      <c r="H4165">
        <v>13.79</v>
      </c>
      <c r="I4165" t="s">
        <v>44</v>
      </c>
      <c r="J4165">
        <v>8</v>
      </c>
      <c r="K4165" t="s">
        <v>51</v>
      </c>
      <c r="L4165">
        <v>5</v>
      </c>
      <c r="M4165" t="str">
        <f>VLOOKUP(D4165,State_Lookup!$A$2:$B$28,2,FALSE)</f>
        <v>Sao Paulo</v>
      </c>
    </row>
    <row r="4166" spans="1:13" x14ac:dyDescent="0.45">
      <c r="A4166" t="s">
        <v>4836</v>
      </c>
      <c r="B4166" t="s">
        <v>4825</v>
      </c>
      <c r="C4166" t="s">
        <v>4700</v>
      </c>
      <c r="D4166" t="s">
        <v>16</v>
      </c>
      <c r="E4166" t="s">
        <v>244</v>
      </c>
      <c r="F4166">
        <v>1</v>
      </c>
      <c r="G4166">
        <v>25</v>
      </c>
      <c r="H4166">
        <v>7.39</v>
      </c>
      <c r="I4166" t="s">
        <v>44</v>
      </c>
      <c r="J4166">
        <v>1</v>
      </c>
      <c r="K4166" t="s">
        <v>51</v>
      </c>
      <c r="L4166">
        <v>5</v>
      </c>
      <c r="M4166" t="str">
        <f>VLOOKUP(D4166,State_Lookup!$A$2:$B$28,2,FALSE)</f>
        <v>Sao Paulo</v>
      </c>
    </row>
    <row r="4167" spans="1:13" x14ac:dyDescent="0.45">
      <c r="A4167" t="s">
        <v>4837</v>
      </c>
      <c r="B4167" t="s">
        <v>4825</v>
      </c>
      <c r="C4167" t="s">
        <v>4700</v>
      </c>
      <c r="D4167" t="s">
        <v>16</v>
      </c>
      <c r="E4167" t="s">
        <v>110</v>
      </c>
      <c r="F4167">
        <v>1</v>
      </c>
      <c r="G4167">
        <v>179.9</v>
      </c>
      <c r="H4167">
        <v>10.01</v>
      </c>
      <c r="I4167" t="s">
        <v>44</v>
      </c>
      <c r="J4167">
        <v>4</v>
      </c>
      <c r="K4167" t="s">
        <v>51</v>
      </c>
      <c r="L4167">
        <v>1</v>
      </c>
      <c r="M4167" t="str">
        <f>VLOOKUP(D4167,State_Lookup!$A$2:$B$28,2,FALSE)</f>
        <v>Sao Paulo</v>
      </c>
    </row>
    <row r="4168" spans="1:13" x14ac:dyDescent="0.45">
      <c r="A4168" t="s">
        <v>4838</v>
      </c>
      <c r="B4168" t="s">
        <v>4825</v>
      </c>
      <c r="C4168" t="s">
        <v>4700</v>
      </c>
      <c r="D4168" t="s">
        <v>249</v>
      </c>
      <c r="E4168" t="s">
        <v>64</v>
      </c>
      <c r="F4168">
        <v>2</v>
      </c>
      <c r="G4168">
        <v>298.89999999999998</v>
      </c>
      <c r="H4168">
        <v>76.83</v>
      </c>
      <c r="I4168" t="s">
        <v>44</v>
      </c>
      <c r="J4168">
        <v>9</v>
      </c>
      <c r="K4168" t="s">
        <v>51</v>
      </c>
      <c r="L4168">
        <v>3</v>
      </c>
      <c r="M4168" t="str">
        <f>VLOOKUP(D4168,State_Lookup!$A$2:$B$28,2,FALSE)</f>
        <v>Tocantins</v>
      </c>
    </row>
    <row r="4169" spans="1:13" x14ac:dyDescent="0.45">
      <c r="A4169" t="s">
        <v>4839</v>
      </c>
      <c r="B4169" t="s">
        <v>4825</v>
      </c>
      <c r="C4169" t="s">
        <v>4700</v>
      </c>
      <c r="D4169" t="s">
        <v>249</v>
      </c>
      <c r="E4169" t="s">
        <v>49</v>
      </c>
      <c r="F4169">
        <v>1</v>
      </c>
      <c r="G4169">
        <v>349.9</v>
      </c>
      <c r="H4169">
        <v>85.37</v>
      </c>
      <c r="I4169" t="s">
        <v>44</v>
      </c>
      <c r="J4169">
        <v>10</v>
      </c>
      <c r="K4169" t="s">
        <v>51</v>
      </c>
      <c r="L4169">
        <v>4</v>
      </c>
      <c r="M4169" t="str">
        <f>VLOOKUP(D4169,State_Lookup!$A$2:$B$28,2,FALSE)</f>
        <v>Tocantins</v>
      </c>
    </row>
    <row r="4170" spans="1:13" x14ac:dyDescent="0.45">
      <c r="A4170" t="s">
        <v>4840</v>
      </c>
      <c r="B4170" t="s">
        <v>4825</v>
      </c>
      <c r="C4170" t="s">
        <v>4700</v>
      </c>
      <c r="D4170" t="s">
        <v>16</v>
      </c>
      <c r="E4170" t="s">
        <v>1903</v>
      </c>
      <c r="F4170">
        <v>1</v>
      </c>
      <c r="G4170">
        <v>29.49</v>
      </c>
      <c r="H4170">
        <v>9.44</v>
      </c>
      <c r="I4170" t="s">
        <v>44</v>
      </c>
      <c r="J4170">
        <v>3</v>
      </c>
      <c r="K4170" t="s">
        <v>51</v>
      </c>
      <c r="L4170">
        <v>5</v>
      </c>
      <c r="M4170" t="str">
        <f>VLOOKUP(D4170,State_Lookup!$A$2:$B$28,2,FALSE)</f>
        <v>Sao Paulo</v>
      </c>
    </row>
    <row r="4171" spans="1:13" x14ac:dyDescent="0.45">
      <c r="A4171" t="s">
        <v>4841</v>
      </c>
      <c r="B4171" t="s">
        <v>4842</v>
      </c>
      <c r="C4171" t="s">
        <v>4700</v>
      </c>
      <c r="D4171" t="s">
        <v>18</v>
      </c>
      <c r="E4171" t="s">
        <v>157</v>
      </c>
      <c r="F4171">
        <v>1</v>
      </c>
      <c r="G4171">
        <v>95</v>
      </c>
      <c r="H4171">
        <v>15.77</v>
      </c>
      <c r="I4171" t="s">
        <v>44</v>
      </c>
      <c r="J4171">
        <v>5</v>
      </c>
      <c r="K4171" t="s">
        <v>51</v>
      </c>
      <c r="L4171">
        <v>3</v>
      </c>
      <c r="M4171" t="str">
        <f>VLOOKUP(D4171,State_Lookup!$A$2:$B$28,2,FALSE)</f>
        <v>Minas Gerais</v>
      </c>
    </row>
    <row r="4172" spans="1:13" x14ac:dyDescent="0.45">
      <c r="A4172" t="s">
        <v>4843</v>
      </c>
      <c r="B4172" t="s">
        <v>4842</v>
      </c>
      <c r="C4172" t="s">
        <v>4700</v>
      </c>
      <c r="D4172" t="s">
        <v>16</v>
      </c>
      <c r="E4172" t="s">
        <v>76</v>
      </c>
      <c r="F4172">
        <v>1</v>
      </c>
      <c r="G4172">
        <v>69</v>
      </c>
      <c r="H4172">
        <v>36.75</v>
      </c>
      <c r="I4172" t="s">
        <v>44</v>
      </c>
      <c r="J4172">
        <v>8</v>
      </c>
      <c r="K4172" t="s">
        <v>51</v>
      </c>
      <c r="L4172">
        <v>5</v>
      </c>
      <c r="M4172" t="str">
        <f>VLOOKUP(D4172,State_Lookup!$A$2:$B$28,2,FALSE)</f>
        <v>Sao Paulo</v>
      </c>
    </row>
    <row r="4173" spans="1:13" x14ac:dyDescent="0.45">
      <c r="A4173" t="s">
        <v>4844</v>
      </c>
      <c r="B4173" t="s">
        <v>4842</v>
      </c>
      <c r="C4173" t="s">
        <v>4700</v>
      </c>
      <c r="D4173" t="s">
        <v>22</v>
      </c>
      <c r="E4173" t="s">
        <v>64</v>
      </c>
      <c r="F4173">
        <v>1</v>
      </c>
      <c r="G4173">
        <v>118.9</v>
      </c>
      <c r="H4173">
        <v>22.76</v>
      </c>
      <c r="I4173" t="s">
        <v>44</v>
      </c>
      <c r="J4173">
        <v>7</v>
      </c>
      <c r="K4173" t="s">
        <v>51</v>
      </c>
      <c r="L4173">
        <v>5</v>
      </c>
      <c r="M4173" t="str">
        <f>VLOOKUP(D4173,State_Lookup!$A$2:$B$28,2,FALSE)</f>
        <v>Bahia</v>
      </c>
    </row>
    <row r="4174" spans="1:13" x14ac:dyDescent="0.45">
      <c r="A4174" t="s">
        <v>4845</v>
      </c>
      <c r="B4174" t="s">
        <v>4842</v>
      </c>
      <c r="C4174" t="s">
        <v>4700</v>
      </c>
      <c r="D4174" t="s">
        <v>21</v>
      </c>
      <c r="E4174" t="s">
        <v>192</v>
      </c>
      <c r="F4174">
        <v>1</v>
      </c>
      <c r="G4174">
        <v>179.9</v>
      </c>
      <c r="H4174">
        <v>24.48</v>
      </c>
      <c r="I4174" t="s">
        <v>44</v>
      </c>
      <c r="J4174">
        <v>3</v>
      </c>
      <c r="K4174" t="s">
        <v>51</v>
      </c>
      <c r="L4174">
        <v>5</v>
      </c>
      <c r="M4174" t="str">
        <f>VLOOKUP(D4174,State_Lookup!$A$2:$B$28,2,FALSE)</f>
        <v>Santa Catarina</v>
      </c>
    </row>
    <row r="4175" spans="1:13" x14ac:dyDescent="0.45">
      <c r="A4175" t="s">
        <v>4846</v>
      </c>
      <c r="B4175" t="s">
        <v>4842</v>
      </c>
      <c r="C4175" t="s">
        <v>4700</v>
      </c>
      <c r="D4175" t="s">
        <v>632</v>
      </c>
      <c r="E4175" t="s">
        <v>148</v>
      </c>
      <c r="F4175">
        <v>1</v>
      </c>
      <c r="G4175">
        <v>209.99</v>
      </c>
      <c r="H4175">
        <v>35.68</v>
      </c>
      <c r="I4175" t="s">
        <v>44</v>
      </c>
      <c r="J4175">
        <v>16</v>
      </c>
      <c r="K4175" t="s">
        <v>51</v>
      </c>
      <c r="L4175">
        <v>4</v>
      </c>
      <c r="M4175" t="str">
        <f>VLOOKUP(D4175,State_Lookup!$A$2:$B$28,2,FALSE)</f>
        <v>Alagoas</v>
      </c>
    </row>
    <row r="4176" spans="1:13" x14ac:dyDescent="0.45">
      <c r="A4176" t="s">
        <v>4847</v>
      </c>
      <c r="B4176" t="s">
        <v>4842</v>
      </c>
      <c r="C4176" t="s">
        <v>4700</v>
      </c>
      <c r="D4176" t="s">
        <v>18</v>
      </c>
      <c r="E4176" t="s">
        <v>142</v>
      </c>
      <c r="F4176">
        <v>1</v>
      </c>
      <c r="G4176">
        <v>159.9</v>
      </c>
      <c r="H4176">
        <v>16.190000000000001</v>
      </c>
      <c r="I4176" t="s">
        <v>44</v>
      </c>
      <c r="J4176">
        <v>6</v>
      </c>
      <c r="K4176" t="s">
        <v>51</v>
      </c>
      <c r="L4176">
        <v>5</v>
      </c>
      <c r="M4176" t="str">
        <f>VLOOKUP(D4176,State_Lookup!$A$2:$B$28,2,FALSE)</f>
        <v>Minas Gerais</v>
      </c>
    </row>
    <row r="4177" spans="1:13" x14ac:dyDescent="0.45">
      <c r="A4177" t="s">
        <v>4848</v>
      </c>
      <c r="B4177" t="s">
        <v>4842</v>
      </c>
      <c r="C4177" t="s">
        <v>4700</v>
      </c>
      <c r="D4177" t="s">
        <v>122</v>
      </c>
      <c r="E4177" t="s">
        <v>269</v>
      </c>
      <c r="F4177">
        <v>1</v>
      </c>
      <c r="G4177">
        <v>299.99</v>
      </c>
      <c r="H4177">
        <v>28.76</v>
      </c>
      <c r="I4177" t="s">
        <v>108</v>
      </c>
      <c r="J4177">
        <v>21</v>
      </c>
      <c r="K4177" t="s">
        <v>51</v>
      </c>
      <c r="L4177">
        <v>4</v>
      </c>
      <c r="M4177" t="str">
        <f>VLOOKUP(D4177,State_Lookup!$A$2:$B$28,2,FALSE)</f>
        <v>Para</v>
      </c>
    </row>
    <row r="4178" spans="1:13" x14ac:dyDescent="0.45">
      <c r="A4178" t="s">
        <v>4849</v>
      </c>
      <c r="B4178" t="s">
        <v>4842</v>
      </c>
      <c r="C4178" t="s">
        <v>4700</v>
      </c>
      <c r="D4178" t="s">
        <v>16</v>
      </c>
      <c r="E4178" t="s">
        <v>79</v>
      </c>
      <c r="F4178">
        <v>1</v>
      </c>
      <c r="G4178">
        <v>28.9</v>
      </c>
      <c r="H4178">
        <v>9.51</v>
      </c>
      <c r="I4178" t="s">
        <v>50</v>
      </c>
      <c r="J4178">
        <v>2</v>
      </c>
      <c r="K4178" t="s">
        <v>51</v>
      </c>
      <c r="L4178">
        <v>5</v>
      </c>
      <c r="M4178" t="str">
        <f>VLOOKUP(D4178,State_Lookup!$A$2:$B$28,2,FALSE)</f>
        <v>Sao Paulo</v>
      </c>
    </row>
    <row r="4179" spans="1:13" x14ac:dyDescent="0.45">
      <c r="A4179" t="s">
        <v>4850</v>
      </c>
      <c r="B4179" t="s">
        <v>4842</v>
      </c>
      <c r="C4179" t="s">
        <v>4700</v>
      </c>
      <c r="D4179" t="s">
        <v>16</v>
      </c>
      <c r="E4179" t="s">
        <v>110</v>
      </c>
      <c r="F4179">
        <v>1</v>
      </c>
      <c r="G4179">
        <v>129</v>
      </c>
      <c r="H4179">
        <v>19</v>
      </c>
      <c r="I4179" t="s">
        <v>50</v>
      </c>
      <c r="J4179">
        <v>6</v>
      </c>
      <c r="K4179" t="s">
        <v>51</v>
      </c>
      <c r="L4179">
        <v>5</v>
      </c>
      <c r="M4179" t="str">
        <f>VLOOKUP(D4179,State_Lookup!$A$2:$B$28,2,FALSE)</f>
        <v>Sao Paulo</v>
      </c>
    </row>
    <row r="4180" spans="1:13" x14ac:dyDescent="0.45">
      <c r="A4180" t="s">
        <v>4851</v>
      </c>
      <c r="B4180" t="s">
        <v>4852</v>
      </c>
      <c r="C4180" t="s">
        <v>4700</v>
      </c>
      <c r="D4180" t="s">
        <v>20</v>
      </c>
      <c r="E4180" t="s">
        <v>157</v>
      </c>
      <c r="F4180">
        <v>1</v>
      </c>
      <c r="G4180">
        <v>79</v>
      </c>
      <c r="H4180">
        <v>18.649999999999999</v>
      </c>
      <c r="I4180" t="s">
        <v>50</v>
      </c>
      <c r="J4180">
        <v>6</v>
      </c>
      <c r="K4180" t="s">
        <v>51</v>
      </c>
      <c r="L4180">
        <v>5</v>
      </c>
      <c r="M4180" t="str">
        <f>VLOOKUP(D4180,State_Lookup!$A$2:$B$28,2,FALSE)</f>
        <v>Parana</v>
      </c>
    </row>
    <row r="4181" spans="1:13" x14ac:dyDescent="0.45">
      <c r="A4181" t="s">
        <v>4853</v>
      </c>
      <c r="B4181" t="s">
        <v>4852</v>
      </c>
      <c r="C4181" t="s">
        <v>4700</v>
      </c>
      <c r="D4181" t="s">
        <v>18</v>
      </c>
      <c r="E4181" t="s">
        <v>53</v>
      </c>
      <c r="F4181">
        <v>1</v>
      </c>
      <c r="G4181">
        <v>25</v>
      </c>
      <c r="H4181">
        <v>19.37</v>
      </c>
      <c r="I4181" t="s">
        <v>108</v>
      </c>
      <c r="J4181">
        <v>7</v>
      </c>
      <c r="K4181" t="s">
        <v>51</v>
      </c>
      <c r="L4181">
        <v>5</v>
      </c>
      <c r="M4181" t="str">
        <f>VLOOKUP(D4181,State_Lookup!$A$2:$B$28,2,FALSE)</f>
        <v>Minas Gerais</v>
      </c>
    </row>
    <row r="4182" spans="1:13" x14ac:dyDescent="0.45">
      <c r="A4182" t="s">
        <v>4854</v>
      </c>
      <c r="B4182" t="s">
        <v>4852</v>
      </c>
      <c r="C4182" t="s">
        <v>4700</v>
      </c>
      <c r="D4182" t="s">
        <v>20</v>
      </c>
      <c r="E4182" t="s">
        <v>142</v>
      </c>
      <c r="F4182">
        <v>1</v>
      </c>
      <c r="G4182">
        <v>29.9</v>
      </c>
      <c r="H4182">
        <v>16.399999999999999</v>
      </c>
      <c r="I4182" t="s">
        <v>44</v>
      </c>
      <c r="J4182">
        <v>8</v>
      </c>
      <c r="K4182" t="s">
        <v>51</v>
      </c>
      <c r="L4182">
        <v>1</v>
      </c>
      <c r="M4182" t="str">
        <f>VLOOKUP(D4182,State_Lookup!$A$2:$B$28,2,FALSE)</f>
        <v>Parana</v>
      </c>
    </row>
    <row r="4183" spans="1:13" x14ac:dyDescent="0.45">
      <c r="A4183" t="s">
        <v>4855</v>
      </c>
      <c r="B4183" t="s">
        <v>4852</v>
      </c>
      <c r="C4183" t="s">
        <v>4700</v>
      </c>
      <c r="D4183" t="s">
        <v>16</v>
      </c>
      <c r="E4183" t="s">
        <v>142</v>
      </c>
      <c r="F4183">
        <v>1</v>
      </c>
      <c r="G4183">
        <v>388.16</v>
      </c>
      <c r="H4183">
        <v>106.11</v>
      </c>
      <c r="I4183" t="s">
        <v>44</v>
      </c>
      <c r="K4183" t="s">
        <v>45</v>
      </c>
      <c r="L4183">
        <v>1</v>
      </c>
      <c r="M4183" t="str">
        <f>VLOOKUP(D4183,State_Lookup!$A$2:$B$28,2,FALSE)</f>
        <v>Sao Paulo</v>
      </c>
    </row>
    <row r="4184" spans="1:13" x14ac:dyDescent="0.45">
      <c r="A4184" t="s">
        <v>4856</v>
      </c>
      <c r="B4184" t="s">
        <v>4852</v>
      </c>
      <c r="C4184" t="s">
        <v>4700</v>
      </c>
      <c r="D4184" t="s">
        <v>21</v>
      </c>
      <c r="E4184" t="s">
        <v>49</v>
      </c>
      <c r="F4184">
        <v>2</v>
      </c>
      <c r="G4184">
        <v>89.8</v>
      </c>
      <c r="H4184">
        <v>36.82</v>
      </c>
      <c r="I4184" t="s">
        <v>44</v>
      </c>
      <c r="J4184">
        <v>7</v>
      </c>
      <c r="K4184" t="s">
        <v>51</v>
      </c>
      <c r="L4184">
        <v>5</v>
      </c>
      <c r="M4184" t="str">
        <f>VLOOKUP(D4184,State_Lookup!$A$2:$B$28,2,FALSE)</f>
        <v>Santa Catarina</v>
      </c>
    </row>
    <row r="4185" spans="1:13" x14ac:dyDescent="0.45">
      <c r="A4185" t="s">
        <v>4857</v>
      </c>
      <c r="B4185" t="s">
        <v>4852</v>
      </c>
      <c r="C4185" t="s">
        <v>4700</v>
      </c>
      <c r="D4185" t="s">
        <v>16</v>
      </c>
      <c r="E4185" t="s">
        <v>43</v>
      </c>
      <c r="F4185">
        <v>1</v>
      </c>
      <c r="G4185">
        <v>39.9</v>
      </c>
      <c r="H4185">
        <v>12.01</v>
      </c>
      <c r="I4185" t="s">
        <v>50</v>
      </c>
      <c r="J4185">
        <v>9</v>
      </c>
      <c r="K4185" t="s">
        <v>51</v>
      </c>
      <c r="L4185">
        <v>5</v>
      </c>
      <c r="M4185" t="str">
        <f>VLOOKUP(D4185,State_Lookup!$A$2:$B$28,2,FALSE)</f>
        <v>Sao Paulo</v>
      </c>
    </row>
    <row r="4186" spans="1:13" x14ac:dyDescent="0.45">
      <c r="A4186" t="s">
        <v>4858</v>
      </c>
      <c r="B4186" t="s">
        <v>4852</v>
      </c>
      <c r="C4186" t="s">
        <v>4700</v>
      </c>
      <c r="D4186" t="s">
        <v>17</v>
      </c>
      <c r="E4186" t="s">
        <v>100</v>
      </c>
      <c r="F4186">
        <v>1</v>
      </c>
      <c r="G4186">
        <v>50</v>
      </c>
      <c r="H4186">
        <v>9.2799999999999994</v>
      </c>
      <c r="I4186" t="s">
        <v>44</v>
      </c>
      <c r="J4186">
        <v>12</v>
      </c>
      <c r="K4186" t="s">
        <v>51</v>
      </c>
      <c r="L4186">
        <v>1</v>
      </c>
      <c r="M4186" t="str">
        <f>VLOOKUP(D4186,State_Lookup!$A$2:$B$28,2,FALSE)</f>
        <v>Rio de Janeiro</v>
      </c>
    </row>
    <row r="4187" spans="1:13" x14ac:dyDescent="0.45">
      <c r="A4187" t="s">
        <v>4859</v>
      </c>
      <c r="B4187" t="s">
        <v>4852</v>
      </c>
      <c r="C4187" t="s">
        <v>4700</v>
      </c>
      <c r="D4187" t="s">
        <v>18</v>
      </c>
      <c r="E4187" t="s">
        <v>157</v>
      </c>
      <c r="F4187">
        <v>1</v>
      </c>
      <c r="G4187">
        <v>78</v>
      </c>
      <c r="H4187">
        <v>18.649999999999999</v>
      </c>
      <c r="I4187" t="s">
        <v>44</v>
      </c>
      <c r="J4187">
        <v>6</v>
      </c>
      <c r="K4187" t="s">
        <v>51</v>
      </c>
      <c r="L4187">
        <v>5</v>
      </c>
      <c r="M4187" t="str">
        <f>VLOOKUP(D4187,State_Lookup!$A$2:$B$28,2,FALSE)</f>
        <v>Minas Gerais</v>
      </c>
    </row>
    <row r="4188" spans="1:13" x14ac:dyDescent="0.45">
      <c r="A4188" t="s">
        <v>4860</v>
      </c>
      <c r="B4188" t="s">
        <v>4852</v>
      </c>
      <c r="C4188" t="s">
        <v>4700</v>
      </c>
      <c r="D4188" t="s">
        <v>17</v>
      </c>
      <c r="E4188" t="s">
        <v>157</v>
      </c>
      <c r="F4188">
        <v>1</v>
      </c>
      <c r="G4188">
        <v>55</v>
      </c>
      <c r="H4188">
        <v>15.49</v>
      </c>
      <c r="I4188" t="s">
        <v>44</v>
      </c>
      <c r="J4188">
        <v>4</v>
      </c>
      <c r="K4188" t="s">
        <v>51</v>
      </c>
      <c r="L4188">
        <v>5</v>
      </c>
      <c r="M4188" t="str">
        <f>VLOOKUP(D4188,State_Lookup!$A$2:$B$28,2,FALSE)</f>
        <v>Rio de Janeiro</v>
      </c>
    </row>
    <row r="4189" spans="1:13" x14ac:dyDescent="0.45">
      <c r="A4189" t="s">
        <v>4861</v>
      </c>
      <c r="B4189" t="s">
        <v>4852</v>
      </c>
      <c r="C4189" t="s">
        <v>4700</v>
      </c>
      <c r="D4189" t="s">
        <v>16</v>
      </c>
      <c r="E4189" t="s">
        <v>79</v>
      </c>
      <c r="F4189">
        <v>1</v>
      </c>
      <c r="G4189">
        <v>99</v>
      </c>
      <c r="H4189">
        <v>13.99</v>
      </c>
      <c r="I4189" t="s">
        <v>44</v>
      </c>
      <c r="J4189">
        <v>5</v>
      </c>
      <c r="K4189" t="s">
        <v>51</v>
      </c>
      <c r="L4189">
        <v>2</v>
      </c>
      <c r="M4189" t="str">
        <f>VLOOKUP(D4189,State_Lookup!$A$2:$B$28,2,FALSE)</f>
        <v>Sao Paulo</v>
      </c>
    </row>
    <row r="4190" spans="1:13" x14ac:dyDescent="0.45">
      <c r="A4190" t="s">
        <v>4862</v>
      </c>
      <c r="B4190" t="s">
        <v>4852</v>
      </c>
      <c r="C4190" t="s">
        <v>4700</v>
      </c>
      <c r="D4190" t="s">
        <v>16</v>
      </c>
      <c r="E4190" t="s">
        <v>110</v>
      </c>
      <c r="F4190">
        <v>1</v>
      </c>
      <c r="G4190">
        <v>39.97</v>
      </c>
      <c r="H4190">
        <v>15.38</v>
      </c>
      <c r="I4190" t="s">
        <v>50</v>
      </c>
      <c r="J4190">
        <v>6</v>
      </c>
      <c r="K4190" t="s">
        <v>51</v>
      </c>
      <c r="L4190">
        <v>5</v>
      </c>
      <c r="M4190" t="str">
        <f>VLOOKUP(D4190,State_Lookup!$A$2:$B$28,2,FALSE)</f>
        <v>Sao Paulo</v>
      </c>
    </row>
    <row r="4191" spans="1:13" x14ac:dyDescent="0.45">
      <c r="A4191" t="s">
        <v>4863</v>
      </c>
      <c r="B4191" t="s">
        <v>4852</v>
      </c>
      <c r="C4191" t="s">
        <v>4700</v>
      </c>
      <c r="D4191" t="s">
        <v>19</v>
      </c>
      <c r="E4191" t="s">
        <v>142</v>
      </c>
      <c r="F4191">
        <v>1</v>
      </c>
      <c r="G4191">
        <v>85.9</v>
      </c>
      <c r="H4191">
        <v>23.4</v>
      </c>
      <c r="I4191" t="s">
        <v>44</v>
      </c>
      <c r="J4191">
        <v>14</v>
      </c>
      <c r="K4191" t="s">
        <v>51</v>
      </c>
      <c r="L4191">
        <v>5</v>
      </c>
      <c r="M4191" t="str">
        <f>VLOOKUP(D4191,State_Lookup!$A$2:$B$28,2,FALSE)</f>
        <v>Rio Grande do Sul</v>
      </c>
    </row>
    <row r="4192" spans="1:13" x14ac:dyDescent="0.45">
      <c r="A4192" t="s">
        <v>4864</v>
      </c>
      <c r="B4192" t="s">
        <v>4852</v>
      </c>
      <c r="C4192" t="s">
        <v>4700</v>
      </c>
      <c r="D4192" t="s">
        <v>16</v>
      </c>
      <c r="E4192" t="s">
        <v>79</v>
      </c>
      <c r="F4192">
        <v>1</v>
      </c>
      <c r="G4192">
        <v>95</v>
      </c>
      <c r="H4192">
        <v>7.93</v>
      </c>
      <c r="I4192" t="s">
        <v>44</v>
      </c>
      <c r="J4192">
        <v>2</v>
      </c>
      <c r="K4192" t="s">
        <v>51</v>
      </c>
      <c r="L4192">
        <v>5</v>
      </c>
      <c r="M4192" t="str">
        <f>VLOOKUP(D4192,State_Lookup!$A$2:$B$28,2,FALSE)</f>
        <v>Sao Paulo</v>
      </c>
    </row>
    <row r="4193" spans="1:13" x14ac:dyDescent="0.45">
      <c r="A4193" t="s">
        <v>4865</v>
      </c>
      <c r="B4193" t="s">
        <v>4852</v>
      </c>
      <c r="C4193" t="s">
        <v>4700</v>
      </c>
      <c r="D4193" t="s">
        <v>16</v>
      </c>
      <c r="E4193" t="s">
        <v>1903</v>
      </c>
      <c r="F4193">
        <v>1</v>
      </c>
      <c r="G4193">
        <v>29.49</v>
      </c>
      <c r="H4193">
        <v>13.79</v>
      </c>
      <c r="I4193" t="s">
        <v>50</v>
      </c>
      <c r="J4193">
        <v>7</v>
      </c>
      <c r="K4193" t="s">
        <v>51</v>
      </c>
      <c r="L4193">
        <v>3</v>
      </c>
      <c r="M4193" t="str">
        <f>VLOOKUP(D4193,State_Lookup!$A$2:$B$28,2,FALSE)</f>
        <v>Sao Paulo</v>
      </c>
    </row>
    <row r="4194" spans="1:13" x14ac:dyDescent="0.45">
      <c r="A4194" t="s">
        <v>4866</v>
      </c>
      <c r="B4194" t="s">
        <v>4852</v>
      </c>
      <c r="C4194" t="s">
        <v>4700</v>
      </c>
      <c r="D4194" t="s">
        <v>20</v>
      </c>
      <c r="E4194" t="s">
        <v>43</v>
      </c>
      <c r="F4194">
        <v>1</v>
      </c>
      <c r="G4194">
        <v>189.9</v>
      </c>
      <c r="H4194">
        <v>86.54</v>
      </c>
      <c r="I4194" t="s">
        <v>44</v>
      </c>
      <c r="J4194">
        <v>8</v>
      </c>
      <c r="K4194" t="s">
        <v>51</v>
      </c>
      <c r="L4194">
        <v>5</v>
      </c>
      <c r="M4194" t="str">
        <f>VLOOKUP(D4194,State_Lookup!$A$2:$B$28,2,FALSE)</f>
        <v>Parana</v>
      </c>
    </row>
    <row r="4195" spans="1:13" x14ac:dyDescent="0.45">
      <c r="A4195" t="s">
        <v>4867</v>
      </c>
      <c r="B4195" t="s">
        <v>4852</v>
      </c>
      <c r="C4195" t="s">
        <v>4700</v>
      </c>
      <c r="D4195" t="s">
        <v>18</v>
      </c>
      <c r="E4195" t="s">
        <v>79</v>
      </c>
      <c r="F4195">
        <v>1</v>
      </c>
      <c r="G4195">
        <v>110.32</v>
      </c>
      <c r="H4195">
        <v>18.87</v>
      </c>
      <c r="I4195" t="s">
        <v>44</v>
      </c>
      <c r="J4195">
        <v>6</v>
      </c>
      <c r="K4195" t="s">
        <v>51</v>
      </c>
      <c r="L4195">
        <v>4</v>
      </c>
      <c r="M4195" t="str">
        <f>VLOOKUP(D4195,State_Lookup!$A$2:$B$28,2,FALSE)</f>
        <v>Minas Gerais</v>
      </c>
    </row>
    <row r="4196" spans="1:13" x14ac:dyDescent="0.45">
      <c r="A4196" t="s">
        <v>4868</v>
      </c>
      <c r="B4196" t="s">
        <v>4852</v>
      </c>
      <c r="C4196" t="s">
        <v>4700</v>
      </c>
      <c r="D4196" t="s">
        <v>16</v>
      </c>
      <c r="E4196" t="s">
        <v>142</v>
      </c>
      <c r="F4196">
        <v>2</v>
      </c>
      <c r="G4196">
        <v>35.979999999999997</v>
      </c>
      <c r="H4196">
        <v>14.78</v>
      </c>
      <c r="I4196" t="s">
        <v>50</v>
      </c>
      <c r="J4196">
        <v>2</v>
      </c>
      <c r="K4196" t="s">
        <v>51</v>
      </c>
      <c r="L4196">
        <v>5</v>
      </c>
      <c r="M4196" t="str">
        <f>VLOOKUP(D4196,State_Lookup!$A$2:$B$28,2,FALSE)</f>
        <v>Sao Paulo</v>
      </c>
    </row>
    <row r="4197" spans="1:13" x14ac:dyDescent="0.45">
      <c r="A4197" t="s">
        <v>4869</v>
      </c>
      <c r="B4197" t="s">
        <v>4852</v>
      </c>
      <c r="C4197" t="s">
        <v>4700</v>
      </c>
      <c r="D4197" t="s">
        <v>16</v>
      </c>
      <c r="E4197" t="s">
        <v>43</v>
      </c>
      <c r="F4197">
        <v>1</v>
      </c>
      <c r="G4197">
        <v>196.8</v>
      </c>
      <c r="H4197">
        <v>13.68</v>
      </c>
      <c r="I4197" t="s">
        <v>44</v>
      </c>
      <c r="J4197">
        <v>6</v>
      </c>
      <c r="K4197" t="s">
        <v>51</v>
      </c>
      <c r="L4197">
        <v>5</v>
      </c>
      <c r="M4197" t="str">
        <f>VLOOKUP(D4197,State_Lookup!$A$2:$B$28,2,FALSE)</f>
        <v>Sao Paulo</v>
      </c>
    </row>
    <row r="4198" spans="1:13" x14ac:dyDescent="0.45">
      <c r="A4198" t="s">
        <v>4870</v>
      </c>
      <c r="B4198" t="s">
        <v>4871</v>
      </c>
      <c r="C4198" t="s">
        <v>4700</v>
      </c>
      <c r="D4198" t="s">
        <v>22</v>
      </c>
      <c r="E4198" t="s">
        <v>3816</v>
      </c>
      <c r="F4198">
        <v>1</v>
      </c>
      <c r="G4198">
        <v>319.89999999999998</v>
      </c>
      <c r="H4198">
        <v>24.17</v>
      </c>
      <c r="I4198" t="s">
        <v>44</v>
      </c>
      <c r="J4198">
        <v>13</v>
      </c>
      <c r="K4198" t="s">
        <v>51</v>
      </c>
      <c r="L4198">
        <v>5</v>
      </c>
      <c r="M4198" t="str">
        <f>VLOOKUP(D4198,State_Lookup!$A$2:$B$28,2,FALSE)</f>
        <v>Bahia</v>
      </c>
    </row>
    <row r="4199" spans="1:13" x14ac:dyDescent="0.45">
      <c r="A4199" t="s">
        <v>4872</v>
      </c>
      <c r="B4199" t="s">
        <v>4871</v>
      </c>
      <c r="C4199" t="s">
        <v>4700</v>
      </c>
      <c r="D4199" t="s">
        <v>16</v>
      </c>
      <c r="E4199" t="s">
        <v>598</v>
      </c>
      <c r="F4199">
        <v>1</v>
      </c>
      <c r="G4199">
        <v>27.93</v>
      </c>
      <c r="H4199">
        <v>8.36</v>
      </c>
      <c r="I4199" t="s">
        <v>44</v>
      </c>
      <c r="J4199">
        <v>7</v>
      </c>
      <c r="K4199" t="s">
        <v>51</v>
      </c>
      <c r="L4199">
        <v>4</v>
      </c>
      <c r="M4199" t="str">
        <f>VLOOKUP(D4199,State_Lookup!$A$2:$B$28,2,FALSE)</f>
        <v>Sao Paulo</v>
      </c>
    </row>
    <row r="4200" spans="1:13" x14ac:dyDescent="0.45">
      <c r="A4200" t="s">
        <v>4873</v>
      </c>
      <c r="B4200" t="s">
        <v>4871</v>
      </c>
      <c r="C4200" t="s">
        <v>4700</v>
      </c>
      <c r="D4200" t="s">
        <v>16</v>
      </c>
      <c r="E4200" t="s">
        <v>110</v>
      </c>
      <c r="F4200">
        <v>1</v>
      </c>
      <c r="G4200">
        <v>91.3</v>
      </c>
      <c r="H4200">
        <v>23.44</v>
      </c>
      <c r="I4200" t="s">
        <v>44</v>
      </c>
      <c r="J4200">
        <v>12</v>
      </c>
      <c r="K4200" t="s">
        <v>51</v>
      </c>
      <c r="L4200">
        <v>5</v>
      </c>
      <c r="M4200" t="str">
        <f>VLOOKUP(D4200,State_Lookup!$A$2:$B$28,2,FALSE)</f>
        <v>Sao Paulo</v>
      </c>
    </row>
    <row r="4201" spans="1:13" x14ac:dyDescent="0.45">
      <c r="A4201" t="s">
        <v>4874</v>
      </c>
      <c r="B4201" t="s">
        <v>4871</v>
      </c>
      <c r="C4201" t="s">
        <v>4700</v>
      </c>
      <c r="D4201" t="s">
        <v>23</v>
      </c>
      <c r="E4201" t="s">
        <v>49</v>
      </c>
      <c r="F4201">
        <v>1</v>
      </c>
      <c r="G4201">
        <v>26</v>
      </c>
      <c r="H4201">
        <v>18.28</v>
      </c>
      <c r="I4201" t="s">
        <v>44</v>
      </c>
      <c r="J4201">
        <v>14</v>
      </c>
      <c r="K4201" t="s">
        <v>51</v>
      </c>
      <c r="L4201">
        <v>5</v>
      </c>
      <c r="M4201" t="str">
        <f>VLOOKUP(D4201,State_Lookup!$A$2:$B$28,2,FALSE)</f>
        <v>Espirito Santo</v>
      </c>
    </row>
    <row r="4202" spans="1:13" x14ac:dyDescent="0.45">
      <c r="A4202" t="s">
        <v>4875</v>
      </c>
      <c r="B4202" t="s">
        <v>4871</v>
      </c>
      <c r="C4202" t="s">
        <v>4700</v>
      </c>
      <c r="D4202" t="s">
        <v>24</v>
      </c>
      <c r="E4202" t="s">
        <v>157</v>
      </c>
      <c r="F4202">
        <v>1</v>
      </c>
      <c r="G4202">
        <v>99.99</v>
      </c>
      <c r="H4202">
        <v>15.8</v>
      </c>
      <c r="I4202" t="s">
        <v>50</v>
      </c>
      <c r="J4202">
        <v>15</v>
      </c>
      <c r="K4202" t="s">
        <v>51</v>
      </c>
      <c r="L4202">
        <v>4</v>
      </c>
      <c r="M4202" t="str">
        <f>VLOOKUP(D4202,State_Lookup!$A$2:$B$28,2,FALSE)</f>
        <v>Distrito Federal</v>
      </c>
    </row>
    <row r="4203" spans="1:13" x14ac:dyDescent="0.45">
      <c r="A4203" t="s">
        <v>4876</v>
      </c>
      <c r="B4203" t="s">
        <v>4871</v>
      </c>
      <c r="C4203" t="s">
        <v>4700</v>
      </c>
      <c r="D4203" t="s">
        <v>219</v>
      </c>
      <c r="E4203" t="s">
        <v>152</v>
      </c>
      <c r="F4203">
        <v>1</v>
      </c>
      <c r="G4203">
        <v>169.9</v>
      </c>
      <c r="H4203">
        <v>61.47</v>
      </c>
      <c r="I4203" t="s">
        <v>44</v>
      </c>
      <c r="J4203">
        <v>12</v>
      </c>
      <c r="K4203" t="s">
        <v>51</v>
      </c>
      <c r="L4203">
        <v>5</v>
      </c>
      <c r="M4203" t="str">
        <f>VLOOKUP(D4203,State_Lookup!$A$2:$B$28,2,FALSE)</f>
        <v>Rondonia</v>
      </c>
    </row>
    <row r="4204" spans="1:13" x14ac:dyDescent="0.45">
      <c r="A4204" t="s">
        <v>4877</v>
      </c>
      <c r="B4204" t="s">
        <v>4871</v>
      </c>
      <c r="C4204" t="s">
        <v>4700</v>
      </c>
      <c r="D4204" t="s">
        <v>16</v>
      </c>
      <c r="E4204" t="s">
        <v>110</v>
      </c>
      <c r="F4204">
        <v>1</v>
      </c>
      <c r="G4204">
        <v>47.9</v>
      </c>
      <c r="H4204">
        <v>9.09</v>
      </c>
      <c r="I4204" t="s">
        <v>44</v>
      </c>
      <c r="J4204">
        <v>7</v>
      </c>
      <c r="K4204" t="s">
        <v>51</v>
      </c>
      <c r="L4204">
        <v>5</v>
      </c>
      <c r="M4204" t="str">
        <f>VLOOKUP(D4204,State_Lookup!$A$2:$B$28,2,FALSE)</f>
        <v>Sao Paulo</v>
      </c>
    </row>
    <row r="4205" spans="1:13" x14ac:dyDescent="0.45">
      <c r="A4205" t="s">
        <v>4878</v>
      </c>
      <c r="B4205" t="s">
        <v>4871</v>
      </c>
      <c r="C4205" t="s">
        <v>4700</v>
      </c>
      <c r="D4205" t="s">
        <v>16</v>
      </c>
      <c r="E4205" t="s">
        <v>157</v>
      </c>
      <c r="F4205">
        <v>1</v>
      </c>
      <c r="G4205">
        <v>299.89999999999998</v>
      </c>
      <c r="H4205">
        <v>14.76</v>
      </c>
      <c r="I4205" t="s">
        <v>50</v>
      </c>
      <c r="J4205">
        <v>5</v>
      </c>
      <c r="K4205" t="s">
        <v>51</v>
      </c>
      <c r="L4205">
        <v>5</v>
      </c>
      <c r="M4205" t="str">
        <f>VLOOKUP(D4205,State_Lookup!$A$2:$B$28,2,FALSE)</f>
        <v>Sao Paulo</v>
      </c>
    </row>
    <row r="4206" spans="1:13" x14ac:dyDescent="0.45">
      <c r="A4206" t="s">
        <v>4879</v>
      </c>
      <c r="B4206" t="s">
        <v>4880</v>
      </c>
      <c r="C4206" t="s">
        <v>4700</v>
      </c>
      <c r="D4206" t="s">
        <v>16</v>
      </c>
      <c r="E4206" t="s">
        <v>43</v>
      </c>
      <c r="F4206">
        <v>1</v>
      </c>
      <c r="G4206">
        <v>69.900000000000006</v>
      </c>
      <c r="H4206">
        <v>35.340000000000003</v>
      </c>
      <c r="I4206" t="s">
        <v>50</v>
      </c>
      <c r="J4206">
        <v>11</v>
      </c>
      <c r="K4206" t="s">
        <v>51</v>
      </c>
      <c r="L4206">
        <v>4</v>
      </c>
      <c r="M4206" t="str">
        <f>VLOOKUP(D4206,State_Lookup!$A$2:$B$28,2,FALSE)</f>
        <v>Sao Paulo</v>
      </c>
    </row>
    <row r="4207" spans="1:13" x14ac:dyDescent="0.45">
      <c r="A4207" t="s">
        <v>4881</v>
      </c>
      <c r="B4207" t="s">
        <v>4880</v>
      </c>
      <c r="C4207" t="s">
        <v>4700</v>
      </c>
      <c r="D4207" t="s">
        <v>17</v>
      </c>
      <c r="E4207" t="s">
        <v>43</v>
      </c>
      <c r="F4207">
        <v>1</v>
      </c>
      <c r="G4207">
        <v>18.899999999999999</v>
      </c>
      <c r="H4207">
        <v>7.55</v>
      </c>
      <c r="I4207" t="s">
        <v>44</v>
      </c>
      <c r="J4207">
        <v>3</v>
      </c>
      <c r="K4207" t="s">
        <v>51</v>
      </c>
      <c r="L4207">
        <v>5</v>
      </c>
      <c r="M4207" t="str">
        <f>VLOOKUP(D4207,State_Lookup!$A$2:$B$28,2,FALSE)</f>
        <v>Rio de Janeiro</v>
      </c>
    </row>
    <row r="4208" spans="1:13" x14ac:dyDescent="0.45">
      <c r="A4208" t="s">
        <v>4882</v>
      </c>
      <c r="B4208" t="s">
        <v>4880</v>
      </c>
      <c r="C4208" t="s">
        <v>4700</v>
      </c>
      <c r="D4208" t="s">
        <v>24</v>
      </c>
      <c r="E4208" t="s">
        <v>79</v>
      </c>
      <c r="F4208">
        <v>1</v>
      </c>
      <c r="G4208">
        <v>51</v>
      </c>
      <c r="H4208">
        <v>23.16</v>
      </c>
      <c r="I4208" t="s">
        <v>50</v>
      </c>
      <c r="J4208">
        <v>10</v>
      </c>
      <c r="K4208" t="s">
        <v>51</v>
      </c>
      <c r="L4208">
        <v>5</v>
      </c>
      <c r="M4208" t="str">
        <f>VLOOKUP(D4208,State_Lookup!$A$2:$B$28,2,FALSE)</f>
        <v>Distrito Federal</v>
      </c>
    </row>
    <row r="4209" spans="1:13" x14ac:dyDescent="0.45">
      <c r="A4209" t="s">
        <v>4883</v>
      </c>
      <c r="B4209" t="s">
        <v>4880</v>
      </c>
      <c r="C4209" t="s">
        <v>4700</v>
      </c>
      <c r="D4209" t="s">
        <v>17</v>
      </c>
      <c r="E4209" t="s">
        <v>61</v>
      </c>
      <c r="F4209">
        <v>1</v>
      </c>
      <c r="G4209">
        <v>149.9</v>
      </c>
      <c r="H4209">
        <v>21.32</v>
      </c>
      <c r="I4209" t="s">
        <v>44</v>
      </c>
      <c r="J4209">
        <v>10</v>
      </c>
      <c r="K4209" t="s">
        <v>51</v>
      </c>
      <c r="L4209">
        <v>4</v>
      </c>
      <c r="M4209" t="str">
        <f>VLOOKUP(D4209,State_Lookup!$A$2:$B$28,2,FALSE)</f>
        <v>Rio de Janeiro</v>
      </c>
    </row>
    <row r="4210" spans="1:13" x14ac:dyDescent="0.45">
      <c r="A4210" t="s">
        <v>4884</v>
      </c>
      <c r="B4210" t="s">
        <v>4880</v>
      </c>
      <c r="C4210" t="s">
        <v>4700</v>
      </c>
      <c r="D4210" t="s">
        <v>16</v>
      </c>
      <c r="E4210" t="s">
        <v>192</v>
      </c>
      <c r="F4210">
        <v>1</v>
      </c>
      <c r="G4210">
        <v>99.9</v>
      </c>
      <c r="H4210">
        <v>23.5</v>
      </c>
      <c r="I4210" t="s">
        <v>44</v>
      </c>
      <c r="J4210">
        <v>6</v>
      </c>
      <c r="K4210" t="s">
        <v>51</v>
      </c>
      <c r="L4210">
        <v>5</v>
      </c>
      <c r="M4210" t="str">
        <f>VLOOKUP(D4210,State_Lookup!$A$2:$B$28,2,FALSE)</f>
        <v>Sao Paulo</v>
      </c>
    </row>
    <row r="4211" spans="1:13" x14ac:dyDescent="0.45">
      <c r="A4211" t="s">
        <v>4885</v>
      </c>
      <c r="B4211" t="s">
        <v>4880</v>
      </c>
      <c r="C4211" t="s">
        <v>4700</v>
      </c>
      <c r="D4211" t="s">
        <v>17</v>
      </c>
      <c r="E4211" t="s">
        <v>148</v>
      </c>
      <c r="F4211">
        <v>1</v>
      </c>
      <c r="G4211">
        <v>219.99</v>
      </c>
      <c r="H4211">
        <v>45.46</v>
      </c>
      <c r="I4211" t="s">
        <v>44</v>
      </c>
      <c r="J4211">
        <v>6</v>
      </c>
      <c r="K4211" t="s">
        <v>51</v>
      </c>
      <c r="L4211">
        <v>5</v>
      </c>
      <c r="M4211" t="str">
        <f>VLOOKUP(D4211,State_Lookup!$A$2:$B$28,2,FALSE)</f>
        <v>Rio de Janeiro</v>
      </c>
    </row>
    <row r="4212" spans="1:13" x14ac:dyDescent="0.45">
      <c r="A4212" t="s">
        <v>4886</v>
      </c>
      <c r="B4212" t="s">
        <v>4880</v>
      </c>
      <c r="C4212" t="s">
        <v>4700</v>
      </c>
      <c r="D4212" t="s">
        <v>16</v>
      </c>
      <c r="E4212" t="s">
        <v>3021</v>
      </c>
      <c r="F4212">
        <v>1</v>
      </c>
      <c r="G4212">
        <v>99.99</v>
      </c>
      <c r="H4212">
        <v>12.43</v>
      </c>
      <c r="I4212" t="s">
        <v>50</v>
      </c>
      <c r="J4212">
        <v>5</v>
      </c>
      <c r="K4212" t="s">
        <v>51</v>
      </c>
      <c r="L4212">
        <v>4</v>
      </c>
      <c r="M4212" t="str">
        <f>VLOOKUP(D4212,State_Lookup!$A$2:$B$28,2,FALSE)</f>
        <v>Sao Paulo</v>
      </c>
    </row>
    <row r="4213" spans="1:13" x14ac:dyDescent="0.45">
      <c r="A4213" t="s">
        <v>4887</v>
      </c>
      <c r="B4213" t="s">
        <v>4880</v>
      </c>
      <c r="C4213" t="s">
        <v>4700</v>
      </c>
      <c r="D4213" t="s">
        <v>18</v>
      </c>
      <c r="E4213" t="s">
        <v>43</v>
      </c>
      <c r="F4213">
        <v>2</v>
      </c>
      <c r="G4213">
        <v>430</v>
      </c>
      <c r="H4213">
        <v>84.98</v>
      </c>
      <c r="I4213" t="s">
        <v>44</v>
      </c>
      <c r="J4213">
        <v>10</v>
      </c>
      <c r="K4213" t="s">
        <v>51</v>
      </c>
      <c r="L4213">
        <v>4</v>
      </c>
      <c r="M4213" t="str">
        <f>VLOOKUP(D4213,State_Lookup!$A$2:$B$28,2,FALSE)</f>
        <v>Minas Gerais</v>
      </c>
    </row>
    <row r="4214" spans="1:13" x14ac:dyDescent="0.45">
      <c r="A4214" t="s">
        <v>4888</v>
      </c>
      <c r="B4214" t="s">
        <v>4880</v>
      </c>
      <c r="C4214" t="s">
        <v>4700</v>
      </c>
      <c r="D4214" t="s">
        <v>16</v>
      </c>
      <c r="E4214" t="s">
        <v>107</v>
      </c>
      <c r="F4214">
        <v>1</v>
      </c>
      <c r="G4214">
        <v>58.9</v>
      </c>
      <c r="H4214">
        <v>19.97</v>
      </c>
      <c r="I4214" t="s">
        <v>50</v>
      </c>
      <c r="J4214">
        <v>6</v>
      </c>
      <c r="K4214" t="s">
        <v>51</v>
      </c>
      <c r="L4214">
        <v>5</v>
      </c>
      <c r="M4214" t="str">
        <f>VLOOKUP(D4214,State_Lookup!$A$2:$B$28,2,FALSE)</f>
        <v>Sao Paulo</v>
      </c>
    </row>
    <row r="4215" spans="1:13" x14ac:dyDescent="0.45">
      <c r="A4215" t="s">
        <v>4889</v>
      </c>
      <c r="B4215" t="s">
        <v>4880</v>
      </c>
      <c r="C4215" t="s">
        <v>4700</v>
      </c>
      <c r="D4215" t="s">
        <v>16</v>
      </c>
      <c r="E4215" t="s">
        <v>53</v>
      </c>
      <c r="F4215">
        <v>1</v>
      </c>
      <c r="G4215">
        <v>89.9</v>
      </c>
      <c r="H4215">
        <v>9.3800000000000008</v>
      </c>
      <c r="I4215" t="s">
        <v>44</v>
      </c>
      <c r="J4215">
        <v>3</v>
      </c>
      <c r="K4215" t="s">
        <v>51</v>
      </c>
      <c r="L4215">
        <v>5</v>
      </c>
      <c r="M4215" t="str">
        <f>VLOOKUP(D4215,State_Lookup!$A$2:$B$28,2,FALSE)</f>
        <v>Sao Paulo</v>
      </c>
    </row>
    <row r="4216" spans="1:13" x14ac:dyDescent="0.45">
      <c r="A4216" t="s">
        <v>4890</v>
      </c>
      <c r="B4216" t="s">
        <v>4891</v>
      </c>
      <c r="C4216" t="s">
        <v>4700</v>
      </c>
      <c r="D4216" t="s">
        <v>16</v>
      </c>
      <c r="E4216" t="s">
        <v>192</v>
      </c>
      <c r="F4216">
        <v>1</v>
      </c>
      <c r="G4216">
        <v>102</v>
      </c>
      <c r="H4216">
        <v>10.02</v>
      </c>
      <c r="I4216" t="s">
        <v>44</v>
      </c>
      <c r="J4216">
        <v>9</v>
      </c>
      <c r="K4216" t="s">
        <v>51</v>
      </c>
      <c r="L4216">
        <v>5</v>
      </c>
      <c r="M4216" t="str">
        <f>VLOOKUP(D4216,State_Lookup!$A$2:$B$28,2,FALSE)</f>
        <v>Sao Paulo</v>
      </c>
    </row>
    <row r="4217" spans="1:13" x14ac:dyDescent="0.45">
      <c r="A4217" t="s">
        <v>4892</v>
      </c>
      <c r="B4217" t="s">
        <v>4891</v>
      </c>
      <c r="C4217" t="s">
        <v>4700</v>
      </c>
      <c r="D4217" t="s">
        <v>122</v>
      </c>
      <c r="E4217" t="s">
        <v>79</v>
      </c>
      <c r="F4217">
        <v>1</v>
      </c>
      <c r="G4217">
        <v>140</v>
      </c>
      <c r="H4217">
        <v>68.12</v>
      </c>
      <c r="I4217" t="s">
        <v>44</v>
      </c>
      <c r="J4217">
        <v>18</v>
      </c>
      <c r="K4217" t="s">
        <v>51</v>
      </c>
      <c r="L4217">
        <v>4</v>
      </c>
      <c r="M4217" t="str">
        <f>VLOOKUP(D4217,State_Lookup!$A$2:$B$28,2,FALSE)</f>
        <v>Para</v>
      </c>
    </row>
    <row r="4218" spans="1:13" x14ac:dyDescent="0.45">
      <c r="A4218" t="s">
        <v>4893</v>
      </c>
      <c r="B4218" t="s">
        <v>4891</v>
      </c>
      <c r="C4218" t="s">
        <v>4700</v>
      </c>
      <c r="D4218" t="s">
        <v>16</v>
      </c>
      <c r="E4218" t="s">
        <v>61</v>
      </c>
      <c r="F4218">
        <v>1</v>
      </c>
      <c r="G4218">
        <v>109.99</v>
      </c>
      <c r="H4218">
        <v>57.25</v>
      </c>
      <c r="I4218" t="s">
        <v>44</v>
      </c>
      <c r="J4218">
        <v>11</v>
      </c>
      <c r="K4218" t="s">
        <v>51</v>
      </c>
      <c r="L4218">
        <v>5</v>
      </c>
      <c r="M4218" t="str">
        <f>VLOOKUP(D4218,State_Lookup!$A$2:$B$28,2,FALSE)</f>
        <v>Sao Paulo</v>
      </c>
    </row>
    <row r="4219" spans="1:13" x14ac:dyDescent="0.45">
      <c r="A4219" t="s">
        <v>4894</v>
      </c>
      <c r="B4219" t="s">
        <v>4891</v>
      </c>
      <c r="C4219" t="s">
        <v>4700</v>
      </c>
      <c r="D4219" t="s">
        <v>20</v>
      </c>
      <c r="E4219" t="s">
        <v>1839</v>
      </c>
      <c r="F4219">
        <v>1</v>
      </c>
      <c r="G4219">
        <v>78</v>
      </c>
      <c r="H4219">
        <v>16.739999999999998</v>
      </c>
      <c r="I4219" t="s">
        <v>44</v>
      </c>
      <c r="J4219">
        <v>10</v>
      </c>
      <c r="K4219" t="s">
        <v>51</v>
      </c>
      <c r="L4219">
        <v>2</v>
      </c>
      <c r="M4219" t="str">
        <f>VLOOKUP(D4219,State_Lookup!$A$2:$B$28,2,FALSE)</f>
        <v>Parana</v>
      </c>
    </row>
    <row r="4220" spans="1:13" x14ac:dyDescent="0.45">
      <c r="A4220" t="s">
        <v>4895</v>
      </c>
      <c r="B4220" t="s">
        <v>4891</v>
      </c>
      <c r="C4220" t="s">
        <v>4700</v>
      </c>
      <c r="D4220" t="s">
        <v>18</v>
      </c>
      <c r="E4220" t="s">
        <v>61</v>
      </c>
      <c r="F4220">
        <v>1</v>
      </c>
      <c r="G4220">
        <v>22.32</v>
      </c>
      <c r="H4220">
        <v>7.74</v>
      </c>
      <c r="I4220" t="s">
        <v>44</v>
      </c>
      <c r="J4220">
        <v>9</v>
      </c>
      <c r="K4220" t="s">
        <v>51</v>
      </c>
      <c r="L4220">
        <v>5</v>
      </c>
      <c r="M4220" t="str">
        <f>VLOOKUP(D4220,State_Lookup!$A$2:$B$28,2,FALSE)</f>
        <v>Minas Gerais</v>
      </c>
    </row>
    <row r="4221" spans="1:13" x14ac:dyDescent="0.45">
      <c r="A4221" t="s">
        <v>4896</v>
      </c>
      <c r="B4221" t="s">
        <v>4891</v>
      </c>
      <c r="C4221" t="s">
        <v>4700</v>
      </c>
      <c r="D4221" t="s">
        <v>16</v>
      </c>
      <c r="E4221" t="s">
        <v>142</v>
      </c>
      <c r="F4221">
        <v>1</v>
      </c>
      <c r="G4221">
        <v>39</v>
      </c>
      <c r="H4221">
        <v>14.58</v>
      </c>
      <c r="I4221" t="s">
        <v>50</v>
      </c>
      <c r="J4221">
        <v>6</v>
      </c>
      <c r="K4221" t="s">
        <v>51</v>
      </c>
      <c r="L4221">
        <v>5</v>
      </c>
      <c r="M4221" t="str">
        <f>VLOOKUP(D4221,State_Lookup!$A$2:$B$28,2,FALSE)</f>
        <v>Sao Paulo</v>
      </c>
    </row>
    <row r="4222" spans="1:13" x14ac:dyDescent="0.45">
      <c r="A4222" t="s">
        <v>4897</v>
      </c>
      <c r="B4222" t="s">
        <v>4898</v>
      </c>
      <c r="C4222" t="s">
        <v>4700</v>
      </c>
      <c r="D4222" t="s">
        <v>18</v>
      </c>
      <c r="E4222" t="s">
        <v>79</v>
      </c>
      <c r="F4222">
        <v>1</v>
      </c>
      <c r="G4222">
        <v>39.99</v>
      </c>
      <c r="H4222">
        <v>18.38</v>
      </c>
      <c r="I4222" t="s">
        <v>133</v>
      </c>
      <c r="J4222">
        <v>5</v>
      </c>
      <c r="K4222" t="s">
        <v>51</v>
      </c>
      <c r="L4222">
        <v>5</v>
      </c>
      <c r="M4222" t="str">
        <f>VLOOKUP(D4222,State_Lookup!$A$2:$B$28,2,FALSE)</f>
        <v>Minas Gerais</v>
      </c>
    </row>
    <row r="4223" spans="1:13" x14ac:dyDescent="0.45">
      <c r="A4223" t="s">
        <v>4899</v>
      </c>
      <c r="B4223" t="s">
        <v>4898</v>
      </c>
      <c r="C4223" t="s">
        <v>4700</v>
      </c>
      <c r="D4223" t="s">
        <v>19</v>
      </c>
      <c r="E4223" t="s">
        <v>125</v>
      </c>
      <c r="F4223">
        <v>1</v>
      </c>
      <c r="G4223">
        <v>12.25</v>
      </c>
      <c r="H4223">
        <v>15.23</v>
      </c>
      <c r="I4223" t="s">
        <v>44</v>
      </c>
      <c r="J4223">
        <v>9</v>
      </c>
      <c r="K4223" t="s">
        <v>51</v>
      </c>
      <c r="L4223">
        <v>5</v>
      </c>
      <c r="M4223" t="str">
        <f>VLOOKUP(D4223,State_Lookup!$A$2:$B$28,2,FALSE)</f>
        <v>Rio Grande do Sul</v>
      </c>
    </row>
    <row r="4224" spans="1:13" x14ac:dyDescent="0.45">
      <c r="A4224" t="s">
        <v>4900</v>
      </c>
      <c r="B4224" t="s">
        <v>4898</v>
      </c>
      <c r="C4224" t="s">
        <v>4700</v>
      </c>
      <c r="D4224" t="s">
        <v>128</v>
      </c>
      <c r="E4224" t="s">
        <v>157</v>
      </c>
      <c r="F4224">
        <v>1</v>
      </c>
      <c r="G4224">
        <v>55</v>
      </c>
      <c r="H4224">
        <v>19.3</v>
      </c>
      <c r="I4224" t="s">
        <v>133</v>
      </c>
      <c r="J4224">
        <v>11</v>
      </c>
      <c r="K4224" t="s">
        <v>51</v>
      </c>
      <c r="L4224">
        <v>5</v>
      </c>
      <c r="M4224" t="str">
        <f>VLOOKUP(D4224,State_Lookup!$A$2:$B$28,2,FALSE)</f>
        <v>Ceara</v>
      </c>
    </row>
    <row r="4225" spans="1:13" x14ac:dyDescent="0.45">
      <c r="A4225" t="s">
        <v>4901</v>
      </c>
      <c r="B4225" t="s">
        <v>4898</v>
      </c>
      <c r="C4225" t="s">
        <v>4700</v>
      </c>
      <c r="D4225" t="s">
        <v>20</v>
      </c>
      <c r="E4225" t="s">
        <v>157</v>
      </c>
      <c r="F4225">
        <v>1</v>
      </c>
      <c r="G4225">
        <v>119.9</v>
      </c>
      <c r="H4225">
        <v>18.940000000000001</v>
      </c>
      <c r="I4225" t="s">
        <v>50</v>
      </c>
      <c r="J4225">
        <v>8</v>
      </c>
      <c r="K4225" t="s">
        <v>51</v>
      </c>
      <c r="L4225">
        <v>5</v>
      </c>
      <c r="M4225" t="str">
        <f>VLOOKUP(D4225,State_Lookup!$A$2:$B$28,2,FALSE)</f>
        <v>Parana</v>
      </c>
    </row>
    <row r="4226" spans="1:13" x14ac:dyDescent="0.45">
      <c r="A4226" t="s">
        <v>4902</v>
      </c>
      <c r="B4226" t="s">
        <v>4898</v>
      </c>
      <c r="C4226" t="s">
        <v>4700</v>
      </c>
      <c r="D4226" t="s">
        <v>23</v>
      </c>
      <c r="E4226" t="s">
        <v>79</v>
      </c>
      <c r="F4226">
        <v>1</v>
      </c>
      <c r="G4226">
        <v>66.989999999999995</v>
      </c>
      <c r="H4226">
        <v>23.19</v>
      </c>
      <c r="I4226" t="s">
        <v>44</v>
      </c>
      <c r="J4226">
        <v>11</v>
      </c>
      <c r="K4226" t="s">
        <v>51</v>
      </c>
      <c r="L4226">
        <v>5</v>
      </c>
      <c r="M4226" t="str">
        <f>VLOOKUP(D4226,State_Lookup!$A$2:$B$28,2,FALSE)</f>
        <v>Espirito Santo</v>
      </c>
    </row>
    <row r="4227" spans="1:13" x14ac:dyDescent="0.45">
      <c r="A4227" t="s">
        <v>4903</v>
      </c>
      <c r="B4227" t="s">
        <v>4898</v>
      </c>
      <c r="C4227" t="s">
        <v>4700</v>
      </c>
      <c r="D4227" t="s">
        <v>16</v>
      </c>
      <c r="E4227" t="s">
        <v>1839</v>
      </c>
      <c r="F4227">
        <v>1</v>
      </c>
      <c r="G4227">
        <v>119.85</v>
      </c>
      <c r="H4227">
        <v>15.15</v>
      </c>
      <c r="I4227" t="s">
        <v>44</v>
      </c>
      <c r="J4227">
        <v>12</v>
      </c>
      <c r="K4227" t="s">
        <v>51</v>
      </c>
      <c r="L4227">
        <v>2</v>
      </c>
      <c r="M4227" t="str">
        <f>VLOOKUP(D4227,State_Lookup!$A$2:$B$28,2,FALSE)</f>
        <v>Sao Paulo</v>
      </c>
    </row>
    <row r="4228" spans="1:13" x14ac:dyDescent="0.45">
      <c r="A4228" t="s">
        <v>4904</v>
      </c>
      <c r="B4228" t="s">
        <v>4898</v>
      </c>
      <c r="C4228" t="s">
        <v>4700</v>
      </c>
      <c r="D4228" t="s">
        <v>22</v>
      </c>
      <c r="E4228" t="s">
        <v>69</v>
      </c>
      <c r="F4228">
        <v>1</v>
      </c>
      <c r="G4228">
        <v>52.9</v>
      </c>
      <c r="H4228">
        <v>22.3</v>
      </c>
      <c r="I4228" t="s">
        <v>44</v>
      </c>
      <c r="J4228">
        <v>10</v>
      </c>
      <c r="K4228" t="s">
        <v>51</v>
      </c>
      <c r="L4228">
        <v>4</v>
      </c>
      <c r="M4228" t="str">
        <f>VLOOKUP(D4228,State_Lookup!$A$2:$B$28,2,FALSE)</f>
        <v>Bahia</v>
      </c>
    </row>
    <row r="4229" spans="1:13" x14ac:dyDescent="0.45">
      <c r="A4229" t="s">
        <v>4905</v>
      </c>
      <c r="B4229" t="s">
        <v>4898</v>
      </c>
      <c r="C4229" t="s">
        <v>4700</v>
      </c>
      <c r="D4229" t="s">
        <v>16</v>
      </c>
      <c r="E4229" t="s">
        <v>49</v>
      </c>
      <c r="F4229">
        <v>1</v>
      </c>
      <c r="G4229">
        <v>194.99</v>
      </c>
      <c r="H4229">
        <v>13.67</v>
      </c>
      <c r="I4229" t="s">
        <v>50</v>
      </c>
      <c r="J4229">
        <v>3</v>
      </c>
      <c r="K4229" t="s">
        <v>51</v>
      </c>
      <c r="L4229">
        <v>4</v>
      </c>
      <c r="M4229" t="str">
        <f>VLOOKUP(D4229,State_Lookup!$A$2:$B$28,2,FALSE)</f>
        <v>Sao Paulo</v>
      </c>
    </row>
    <row r="4230" spans="1:13" x14ac:dyDescent="0.45">
      <c r="A4230" t="s">
        <v>4906</v>
      </c>
      <c r="B4230" t="s">
        <v>4898</v>
      </c>
      <c r="C4230" t="s">
        <v>4700</v>
      </c>
      <c r="D4230" t="s">
        <v>18</v>
      </c>
      <c r="E4230" t="s">
        <v>79</v>
      </c>
      <c r="F4230">
        <v>1</v>
      </c>
      <c r="G4230">
        <v>29.9</v>
      </c>
      <c r="H4230">
        <v>18.309999999999999</v>
      </c>
      <c r="I4230" t="s">
        <v>44</v>
      </c>
      <c r="J4230">
        <v>4</v>
      </c>
      <c r="K4230" t="s">
        <v>51</v>
      </c>
      <c r="L4230">
        <v>5</v>
      </c>
      <c r="M4230" t="str">
        <f>VLOOKUP(D4230,State_Lookup!$A$2:$B$28,2,FALSE)</f>
        <v>Minas Gerais</v>
      </c>
    </row>
    <row r="4231" spans="1:13" x14ac:dyDescent="0.45">
      <c r="A4231" t="s">
        <v>4907</v>
      </c>
      <c r="B4231" t="s">
        <v>4908</v>
      </c>
      <c r="C4231" t="s">
        <v>4700</v>
      </c>
      <c r="D4231" t="s">
        <v>16</v>
      </c>
      <c r="E4231" t="s">
        <v>61</v>
      </c>
      <c r="F4231">
        <v>1</v>
      </c>
      <c r="G4231">
        <v>12.88</v>
      </c>
      <c r="H4231">
        <v>7.87</v>
      </c>
      <c r="I4231" t="s">
        <v>44</v>
      </c>
      <c r="J4231">
        <v>1</v>
      </c>
      <c r="K4231" t="s">
        <v>51</v>
      </c>
      <c r="L4231">
        <v>5</v>
      </c>
      <c r="M4231" t="str">
        <f>VLOOKUP(D4231,State_Lookup!$A$2:$B$28,2,FALSE)</f>
        <v>Sao Paulo</v>
      </c>
    </row>
    <row r="4232" spans="1:13" x14ac:dyDescent="0.45">
      <c r="A4232" t="s">
        <v>4909</v>
      </c>
      <c r="B4232" t="s">
        <v>4908</v>
      </c>
      <c r="C4232" t="s">
        <v>4700</v>
      </c>
      <c r="D4232" t="s">
        <v>16</v>
      </c>
      <c r="E4232" t="s">
        <v>142</v>
      </c>
      <c r="F4232">
        <v>1</v>
      </c>
      <c r="G4232">
        <v>44.9</v>
      </c>
      <c r="H4232">
        <v>19.5</v>
      </c>
      <c r="I4232" t="s">
        <v>50</v>
      </c>
      <c r="J4232">
        <v>16</v>
      </c>
      <c r="K4232" t="s">
        <v>51</v>
      </c>
      <c r="L4232">
        <v>5</v>
      </c>
      <c r="M4232" t="str">
        <f>VLOOKUP(D4232,State_Lookup!$A$2:$B$28,2,FALSE)</f>
        <v>Sao Paulo</v>
      </c>
    </row>
    <row r="4233" spans="1:13" x14ac:dyDescent="0.45">
      <c r="A4233" t="s">
        <v>4910</v>
      </c>
      <c r="B4233" t="s">
        <v>4908</v>
      </c>
      <c r="C4233" t="s">
        <v>4700</v>
      </c>
      <c r="D4233" t="s">
        <v>16</v>
      </c>
      <c r="E4233" t="s">
        <v>79</v>
      </c>
      <c r="F4233">
        <v>1</v>
      </c>
      <c r="G4233">
        <v>79.39</v>
      </c>
      <c r="H4233">
        <v>14.14</v>
      </c>
      <c r="I4233" t="s">
        <v>44</v>
      </c>
      <c r="J4233">
        <v>4</v>
      </c>
      <c r="K4233" t="s">
        <v>51</v>
      </c>
      <c r="L4233">
        <v>5</v>
      </c>
      <c r="M4233" t="str">
        <f>VLOOKUP(D4233,State_Lookup!$A$2:$B$28,2,FALSE)</f>
        <v>Sao Paulo</v>
      </c>
    </row>
    <row r="4234" spans="1:13" x14ac:dyDescent="0.45">
      <c r="A4234" t="s">
        <v>4911</v>
      </c>
      <c r="B4234" t="s">
        <v>4908</v>
      </c>
      <c r="C4234" t="s">
        <v>4700</v>
      </c>
      <c r="D4234" t="s">
        <v>16</v>
      </c>
      <c r="E4234" t="s">
        <v>157</v>
      </c>
      <c r="F4234">
        <v>1</v>
      </c>
      <c r="G4234">
        <v>119.9</v>
      </c>
      <c r="H4234">
        <v>13.5</v>
      </c>
      <c r="I4234" t="s">
        <v>44</v>
      </c>
      <c r="J4234">
        <v>3</v>
      </c>
      <c r="K4234" t="s">
        <v>51</v>
      </c>
      <c r="L4234">
        <v>5</v>
      </c>
      <c r="M4234" t="str">
        <f>VLOOKUP(D4234,State_Lookup!$A$2:$B$28,2,FALSE)</f>
        <v>Sao Paulo</v>
      </c>
    </row>
    <row r="4235" spans="1:13" x14ac:dyDescent="0.45">
      <c r="A4235" t="s">
        <v>4912</v>
      </c>
      <c r="B4235" t="s">
        <v>4908</v>
      </c>
      <c r="C4235" t="s">
        <v>4700</v>
      </c>
      <c r="D4235" t="s">
        <v>16</v>
      </c>
      <c r="E4235" t="s">
        <v>103</v>
      </c>
      <c r="F4235">
        <v>1</v>
      </c>
      <c r="G4235">
        <v>48.9</v>
      </c>
      <c r="H4235">
        <v>9.4700000000000006</v>
      </c>
      <c r="I4235" t="s">
        <v>133</v>
      </c>
      <c r="J4235">
        <v>3</v>
      </c>
      <c r="K4235" t="s">
        <v>51</v>
      </c>
      <c r="L4235">
        <v>5</v>
      </c>
      <c r="M4235" t="str">
        <f>VLOOKUP(D4235,State_Lookup!$A$2:$B$28,2,FALSE)</f>
        <v>Sao Paulo</v>
      </c>
    </row>
    <row r="4236" spans="1:13" x14ac:dyDescent="0.45">
      <c r="A4236" t="s">
        <v>4913</v>
      </c>
      <c r="B4236" t="s">
        <v>4908</v>
      </c>
      <c r="C4236" t="s">
        <v>4700</v>
      </c>
      <c r="D4236" t="s">
        <v>113</v>
      </c>
      <c r="E4236" t="s">
        <v>157</v>
      </c>
      <c r="F4236">
        <v>1</v>
      </c>
      <c r="G4236">
        <v>579</v>
      </c>
      <c r="H4236">
        <v>64.33</v>
      </c>
      <c r="I4236" t="s">
        <v>44</v>
      </c>
      <c r="J4236">
        <v>15</v>
      </c>
      <c r="K4236" t="s">
        <v>51</v>
      </c>
      <c r="L4236">
        <v>5</v>
      </c>
      <c r="M4236" t="str">
        <f>VLOOKUP(D4236,State_Lookup!$A$2:$B$28,2,FALSE)</f>
        <v>Piaui</v>
      </c>
    </row>
    <row r="4237" spans="1:13" x14ac:dyDescent="0.45">
      <c r="A4237" t="s">
        <v>4914</v>
      </c>
      <c r="B4237" t="s">
        <v>4908</v>
      </c>
      <c r="C4237" t="s">
        <v>4700</v>
      </c>
      <c r="D4237" t="s">
        <v>18</v>
      </c>
      <c r="E4237" t="s">
        <v>79</v>
      </c>
      <c r="F4237">
        <v>1</v>
      </c>
      <c r="G4237">
        <v>1189</v>
      </c>
      <c r="H4237">
        <v>26.42</v>
      </c>
      <c r="I4237" t="s">
        <v>50</v>
      </c>
      <c r="J4237">
        <v>7</v>
      </c>
      <c r="K4237" t="s">
        <v>51</v>
      </c>
      <c r="L4237">
        <v>5</v>
      </c>
      <c r="M4237" t="str">
        <f>VLOOKUP(D4237,State_Lookup!$A$2:$B$28,2,FALSE)</f>
        <v>Minas Gerais</v>
      </c>
    </row>
    <row r="4238" spans="1:13" x14ac:dyDescent="0.45">
      <c r="A4238" t="s">
        <v>4915</v>
      </c>
      <c r="B4238" t="s">
        <v>4908</v>
      </c>
      <c r="C4238" t="s">
        <v>4700</v>
      </c>
      <c r="D4238" t="s">
        <v>23</v>
      </c>
      <c r="E4238" t="s">
        <v>157</v>
      </c>
      <c r="F4238">
        <v>1</v>
      </c>
      <c r="G4238">
        <v>93.9</v>
      </c>
      <c r="H4238">
        <v>16.399999999999999</v>
      </c>
      <c r="I4238" t="s">
        <v>44</v>
      </c>
      <c r="J4238">
        <v>9</v>
      </c>
      <c r="K4238" t="s">
        <v>51</v>
      </c>
      <c r="L4238">
        <v>5</v>
      </c>
      <c r="M4238" t="str">
        <f>VLOOKUP(D4238,State_Lookup!$A$2:$B$28,2,FALSE)</f>
        <v>Espirito Santo</v>
      </c>
    </row>
    <row r="4239" spans="1:13" x14ac:dyDescent="0.45">
      <c r="A4239" t="s">
        <v>4916</v>
      </c>
      <c r="B4239" t="s">
        <v>4908</v>
      </c>
      <c r="C4239" t="s">
        <v>4700</v>
      </c>
      <c r="D4239" t="s">
        <v>16</v>
      </c>
      <c r="E4239" t="s">
        <v>110</v>
      </c>
      <c r="F4239">
        <v>1</v>
      </c>
      <c r="G4239">
        <v>179.9</v>
      </c>
      <c r="H4239">
        <v>14.09</v>
      </c>
      <c r="I4239" t="s">
        <v>44</v>
      </c>
      <c r="J4239">
        <v>1</v>
      </c>
      <c r="K4239" t="s">
        <v>51</v>
      </c>
      <c r="L4239">
        <v>4</v>
      </c>
      <c r="M4239" t="str">
        <f>VLOOKUP(D4239,State_Lookup!$A$2:$B$28,2,FALSE)</f>
        <v>Sao Paulo</v>
      </c>
    </row>
    <row r="4240" spans="1:13" x14ac:dyDescent="0.45">
      <c r="A4240" t="s">
        <v>4917</v>
      </c>
      <c r="B4240" t="s">
        <v>4908</v>
      </c>
      <c r="C4240" t="s">
        <v>4700</v>
      </c>
      <c r="D4240" t="s">
        <v>16</v>
      </c>
      <c r="E4240" t="s">
        <v>66</v>
      </c>
      <c r="F4240">
        <v>1</v>
      </c>
      <c r="G4240">
        <v>18.489999999999998</v>
      </c>
      <c r="H4240">
        <v>7.39</v>
      </c>
      <c r="I4240" t="s">
        <v>44</v>
      </c>
      <c r="J4240">
        <v>4</v>
      </c>
      <c r="K4240" t="s">
        <v>51</v>
      </c>
      <c r="L4240">
        <v>5</v>
      </c>
      <c r="M4240" t="str">
        <f>VLOOKUP(D4240,State_Lookup!$A$2:$B$28,2,FALSE)</f>
        <v>Sao Paulo</v>
      </c>
    </row>
    <row r="4241" spans="1:13" x14ac:dyDescent="0.45">
      <c r="A4241" t="s">
        <v>4918</v>
      </c>
      <c r="B4241" t="s">
        <v>4908</v>
      </c>
      <c r="C4241" t="s">
        <v>4700</v>
      </c>
      <c r="D4241" t="s">
        <v>18</v>
      </c>
      <c r="E4241" t="s">
        <v>110</v>
      </c>
      <c r="F4241">
        <v>1</v>
      </c>
      <c r="G4241">
        <v>52.9</v>
      </c>
      <c r="H4241">
        <v>23.17</v>
      </c>
      <c r="I4241" t="s">
        <v>44</v>
      </c>
      <c r="J4241">
        <v>9</v>
      </c>
      <c r="K4241" t="s">
        <v>51</v>
      </c>
      <c r="L4241">
        <v>5</v>
      </c>
      <c r="M4241" t="str">
        <f>VLOOKUP(D4241,State_Lookup!$A$2:$B$28,2,FALSE)</f>
        <v>Minas Gerais</v>
      </c>
    </row>
    <row r="4242" spans="1:13" x14ac:dyDescent="0.45">
      <c r="A4242" t="s">
        <v>4919</v>
      </c>
      <c r="B4242" t="s">
        <v>4908</v>
      </c>
      <c r="C4242" t="s">
        <v>4700</v>
      </c>
      <c r="D4242" t="s">
        <v>19</v>
      </c>
      <c r="E4242" t="s">
        <v>43</v>
      </c>
      <c r="F4242">
        <v>1</v>
      </c>
      <c r="G4242">
        <v>249.9</v>
      </c>
      <c r="H4242">
        <v>58.23</v>
      </c>
      <c r="I4242" t="s">
        <v>44</v>
      </c>
      <c r="J4242">
        <v>6</v>
      </c>
      <c r="K4242" t="s">
        <v>51</v>
      </c>
      <c r="L4242">
        <v>3</v>
      </c>
      <c r="M4242" t="str">
        <f>VLOOKUP(D4242,State_Lookup!$A$2:$B$28,2,FALSE)</f>
        <v>Rio Grande do Sul</v>
      </c>
    </row>
    <row r="4243" spans="1:13" x14ac:dyDescent="0.45">
      <c r="A4243" t="s">
        <v>4920</v>
      </c>
      <c r="B4243" t="s">
        <v>4908</v>
      </c>
      <c r="C4243" t="s">
        <v>4700</v>
      </c>
      <c r="D4243" t="s">
        <v>17</v>
      </c>
      <c r="E4243" t="s">
        <v>157</v>
      </c>
      <c r="F4243">
        <v>1</v>
      </c>
      <c r="G4243">
        <v>129.99</v>
      </c>
      <c r="H4243">
        <v>9.25</v>
      </c>
      <c r="I4243" t="s">
        <v>44</v>
      </c>
      <c r="J4243">
        <v>1</v>
      </c>
      <c r="K4243" t="s">
        <v>51</v>
      </c>
      <c r="L4243">
        <v>5</v>
      </c>
      <c r="M4243" t="str">
        <f>VLOOKUP(D4243,State_Lookup!$A$2:$B$28,2,FALSE)</f>
        <v>Rio de Janeiro</v>
      </c>
    </row>
    <row r="4244" spans="1:13" x14ac:dyDescent="0.45">
      <c r="A4244" t="s">
        <v>4921</v>
      </c>
      <c r="B4244" t="s">
        <v>4908</v>
      </c>
      <c r="C4244" t="s">
        <v>4700</v>
      </c>
      <c r="D4244" t="s">
        <v>113</v>
      </c>
      <c r="E4244" t="s">
        <v>79</v>
      </c>
      <c r="F4244">
        <v>1</v>
      </c>
      <c r="G4244">
        <v>114.9</v>
      </c>
      <c r="H4244">
        <v>83.72</v>
      </c>
      <c r="I4244" t="s">
        <v>50</v>
      </c>
      <c r="J4244">
        <v>16</v>
      </c>
      <c r="K4244" t="s">
        <v>51</v>
      </c>
      <c r="L4244">
        <v>5</v>
      </c>
      <c r="M4244" t="str">
        <f>VLOOKUP(D4244,State_Lookup!$A$2:$B$28,2,FALSE)</f>
        <v>Piaui</v>
      </c>
    </row>
    <row r="4245" spans="1:13" x14ac:dyDescent="0.45">
      <c r="A4245" t="s">
        <v>4922</v>
      </c>
      <c r="B4245" t="s">
        <v>4923</v>
      </c>
      <c r="C4245" t="s">
        <v>4700</v>
      </c>
      <c r="D4245" t="s">
        <v>24</v>
      </c>
      <c r="E4245" t="s">
        <v>79</v>
      </c>
      <c r="F4245">
        <v>1</v>
      </c>
      <c r="G4245">
        <v>82</v>
      </c>
      <c r="H4245">
        <v>18.37</v>
      </c>
      <c r="I4245" t="s">
        <v>44</v>
      </c>
      <c r="J4245">
        <v>6</v>
      </c>
      <c r="K4245" t="s">
        <v>51</v>
      </c>
      <c r="L4245">
        <v>5</v>
      </c>
      <c r="M4245" t="str">
        <f>VLOOKUP(D4245,State_Lookup!$A$2:$B$28,2,FALSE)</f>
        <v>Distrito Federal</v>
      </c>
    </row>
    <row r="4246" spans="1:13" x14ac:dyDescent="0.45">
      <c r="A4246" t="s">
        <v>4924</v>
      </c>
      <c r="B4246" t="s">
        <v>4923</v>
      </c>
      <c r="C4246" t="s">
        <v>4700</v>
      </c>
      <c r="D4246" t="s">
        <v>208</v>
      </c>
      <c r="E4246" t="s">
        <v>66</v>
      </c>
      <c r="F4246">
        <v>1</v>
      </c>
      <c r="G4246">
        <v>25</v>
      </c>
      <c r="H4246">
        <v>17.11</v>
      </c>
      <c r="I4246" t="s">
        <v>44</v>
      </c>
      <c r="J4246">
        <v>9</v>
      </c>
      <c r="K4246" t="s">
        <v>51</v>
      </c>
      <c r="L4246">
        <v>4</v>
      </c>
      <c r="M4246" t="str">
        <f>VLOOKUP(D4246,State_Lookup!$A$2:$B$28,2,FALSE)</f>
        <v>Mato Grosso</v>
      </c>
    </row>
    <row r="4247" spans="1:13" x14ac:dyDescent="0.45">
      <c r="A4247" t="s">
        <v>4925</v>
      </c>
      <c r="B4247" t="s">
        <v>4923</v>
      </c>
      <c r="C4247" t="s">
        <v>4700</v>
      </c>
      <c r="D4247" t="s">
        <v>16</v>
      </c>
      <c r="E4247" t="s">
        <v>79</v>
      </c>
      <c r="F4247">
        <v>1</v>
      </c>
      <c r="G4247">
        <v>224</v>
      </c>
      <c r="H4247">
        <v>16.27</v>
      </c>
      <c r="I4247" t="s">
        <v>44</v>
      </c>
      <c r="J4247">
        <v>6</v>
      </c>
      <c r="K4247" t="s">
        <v>51</v>
      </c>
      <c r="L4247">
        <v>5</v>
      </c>
      <c r="M4247" t="str">
        <f>VLOOKUP(D4247,State_Lookup!$A$2:$B$28,2,FALSE)</f>
        <v>Sao Paulo</v>
      </c>
    </row>
    <row r="4248" spans="1:13" x14ac:dyDescent="0.45">
      <c r="A4248" t="s">
        <v>4926</v>
      </c>
      <c r="B4248" t="s">
        <v>4923</v>
      </c>
      <c r="C4248" t="s">
        <v>4700</v>
      </c>
      <c r="D4248" t="s">
        <v>18</v>
      </c>
      <c r="E4248" t="s">
        <v>61</v>
      </c>
      <c r="F4248">
        <v>1</v>
      </c>
      <c r="G4248">
        <v>119.99</v>
      </c>
      <c r="H4248">
        <v>25</v>
      </c>
      <c r="I4248" t="s">
        <v>44</v>
      </c>
      <c r="J4248">
        <v>8</v>
      </c>
      <c r="K4248" t="s">
        <v>51</v>
      </c>
      <c r="L4248">
        <v>5</v>
      </c>
      <c r="M4248" t="str">
        <f>VLOOKUP(D4248,State_Lookup!$A$2:$B$28,2,FALSE)</f>
        <v>Minas Gerais</v>
      </c>
    </row>
    <row r="4249" spans="1:13" x14ac:dyDescent="0.45">
      <c r="A4249" t="s">
        <v>4927</v>
      </c>
      <c r="B4249" t="s">
        <v>4923</v>
      </c>
      <c r="C4249" t="s">
        <v>4700</v>
      </c>
      <c r="D4249" t="s">
        <v>16</v>
      </c>
      <c r="E4249" t="s">
        <v>61</v>
      </c>
      <c r="F4249">
        <v>1</v>
      </c>
      <c r="G4249">
        <v>135</v>
      </c>
      <c r="H4249">
        <v>16.05</v>
      </c>
      <c r="I4249" t="s">
        <v>44</v>
      </c>
      <c r="J4249">
        <v>5</v>
      </c>
      <c r="K4249" t="s">
        <v>51</v>
      </c>
      <c r="L4249">
        <v>5</v>
      </c>
      <c r="M4249" t="str">
        <f>VLOOKUP(D4249,State_Lookup!$A$2:$B$28,2,FALSE)</f>
        <v>Sao Paulo</v>
      </c>
    </row>
    <row r="4250" spans="1:13" x14ac:dyDescent="0.45">
      <c r="A4250" t="s">
        <v>4928</v>
      </c>
      <c r="B4250" t="s">
        <v>4923</v>
      </c>
      <c r="C4250" t="s">
        <v>4700</v>
      </c>
      <c r="D4250" t="s">
        <v>16</v>
      </c>
      <c r="E4250" t="s">
        <v>79</v>
      </c>
      <c r="F4250">
        <v>1</v>
      </c>
      <c r="G4250">
        <v>74.900000000000006</v>
      </c>
      <c r="H4250">
        <v>7.78</v>
      </c>
      <c r="I4250" t="s">
        <v>44</v>
      </c>
      <c r="J4250">
        <v>1</v>
      </c>
      <c r="K4250" t="s">
        <v>51</v>
      </c>
      <c r="L4250">
        <v>5</v>
      </c>
      <c r="M4250" t="str">
        <f>VLOOKUP(D4250,State_Lookup!$A$2:$B$28,2,FALSE)</f>
        <v>Sao Paulo</v>
      </c>
    </row>
    <row r="4251" spans="1:13" x14ac:dyDescent="0.45">
      <c r="A4251" t="s">
        <v>4929</v>
      </c>
      <c r="B4251" t="s">
        <v>4923</v>
      </c>
      <c r="C4251" t="s">
        <v>4700</v>
      </c>
      <c r="D4251" t="s">
        <v>16</v>
      </c>
      <c r="E4251" t="s">
        <v>110</v>
      </c>
      <c r="F4251">
        <v>1</v>
      </c>
      <c r="G4251">
        <v>107.5</v>
      </c>
      <c r="H4251">
        <v>13.41</v>
      </c>
      <c r="I4251" t="s">
        <v>44</v>
      </c>
      <c r="J4251">
        <v>7</v>
      </c>
      <c r="K4251" t="s">
        <v>51</v>
      </c>
      <c r="L4251">
        <v>4</v>
      </c>
      <c r="M4251" t="str">
        <f>VLOOKUP(D4251,State_Lookup!$A$2:$B$28,2,FALSE)</f>
        <v>Sao Paulo</v>
      </c>
    </row>
    <row r="4252" spans="1:13" x14ac:dyDescent="0.45">
      <c r="A4252" t="s">
        <v>4930</v>
      </c>
      <c r="B4252" t="s">
        <v>4923</v>
      </c>
      <c r="C4252" t="s">
        <v>4700</v>
      </c>
      <c r="D4252" t="s">
        <v>16</v>
      </c>
      <c r="E4252" t="s">
        <v>142</v>
      </c>
      <c r="F4252">
        <v>1</v>
      </c>
      <c r="G4252">
        <v>379.9</v>
      </c>
      <c r="H4252">
        <v>69.010000000000005</v>
      </c>
      <c r="I4252" t="s">
        <v>50</v>
      </c>
      <c r="J4252">
        <v>6</v>
      </c>
      <c r="K4252" t="s">
        <v>51</v>
      </c>
      <c r="L4252">
        <v>5</v>
      </c>
      <c r="M4252" t="str">
        <f>VLOOKUP(D4252,State_Lookup!$A$2:$B$28,2,FALSE)</f>
        <v>Sao Paulo</v>
      </c>
    </row>
    <row r="4253" spans="1:13" x14ac:dyDescent="0.45">
      <c r="A4253" t="s">
        <v>4931</v>
      </c>
      <c r="B4253" t="s">
        <v>4923</v>
      </c>
      <c r="C4253" t="s">
        <v>4700</v>
      </c>
      <c r="D4253" t="s">
        <v>23</v>
      </c>
      <c r="E4253" t="s">
        <v>107</v>
      </c>
      <c r="F4253">
        <v>1</v>
      </c>
      <c r="G4253">
        <v>108.9</v>
      </c>
      <c r="H4253">
        <v>23.56</v>
      </c>
      <c r="I4253" t="s">
        <v>44</v>
      </c>
      <c r="J4253">
        <v>8</v>
      </c>
      <c r="K4253" t="s">
        <v>51</v>
      </c>
      <c r="L4253">
        <v>4</v>
      </c>
      <c r="M4253" t="str">
        <f>VLOOKUP(D4253,State_Lookup!$A$2:$B$28,2,FALSE)</f>
        <v>Espirito Santo</v>
      </c>
    </row>
    <row r="4254" spans="1:13" x14ac:dyDescent="0.45">
      <c r="A4254" t="s">
        <v>4932</v>
      </c>
      <c r="B4254" t="s">
        <v>4933</v>
      </c>
      <c r="C4254" t="s">
        <v>4700</v>
      </c>
      <c r="D4254" t="s">
        <v>16</v>
      </c>
      <c r="E4254" t="s">
        <v>110</v>
      </c>
      <c r="F4254">
        <v>1</v>
      </c>
      <c r="G4254">
        <v>153</v>
      </c>
      <c r="H4254">
        <v>18.2</v>
      </c>
      <c r="I4254" t="s">
        <v>133</v>
      </c>
      <c r="J4254">
        <v>8</v>
      </c>
      <c r="K4254" t="s">
        <v>51</v>
      </c>
      <c r="L4254">
        <v>4</v>
      </c>
      <c r="M4254" t="str">
        <f>VLOOKUP(D4254,State_Lookup!$A$2:$B$28,2,FALSE)</f>
        <v>Sao Paulo</v>
      </c>
    </row>
    <row r="4255" spans="1:13" x14ac:dyDescent="0.45">
      <c r="A4255" t="s">
        <v>4934</v>
      </c>
      <c r="B4255" t="s">
        <v>4933</v>
      </c>
      <c r="C4255" t="s">
        <v>4700</v>
      </c>
      <c r="D4255" t="s">
        <v>16</v>
      </c>
      <c r="E4255" t="s">
        <v>157</v>
      </c>
      <c r="F4255">
        <v>1</v>
      </c>
      <c r="G4255">
        <v>120</v>
      </c>
      <c r="H4255">
        <v>18.940000000000001</v>
      </c>
      <c r="I4255" t="s">
        <v>44</v>
      </c>
      <c r="J4255">
        <v>8</v>
      </c>
      <c r="K4255" t="s">
        <v>51</v>
      </c>
      <c r="L4255">
        <v>5</v>
      </c>
      <c r="M4255" t="str">
        <f>VLOOKUP(D4255,State_Lookup!$A$2:$B$28,2,FALSE)</f>
        <v>Sao Paulo</v>
      </c>
    </row>
    <row r="4256" spans="1:13" x14ac:dyDescent="0.45">
      <c r="A4256" t="s">
        <v>4935</v>
      </c>
      <c r="B4256" t="s">
        <v>4933</v>
      </c>
      <c r="C4256" t="s">
        <v>4700</v>
      </c>
      <c r="D4256" t="s">
        <v>16</v>
      </c>
      <c r="E4256" t="s">
        <v>110</v>
      </c>
      <c r="F4256">
        <v>2</v>
      </c>
      <c r="G4256">
        <v>99.8</v>
      </c>
      <c r="H4256">
        <v>27.86</v>
      </c>
      <c r="I4256" t="s">
        <v>44</v>
      </c>
      <c r="J4256">
        <v>20</v>
      </c>
      <c r="K4256" t="s">
        <v>51</v>
      </c>
      <c r="L4256">
        <v>2</v>
      </c>
      <c r="M4256" t="str">
        <f>VLOOKUP(D4256,State_Lookup!$A$2:$B$28,2,FALSE)</f>
        <v>Sao Paulo</v>
      </c>
    </row>
    <row r="4257" spans="1:13" x14ac:dyDescent="0.45">
      <c r="A4257" t="s">
        <v>4936</v>
      </c>
      <c r="B4257" t="s">
        <v>4933</v>
      </c>
      <c r="C4257" t="s">
        <v>4700</v>
      </c>
      <c r="D4257" t="s">
        <v>16</v>
      </c>
      <c r="E4257" t="s">
        <v>61</v>
      </c>
      <c r="F4257">
        <v>2</v>
      </c>
      <c r="G4257">
        <v>49.98</v>
      </c>
      <c r="H4257">
        <v>14.88</v>
      </c>
      <c r="I4257" t="s">
        <v>44</v>
      </c>
      <c r="J4257">
        <v>1</v>
      </c>
      <c r="K4257" t="s">
        <v>51</v>
      </c>
      <c r="L4257">
        <v>4</v>
      </c>
      <c r="M4257" t="str">
        <f>VLOOKUP(D4257,State_Lookup!$A$2:$B$28,2,FALSE)</f>
        <v>Sao Paulo</v>
      </c>
    </row>
    <row r="4258" spans="1:13" x14ac:dyDescent="0.45">
      <c r="A4258" t="s">
        <v>4937</v>
      </c>
      <c r="B4258" t="s">
        <v>4933</v>
      </c>
      <c r="C4258" t="s">
        <v>4700</v>
      </c>
      <c r="D4258" t="s">
        <v>16</v>
      </c>
      <c r="E4258" t="s">
        <v>1903</v>
      </c>
      <c r="F4258">
        <v>1</v>
      </c>
      <c r="G4258">
        <v>11.49</v>
      </c>
      <c r="H4258">
        <v>8.82</v>
      </c>
      <c r="I4258" t="s">
        <v>44</v>
      </c>
      <c r="J4258">
        <v>2</v>
      </c>
      <c r="K4258" t="s">
        <v>51</v>
      </c>
      <c r="L4258">
        <v>5</v>
      </c>
      <c r="M4258" t="str">
        <f>VLOOKUP(D4258,State_Lookup!$A$2:$B$28,2,FALSE)</f>
        <v>Sao Paulo</v>
      </c>
    </row>
    <row r="4259" spans="1:13" x14ac:dyDescent="0.45">
      <c r="A4259" t="s">
        <v>4938</v>
      </c>
      <c r="B4259" t="s">
        <v>4933</v>
      </c>
      <c r="C4259" t="s">
        <v>4700</v>
      </c>
      <c r="D4259" t="s">
        <v>16</v>
      </c>
      <c r="E4259" t="s">
        <v>148</v>
      </c>
      <c r="F4259">
        <v>1</v>
      </c>
      <c r="G4259">
        <v>100</v>
      </c>
      <c r="H4259">
        <v>25.05</v>
      </c>
      <c r="I4259" t="s">
        <v>44</v>
      </c>
      <c r="J4259">
        <v>12</v>
      </c>
      <c r="K4259" t="s">
        <v>51</v>
      </c>
      <c r="L4259">
        <v>4</v>
      </c>
      <c r="M4259" t="str">
        <f>VLOOKUP(D4259,State_Lookup!$A$2:$B$28,2,FALSE)</f>
        <v>Sao Paulo</v>
      </c>
    </row>
    <row r="4260" spans="1:13" x14ac:dyDescent="0.45">
      <c r="A4260" t="s">
        <v>4939</v>
      </c>
      <c r="B4260" t="s">
        <v>4933</v>
      </c>
      <c r="C4260" t="s">
        <v>4700</v>
      </c>
      <c r="D4260" t="s">
        <v>22</v>
      </c>
      <c r="E4260" t="s">
        <v>43</v>
      </c>
      <c r="F4260">
        <v>1</v>
      </c>
      <c r="G4260">
        <v>14.33</v>
      </c>
      <c r="H4260">
        <v>22.06</v>
      </c>
      <c r="I4260" t="s">
        <v>44</v>
      </c>
      <c r="J4260">
        <v>15</v>
      </c>
      <c r="K4260" t="s">
        <v>51</v>
      </c>
      <c r="L4260">
        <v>5</v>
      </c>
      <c r="M4260" t="str">
        <f>VLOOKUP(D4260,State_Lookup!$A$2:$B$28,2,FALSE)</f>
        <v>Bahia</v>
      </c>
    </row>
    <row r="4261" spans="1:13" x14ac:dyDescent="0.45">
      <c r="A4261" t="s">
        <v>4940</v>
      </c>
      <c r="B4261" t="s">
        <v>4933</v>
      </c>
      <c r="C4261" t="s">
        <v>4700</v>
      </c>
      <c r="D4261" t="s">
        <v>16</v>
      </c>
      <c r="E4261" t="s">
        <v>61</v>
      </c>
      <c r="F4261">
        <v>1</v>
      </c>
      <c r="G4261">
        <v>74.89</v>
      </c>
      <c r="H4261">
        <v>17.45</v>
      </c>
      <c r="I4261" t="s">
        <v>50</v>
      </c>
      <c r="J4261">
        <v>6</v>
      </c>
      <c r="K4261" t="s">
        <v>51</v>
      </c>
      <c r="L4261">
        <v>4</v>
      </c>
      <c r="M4261" t="str">
        <f>VLOOKUP(D4261,State_Lookup!$A$2:$B$28,2,FALSE)</f>
        <v>Sao Paulo</v>
      </c>
    </row>
    <row r="4262" spans="1:13" x14ac:dyDescent="0.45">
      <c r="A4262" t="s">
        <v>4941</v>
      </c>
      <c r="B4262" t="s">
        <v>4942</v>
      </c>
      <c r="C4262" t="s">
        <v>4700</v>
      </c>
      <c r="D4262" t="s">
        <v>20</v>
      </c>
      <c r="E4262" t="s">
        <v>950</v>
      </c>
      <c r="F4262">
        <v>1</v>
      </c>
      <c r="G4262">
        <v>32.9</v>
      </c>
      <c r="H4262">
        <v>22.16</v>
      </c>
      <c r="I4262" t="s">
        <v>50</v>
      </c>
      <c r="J4262">
        <v>13</v>
      </c>
      <c r="K4262" t="s">
        <v>51</v>
      </c>
      <c r="L4262">
        <v>4</v>
      </c>
      <c r="M4262" t="str">
        <f>VLOOKUP(D4262,State_Lookup!$A$2:$B$28,2,FALSE)</f>
        <v>Parana</v>
      </c>
    </row>
    <row r="4263" spans="1:13" x14ac:dyDescent="0.45">
      <c r="A4263" t="s">
        <v>4943</v>
      </c>
      <c r="B4263" t="s">
        <v>4942</v>
      </c>
      <c r="C4263" t="s">
        <v>4700</v>
      </c>
      <c r="D4263" t="s">
        <v>21</v>
      </c>
      <c r="E4263" t="s">
        <v>79</v>
      </c>
      <c r="F4263">
        <v>1</v>
      </c>
      <c r="G4263">
        <v>23.99</v>
      </c>
      <c r="H4263">
        <v>15.27</v>
      </c>
      <c r="I4263" t="s">
        <v>50</v>
      </c>
      <c r="J4263">
        <v>7</v>
      </c>
      <c r="K4263" t="s">
        <v>51</v>
      </c>
      <c r="L4263">
        <v>5</v>
      </c>
      <c r="M4263" t="str">
        <f>VLOOKUP(D4263,State_Lookup!$A$2:$B$28,2,FALSE)</f>
        <v>Santa Catarina</v>
      </c>
    </row>
    <row r="4264" spans="1:13" x14ac:dyDescent="0.45">
      <c r="A4264" t="s">
        <v>4944</v>
      </c>
      <c r="B4264" t="s">
        <v>4942</v>
      </c>
      <c r="C4264" t="s">
        <v>4700</v>
      </c>
      <c r="D4264" t="s">
        <v>21</v>
      </c>
      <c r="E4264" t="s">
        <v>157</v>
      </c>
      <c r="F4264">
        <v>1</v>
      </c>
      <c r="G4264">
        <v>78</v>
      </c>
      <c r="H4264">
        <v>15.65</v>
      </c>
      <c r="I4264" t="s">
        <v>50</v>
      </c>
      <c r="J4264">
        <v>13</v>
      </c>
      <c r="K4264" t="s">
        <v>51</v>
      </c>
      <c r="L4264">
        <v>5</v>
      </c>
      <c r="M4264" t="str">
        <f>VLOOKUP(D4264,State_Lookup!$A$2:$B$28,2,FALSE)</f>
        <v>Santa Catarina</v>
      </c>
    </row>
    <row r="4265" spans="1:13" x14ac:dyDescent="0.45">
      <c r="A4265" t="s">
        <v>4945</v>
      </c>
      <c r="B4265" t="s">
        <v>4942</v>
      </c>
      <c r="C4265" t="s">
        <v>4700</v>
      </c>
      <c r="D4265" t="s">
        <v>16</v>
      </c>
      <c r="E4265" t="s">
        <v>100</v>
      </c>
      <c r="F4265">
        <v>1</v>
      </c>
      <c r="G4265">
        <v>153.4</v>
      </c>
      <c r="H4265">
        <v>14.37</v>
      </c>
      <c r="I4265" t="s">
        <v>44</v>
      </c>
      <c r="J4265">
        <v>5</v>
      </c>
      <c r="K4265" t="s">
        <v>51</v>
      </c>
      <c r="M4265" t="str">
        <f>VLOOKUP(D4265,State_Lookup!$A$2:$B$28,2,FALSE)</f>
        <v>Sao Paulo</v>
      </c>
    </row>
    <row r="4266" spans="1:13" x14ac:dyDescent="0.45">
      <c r="A4266" t="s">
        <v>4946</v>
      </c>
      <c r="B4266" t="s">
        <v>4942</v>
      </c>
      <c r="C4266" t="s">
        <v>4700</v>
      </c>
      <c r="D4266" t="s">
        <v>16</v>
      </c>
      <c r="E4266" t="s">
        <v>53</v>
      </c>
      <c r="F4266">
        <v>1</v>
      </c>
      <c r="G4266">
        <v>117</v>
      </c>
      <c r="H4266">
        <v>21.26</v>
      </c>
      <c r="I4266" t="s">
        <v>44</v>
      </c>
      <c r="J4266">
        <v>8</v>
      </c>
      <c r="K4266" t="s">
        <v>51</v>
      </c>
      <c r="L4266">
        <v>5</v>
      </c>
      <c r="M4266" t="str">
        <f>VLOOKUP(D4266,State_Lookup!$A$2:$B$28,2,FALSE)</f>
        <v>Sao Paulo</v>
      </c>
    </row>
    <row r="4267" spans="1:13" x14ac:dyDescent="0.45">
      <c r="A4267" t="s">
        <v>4947</v>
      </c>
      <c r="B4267" t="s">
        <v>4942</v>
      </c>
      <c r="C4267" t="s">
        <v>4700</v>
      </c>
      <c r="D4267" t="s">
        <v>16</v>
      </c>
      <c r="E4267" t="s">
        <v>366</v>
      </c>
      <c r="F4267">
        <v>1</v>
      </c>
      <c r="G4267">
        <v>349.9</v>
      </c>
      <c r="H4267">
        <v>16.84</v>
      </c>
      <c r="I4267" t="s">
        <v>44</v>
      </c>
      <c r="J4267">
        <v>6</v>
      </c>
      <c r="K4267" t="s">
        <v>51</v>
      </c>
      <c r="L4267">
        <v>4</v>
      </c>
      <c r="M4267" t="str">
        <f>VLOOKUP(D4267,State_Lookup!$A$2:$B$28,2,FALSE)</f>
        <v>Sao Paulo</v>
      </c>
    </row>
    <row r="4268" spans="1:13" x14ac:dyDescent="0.45">
      <c r="A4268" t="s">
        <v>4948</v>
      </c>
      <c r="B4268" t="s">
        <v>4942</v>
      </c>
      <c r="C4268" t="s">
        <v>4700</v>
      </c>
      <c r="D4268" t="s">
        <v>16</v>
      </c>
      <c r="E4268" t="s">
        <v>123</v>
      </c>
      <c r="F4268">
        <v>2</v>
      </c>
      <c r="G4268">
        <v>80</v>
      </c>
      <c r="H4268">
        <v>17.579999999999998</v>
      </c>
      <c r="I4268" t="s">
        <v>44</v>
      </c>
      <c r="J4268">
        <v>8</v>
      </c>
      <c r="K4268" t="s">
        <v>51</v>
      </c>
      <c r="L4268">
        <v>5</v>
      </c>
      <c r="M4268" t="str">
        <f>VLOOKUP(D4268,State_Lookup!$A$2:$B$28,2,FALSE)</f>
        <v>Sao Paulo</v>
      </c>
    </row>
    <row r="4269" spans="1:13" x14ac:dyDescent="0.45">
      <c r="A4269" t="s">
        <v>4949</v>
      </c>
      <c r="B4269" t="s">
        <v>4942</v>
      </c>
      <c r="C4269" t="s">
        <v>4700</v>
      </c>
      <c r="D4269" t="s">
        <v>16</v>
      </c>
      <c r="E4269" t="s">
        <v>79</v>
      </c>
      <c r="F4269">
        <v>1</v>
      </c>
      <c r="G4269">
        <v>122.99</v>
      </c>
      <c r="H4269">
        <v>30.11</v>
      </c>
      <c r="I4269" t="s">
        <v>50</v>
      </c>
      <c r="J4269">
        <v>11</v>
      </c>
      <c r="K4269" t="s">
        <v>51</v>
      </c>
      <c r="L4269">
        <v>5</v>
      </c>
      <c r="M4269" t="str">
        <f>VLOOKUP(D4269,State_Lookup!$A$2:$B$28,2,FALSE)</f>
        <v>Sao Paulo</v>
      </c>
    </row>
    <row r="4270" spans="1:13" x14ac:dyDescent="0.45">
      <c r="A4270" t="s">
        <v>4950</v>
      </c>
      <c r="B4270" t="s">
        <v>4951</v>
      </c>
      <c r="C4270" t="s">
        <v>4700</v>
      </c>
      <c r="D4270" t="s">
        <v>487</v>
      </c>
      <c r="E4270" t="s">
        <v>244</v>
      </c>
      <c r="F4270">
        <v>1</v>
      </c>
      <c r="G4270">
        <v>189.9</v>
      </c>
      <c r="H4270">
        <v>61.61</v>
      </c>
      <c r="I4270" t="s">
        <v>44</v>
      </c>
      <c r="J4270">
        <v>10</v>
      </c>
      <c r="K4270" t="s">
        <v>51</v>
      </c>
      <c r="L4270">
        <v>5</v>
      </c>
      <c r="M4270" t="str">
        <f>VLOOKUP(D4270,State_Lookup!$A$2:$B$28,2,FALSE)</f>
        <v>Rio Grande do Norte</v>
      </c>
    </row>
    <row r="4271" spans="1:13" x14ac:dyDescent="0.45">
      <c r="A4271" t="s">
        <v>4952</v>
      </c>
      <c r="B4271" t="s">
        <v>4951</v>
      </c>
      <c r="C4271" t="s">
        <v>4700</v>
      </c>
      <c r="D4271" t="s">
        <v>16</v>
      </c>
      <c r="E4271" t="s">
        <v>157</v>
      </c>
      <c r="F4271">
        <v>1</v>
      </c>
      <c r="G4271">
        <v>85</v>
      </c>
      <c r="H4271">
        <v>7.86</v>
      </c>
      <c r="I4271" t="s">
        <v>44</v>
      </c>
      <c r="J4271">
        <v>3</v>
      </c>
      <c r="K4271" t="s">
        <v>51</v>
      </c>
      <c r="L4271">
        <v>5</v>
      </c>
      <c r="M4271" t="str">
        <f>VLOOKUP(D4271,State_Lookup!$A$2:$B$28,2,FALSE)</f>
        <v>Sao Paulo</v>
      </c>
    </row>
    <row r="4272" spans="1:13" x14ac:dyDescent="0.45">
      <c r="A4272" t="s">
        <v>4953</v>
      </c>
      <c r="B4272" t="s">
        <v>4951</v>
      </c>
      <c r="C4272" t="s">
        <v>4700</v>
      </c>
      <c r="D4272" t="s">
        <v>19</v>
      </c>
      <c r="E4272" t="s">
        <v>204</v>
      </c>
      <c r="F4272">
        <v>1</v>
      </c>
      <c r="G4272">
        <v>479</v>
      </c>
      <c r="H4272">
        <v>38.700000000000003</v>
      </c>
      <c r="I4272" t="s">
        <v>44</v>
      </c>
      <c r="J4272">
        <v>12</v>
      </c>
      <c r="K4272" t="s">
        <v>51</v>
      </c>
      <c r="L4272">
        <v>5</v>
      </c>
      <c r="M4272" t="str">
        <f>VLOOKUP(D4272,State_Lookup!$A$2:$B$28,2,FALSE)</f>
        <v>Rio Grande do Sul</v>
      </c>
    </row>
    <row r="4273" spans="1:13" x14ac:dyDescent="0.45">
      <c r="A4273" t="s">
        <v>4954</v>
      </c>
      <c r="B4273" t="s">
        <v>4951</v>
      </c>
      <c r="C4273" t="s">
        <v>4700</v>
      </c>
      <c r="D4273" t="s">
        <v>16</v>
      </c>
      <c r="E4273" t="s">
        <v>49</v>
      </c>
      <c r="F4273">
        <v>1</v>
      </c>
      <c r="G4273">
        <v>55.99</v>
      </c>
      <c r="H4273">
        <v>18.489999999999998</v>
      </c>
      <c r="I4273" t="s">
        <v>108</v>
      </c>
      <c r="J4273">
        <v>4</v>
      </c>
      <c r="K4273" t="s">
        <v>51</v>
      </c>
      <c r="L4273">
        <v>5</v>
      </c>
      <c r="M4273" t="str">
        <f>VLOOKUP(D4273,State_Lookup!$A$2:$B$28,2,FALSE)</f>
        <v>Sao Paulo</v>
      </c>
    </row>
    <row r="4274" spans="1:13" x14ac:dyDescent="0.45">
      <c r="A4274" t="s">
        <v>4955</v>
      </c>
      <c r="B4274" t="s">
        <v>4951</v>
      </c>
      <c r="C4274" t="s">
        <v>4700</v>
      </c>
      <c r="D4274" t="s">
        <v>21</v>
      </c>
      <c r="E4274" t="s">
        <v>61</v>
      </c>
      <c r="F4274">
        <v>1</v>
      </c>
      <c r="G4274">
        <v>67.989999999999995</v>
      </c>
      <c r="H4274">
        <v>19.670000000000002</v>
      </c>
      <c r="I4274" t="s">
        <v>44</v>
      </c>
      <c r="J4274">
        <v>10</v>
      </c>
      <c r="K4274" t="s">
        <v>51</v>
      </c>
      <c r="L4274">
        <v>4</v>
      </c>
      <c r="M4274" t="str">
        <f>VLOOKUP(D4274,State_Lookup!$A$2:$B$28,2,FALSE)</f>
        <v>Santa Catarina</v>
      </c>
    </row>
    <row r="4275" spans="1:13" x14ac:dyDescent="0.45">
      <c r="A4275" t="s">
        <v>4956</v>
      </c>
      <c r="B4275" t="s">
        <v>4951</v>
      </c>
      <c r="C4275" t="s">
        <v>4700</v>
      </c>
      <c r="D4275" t="s">
        <v>16</v>
      </c>
      <c r="E4275" t="s">
        <v>110</v>
      </c>
      <c r="F4275">
        <v>1</v>
      </c>
      <c r="G4275">
        <v>79.900000000000006</v>
      </c>
      <c r="H4275">
        <v>14.87</v>
      </c>
      <c r="I4275" t="s">
        <v>50</v>
      </c>
      <c r="J4275">
        <v>7</v>
      </c>
      <c r="K4275" t="s">
        <v>51</v>
      </c>
      <c r="L4275">
        <v>5</v>
      </c>
      <c r="M4275" t="str">
        <f>VLOOKUP(D4275,State_Lookup!$A$2:$B$28,2,FALSE)</f>
        <v>Sao Paulo</v>
      </c>
    </row>
    <row r="4276" spans="1:13" x14ac:dyDescent="0.45">
      <c r="A4276" t="s">
        <v>4957</v>
      </c>
      <c r="B4276" t="s">
        <v>4951</v>
      </c>
      <c r="C4276" t="s">
        <v>4700</v>
      </c>
      <c r="D4276" t="s">
        <v>24</v>
      </c>
      <c r="E4276" t="s">
        <v>103</v>
      </c>
      <c r="F4276">
        <v>1</v>
      </c>
      <c r="G4276">
        <v>48.9</v>
      </c>
      <c r="H4276">
        <v>19.53</v>
      </c>
      <c r="I4276" t="s">
        <v>44</v>
      </c>
      <c r="J4276">
        <v>8</v>
      </c>
      <c r="K4276" t="s">
        <v>51</v>
      </c>
      <c r="L4276">
        <v>5</v>
      </c>
      <c r="M4276" t="str">
        <f>VLOOKUP(D4276,State_Lookup!$A$2:$B$28,2,FALSE)</f>
        <v>Distrito Federal</v>
      </c>
    </row>
    <row r="4277" spans="1:13" x14ac:dyDescent="0.45">
      <c r="A4277" t="s">
        <v>4958</v>
      </c>
      <c r="B4277" t="s">
        <v>4951</v>
      </c>
      <c r="C4277" t="s">
        <v>4700</v>
      </c>
      <c r="D4277" t="s">
        <v>23</v>
      </c>
      <c r="E4277" t="s">
        <v>79</v>
      </c>
      <c r="F4277">
        <v>1</v>
      </c>
      <c r="G4277">
        <v>95</v>
      </c>
      <c r="H4277">
        <v>18.77</v>
      </c>
      <c r="I4277" t="s">
        <v>133</v>
      </c>
      <c r="J4277">
        <v>12</v>
      </c>
      <c r="K4277" t="s">
        <v>51</v>
      </c>
      <c r="L4277">
        <v>4</v>
      </c>
      <c r="M4277" t="str">
        <f>VLOOKUP(D4277,State_Lookup!$A$2:$B$28,2,FALSE)</f>
        <v>Espirito Santo</v>
      </c>
    </row>
    <row r="4278" spans="1:13" x14ac:dyDescent="0.45">
      <c r="A4278" t="s">
        <v>4959</v>
      </c>
      <c r="B4278" t="s">
        <v>4951</v>
      </c>
      <c r="C4278" t="s">
        <v>4700</v>
      </c>
      <c r="D4278" t="s">
        <v>18</v>
      </c>
      <c r="E4278" t="s">
        <v>110</v>
      </c>
      <c r="F4278">
        <v>2</v>
      </c>
      <c r="G4278">
        <v>99.9</v>
      </c>
      <c r="H4278">
        <v>36.9</v>
      </c>
      <c r="I4278" t="s">
        <v>44</v>
      </c>
      <c r="J4278">
        <v>10</v>
      </c>
      <c r="K4278" t="s">
        <v>51</v>
      </c>
      <c r="L4278">
        <v>5</v>
      </c>
      <c r="M4278" t="str">
        <f>VLOOKUP(D4278,State_Lookup!$A$2:$B$28,2,FALSE)</f>
        <v>Minas Gerais</v>
      </c>
    </row>
    <row r="4279" spans="1:13" x14ac:dyDescent="0.45">
      <c r="A4279" t="s">
        <v>4960</v>
      </c>
      <c r="B4279" t="s">
        <v>4951</v>
      </c>
      <c r="C4279" t="s">
        <v>4700</v>
      </c>
      <c r="D4279" t="s">
        <v>16</v>
      </c>
      <c r="E4279" t="s">
        <v>79</v>
      </c>
      <c r="F4279">
        <v>1</v>
      </c>
      <c r="G4279">
        <v>65.5</v>
      </c>
      <c r="H4279">
        <v>8.6199999999999992</v>
      </c>
      <c r="I4279" t="s">
        <v>44</v>
      </c>
      <c r="J4279">
        <v>10</v>
      </c>
      <c r="K4279" t="s">
        <v>51</v>
      </c>
      <c r="L4279">
        <v>1</v>
      </c>
      <c r="M4279" t="str">
        <f>VLOOKUP(D4279,State_Lookup!$A$2:$B$28,2,FALSE)</f>
        <v>Sao Paulo</v>
      </c>
    </row>
    <row r="4280" spans="1:13" x14ac:dyDescent="0.45">
      <c r="A4280" t="s">
        <v>4961</v>
      </c>
      <c r="B4280" t="s">
        <v>4951</v>
      </c>
      <c r="C4280" t="s">
        <v>4700</v>
      </c>
      <c r="D4280" t="s">
        <v>17</v>
      </c>
      <c r="E4280" t="s">
        <v>668</v>
      </c>
      <c r="F4280">
        <v>1</v>
      </c>
      <c r="G4280">
        <v>14.9</v>
      </c>
      <c r="H4280">
        <v>18.23</v>
      </c>
      <c r="I4280" t="s">
        <v>133</v>
      </c>
      <c r="J4280">
        <v>6</v>
      </c>
      <c r="K4280" t="s">
        <v>51</v>
      </c>
      <c r="L4280">
        <v>4</v>
      </c>
      <c r="M4280" t="str">
        <f>VLOOKUP(D4280,State_Lookup!$A$2:$B$28,2,FALSE)</f>
        <v>Rio de Janeiro</v>
      </c>
    </row>
    <row r="4281" spans="1:13" x14ac:dyDescent="0.45">
      <c r="A4281" t="s">
        <v>4962</v>
      </c>
      <c r="B4281" t="s">
        <v>4951</v>
      </c>
      <c r="C4281" t="s">
        <v>4700</v>
      </c>
      <c r="D4281" t="s">
        <v>63</v>
      </c>
      <c r="E4281" t="s">
        <v>79</v>
      </c>
      <c r="F4281">
        <v>1</v>
      </c>
      <c r="G4281">
        <v>64.989999999999995</v>
      </c>
      <c r="H4281">
        <v>37.369999999999997</v>
      </c>
      <c r="I4281" t="s">
        <v>44</v>
      </c>
      <c r="J4281">
        <v>10</v>
      </c>
      <c r="K4281" t="s">
        <v>51</v>
      </c>
      <c r="L4281">
        <v>5</v>
      </c>
      <c r="M4281" t="str">
        <f>VLOOKUP(D4281,State_Lookup!$A$2:$B$28,2,FALSE)</f>
        <v>Pernambuco</v>
      </c>
    </row>
    <row r="4282" spans="1:13" x14ac:dyDescent="0.45">
      <c r="A4282" t="s">
        <v>4963</v>
      </c>
      <c r="B4282" t="s">
        <v>4951</v>
      </c>
      <c r="C4282" t="s">
        <v>4700</v>
      </c>
      <c r="D4282" t="s">
        <v>208</v>
      </c>
      <c r="E4282" t="s">
        <v>110</v>
      </c>
      <c r="F4282">
        <v>1</v>
      </c>
      <c r="G4282">
        <v>34.99</v>
      </c>
      <c r="H4282">
        <v>23.4</v>
      </c>
      <c r="I4282" t="s">
        <v>50</v>
      </c>
      <c r="J4282">
        <v>14</v>
      </c>
      <c r="K4282" t="s">
        <v>51</v>
      </c>
      <c r="M4282" t="str">
        <f>VLOOKUP(D4282,State_Lookup!$A$2:$B$28,2,FALSE)</f>
        <v>Mato Grosso</v>
      </c>
    </row>
    <row r="4283" spans="1:13" x14ac:dyDescent="0.45">
      <c r="A4283" t="s">
        <v>4964</v>
      </c>
      <c r="B4283" t="s">
        <v>4965</v>
      </c>
      <c r="C4283" t="s">
        <v>4700</v>
      </c>
      <c r="D4283" t="s">
        <v>21</v>
      </c>
      <c r="E4283" t="s">
        <v>192</v>
      </c>
      <c r="F4283">
        <v>1</v>
      </c>
      <c r="G4283">
        <v>103</v>
      </c>
      <c r="H4283">
        <v>18.82</v>
      </c>
      <c r="I4283" t="s">
        <v>44</v>
      </c>
      <c r="J4283">
        <v>9</v>
      </c>
      <c r="K4283" t="s">
        <v>51</v>
      </c>
      <c r="L4283">
        <v>3</v>
      </c>
      <c r="M4283" t="str">
        <f>VLOOKUP(D4283,State_Lookup!$A$2:$B$28,2,FALSE)</f>
        <v>Santa Catarina</v>
      </c>
    </row>
    <row r="4284" spans="1:13" x14ac:dyDescent="0.45">
      <c r="A4284" t="s">
        <v>4966</v>
      </c>
      <c r="B4284" t="s">
        <v>4965</v>
      </c>
      <c r="C4284" t="s">
        <v>4700</v>
      </c>
      <c r="D4284" t="s">
        <v>83</v>
      </c>
      <c r="E4284" t="s">
        <v>66</v>
      </c>
      <c r="F4284">
        <v>1</v>
      </c>
      <c r="G4284">
        <v>34.97</v>
      </c>
      <c r="H4284">
        <v>22.97</v>
      </c>
      <c r="I4284" t="s">
        <v>133</v>
      </c>
      <c r="K4284" t="s">
        <v>45</v>
      </c>
      <c r="L4284">
        <v>1</v>
      </c>
      <c r="M4284" t="str">
        <f>VLOOKUP(D4284,State_Lookup!$A$2:$B$28,2,FALSE)</f>
        <v>Sergipe</v>
      </c>
    </row>
    <row r="4285" spans="1:13" x14ac:dyDescent="0.45">
      <c r="A4285" t="s">
        <v>4967</v>
      </c>
      <c r="B4285" t="s">
        <v>4965</v>
      </c>
      <c r="C4285" t="s">
        <v>4700</v>
      </c>
      <c r="D4285" t="s">
        <v>16</v>
      </c>
      <c r="E4285" t="s">
        <v>244</v>
      </c>
      <c r="F4285">
        <v>1</v>
      </c>
      <c r="G4285">
        <v>59.9</v>
      </c>
      <c r="H4285">
        <v>7.68</v>
      </c>
      <c r="I4285" t="s">
        <v>44</v>
      </c>
      <c r="J4285">
        <v>3</v>
      </c>
      <c r="K4285" t="s">
        <v>51</v>
      </c>
      <c r="L4285">
        <v>5</v>
      </c>
      <c r="M4285" t="str">
        <f>VLOOKUP(D4285,State_Lookup!$A$2:$B$28,2,FALSE)</f>
        <v>Sao Paulo</v>
      </c>
    </row>
    <row r="4286" spans="1:13" x14ac:dyDescent="0.45">
      <c r="A4286" t="s">
        <v>4968</v>
      </c>
      <c r="B4286" t="s">
        <v>4965</v>
      </c>
      <c r="C4286" t="s">
        <v>4700</v>
      </c>
      <c r="D4286" t="s">
        <v>17</v>
      </c>
      <c r="E4286" t="s">
        <v>220</v>
      </c>
      <c r="F4286">
        <v>1</v>
      </c>
      <c r="G4286">
        <v>146.94</v>
      </c>
      <c r="H4286">
        <v>49.4</v>
      </c>
      <c r="I4286" t="s">
        <v>44</v>
      </c>
      <c r="J4286">
        <v>17</v>
      </c>
      <c r="K4286" t="s">
        <v>51</v>
      </c>
      <c r="L4286">
        <v>5</v>
      </c>
      <c r="M4286" t="str">
        <f>VLOOKUP(D4286,State_Lookup!$A$2:$B$28,2,FALSE)</f>
        <v>Rio de Janeiro</v>
      </c>
    </row>
    <row r="4287" spans="1:13" x14ac:dyDescent="0.45">
      <c r="A4287" t="s">
        <v>4969</v>
      </c>
      <c r="B4287" t="s">
        <v>4965</v>
      </c>
      <c r="C4287" t="s">
        <v>4700</v>
      </c>
      <c r="D4287" t="s">
        <v>16</v>
      </c>
      <c r="E4287" t="s">
        <v>192</v>
      </c>
      <c r="F4287">
        <v>1</v>
      </c>
      <c r="G4287">
        <v>59.99</v>
      </c>
      <c r="H4287">
        <v>16.690000000000001</v>
      </c>
      <c r="I4287" t="s">
        <v>44</v>
      </c>
      <c r="J4287">
        <v>4</v>
      </c>
      <c r="K4287" t="s">
        <v>51</v>
      </c>
      <c r="L4287">
        <v>3</v>
      </c>
      <c r="M4287" t="str">
        <f>VLOOKUP(D4287,State_Lookup!$A$2:$B$28,2,FALSE)</f>
        <v>Sao Paulo</v>
      </c>
    </row>
    <row r="4288" spans="1:13" x14ac:dyDescent="0.45">
      <c r="A4288" t="s">
        <v>4970</v>
      </c>
      <c r="B4288" t="s">
        <v>4965</v>
      </c>
      <c r="C4288" t="s">
        <v>4700</v>
      </c>
      <c r="D4288" t="s">
        <v>17</v>
      </c>
      <c r="E4288" t="s">
        <v>79</v>
      </c>
      <c r="F4288">
        <v>2</v>
      </c>
      <c r="G4288">
        <v>149.80000000000001</v>
      </c>
      <c r="H4288">
        <v>37.24</v>
      </c>
      <c r="I4288" t="s">
        <v>44</v>
      </c>
      <c r="J4288">
        <v>9</v>
      </c>
      <c r="K4288" t="s">
        <v>51</v>
      </c>
      <c r="L4288">
        <v>5</v>
      </c>
      <c r="M4288" t="str">
        <f>VLOOKUP(D4288,State_Lookup!$A$2:$B$28,2,FALSE)</f>
        <v>Rio de Janeiro</v>
      </c>
    </row>
    <row r="4289" spans="1:13" x14ac:dyDescent="0.45">
      <c r="A4289" t="s">
        <v>4971</v>
      </c>
      <c r="B4289" t="s">
        <v>4965</v>
      </c>
      <c r="C4289" t="s">
        <v>4700</v>
      </c>
      <c r="D4289" t="s">
        <v>16</v>
      </c>
      <c r="E4289" t="s">
        <v>43</v>
      </c>
      <c r="F4289">
        <v>1</v>
      </c>
      <c r="G4289">
        <v>279</v>
      </c>
      <c r="H4289">
        <v>18.14</v>
      </c>
      <c r="I4289" t="s">
        <v>44</v>
      </c>
      <c r="J4289">
        <v>6</v>
      </c>
      <c r="K4289" t="s">
        <v>51</v>
      </c>
      <c r="L4289">
        <v>3</v>
      </c>
      <c r="M4289" t="str">
        <f>VLOOKUP(D4289,State_Lookup!$A$2:$B$28,2,FALSE)</f>
        <v>Sao Paulo</v>
      </c>
    </row>
    <row r="4290" spans="1:13" x14ac:dyDescent="0.45">
      <c r="A4290" t="s">
        <v>4972</v>
      </c>
      <c r="B4290" t="s">
        <v>4973</v>
      </c>
      <c r="C4290" t="s">
        <v>4700</v>
      </c>
      <c r="D4290" t="s">
        <v>16</v>
      </c>
      <c r="E4290" t="s">
        <v>79</v>
      </c>
      <c r="F4290">
        <v>1</v>
      </c>
      <c r="G4290">
        <v>35</v>
      </c>
      <c r="H4290">
        <v>12.91</v>
      </c>
      <c r="I4290" t="s">
        <v>44</v>
      </c>
      <c r="J4290">
        <v>4</v>
      </c>
      <c r="K4290" t="s">
        <v>51</v>
      </c>
      <c r="L4290">
        <v>4</v>
      </c>
      <c r="M4290" t="str">
        <f>VLOOKUP(D4290,State_Lookup!$A$2:$B$28,2,FALSE)</f>
        <v>Sao Paulo</v>
      </c>
    </row>
    <row r="4291" spans="1:13" x14ac:dyDescent="0.45">
      <c r="A4291" t="s">
        <v>4974</v>
      </c>
      <c r="B4291" t="s">
        <v>4973</v>
      </c>
      <c r="C4291" t="s">
        <v>4700</v>
      </c>
      <c r="D4291" t="s">
        <v>16</v>
      </c>
      <c r="E4291" t="s">
        <v>173</v>
      </c>
      <c r="F4291">
        <v>1</v>
      </c>
      <c r="G4291">
        <v>40</v>
      </c>
      <c r="H4291">
        <v>15.38</v>
      </c>
      <c r="I4291" t="s">
        <v>44</v>
      </c>
      <c r="J4291">
        <v>8</v>
      </c>
      <c r="K4291" t="s">
        <v>51</v>
      </c>
      <c r="L4291">
        <v>5</v>
      </c>
      <c r="M4291" t="str">
        <f>VLOOKUP(D4291,State_Lookup!$A$2:$B$28,2,FALSE)</f>
        <v>Sao Paulo</v>
      </c>
    </row>
    <row r="4292" spans="1:13" x14ac:dyDescent="0.45">
      <c r="A4292" t="s">
        <v>4975</v>
      </c>
      <c r="B4292" t="s">
        <v>4973</v>
      </c>
      <c r="C4292" t="s">
        <v>4700</v>
      </c>
      <c r="D4292" t="s">
        <v>16</v>
      </c>
      <c r="E4292" t="s">
        <v>3021</v>
      </c>
      <c r="F4292">
        <v>1</v>
      </c>
      <c r="G4292">
        <v>55</v>
      </c>
      <c r="H4292">
        <v>8.5500000000000007</v>
      </c>
      <c r="I4292" t="s">
        <v>44</v>
      </c>
      <c r="J4292">
        <v>2</v>
      </c>
      <c r="K4292" t="s">
        <v>51</v>
      </c>
      <c r="L4292">
        <v>5</v>
      </c>
      <c r="M4292" t="str">
        <f>VLOOKUP(D4292,State_Lookup!$A$2:$B$28,2,FALSE)</f>
        <v>Sao Paulo</v>
      </c>
    </row>
    <row r="4293" spans="1:13" x14ac:dyDescent="0.45">
      <c r="A4293" t="s">
        <v>4976</v>
      </c>
      <c r="B4293" t="s">
        <v>4973</v>
      </c>
      <c r="C4293" t="s">
        <v>4700</v>
      </c>
      <c r="D4293" t="s">
        <v>16</v>
      </c>
      <c r="E4293" t="s">
        <v>110</v>
      </c>
      <c r="F4293">
        <v>1</v>
      </c>
      <c r="G4293">
        <v>17.899999999999999</v>
      </c>
      <c r="H4293">
        <v>12.79</v>
      </c>
      <c r="I4293" t="s">
        <v>133</v>
      </c>
      <c r="J4293">
        <v>8</v>
      </c>
      <c r="K4293" t="s">
        <v>51</v>
      </c>
      <c r="L4293">
        <v>5</v>
      </c>
      <c r="M4293" t="str">
        <f>VLOOKUP(D4293,State_Lookup!$A$2:$B$28,2,FALSE)</f>
        <v>Sao Paulo</v>
      </c>
    </row>
    <row r="4294" spans="1:13" x14ac:dyDescent="0.45">
      <c r="A4294" t="s">
        <v>4977</v>
      </c>
      <c r="B4294" t="s">
        <v>4973</v>
      </c>
      <c r="C4294" t="s">
        <v>4700</v>
      </c>
      <c r="D4294" t="s">
        <v>16</v>
      </c>
      <c r="E4294" t="s">
        <v>662</v>
      </c>
      <c r="F4294">
        <v>1</v>
      </c>
      <c r="G4294">
        <v>129</v>
      </c>
      <c r="H4294">
        <v>11.92</v>
      </c>
      <c r="I4294" t="s">
        <v>44</v>
      </c>
      <c r="J4294">
        <v>1</v>
      </c>
      <c r="K4294" t="s">
        <v>51</v>
      </c>
      <c r="L4294">
        <v>2</v>
      </c>
      <c r="M4294" t="str">
        <f>VLOOKUP(D4294,State_Lookup!$A$2:$B$28,2,FALSE)</f>
        <v>Sao Paulo</v>
      </c>
    </row>
    <row r="4295" spans="1:13" x14ac:dyDescent="0.45">
      <c r="A4295" t="s">
        <v>4978</v>
      </c>
      <c r="B4295" t="s">
        <v>4973</v>
      </c>
      <c r="C4295" t="s">
        <v>4700</v>
      </c>
      <c r="D4295" t="s">
        <v>19</v>
      </c>
      <c r="E4295" t="s">
        <v>148</v>
      </c>
      <c r="F4295">
        <v>1</v>
      </c>
      <c r="G4295">
        <v>289.99</v>
      </c>
      <c r="H4295">
        <v>9.61</v>
      </c>
      <c r="I4295" t="s">
        <v>44</v>
      </c>
      <c r="J4295">
        <v>2</v>
      </c>
      <c r="K4295" t="s">
        <v>51</v>
      </c>
      <c r="L4295">
        <v>4</v>
      </c>
      <c r="M4295" t="str">
        <f>VLOOKUP(D4295,State_Lookup!$A$2:$B$28,2,FALSE)</f>
        <v>Rio Grande do Sul</v>
      </c>
    </row>
    <row r="4296" spans="1:13" x14ac:dyDescent="0.45">
      <c r="A4296" t="s">
        <v>4979</v>
      </c>
      <c r="B4296" t="s">
        <v>4973</v>
      </c>
      <c r="C4296" t="s">
        <v>4700</v>
      </c>
      <c r="D4296" t="s">
        <v>17</v>
      </c>
      <c r="E4296" t="s">
        <v>142</v>
      </c>
      <c r="F4296">
        <v>1</v>
      </c>
      <c r="G4296">
        <v>219.9</v>
      </c>
      <c r="H4296">
        <v>59.62</v>
      </c>
      <c r="I4296" t="s">
        <v>44</v>
      </c>
      <c r="J4296">
        <v>5</v>
      </c>
      <c r="K4296" t="s">
        <v>51</v>
      </c>
      <c r="L4296">
        <v>4</v>
      </c>
      <c r="M4296" t="str">
        <f>VLOOKUP(D4296,State_Lookup!$A$2:$B$28,2,FALSE)</f>
        <v>Rio de Janeiro</v>
      </c>
    </row>
    <row r="4297" spans="1:13" x14ac:dyDescent="0.45">
      <c r="A4297" t="s">
        <v>4980</v>
      </c>
      <c r="B4297" t="s">
        <v>4973</v>
      </c>
      <c r="C4297" t="s">
        <v>4700</v>
      </c>
      <c r="D4297" t="s">
        <v>16</v>
      </c>
      <c r="E4297" t="s">
        <v>3021</v>
      </c>
      <c r="F4297">
        <v>2</v>
      </c>
      <c r="G4297">
        <v>145.88999999999999</v>
      </c>
      <c r="H4297">
        <v>31.05</v>
      </c>
      <c r="I4297" t="s">
        <v>44</v>
      </c>
      <c r="J4297">
        <v>2</v>
      </c>
      <c r="K4297" t="s">
        <v>51</v>
      </c>
      <c r="L4297">
        <v>5</v>
      </c>
      <c r="M4297" t="str">
        <f>VLOOKUP(D4297,State_Lookup!$A$2:$B$28,2,FALSE)</f>
        <v>Sao Paulo</v>
      </c>
    </row>
    <row r="4298" spans="1:13" x14ac:dyDescent="0.45">
      <c r="A4298" t="s">
        <v>4981</v>
      </c>
      <c r="B4298" t="s">
        <v>4973</v>
      </c>
      <c r="C4298" t="s">
        <v>4700</v>
      </c>
      <c r="D4298" t="s">
        <v>18</v>
      </c>
      <c r="E4298" t="s">
        <v>157</v>
      </c>
      <c r="F4298">
        <v>1</v>
      </c>
      <c r="G4298">
        <v>155</v>
      </c>
      <c r="H4298">
        <v>19.190000000000001</v>
      </c>
      <c r="I4298" t="s">
        <v>44</v>
      </c>
      <c r="J4298">
        <v>9</v>
      </c>
      <c r="K4298" t="s">
        <v>51</v>
      </c>
      <c r="L4298">
        <v>5</v>
      </c>
      <c r="M4298" t="str">
        <f>VLOOKUP(D4298,State_Lookup!$A$2:$B$28,2,FALSE)</f>
        <v>Minas Gerais</v>
      </c>
    </row>
    <row r="4299" spans="1:13" x14ac:dyDescent="0.45">
      <c r="A4299" t="s">
        <v>4982</v>
      </c>
      <c r="B4299" t="s">
        <v>4973</v>
      </c>
      <c r="C4299" t="s">
        <v>4700</v>
      </c>
      <c r="D4299" t="s">
        <v>16</v>
      </c>
      <c r="E4299" t="s">
        <v>110</v>
      </c>
      <c r="F4299">
        <v>1</v>
      </c>
      <c r="G4299">
        <v>139.9</v>
      </c>
      <c r="H4299">
        <v>58.06</v>
      </c>
      <c r="I4299" t="s">
        <v>44</v>
      </c>
      <c r="J4299">
        <v>3</v>
      </c>
      <c r="K4299" t="s">
        <v>51</v>
      </c>
      <c r="L4299">
        <v>5</v>
      </c>
      <c r="M4299" t="str">
        <f>VLOOKUP(D4299,State_Lookup!$A$2:$B$28,2,FALSE)</f>
        <v>Sao Paulo</v>
      </c>
    </row>
    <row r="4300" spans="1:13" x14ac:dyDescent="0.45">
      <c r="A4300" t="s">
        <v>4983</v>
      </c>
      <c r="B4300" t="s">
        <v>4973</v>
      </c>
      <c r="C4300" t="s">
        <v>4700</v>
      </c>
      <c r="D4300" t="s">
        <v>20</v>
      </c>
      <c r="E4300" t="s">
        <v>269</v>
      </c>
      <c r="F4300">
        <v>1</v>
      </c>
      <c r="G4300">
        <v>42.97</v>
      </c>
      <c r="H4300">
        <v>23.1</v>
      </c>
      <c r="I4300" t="s">
        <v>44</v>
      </c>
      <c r="J4300">
        <v>8</v>
      </c>
      <c r="K4300" t="s">
        <v>51</v>
      </c>
      <c r="L4300">
        <v>5</v>
      </c>
      <c r="M4300" t="str">
        <f>VLOOKUP(D4300,State_Lookup!$A$2:$B$28,2,FALSE)</f>
        <v>Parana</v>
      </c>
    </row>
    <row r="4301" spans="1:13" x14ac:dyDescent="0.45">
      <c r="A4301" t="s">
        <v>4984</v>
      </c>
      <c r="B4301" t="s">
        <v>4973</v>
      </c>
      <c r="C4301" t="s">
        <v>4700</v>
      </c>
      <c r="D4301" t="s">
        <v>16</v>
      </c>
      <c r="E4301" t="s">
        <v>142</v>
      </c>
      <c r="F4301">
        <v>2</v>
      </c>
      <c r="G4301">
        <v>25.4</v>
      </c>
      <c r="H4301">
        <v>23.72</v>
      </c>
      <c r="I4301" t="s">
        <v>44</v>
      </c>
      <c r="J4301">
        <v>1</v>
      </c>
      <c r="K4301" t="s">
        <v>51</v>
      </c>
      <c r="L4301">
        <v>5</v>
      </c>
      <c r="M4301" t="str">
        <f>VLOOKUP(D4301,State_Lookup!$A$2:$B$28,2,FALSE)</f>
        <v>Sao Paulo</v>
      </c>
    </row>
    <row r="4302" spans="1:13" x14ac:dyDescent="0.45">
      <c r="A4302" t="s">
        <v>4985</v>
      </c>
      <c r="B4302" t="s">
        <v>4973</v>
      </c>
      <c r="C4302" t="s">
        <v>4700</v>
      </c>
      <c r="D4302" t="s">
        <v>19</v>
      </c>
      <c r="E4302" t="s">
        <v>125</v>
      </c>
      <c r="F4302">
        <v>1</v>
      </c>
      <c r="G4302">
        <v>67.900000000000006</v>
      </c>
      <c r="H4302">
        <v>37.85</v>
      </c>
      <c r="I4302" t="s">
        <v>50</v>
      </c>
      <c r="J4302">
        <v>9</v>
      </c>
      <c r="K4302" t="s">
        <v>51</v>
      </c>
      <c r="L4302">
        <v>5</v>
      </c>
      <c r="M4302" t="str">
        <f>VLOOKUP(D4302,State_Lookup!$A$2:$B$28,2,FALSE)</f>
        <v>Rio Grande do Sul</v>
      </c>
    </row>
    <row r="4303" spans="1:13" x14ac:dyDescent="0.45">
      <c r="A4303" t="s">
        <v>4986</v>
      </c>
      <c r="B4303" t="s">
        <v>4987</v>
      </c>
      <c r="C4303" t="s">
        <v>4700</v>
      </c>
      <c r="D4303" t="s">
        <v>16</v>
      </c>
      <c r="E4303" t="s">
        <v>69</v>
      </c>
      <c r="F4303">
        <v>1</v>
      </c>
      <c r="G4303">
        <v>360</v>
      </c>
      <c r="H4303">
        <v>16.829999999999998</v>
      </c>
      <c r="I4303" t="s">
        <v>44</v>
      </c>
      <c r="J4303">
        <v>4</v>
      </c>
      <c r="K4303" t="s">
        <v>51</v>
      </c>
      <c r="L4303">
        <v>5</v>
      </c>
      <c r="M4303" t="str">
        <f>VLOOKUP(D4303,State_Lookup!$A$2:$B$28,2,FALSE)</f>
        <v>Sao Paulo</v>
      </c>
    </row>
    <row r="4304" spans="1:13" x14ac:dyDescent="0.45">
      <c r="A4304" t="s">
        <v>4988</v>
      </c>
      <c r="B4304" t="s">
        <v>4987</v>
      </c>
      <c r="C4304" t="s">
        <v>4700</v>
      </c>
      <c r="D4304" t="s">
        <v>16</v>
      </c>
      <c r="E4304" t="s">
        <v>49</v>
      </c>
      <c r="F4304">
        <v>1</v>
      </c>
      <c r="G4304">
        <v>84.9</v>
      </c>
      <c r="H4304">
        <v>16.78</v>
      </c>
      <c r="I4304" t="s">
        <v>44</v>
      </c>
      <c r="J4304">
        <v>3</v>
      </c>
      <c r="K4304" t="s">
        <v>51</v>
      </c>
      <c r="L4304">
        <v>5</v>
      </c>
      <c r="M4304" t="str">
        <f>VLOOKUP(D4304,State_Lookup!$A$2:$B$28,2,FALSE)</f>
        <v>Sao Paulo</v>
      </c>
    </row>
    <row r="4305" spans="1:13" x14ac:dyDescent="0.45">
      <c r="A4305" t="s">
        <v>4989</v>
      </c>
      <c r="B4305" t="s">
        <v>4987</v>
      </c>
      <c r="C4305" t="s">
        <v>4700</v>
      </c>
      <c r="D4305" t="s">
        <v>24</v>
      </c>
      <c r="E4305" t="s">
        <v>142</v>
      </c>
      <c r="F4305">
        <v>1</v>
      </c>
      <c r="G4305">
        <v>113.89</v>
      </c>
      <c r="H4305">
        <v>47.46</v>
      </c>
      <c r="I4305" t="s">
        <v>44</v>
      </c>
      <c r="J4305">
        <v>5</v>
      </c>
      <c r="K4305" t="s">
        <v>51</v>
      </c>
      <c r="L4305">
        <v>5</v>
      </c>
      <c r="M4305" t="str">
        <f>VLOOKUP(D4305,State_Lookup!$A$2:$B$28,2,FALSE)</f>
        <v>Distrito Federal</v>
      </c>
    </row>
    <row r="4306" spans="1:13" x14ac:dyDescent="0.45">
      <c r="A4306" t="s">
        <v>4990</v>
      </c>
      <c r="B4306" t="s">
        <v>4987</v>
      </c>
      <c r="C4306" t="s">
        <v>4700</v>
      </c>
      <c r="D4306" t="s">
        <v>16</v>
      </c>
      <c r="E4306" t="s">
        <v>79</v>
      </c>
      <c r="F4306">
        <v>1</v>
      </c>
      <c r="G4306">
        <v>29.89</v>
      </c>
      <c r="H4306">
        <v>7.47</v>
      </c>
      <c r="I4306" t="s">
        <v>44</v>
      </c>
      <c r="J4306">
        <v>4</v>
      </c>
      <c r="K4306" t="s">
        <v>51</v>
      </c>
      <c r="L4306">
        <v>5</v>
      </c>
      <c r="M4306" t="str">
        <f>VLOOKUP(D4306,State_Lookup!$A$2:$B$28,2,FALSE)</f>
        <v>Sao Paulo</v>
      </c>
    </row>
    <row r="4307" spans="1:13" x14ac:dyDescent="0.45">
      <c r="A4307" t="s">
        <v>4991</v>
      </c>
      <c r="B4307" t="s">
        <v>4987</v>
      </c>
      <c r="C4307" t="s">
        <v>4700</v>
      </c>
      <c r="D4307" t="s">
        <v>16</v>
      </c>
      <c r="E4307" t="s">
        <v>173</v>
      </c>
      <c r="F4307">
        <v>1</v>
      </c>
      <c r="G4307">
        <v>67</v>
      </c>
      <c r="H4307">
        <v>9.2200000000000006</v>
      </c>
      <c r="I4307" t="s">
        <v>44</v>
      </c>
      <c r="J4307">
        <v>4</v>
      </c>
      <c r="K4307" t="s">
        <v>51</v>
      </c>
      <c r="L4307">
        <v>5</v>
      </c>
      <c r="M4307" t="str">
        <f>VLOOKUP(D4307,State_Lookup!$A$2:$B$28,2,FALSE)</f>
        <v>Sao Paulo</v>
      </c>
    </row>
    <row r="4308" spans="1:13" x14ac:dyDescent="0.45">
      <c r="A4308" t="s">
        <v>4992</v>
      </c>
      <c r="B4308" t="s">
        <v>4987</v>
      </c>
      <c r="C4308" t="s">
        <v>4700</v>
      </c>
      <c r="D4308" t="s">
        <v>16</v>
      </c>
      <c r="E4308" t="s">
        <v>302</v>
      </c>
      <c r="F4308">
        <v>1</v>
      </c>
      <c r="G4308">
        <v>1335</v>
      </c>
      <c r="H4308">
        <v>53.43</v>
      </c>
      <c r="I4308" t="s">
        <v>44</v>
      </c>
      <c r="J4308">
        <v>3</v>
      </c>
      <c r="K4308" t="s">
        <v>51</v>
      </c>
      <c r="L4308">
        <v>5</v>
      </c>
      <c r="M4308" t="str">
        <f>VLOOKUP(D4308,State_Lookup!$A$2:$B$28,2,FALSE)</f>
        <v>Sao Paulo</v>
      </c>
    </row>
    <row r="4309" spans="1:13" x14ac:dyDescent="0.45">
      <c r="A4309" t="s">
        <v>4993</v>
      </c>
      <c r="B4309" t="s">
        <v>4987</v>
      </c>
      <c r="C4309" t="s">
        <v>4700</v>
      </c>
      <c r="D4309" t="s">
        <v>16</v>
      </c>
      <c r="E4309" t="s">
        <v>107</v>
      </c>
      <c r="F4309">
        <v>1</v>
      </c>
      <c r="G4309">
        <v>249</v>
      </c>
      <c r="H4309">
        <v>19.84</v>
      </c>
      <c r="I4309" t="s">
        <v>44</v>
      </c>
      <c r="J4309">
        <v>8</v>
      </c>
      <c r="K4309" t="s">
        <v>51</v>
      </c>
      <c r="L4309">
        <v>5</v>
      </c>
      <c r="M4309" t="str">
        <f>VLOOKUP(D4309,State_Lookup!$A$2:$B$28,2,FALSE)</f>
        <v>Sao Paulo</v>
      </c>
    </row>
    <row r="4310" spans="1:13" x14ac:dyDescent="0.45">
      <c r="A4310" t="s">
        <v>4994</v>
      </c>
      <c r="B4310" t="s">
        <v>4987</v>
      </c>
      <c r="C4310" t="s">
        <v>4700</v>
      </c>
      <c r="D4310" t="s">
        <v>16</v>
      </c>
      <c r="E4310" t="s">
        <v>244</v>
      </c>
      <c r="F4310">
        <v>1</v>
      </c>
      <c r="G4310">
        <v>119.9</v>
      </c>
      <c r="H4310">
        <v>17.03</v>
      </c>
      <c r="I4310" t="s">
        <v>44</v>
      </c>
      <c r="J4310">
        <v>6</v>
      </c>
      <c r="K4310" t="s">
        <v>51</v>
      </c>
      <c r="L4310">
        <v>5</v>
      </c>
      <c r="M4310" t="str">
        <f>VLOOKUP(D4310,State_Lookup!$A$2:$B$28,2,FALSE)</f>
        <v>Sao Paulo</v>
      </c>
    </row>
    <row r="4311" spans="1:13" x14ac:dyDescent="0.45">
      <c r="A4311" t="s">
        <v>4995</v>
      </c>
      <c r="B4311" t="s">
        <v>4987</v>
      </c>
      <c r="C4311" t="s">
        <v>4700</v>
      </c>
      <c r="D4311" t="s">
        <v>128</v>
      </c>
      <c r="E4311" t="s">
        <v>204</v>
      </c>
      <c r="F4311">
        <v>1</v>
      </c>
      <c r="G4311">
        <v>124.9</v>
      </c>
      <c r="H4311">
        <v>43.15</v>
      </c>
      <c r="I4311" t="s">
        <v>44</v>
      </c>
      <c r="J4311">
        <v>17</v>
      </c>
      <c r="K4311" t="s">
        <v>51</v>
      </c>
      <c r="L4311">
        <v>5</v>
      </c>
      <c r="M4311" t="str">
        <f>VLOOKUP(D4311,State_Lookup!$A$2:$B$28,2,FALSE)</f>
        <v>Ceara</v>
      </c>
    </row>
    <row r="4312" spans="1:13" x14ac:dyDescent="0.45">
      <c r="A4312" t="s">
        <v>4996</v>
      </c>
      <c r="B4312" t="s">
        <v>4987</v>
      </c>
      <c r="C4312" t="s">
        <v>4700</v>
      </c>
      <c r="D4312" t="s">
        <v>19</v>
      </c>
      <c r="E4312" t="s">
        <v>148</v>
      </c>
      <c r="F4312">
        <v>1</v>
      </c>
      <c r="G4312">
        <v>219.99</v>
      </c>
      <c r="H4312">
        <v>27.84</v>
      </c>
      <c r="I4312" t="s">
        <v>50</v>
      </c>
      <c r="J4312">
        <v>8</v>
      </c>
      <c r="K4312" t="s">
        <v>51</v>
      </c>
      <c r="L4312">
        <v>4</v>
      </c>
      <c r="M4312" t="str">
        <f>VLOOKUP(D4312,State_Lookup!$A$2:$B$28,2,FALSE)</f>
        <v>Rio Grande do Sul</v>
      </c>
    </row>
    <row r="4313" spans="1:13" x14ac:dyDescent="0.45">
      <c r="A4313" t="s">
        <v>4997</v>
      </c>
      <c r="B4313" t="s">
        <v>4987</v>
      </c>
      <c r="C4313" t="s">
        <v>4700</v>
      </c>
      <c r="D4313" t="s">
        <v>20</v>
      </c>
      <c r="E4313" t="s">
        <v>142</v>
      </c>
      <c r="F4313">
        <v>1</v>
      </c>
      <c r="G4313">
        <v>119</v>
      </c>
      <c r="H4313">
        <v>18.63</v>
      </c>
      <c r="I4313" t="s">
        <v>44</v>
      </c>
      <c r="J4313">
        <v>8</v>
      </c>
      <c r="K4313" t="s">
        <v>51</v>
      </c>
      <c r="L4313">
        <v>4</v>
      </c>
      <c r="M4313" t="str">
        <f>VLOOKUP(D4313,State_Lookup!$A$2:$B$28,2,FALSE)</f>
        <v>Parana</v>
      </c>
    </row>
    <row r="4314" spans="1:13" x14ac:dyDescent="0.45">
      <c r="A4314" t="s">
        <v>4998</v>
      </c>
      <c r="B4314" t="s">
        <v>4987</v>
      </c>
      <c r="C4314" t="s">
        <v>4700</v>
      </c>
      <c r="D4314" t="s">
        <v>16</v>
      </c>
      <c r="E4314" t="s">
        <v>244</v>
      </c>
      <c r="F4314">
        <v>1</v>
      </c>
      <c r="G4314">
        <v>229.79</v>
      </c>
      <c r="H4314">
        <v>19.41</v>
      </c>
      <c r="I4314" t="s">
        <v>50</v>
      </c>
      <c r="J4314">
        <v>9</v>
      </c>
      <c r="K4314" t="s">
        <v>51</v>
      </c>
      <c r="L4314">
        <v>4</v>
      </c>
      <c r="M4314" t="str">
        <f>VLOOKUP(D4314,State_Lookup!$A$2:$B$28,2,FALSE)</f>
        <v>Sao Paulo</v>
      </c>
    </row>
    <row r="4315" spans="1:13" x14ac:dyDescent="0.45">
      <c r="A4315" t="s">
        <v>4999</v>
      </c>
      <c r="B4315" t="s">
        <v>4987</v>
      </c>
      <c r="C4315" t="s">
        <v>4700</v>
      </c>
      <c r="D4315" t="s">
        <v>16</v>
      </c>
      <c r="E4315" t="s">
        <v>79</v>
      </c>
      <c r="F4315">
        <v>1</v>
      </c>
      <c r="G4315">
        <v>30</v>
      </c>
      <c r="H4315">
        <v>7.47</v>
      </c>
      <c r="I4315" t="s">
        <v>50</v>
      </c>
      <c r="J4315">
        <v>3</v>
      </c>
      <c r="K4315" t="s">
        <v>51</v>
      </c>
      <c r="L4315">
        <v>5</v>
      </c>
      <c r="M4315" t="str">
        <f>VLOOKUP(D4315,State_Lookup!$A$2:$B$28,2,FALSE)</f>
        <v>Sao Paulo</v>
      </c>
    </row>
    <row r="4316" spans="1:13" x14ac:dyDescent="0.45">
      <c r="A4316" t="s">
        <v>5000</v>
      </c>
      <c r="B4316" t="s">
        <v>4987</v>
      </c>
      <c r="C4316" t="s">
        <v>4700</v>
      </c>
      <c r="D4316" t="s">
        <v>16</v>
      </c>
      <c r="E4316" t="s">
        <v>69</v>
      </c>
      <c r="F4316">
        <v>1</v>
      </c>
      <c r="G4316">
        <v>27.9</v>
      </c>
      <c r="H4316">
        <v>19.39</v>
      </c>
      <c r="I4316" t="s">
        <v>44</v>
      </c>
      <c r="J4316">
        <v>6</v>
      </c>
      <c r="K4316" t="s">
        <v>51</v>
      </c>
      <c r="L4316">
        <v>5</v>
      </c>
      <c r="M4316" t="str">
        <f>VLOOKUP(D4316,State_Lookup!$A$2:$B$28,2,FALSE)</f>
        <v>Sao Paulo</v>
      </c>
    </row>
    <row r="4317" spans="1:13" x14ac:dyDescent="0.45">
      <c r="A4317" t="s">
        <v>5001</v>
      </c>
      <c r="B4317" t="s">
        <v>4987</v>
      </c>
      <c r="C4317" t="s">
        <v>4700</v>
      </c>
      <c r="D4317" t="s">
        <v>16</v>
      </c>
      <c r="E4317" t="s">
        <v>110</v>
      </c>
      <c r="F4317">
        <v>1</v>
      </c>
      <c r="G4317">
        <v>9.9</v>
      </c>
      <c r="H4317">
        <v>18.23</v>
      </c>
      <c r="I4317" t="s">
        <v>44</v>
      </c>
      <c r="J4317">
        <v>7</v>
      </c>
      <c r="K4317" t="s">
        <v>51</v>
      </c>
      <c r="L4317">
        <v>1</v>
      </c>
      <c r="M4317" t="str">
        <f>VLOOKUP(D4317,State_Lookup!$A$2:$B$28,2,FALSE)</f>
        <v>Sao Paulo</v>
      </c>
    </row>
    <row r="4318" spans="1:13" x14ac:dyDescent="0.45">
      <c r="A4318" t="s">
        <v>5002</v>
      </c>
      <c r="B4318" t="s">
        <v>4987</v>
      </c>
      <c r="C4318" t="s">
        <v>4700</v>
      </c>
      <c r="D4318" t="s">
        <v>16</v>
      </c>
      <c r="E4318" t="s">
        <v>186</v>
      </c>
      <c r="F4318">
        <v>1</v>
      </c>
      <c r="G4318">
        <v>99</v>
      </c>
      <c r="H4318">
        <v>33.17</v>
      </c>
      <c r="I4318" t="s">
        <v>50</v>
      </c>
      <c r="J4318">
        <v>3</v>
      </c>
      <c r="K4318" t="s">
        <v>51</v>
      </c>
      <c r="L4318">
        <v>1</v>
      </c>
      <c r="M4318" t="str">
        <f>VLOOKUP(D4318,State_Lookup!$A$2:$B$28,2,FALSE)</f>
        <v>Sao Paulo</v>
      </c>
    </row>
    <row r="4319" spans="1:13" x14ac:dyDescent="0.45">
      <c r="A4319" t="s">
        <v>5003</v>
      </c>
      <c r="B4319" t="s">
        <v>4987</v>
      </c>
      <c r="C4319" t="s">
        <v>4700</v>
      </c>
      <c r="D4319" t="s">
        <v>18</v>
      </c>
      <c r="E4319" t="s">
        <v>49</v>
      </c>
      <c r="F4319">
        <v>2</v>
      </c>
      <c r="G4319">
        <v>90</v>
      </c>
      <c r="H4319">
        <v>46.62</v>
      </c>
      <c r="I4319" t="s">
        <v>44</v>
      </c>
      <c r="K4319" t="s">
        <v>45</v>
      </c>
      <c r="L4319">
        <v>1</v>
      </c>
      <c r="M4319" t="str">
        <f>VLOOKUP(D4319,State_Lookup!$A$2:$B$28,2,FALSE)</f>
        <v>Minas Gerais</v>
      </c>
    </row>
    <row r="4320" spans="1:13" x14ac:dyDescent="0.45">
      <c r="A4320" t="s">
        <v>5004</v>
      </c>
      <c r="B4320" t="s">
        <v>4987</v>
      </c>
      <c r="C4320" t="s">
        <v>4700</v>
      </c>
      <c r="D4320" t="s">
        <v>16</v>
      </c>
      <c r="E4320" t="s">
        <v>2079</v>
      </c>
      <c r="F4320">
        <v>1</v>
      </c>
      <c r="G4320">
        <v>113.3</v>
      </c>
      <c r="H4320">
        <v>15.1</v>
      </c>
      <c r="I4320" t="s">
        <v>44</v>
      </c>
      <c r="J4320">
        <v>9</v>
      </c>
      <c r="K4320" t="s">
        <v>51</v>
      </c>
      <c r="L4320">
        <v>5</v>
      </c>
      <c r="M4320" t="str">
        <f>VLOOKUP(D4320,State_Lookup!$A$2:$B$28,2,FALSE)</f>
        <v>Sao Paulo</v>
      </c>
    </row>
    <row r="4321" spans="1:13" x14ac:dyDescent="0.45">
      <c r="A4321" t="s">
        <v>5005</v>
      </c>
      <c r="B4321" t="s">
        <v>4987</v>
      </c>
      <c r="C4321" t="s">
        <v>4700</v>
      </c>
      <c r="D4321" t="s">
        <v>22</v>
      </c>
      <c r="E4321" t="s">
        <v>79</v>
      </c>
      <c r="F4321">
        <v>1</v>
      </c>
      <c r="G4321">
        <v>49.99</v>
      </c>
      <c r="H4321">
        <v>22.28</v>
      </c>
      <c r="I4321" t="s">
        <v>44</v>
      </c>
      <c r="J4321">
        <v>16</v>
      </c>
      <c r="K4321" t="s">
        <v>51</v>
      </c>
      <c r="L4321">
        <v>4</v>
      </c>
      <c r="M4321" t="str">
        <f>VLOOKUP(D4321,State_Lookup!$A$2:$B$28,2,FALSE)</f>
        <v>Bahia</v>
      </c>
    </row>
    <row r="4322" spans="1:13" x14ac:dyDescent="0.45">
      <c r="A4322" t="s">
        <v>5006</v>
      </c>
      <c r="B4322" t="s">
        <v>5007</v>
      </c>
      <c r="C4322" t="s">
        <v>4700</v>
      </c>
      <c r="D4322" t="s">
        <v>18</v>
      </c>
      <c r="E4322" t="s">
        <v>110</v>
      </c>
      <c r="F4322">
        <v>1</v>
      </c>
      <c r="G4322">
        <v>49.9</v>
      </c>
      <c r="H4322">
        <v>22.28</v>
      </c>
      <c r="I4322" t="s">
        <v>44</v>
      </c>
      <c r="J4322">
        <v>6</v>
      </c>
      <c r="K4322" t="s">
        <v>51</v>
      </c>
      <c r="M4322" t="str">
        <f>VLOOKUP(D4322,State_Lookup!$A$2:$B$28,2,FALSE)</f>
        <v>Minas Gerais</v>
      </c>
    </row>
    <row r="4323" spans="1:13" x14ac:dyDescent="0.45">
      <c r="A4323" t="s">
        <v>5008</v>
      </c>
      <c r="B4323" t="s">
        <v>5007</v>
      </c>
      <c r="C4323" t="s">
        <v>4700</v>
      </c>
      <c r="D4323" t="s">
        <v>632</v>
      </c>
      <c r="E4323" t="s">
        <v>125</v>
      </c>
      <c r="F4323">
        <v>1</v>
      </c>
      <c r="G4323">
        <v>24.12</v>
      </c>
      <c r="H4323">
        <v>26.94</v>
      </c>
      <c r="I4323" t="s">
        <v>44</v>
      </c>
      <c r="J4323">
        <v>16</v>
      </c>
      <c r="K4323" t="s">
        <v>51</v>
      </c>
      <c r="L4323">
        <v>5</v>
      </c>
      <c r="M4323" t="str">
        <f>VLOOKUP(D4323,State_Lookup!$A$2:$B$28,2,FALSE)</f>
        <v>Alagoas</v>
      </c>
    </row>
    <row r="4324" spans="1:13" x14ac:dyDescent="0.45">
      <c r="A4324" t="s">
        <v>5009</v>
      </c>
      <c r="B4324" t="s">
        <v>5007</v>
      </c>
      <c r="C4324" t="s">
        <v>4700</v>
      </c>
      <c r="D4324" t="s">
        <v>16</v>
      </c>
      <c r="E4324" t="s">
        <v>107</v>
      </c>
      <c r="F4324">
        <v>2</v>
      </c>
      <c r="G4324">
        <v>99.8</v>
      </c>
      <c r="H4324">
        <v>15.22</v>
      </c>
      <c r="I4324" t="s">
        <v>44</v>
      </c>
      <c r="J4324">
        <v>1</v>
      </c>
      <c r="K4324" t="s">
        <v>51</v>
      </c>
      <c r="L4324">
        <v>2</v>
      </c>
      <c r="M4324" t="str">
        <f>VLOOKUP(D4324,State_Lookup!$A$2:$B$28,2,FALSE)</f>
        <v>Sao Paulo</v>
      </c>
    </row>
    <row r="4325" spans="1:13" x14ac:dyDescent="0.45">
      <c r="A4325" t="s">
        <v>5010</v>
      </c>
      <c r="B4325" t="s">
        <v>5007</v>
      </c>
      <c r="C4325" t="s">
        <v>4700</v>
      </c>
      <c r="D4325" t="s">
        <v>16</v>
      </c>
      <c r="E4325" t="s">
        <v>79</v>
      </c>
      <c r="F4325">
        <v>2</v>
      </c>
      <c r="G4325">
        <v>220.64</v>
      </c>
      <c r="H4325">
        <v>16.059999999999999</v>
      </c>
      <c r="I4325" t="s">
        <v>44</v>
      </c>
      <c r="J4325">
        <v>4</v>
      </c>
      <c r="K4325" t="s">
        <v>51</v>
      </c>
      <c r="L4325">
        <v>4</v>
      </c>
      <c r="M4325" t="str">
        <f>VLOOKUP(D4325,State_Lookup!$A$2:$B$28,2,FALSE)</f>
        <v>Sao Paulo</v>
      </c>
    </row>
    <row r="4326" spans="1:13" x14ac:dyDescent="0.45">
      <c r="A4326" t="s">
        <v>5011</v>
      </c>
      <c r="B4326" t="s">
        <v>5007</v>
      </c>
      <c r="C4326" t="s">
        <v>4700</v>
      </c>
      <c r="D4326" t="s">
        <v>18</v>
      </c>
      <c r="E4326" t="s">
        <v>66</v>
      </c>
      <c r="F4326">
        <v>1</v>
      </c>
      <c r="G4326">
        <v>25</v>
      </c>
      <c r="H4326">
        <v>15.28</v>
      </c>
      <c r="I4326" t="s">
        <v>44</v>
      </c>
      <c r="J4326">
        <v>7</v>
      </c>
      <c r="K4326" t="s">
        <v>51</v>
      </c>
      <c r="L4326">
        <v>5</v>
      </c>
      <c r="M4326" t="str">
        <f>VLOOKUP(D4326,State_Lookup!$A$2:$B$28,2,FALSE)</f>
        <v>Minas Gerais</v>
      </c>
    </row>
    <row r="4327" spans="1:13" x14ac:dyDescent="0.45">
      <c r="A4327" t="s">
        <v>5012</v>
      </c>
      <c r="B4327" t="s">
        <v>5007</v>
      </c>
      <c r="C4327" t="s">
        <v>4700</v>
      </c>
      <c r="D4327" t="s">
        <v>16</v>
      </c>
      <c r="E4327" t="s">
        <v>79</v>
      </c>
      <c r="F4327">
        <v>1</v>
      </c>
      <c r="G4327">
        <v>84.5</v>
      </c>
      <c r="H4327">
        <v>13.25</v>
      </c>
      <c r="I4327" t="s">
        <v>50</v>
      </c>
      <c r="J4327">
        <v>7</v>
      </c>
      <c r="K4327" t="s">
        <v>51</v>
      </c>
      <c r="L4327">
        <v>5</v>
      </c>
      <c r="M4327" t="str">
        <f>VLOOKUP(D4327,State_Lookup!$A$2:$B$28,2,FALSE)</f>
        <v>Sao Paulo</v>
      </c>
    </row>
    <row r="4328" spans="1:13" x14ac:dyDescent="0.45">
      <c r="A4328" t="s">
        <v>5013</v>
      </c>
      <c r="B4328" t="s">
        <v>5007</v>
      </c>
      <c r="C4328" t="s">
        <v>4700</v>
      </c>
      <c r="D4328" t="s">
        <v>17</v>
      </c>
      <c r="E4328" t="s">
        <v>110</v>
      </c>
      <c r="F4328">
        <v>1</v>
      </c>
      <c r="G4328">
        <v>56.99</v>
      </c>
      <c r="H4328">
        <v>19.59</v>
      </c>
      <c r="I4328" t="s">
        <v>44</v>
      </c>
      <c r="J4328">
        <v>7</v>
      </c>
      <c r="K4328" t="s">
        <v>51</v>
      </c>
      <c r="L4328">
        <v>5</v>
      </c>
      <c r="M4328" t="str">
        <f>VLOOKUP(D4328,State_Lookup!$A$2:$B$28,2,FALSE)</f>
        <v>Rio de Janeiro</v>
      </c>
    </row>
    <row r="4329" spans="1:13" x14ac:dyDescent="0.45">
      <c r="A4329" t="s">
        <v>5014</v>
      </c>
      <c r="B4329" t="s">
        <v>5007</v>
      </c>
      <c r="C4329" t="s">
        <v>4700</v>
      </c>
      <c r="D4329" t="s">
        <v>16</v>
      </c>
      <c r="E4329" t="s">
        <v>220</v>
      </c>
      <c r="F4329">
        <v>3</v>
      </c>
      <c r="G4329">
        <v>209.97</v>
      </c>
      <c r="H4329">
        <v>69.599999999999994</v>
      </c>
      <c r="I4329" t="s">
        <v>50</v>
      </c>
      <c r="J4329">
        <v>9</v>
      </c>
      <c r="K4329" t="s">
        <v>51</v>
      </c>
      <c r="L4329">
        <v>5</v>
      </c>
      <c r="M4329" t="str">
        <f>VLOOKUP(D4329,State_Lookup!$A$2:$B$28,2,FALSE)</f>
        <v>Sao Paulo</v>
      </c>
    </row>
    <row r="4330" spans="1:13" x14ac:dyDescent="0.45">
      <c r="A4330" t="s">
        <v>5015</v>
      </c>
      <c r="B4330" t="s">
        <v>5007</v>
      </c>
      <c r="C4330" t="s">
        <v>4700</v>
      </c>
      <c r="D4330" t="s">
        <v>16</v>
      </c>
      <c r="E4330" t="s">
        <v>157</v>
      </c>
      <c r="F4330">
        <v>1</v>
      </c>
      <c r="G4330">
        <v>117.87</v>
      </c>
      <c r="H4330">
        <v>15.93</v>
      </c>
      <c r="I4330" t="s">
        <v>50</v>
      </c>
      <c r="J4330">
        <v>15</v>
      </c>
      <c r="K4330" t="s">
        <v>51</v>
      </c>
      <c r="L4330">
        <v>5</v>
      </c>
      <c r="M4330" t="str">
        <f>VLOOKUP(D4330,State_Lookup!$A$2:$B$28,2,FALSE)</f>
        <v>Sao Paulo</v>
      </c>
    </row>
    <row r="4331" spans="1:13" x14ac:dyDescent="0.45">
      <c r="A4331" t="s">
        <v>5016</v>
      </c>
      <c r="B4331" t="s">
        <v>5007</v>
      </c>
      <c r="C4331" t="s">
        <v>4700</v>
      </c>
      <c r="D4331" t="s">
        <v>16</v>
      </c>
      <c r="E4331" t="s">
        <v>110</v>
      </c>
      <c r="F4331">
        <v>1</v>
      </c>
      <c r="G4331">
        <v>114.9</v>
      </c>
      <c r="H4331">
        <v>12.29</v>
      </c>
      <c r="I4331" t="s">
        <v>50</v>
      </c>
      <c r="J4331">
        <v>10</v>
      </c>
      <c r="K4331" t="s">
        <v>51</v>
      </c>
      <c r="L4331">
        <v>5</v>
      </c>
      <c r="M4331" t="str">
        <f>VLOOKUP(D4331,State_Lookup!$A$2:$B$28,2,FALSE)</f>
        <v>Sao Paulo</v>
      </c>
    </row>
    <row r="4332" spans="1:13" x14ac:dyDescent="0.45">
      <c r="A4332" t="s">
        <v>5017</v>
      </c>
      <c r="B4332" t="s">
        <v>5007</v>
      </c>
      <c r="C4332" t="s">
        <v>4700</v>
      </c>
      <c r="D4332" t="s">
        <v>25</v>
      </c>
      <c r="E4332" t="s">
        <v>132</v>
      </c>
      <c r="F4332">
        <v>1</v>
      </c>
      <c r="G4332">
        <v>49</v>
      </c>
      <c r="H4332">
        <v>15.44</v>
      </c>
      <c r="I4332" t="s">
        <v>44</v>
      </c>
      <c r="J4332">
        <v>13</v>
      </c>
      <c r="K4332" t="s">
        <v>51</v>
      </c>
      <c r="L4332">
        <v>4</v>
      </c>
      <c r="M4332" t="str">
        <f>VLOOKUP(D4332,State_Lookup!$A$2:$B$28,2,FALSE)</f>
        <v>Goias</v>
      </c>
    </row>
    <row r="4333" spans="1:13" x14ac:dyDescent="0.45">
      <c r="A4333" t="s">
        <v>5018</v>
      </c>
      <c r="B4333" t="s">
        <v>5007</v>
      </c>
      <c r="C4333" t="s">
        <v>4700</v>
      </c>
      <c r="D4333" t="s">
        <v>17</v>
      </c>
      <c r="E4333" t="s">
        <v>61</v>
      </c>
      <c r="F4333">
        <v>1</v>
      </c>
      <c r="G4333">
        <v>28.9</v>
      </c>
      <c r="H4333">
        <v>15.3</v>
      </c>
      <c r="I4333" t="s">
        <v>44</v>
      </c>
      <c r="J4333">
        <v>12</v>
      </c>
      <c r="K4333" t="s">
        <v>51</v>
      </c>
      <c r="L4333">
        <v>5</v>
      </c>
      <c r="M4333" t="str">
        <f>VLOOKUP(D4333,State_Lookup!$A$2:$B$28,2,FALSE)</f>
        <v>Rio de Janeiro</v>
      </c>
    </row>
    <row r="4334" spans="1:13" x14ac:dyDescent="0.45">
      <c r="A4334" t="s">
        <v>5019</v>
      </c>
      <c r="B4334" t="s">
        <v>5007</v>
      </c>
      <c r="C4334" t="s">
        <v>4700</v>
      </c>
      <c r="D4334" t="s">
        <v>18</v>
      </c>
      <c r="E4334" t="s">
        <v>103</v>
      </c>
      <c r="F4334">
        <v>1</v>
      </c>
      <c r="G4334">
        <v>48.9</v>
      </c>
      <c r="H4334">
        <v>19.53</v>
      </c>
      <c r="I4334" t="s">
        <v>44</v>
      </c>
      <c r="J4334">
        <v>7</v>
      </c>
      <c r="K4334" t="s">
        <v>51</v>
      </c>
      <c r="L4334">
        <v>3</v>
      </c>
      <c r="M4334" t="str">
        <f>VLOOKUP(D4334,State_Lookup!$A$2:$B$28,2,FALSE)</f>
        <v>Minas Gerais</v>
      </c>
    </row>
    <row r="4335" spans="1:13" x14ac:dyDescent="0.45">
      <c r="A4335" t="s">
        <v>5020</v>
      </c>
      <c r="B4335" t="s">
        <v>5007</v>
      </c>
      <c r="C4335" t="s">
        <v>4700</v>
      </c>
      <c r="D4335" t="s">
        <v>20</v>
      </c>
      <c r="E4335" t="s">
        <v>43</v>
      </c>
      <c r="F4335">
        <v>1</v>
      </c>
      <c r="G4335">
        <v>99.9</v>
      </c>
      <c r="H4335">
        <v>18.75</v>
      </c>
      <c r="I4335" t="s">
        <v>44</v>
      </c>
      <c r="J4335">
        <v>2</v>
      </c>
      <c r="K4335" t="s">
        <v>51</v>
      </c>
      <c r="L4335">
        <v>5</v>
      </c>
      <c r="M4335" t="str">
        <f>VLOOKUP(D4335,State_Lookup!$A$2:$B$28,2,FALSE)</f>
        <v>Parana</v>
      </c>
    </row>
    <row r="4336" spans="1:13" x14ac:dyDescent="0.45">
      <c r="A4336" t="s">
        <v>5021</v>
      </c>
      <c r="B4336" t="s">
        <v>5022</v>
      </c>
      <c r="C4336" t="s">
        <v>4700</v>
      </c>
      <c r="D4336" t="s">
        <v>16</v>
      </c>
      <c r="E4336" t="s">
        <v>69</v>
      </c>
      <c r="F4336">
        <v>1</v>
      </c>
      <c r="G4336">
        <v>49.9</v>
      </c>
      <c r="H4336">
        <v>20.99</v>
      </c>
      <c r="I4336" t="s">
        <v>108</v>
      </c>
      <c r="J4336">
        <v>6</v>
      </c>
      <c r="K4336" t="s">
        <v>51</v>
      </c>
      <c r="L4336">
        <v>5</v>
      </c>
      <c r="M4336" t="str">
        <f>VLOOKUP(D4336,State_Lookup!$A$2:$B$28,2,FALSE)</f>
        <v>Sao Paulo</v>
      </c>
    </row>
    <row r="4337" spans="1:13" x14ac:dyDescent="0.45">
      <c r="A4337" t="s">
        <v>5023</v>
      </c>
      <c r="B4337" t="s">
        <v>5022</v>
      </c>
      <c r="C4337" t="s">
        <v>4700</v>
      </c>
      <c r="D4337" t="s">
        <v>63</v>
      </c>
      <c r="E4337" t="s">
        <v>61</v>
      </c>
      <c r="F4337">
        <v>1</v>
      </c>
      <c r="G4337">
        <v>149.9</v>
      </c>
      <c r="H4337">
        <v>15.5</v>
      </c>
      <c r="I4337" t="s">
        <v>50</v>
      </c>
      <c r="J4337">
        <v>5</v>
      </c>
      <c r="K4337" t="s">
        <v>51</v>
      </c>
      <c r="L4337">
        <v>5</v>
      </c>
      <c r="M4337" t="str">
        <f>VLOOKUP(D4337,State_Lookup!$A$2:$B$28,2,FALSE)</f>
        <v>Pernambuco</v>
      </c>
    </row>
    <row r="4338" spans="1:13" x14ac:dyDescent="0.45">
      <c r="A4338" t="s">
        <v>5024</v>
      </c>
      <c r="B4338" t="s">
        <v>5022</v>
      </c>
      <c r="C4338" t="s">
        <v>4700</v>
      </c>
      <c r="D4338" t="s">
        <v>16</v>
      </c>
      <c r="E4338" t="s">
        <v>192</v>
      </c>
      <c r="F4338">
        <v>1</v>
      </c>
      <c r="G4338">
        <v>36.99</v>
      </c>
      <c r="H4338">
        <v>14.57</v>
      </c>
      <c r="I4338" t="s">
        <v>50</v>
      </c>
      <c r="J4338">
        <v>7</v>
      </c>
      <c r="K4338" t="s">
        <v>51</v>
      </c>
      <c r="L4338">
        <v>5</v>
      </c>
      <c r="M4338" t="str">
        <f>VLOOKUP(D4338,State_Lookup!$A$2:$B$28,2,FALSE)</f>
        <v>Sao Paulo</v>
      </c>
    </row>
    <row r="4339" spans="1:13" x14ac:dyDescent="0.45">
      <c r="A4339" t="s">
        <v>5025</v>
      </c>
      <c r="B4339" t="s">
        <v>5022</v>
      </c>
      <c r="C4339" t="s">
        <v>4700</v>
      </c>
      <c r="D4339" t="s">
        <v>23</v>
      </c>
      <c r="E4339" t="s">
        <v>125</v>
      </c>
      <c r="F4339">
        <v>1</v>
      </c>
      <c r="G4339">
        <v>60.9</v>
      </c>
      <c r="H4339">
        <v>18.23</v>
      </c>
      <c r="I4339" t="s">
        <v>44</v>
      </c>
      <c r="J4339">
        <v>8</v>
      </c>
      <c r="K4339" t="s">
        <v>51</v>
      </c>
      <c r="L4339">
        <v>4</v>
      </c>
      <c r="M4339" t="str">
        <f>VLOOKUP(D4339,State_Lookup!$A$2:$B$28,2,FALSE)</f>
        <v>Espirito Santo</v>
      </c>
    </row>
    <row r="4340" spans="1:13" x14ac:dyDescent="0.45">
      <c r="A4340" t="s">
        <v>5026</v>
      </c>
      <c r="B4340" t="s">
        <v>5022</v>
      </c>
      <c r="C4340" t="s">
        <v>4700</v>
      </c>
      <c r="D4340" t="s">
        <v>17</v>
      </c>
      <c r="E4340" t="s">
        <v>220</v>
      </c>
      <c r="F4340">
        <v>1</v>
      </c>
      <c r="G4340">
        <v>349.9</v>
      </c>
      <c r="H4340">
        <v>105.84</v>
      </c>
      <c r="I4340" t="s">
        <v>44</v>
      </c>
      <c r="J4340">
        <v>14</v>
      </c>
      <c r="K4340" t="s">
        <v>51</v>
      </c>
      <c r="L4340">
        <v>5</v>
      </c>
      <c r="M4340" t="str">
        <f>VLOOKUP(D4340,State_Lookup!$A$2:$B$28,2,FALSE)</f>
        <v>Rio de Janeiro</v>
      </c>
    </row>
    <row r="4341" spans="1:13" x14ac:dyDescent="0.45">
      <c r="A4341" t="s">
        <v>5027</v>
      </c>
      <c r="B4341" t="s">
        <v>5022</v>
      </c>
      <c r="C4341" t="s">
        <v>4700</v>
      </c>
      <c r="D4341" t="s">
        <v>18</v>
      </c>
      <c r="E4341" t="s">
        <v>157</v>
      </c>
      <c r="F4341">
        <v>1</v>
      </c>
      <c r="G4341">
        <v>49.89</v>
      </c>
      <c r="H4341">
        <v>22.28</v>
      </c>
      <c r="I4341" t="s">
        <v>44</v>
      </c>
      <c r="J4341">
        <v>6</v>
      </c>
      <c r="K4341" t="s">
        <v>51</v>
      </c>
      <c r="L4341">
        <v>5</v>
      </c>
      <c r="M4341" t="str">
        <f>VLOOKUP(D4341,State_Lookup!$A$2:$B$28,2,FALSE)</f>
        <v>Minas Gerais</v>
      </c>
    </row>
    <row r="4342" spans="1:13" x14ac:dyDescent="0.45">
      <c r="A4342" t="s">
        <v>5028</v>
      </c>
      <c r="B4342" t="s">
        <v>5022</v>
      </c>
      <c r="C4342" t="s">
        <v>4700</v>
      </c>
      <c r="D4342" t="s">
        <v>22</v>
      </c>
      <c r="E4342" t="s">
        <v>302</v>
      </c>
      <c r="F4342">
        <v>1</v>
      </c>
      <c r="G4342">
        <v>149</v>
      </c>
      <c r="H4342">
        <v>22.97</v>
      </c>
      <c r="I4342" t="s">
        <v>44</v>
      </c>
      <c r="J4342">
        <v>17</v>
      </c>
      <c r="K4342" t="s">
        <v>51</v>
      </c>
      <c r="L4342">
        <v>5</v>
      </c>
      <c r="M4342" t="str">
        <f>VLOOKUP(D4342,State_Lookup!$A$2:$B$28,2,FALSE)</f>
        <v>Bahia</v>
      </c>
    </row>
    <row r="4343" spans="1:13" x14ac:dyDescent="0.45">
      <c r="A4343" t="s">
        <v>5029</v>
      </c>
      <c r="B4343" t="s">
        <v>5022</v>
      </c>
      <c r="C4343" t="s">
        <v>4700</v>
      </c>
      <c r="D4343" t="s">
        <v>16</v>
      </c>
      <c r="E4343" t="s">
        <v>157</v>
      </c>
      <c r="F4343">
        <v>1</v>
      </c>
      <c r="G4343">
        <v>55</v>
      </c>
      <c r="H4343">
        <v>7.65</v>
      </c>
      <c r="I4343" t="s">
        <v>44</v>
      </c>
      <c r="J4343">
        <v>1</v>
      </c>
      <c r="K4343" t="s">
        <v>51</v>
      </c>
      <c r="L4343">
        <v>5</v>
      </c>
      <c r="M4343" t="str">
        <f>VLOOKUP(D4343,State_Lookup!$A$2:$B$28,2,FALSE)</f>
        <v>Sao Paulo</v>
      </c>
    </row>
    <row r="4344" spans="1:13" x14ac:dyDescent="0.45">
      <c r="A4344" t="s">
        <v>5030</v>
      </c>
      <c r="B4344" t="s">
        <v>5031</v>
      </c>
      <c r="C4344" t="s">
        <v>4700</v>
      </c>
      <c r="D4344" t="s">
        <v>17</v>
      </c>
      <c r="E4344" t="s">
        <v>366</v>
      </c>
      <c r="F4344">
        <v>1</v>
      </c>
      <c r="G4344">
        <v>165</v>
      </c>
      <c r="H4344">
        <v>19.260000000000002</v>
      </c>
      <c r="I4344" t="s">
        <v>44</v>
      </c>
      <c r="J4344">
        <v>10</v>
      </c>
      <c r="K4344" t="s">
        <v>51</v>
      </c>
      <c r="L4344">
        <v>5</v>
      </c>
      <c r="M4344" t="str">
        <f>VLOOKUP(D4344,State_Lookup!$A$2:$B$28,2,FALSE)</f>
        <v>Rio de Janeiro</v>
      </c>
    </row>
    <row r="4345" spans="1:13" x14ac:dyDescent="0.45">
      <c r="A4345" t="s">
        <v>5032</v>
      </c>
      <c r="B4345" t="s">
        <v>5031</v>
      </c>
      <c r="C4345" t="s">
        <v>4700</v>
      </c>
      <c r="D4345" t="s">
        <v>16</v>
      </c>
      <c r="E4345" t="s">
        <v>79</v>
      </c>
      <c r="F4345">
        <v>1</v>
      </c>
      <c r="G4345">
        <v>129</v>
      </c>
      <c r="H4345">
        <v>18.7</v>
      </c>
      <c r="I4345" t="s">
        <v>50</v>
      </c>
      <c r="J4345">
        <v>13</v>
      </c>
      <c r="K4345" t="s">
        <v>51</v>
      </c>
      <c r="L4345">
        <v>4</v>
      </c>
      <c r="M4345" t="str">
        <f>VLOOKUP(D4345,State_Lookup!$A$2:$B$28,2,FALSE)</f>
        <v>Sao Paulo</v>
      </c>
    </row>
    <row r="4346" spans="1:13" x14ac:dyDescent="0.45">
      <c r="A4346" t="s">
        <v>5033</v>
      </c>
      <c r="B4346" t="s">
        <v>5031</v>
      </c>
      <c r="C4346" t="s">
        <v>4700</v>
      </c>
      <c r="D4346" t="s">
        <v>23</v>
      </c>
      <c r="E4346" t="s">
        <v>53</v>
      </c>
      <c r="F4346">
        <v>1</v>
      </c>
      <c r="G4346">
        <v>109</v>
      </c>
      <c r="H4346">
        <v>41.74</v>
      </c>
      <c r="I4346" t="s">
        <v>44</v>
      </c>
      <c r="J4346">
        <v>11</v>
      </c>
      <c r="K4346" t="s">
        <v>51</v>
      </c>
      <c r="L4346">
        <v>2</v>
      </c>
      <c r="M4346" t="str">
        <f>VLOOKUP(D4346,State_Lookup!$A$2:$B$28,2,FALSE)</f>
        <v>Espirito Santo</v>
      </c>
    </row>
    <row r="4347" spans="1:13" x14ac:dyDescent="0.45">
      <c r="A4347" t="s">
        <v>5034</v>
      </c>
      <c r="B4347" t="s">
        <v>5031</v>
      </c>
      <c r="C4347" t="s">
        <v>4700</v>
      </c>
      <c r="D4347" t="s">
        <v>113</v>
      </c>
      <c r="E4347" t="s">
        <v>66</v>
      </c>
      <c r="F4347">
        <v>1</v>
      </c>
      <c r="G4347">
        <v>29.99</v>
      </c>
      <c r="H4347">
        <v>22.93</v>
      </c>
      <c r="I4347" t="s">
        <v>44</v>
      </c>
      <c r="J4347">
        <v>27</v>
      </c>
      <c r="K4347" t="s">
        <v>143</v>
      </c>
      <c r="L4347">
        <v>2</v>
      </c>
      <c r="M4347" t="str">
        <f>VLOOKUP(D4347,State_Lookup!$A$2:$B$28,2,FALSE)</f>
        <v>Piaui</v>
      </c>
    </row>
    <row r="4348" spans="1:13" x14ac:dyDescent="0.45">
      <c r="A4348" t="s">
        <v>5035</v>
      </c>
      <c r="B4348" t="s">
        <v>5031</v>
      </c>
      <c r="C4348" t="s">
        <v>4700</v>
      </c>
      <c r="D4348" t="s">
        <v>21</v>
      </c>
      <c r="E4348" t="s">
        <v>537</v>
      </c>
      <c r="F4348">
        <v>1</v>
      </c>
      <c r="G4348">
        <v>287</v>
      </c>
      <c r="H4348">
        <v>61.24</v>
      </c>
      <c r="I4348" t="s">
        <v>50</v>
      </c>
      <c r="J4348">
        <v>12</v>
      </c>
      <c r="K4348" t="s">
        <v>51</v>
      </c>
      <c r="L4348">
        <v>3</v>
      </c>
      <c r="M4348" t="str">
        <f>VLOOKUP(D4348,State_Lookup!$A$2:$B$28,2,FALSE)</f>
        <v>Santa Catarina</v>
      </c>
    </row>
    <row r="4349" spans="1:13" x14ac:dyDescent="0.45">
      <c r="A4349" t="s">
        <v>5036</v>
      </c>
      <c r="B4349" t="s">
        <v>5031</v>
      </c>
      <c r="C4349" t="s">
        <v>4700</v>
      </c>
      <c r="D4349" t="s">
        <v>16</v>
      </c>
      <c r="E4349" t="s">
        <v>192</v>
      </c>
      <c r="F4349">
        <v>1</v>
      </c>
      <c r="G4349">
        <v>39.99</v>
      </c>
      <c r="H4349">
        <v>14.59</v>
      </c>
      <c r="I4349" t="s">
        <v>44</v>
      </c>
      <c r="J4349">
        <v>7</v>
      </c>
      <c r="K4349" t="s">
        <v>51</v>
      </c>
      <c r="L4349">
        <v>5</v>
      </c>
      <c r="M4349" t="str">
        <f>VLOOKUP(D4349,State_Lookup!$A$2:$B$28,2,FALSE)</f>
        <v>Sao Paulo</v>
      </c>
    </row>
    <row r="4350" spans="1:13" x14ac:dyDescent="0.45">
      <c r="A4350" t="s">
        <v>5037</v>
      </c>
      <c r="B4350" t="s">
        <v>5031</v>
      </c>
      <c r="C4350" t="s">
        <v>4700</v>
      </c>
      <c r="D4350" t="s">
        <v>18</v>
      </c>
      <c r="E4350" t="s">
        <v>43</v>
      </c>
      <c r="F4350">
        <v>2</v>
      </c>
      <c r="G4350">
        <v>70</v>
      </c>
      <c r="H4350">
        <v>38.880000000000003</v>
      </c>
      <c r="I4350" t="s">
        <v>44</v>
      </c>
      <c r="J4350">
        <v>10</v>
      </c>
      <c r="K4350" t="s">
        <v>51</v>
      </c>
      <c r="L4350">
        <v>3</v>
      </c>
      <c r="M4350" t="str">
        <f>VLOOKUP(D4350,State_Lookup!$A$2:$B$28,2,FALSE)</f>
        <v>Minas Gerais</v>
      </c>
    </row>
    <row r="4351" spans="1:13" x14ac:dyDescent="0.45">
      <c r="A4351" t="s">
        <v>5038</v>
      </c>
      <c r="B4351" t="s">
        <v>5031</v>
      </c>
      <c r="C4351" t="s">
        <v>4700</v>
      </c>
      <c r="D4351" t="s">
        <v>18</v>
      </c>
      <c r="E4351" t="s">
        <v>110</v>
      </c>
      <c r="F4351">
        <v>1</v>
      </c>
      <c r="G4351">
        <v>169.4</v>
      </c>
      <c r="H4351">
        <v>23.99</v>
      </c>
      <c r="I4351" t="s">
        <v>44</v>
      </c>
      <c r="J4351">
        <v>7</v>
      </c>
      <c r="K4351" t="s">
        <v>51</v>
      </c>
      <c r="L4351">
        <v>2</v>
      </c>
      <c r="M4351" t="str">
        <f>VLOOKUP(D4351,State_Lookup!$A$2:$B$28,2,FALSE)</f>
        <v>Minas Gerais</v>
      </c>
    </row>
    <row r="4352" spans="1:13" x14ac:dyDescent="0.45">
      <c r="A4352" t="s">
        <v>5039</v>
      </c>
      <c r="B4352" t="s">
        <v>5031</v>
      </c>
      <c r="C4352" t="s">
        <v>4700</v>
      </c>
      <c r="D4352" t="s">
        <v>17</v>
      </c>
      <c r="E4352" t="s">
        <v>110</v>
      </c>
      <c r="F4352">
        <v>1</v>
      </c>
      <c r="G4352">
        <v>61.9</v>
      </c>
      <c r="H4352">
        <v>18.23</v>
      </c>
      <c r="I4352" t="s">
        <v>44</v>
      </c>
      <c r="J4352">
        <v>5</v>
      </c>
      <c r="K4352" t="s">
        <v>51</v>
      </c>
      <c r="L4352">
        <v>4</v>
      </c>
      <c r="M4352" t="str">
        <f>VLOOKUP(D4352,State_Lookup!$A$2:$B$28,2,FALSE)</f>
        <v>Rio de Janeiro</v>
      </c>
    </row>
    <row r="4353" spans="1:13" x14ac:dyDescent="0.45">
      <c r="A4353" t="s">
        <v>5040</v>
      </c>
      <c r="B4353" t="s">
        <v>5031</v>
      </c>
      <c r="C4353" t="s">
        <v>4700</v>
      </c>
      <c r="D4353" t="s">
        <v>25</v>
      </c>
      <c r="E4353" t="s">
        <v>142</v>
      </c>
      <c r="F4353">
        <v>1</v>
      </c>
      <c r="G4353">
        <v>76.5</v>
      </c>
      <c r="H4353">
        <v>26.84</v>
      </c>
      <c r="I4353" t="s">
        <v>44</v>
      </c>
      <c r="J4353">
        <v>8</v>
      </c>
      <c r="K4353" t="s">
        <v>51</v>
      </c>
      <c r="L4353">
        <v>4</v>
      </c>
      <c r="M4353" t="str">
        <f>VLOOKUP(D4353,State_Lookup!$A$2:$B$28,2,FALSE)</f>
        <v>Goias</v>
      </c>
    </row>
    <row r="4354" spans="1:13" x14ac:dyDescent="0.45">
      <c r="A4354" t="s">
        <v>5041</v>
      </c>
      <c r="B4354" t="s">
        <v>5031</v>
      </c>
      <c r="C4354" t="s">
        <v>4700</v>
      </c>
      <c r="D4354" t="s">
        <v>19</v>
      </c>
      <c r="E4354" t="s">
        <v>142</v>
      </c>
      <c r="F4354">
        <v>4</v>
      </c>
      <c r="G4354">
        <v>99.56</v>
      </c>
      <c r="H4354">
        <v>73.08</v>
      </c>
      <c r="I4354" t="s">
        <v>44</v>
      </c>
      <c r="J4354">
        <v>14</v>
      </c>
      <c r="K4354" t="s">
        <v>51</v>
      </c>
      <c r="L4354">
        <v>1</v>
      </c>
      <c r="M4354" t="str">
        <f>VLOOKUP(D4354,State_Lookup!$A$2:$B$28,2,FALSE)</f>
        <v>Rio Grande do Sul</v>
      </c>
    </row>
    <row r="4355" spans="1:13" x14ac:dyDescent="0.45">
      <c r="A4355" t="s">
        <v>5042</v>
      </c>
      <c r="B4355" t="s">
        <v>5031</v>
      </c>
      <c r="C4355" t="s">
        <v>4700</v>
      </c>
      <c r="D4355" t="s">
        <v>18</v>
      </c>
      <c r="E4355" t="s">
        <v>157</v>
      </c>
      <c r="F4355">
        <v>1</v>
      </c>
      <c r="G4355">
        <v>97.9</v>
      </c>
      <c r="H4355">
        <v>18.79</v>
      </c>
      <c r="I4355" t="s">
        <v>44</v>
      </c>
      <c r="J4355">
        <v>10</v>
      </c>
      <c r="K4355" t="s">
        <v>51</v>
      </c>
      <c r="L4355">
        <v>5</v>
      </c>
      <c r="M4355" t="str">
        <f>VLOOKUP(D4355,State_Lookup!$A$2:$B$28,2,FALSE)</f>
        <v>Minas Gerais</v>
      </c>
    </row>
    <row r="4356" spans="1:13" x14ac:dyDescent="0.45">
      <c r="A4356" t="s">
        <v>5043</v>
      </c>
      <c r="B4356" t="s">
        <v>5031</v>
      </c>
      <c r="C4356" t="s">
        <v>4700</v>
      </c>
      <c r="D4356" t="s">
        <v>20</v>
      </c>
      <c r="E4356" t="s">
        <v>61</v>
      </c>
      <c r="F4356">
        <v>1</v>
      </c>
      <c r="G4356">
        <v>60.9</v>
      </c>
      <c r="H4356">
        <v>13.77</v>
      </c>
      <c r="I4356" t="s">
        <v>44</v>
      </c>
      <c r="J4356">
        <v>11</v>
      </c>
      <c r="K4356" t="s">
        <v>51</v>
      </c>
      <c r="L4356">
        <v>1</v>
      </c>
      <c r="M4356" t="str">
        <f>VLOOKUP(D4356,State_Lookup!$A$2:$B$28,2,FALSE)</f>
        <v>Parana</v>
      </c>
    </row>
    <row r="4357" spans="1:13" x14ac:dyDescent="0.45">
      <c r="A4357" t="s">
        <v>5044</v>
      </c>
      <c r="B4357" t="s">
        <v>5031</v>
      </c>
      <c r="C4357" t="s">
        <v>4700</v>
      </c>
      <c r="D4357" t="s">
        <v>16</v>
      </c>
      <c r="E4357" t="s">
        <v>157</v>
      </c>
      <c r="F4357">
        <v>1</v>
      </c>
      <c r="G4357">
        <v>359.6</v>
      </c>
      <c r="H4357">
        <v>20.62</v>
      </c>
      <c r="I4357" t="s">
        <v>44</v>
      </c>
      <c r="J4357">
        <v>4</v>
      </c>
      <c r="K4357" t="s">
        <v>51</v>
      </c>
      <c r="L4357">
        <v>5</v>
      </c>
      <c r="M4357" t="str">
        <f>VLOOKUP(D4357,State_Lookup!$A$2:$B$28,2,FALSE)</f>
        <v>Sao Paulo</v>
      </c>
    </row>
    <row r="4358" spans="1:13" x14ac:dyDescent="0.45">
      <c r="A4358" t="s">
        <v>5045</v>
      </c>
      <c r="B4358" t="s">
        <v>5031</v>
      </c>
      <c r="C4358" t="s">
        <v>4700</v>
      </c>
      <c r="D4358" t="s">
        <v>18</v>
      </c>
      <c r="E4358" t="s">
        <v>64</v>
      </c>
      <c r="F4358">
        <v>1</v>
      </c>
      <c r="G4358">
        <v>36</v>
      </c>
      <c r="H4358">
        <v>23.05</v>
      </c>
      <c r="I4358" t="s">
        <v>44</v>
      </c>
      <c r="J4358">
        <v>5</v>
      </c>
      <c r="K4358" t="s">
        <v>51</v>
      </c>
      <c r="L4358">
        <v>5</v>
      </c>
      <c r="M4358" t="str">
        <f>VLOOKUP(D4358,State_Lookup!$A$2:$B$28,2,FALSE)</f>
        <v>Minas Gerais</v>
      </c>
    </row>
    <row r="4359" spans="1:13" x14ac:dyDescent="0.45">
      <c r="A4359" t="s">
        <v>5046</v>
      </c>
      <c r="B4359" t="s">
        <v>5031</v>
      </c>
      <c r="C4359" t="s">
        <v>4700</v>
      </c>
      <c r="D4359" t="s">
        <v>17</v>
      </c>
      <c r="E4359" t="s">
        <v>49</v>
      </c>
      <c r="F4359">
        <v>1</v>
      </c>
      <c r="G4359">
        <v>75</v>
      </c>
      <c r="H4359">
        <v>7.95</v>
      </c>
      <c r="I4359" t="s">
        <v>108</v>
      </c>
      <c r="J4359">
        <v>4</v>
      </c>
      <c r="K4359" t="s">
        <v>51</v>
      </c>
      <c r="L4359">
        <v>4</v>
      </c>
      <c r="M4359" t="str">
        <f>VLOOKUP(D4359,State_Lookup!$A$2:$B$28,2,FALSE)</f>
        <v>Rio de Janeiro</v>
      </c>
    </row>
    <row r="4360" spans="1:13" x14ac:dyDescent="0.45">
      <c r="A4360" t="s">
        <v>5047</v>
      </c>
      <c r="B4360" t="s">
        <v>5031</v>
      </c>
      <c r="C4360" t="s">
        <v>4700</v>
      </c>
      <c r="D4360" t="s">
        <v>672</v>
      </c>
      <c r="E4360" t="s">
        <v>61</v>
      </c>
      <c r="F4360">
        <v>1</v>
      </c>
      <c r="G4360">
        <v>59.99</v>
      </c>
      <c r="H4360">
        <v>23.14</v>
      </c>
      <c r="I4360" t="s">
        <v>44</v>
      </c>
      <c r="J4360">
        <v>12</v>
      </c>
      <c r="K4360" t="s">
        <v>51</v>
      </c>
      <c r="L4360">
        <v>4</v>
      </c>
      <c r="M4360" t="str">
        <f>VLOOKUP(D4360,State_Lookup!$A$2:$B$28,2,FALSE)</f>
        <v>Paraiba</v>
      </c>
    </row>
    <row r="4361" spans="1:13" x14ac:dyDescent="0.45">
      <c r="A4361" t="s">
        <v>5048</v>
      </c>
      <c r="B4361" t="s">
        <v>5031</v>
      </c>
      <c r="C4361" t="s">
        <v>4700</v>
      </c>
      <c r="D4361" t="s">
        <v>16</v>
      </c>
      <c r="E4361" t="s">
        <v>43</v>
      </c>
      <c r="F4361">
        <v>3</v>
      </c>
      <c r="G4361">
        <v>105</v>
      </c>
      <c r="H4361">
        <v>41.49</v>
      </c>
      <c r="I4361" t="s">
        <v>44</v>
      </c>
      <c r="J4361">
        <v>8</v>
      </c>
      <c r="K4361" t="s">
        <v>51</v>
      </c>
      <c r="L4361">
        <v>5</v>
      </c>
      <c r="M4361" t="str">
        <f>VLOOKUP(D4361,State_Lookup!$A$2:$B$28,2,FALSE)</f>
        <v>Sao Paulo</v>
      </c>
    </row>
    <row r="4362" spans="1:13" x14ac:dyDescent="0.45">
      <c r="A4362" t="s">
        <v>5049</v>
      </c>
      <c r="B4362" t="s">
        <v>5050</v>
      </c>
      <c r="C4362" t="s">
        <v>4700</v>
      </c>
      <c r="D4362" t="s">
        <v>122</v>
      </c>
      <c r="E4362" t="s">
        <v>148</v>
      </c>
      <c r="F4362">
        <v>1</v>
      </c>
      <c r="G4362">
        <v>259.99</v>
      </c>
      <c r="H4362">
        <v>65.38</v>
      </c>
      <c r="I4362" t="s">
        <v>50</v>
      </c>
      <c r="J4362">
        <v>14</v>
      </c>
      <c r="K4362" t="s">
        <v>51</v>
      </c>
      <c r="L4362">
        <v>3</v>
      </c>
      <c r="M4362" t="str">
        <f>VLOOKUP(D4362,State_Lookup!$A$2:$B$28,2,FALSE)</f>
        <v>Para</v>
      </c>
    </row>
    <row r="4363" spans="1:13" x14ac:dyDescent="0.45">
      <c r="A4363" t="s">
        <v>5051</v>
      </c>
      <c r="B4363" t="s">
        <v>5050</v>
      </c>
      <c r="C4363" t="s">
        <v>4700</v>
      </c>
      <c r="D4363" t="s">
        <v>16</v>
      </c>
      <c r="E4363" t="s">
        <v>244</v>
      </c>
      <c r="F4363">
        <v>1</v>
      </c>
      <c r="G4363">
        <v>83</v>
      </c>
      <c r="H4363">
        <v>7.84</v>
      </c>
      <c r="I4363" t="s">
        <v>50</v>
      </c>
      <c r="J4363">
        <v>6</v>
      </c>
      <c r="K4363" t="s">
        <v>51</v>
      </c>
      <c r="L4363">
        <v>4</v>
      </c>
      <c r="M4363" t="str">
        <f>VLOOKUP(D4363,State_Lookup!$A$2:$B$28,2,FALSE)</f>
        <v>Sao Paulo</v>
      </c>
    </row>
    <row r="4364" spans="1:13" x14ac:dyDescent="0.45">
      <c r="A4364" t="s">
        <v>5052</v>
      </c>
      <c r="B4364" t="s">
        <v>5050</v>
      </c>
      <c r="C4364" t="s">
        <v>4700</v>
      </c>
      <c r="D4364" t="s">
        <v>16</v>
      </c>
      <c r="E4364" t="s">
        <v>157</v>
      </c>
      <c r="F4364">
        <v>1</v>
      </c>
      <c r="G4364">
        <v>139</v>
      </c>
      <c r="H4364">
        <v>19.07</v>
      </c>
      <c r="I4364" t="s">
        <v>44</v>
      </c>
      <c r="J4364">
        <v>9</v>
      </c>
      <c r="K4364" t="s">
        <v>51</v>
      </c>
      <c r="L4364">
        <v>5</v>
      </c>
      <c r="M4364" t="str">
        <f>VLOOKUP(D4364,State_Lookup!$A$2:$B$28,2,FALSE)</f>
        <v>Sao Paulo</v>
      </c>
    </row>
    <row r="4365" spans="1:13" x14ac:dyDescent="0.45">
      <c r="A4365" t="s">
        <v>5053</v>
      </c>
      <c r="B4365" t="s">
        <v>5050</v>
      </c>
      <c r="C4365" t="s">
        <v>4700</v>
      </c>
      <c r="D4365" t="s">
        <v>208</v>
      </c>
      <c r="E4365" t="s">
        <v>53</v>
      </c>
      <c r="F4365">
        <v>1</v>
      </c>
      <c r="G4365">
        <v>367.9</v>
      </c>
      <c r="H4365">
        <v>193.76</v>
      </c>
      <c r="I4365" t="s">
        <v>44</v>
      </c>
      <c r="J4365">
        <v>13</v>
      </c>
      <c r="K4365" t="s">
        <v>51</v>
      </c>
      <c r="L4365">
        <v>5</v>
      </c>
      <c r="M4365" t="str">
        <f>VLOOKUP(D4365,State_Lookup!$A$2:$B$28,2,FALSE)</f>
        <v>Mato Grosso</v>
      </c>
    </row>
    <row r="4366" spans="1:13" x14ac:dyDescent="0.45">
      <c r="A4366" t="s">
        <v>5054</v>
      </c>
      <c r="B4366" t="s">
        <v>5050</v>
      </c>
      <c r="C4366" t="s">
        <v>4700</v>
      </c>
      <c r="D4366" t="s">
        <v>16</v>
      </c>
      <c r="E4366" t="s">
        <v>107</v>
      </c>
      <c r="F4366">
        <v>1</v>
      </c>
      <c r="G4366">
        <v>62</v>
      </c>
      <c r="H4366">
        <v>17.75</v>
      </c>
      <c r="I4366" t="s">
        <v>133</v>
      </c>
      <c r="J4366">
        <v>6</v>
      </c>
      <c r="K4366" t="s">
        <v>51</v>
      </c>
      <c r="L4366">
        <v>5</v>
      </c>
      <c r="M4366" t="str">
        <f>VLOOKUP(D4366,State_Lookup!$A$2:$B$28,2,FALSE)</f>
        <v>Sao Paulo</v>
      </c>
    </row>
    <row r="4367" spans="1:13" x14ac:dyDescent="0.45">
      <c r="A4367" t="s">
        <v>5055</v>
      </c>
      <c r="B4367" t="s">
        <v>5050</v>
      </c>
      <c r="C4367" t="s">
        <v>4700</v>
      </c>
      <c r="D4367" t="s">
        <v>18</v>
      </c>
      <c r="E4367" t="s">
        <v>107</v>
      </c>
      <c r="F4367">
        <v>1</v>
      </c>
      <c r="G4367">
        <v>256</v>
      </c>
      <c r="H4367">
        <v>24.59</v>
      </c>
      <c r="I4367" t="s">
        <v>44</v>
      </c>
      <c r="J4367">
        <v>10</v>
      </c>
      <c r="K4367" t="s">
        <v>51</v>
      </c>
      <c r="L4367">
        <v>4</v>
      </c>
      <c r="M4367" t="str">
        <f>VLOOKUP(D4367,State_Lookup!$A$2:$B$28,2,FALSE)</f>
        <v>Minas Gerais</v>
      </c>
    </row>
    <row r="4368" spans="1:13" x14ac:dyDescent="0.45">
      <c r="A4368" t="s">
        <v>5056</v>
      </c>
      <c r="B4368" t="s">
        <v>5050</v>
      </c>
      <c r="C4368" t="s">
        <v>4700</v>
      </c>
      <c r="D4368" t="s">
        <v>22</v>
      </c>
      <c r="E4368" t="s">
        <v>199</v>
      </c>
      <c r="F4368">
        <v>2</v>
      </c>
      <c r="G4368">
        <v>29.6</v>
      </c>
      <c r="H4368">
        <v>34.119999999999997</v>
      </c>
      <c r="I4368" t="s">
        <v>133</v>
      </c>
      <c r="J4368">
        <v>14</v>
      </c>
      <c r="K4368" t="s">
        <v>51</v>
      </c>
      <c r="L4368">
        <v>1</v>
      </c>
      <c r="M4368" t="str">
        <f>VLOOKUP(D4368,State_Lookup!$A$2:$B$28,2,FALSE)</f>
        <v>Bahia</v>
      </c>
    </row>
    <row r="4369" spans="1:13" x14ac:dyDescent="0.45">
      <c r="A4369" t="s">
        <v>5057</v>
      </c>
      <c r="B4369" t="s">
        <v>5050</v>
      </c>
      <c r="C4369" t="s">
        <v>4700</v>
      </c>
      <c r="D4369" t="s">
        <v>16</v>
      </c>
      <c r="E4369" t="s">
        <v>110</v>
      </c>
      <c r="F4369">
        <v>1</v>
      </c>
      <c r="G4369">
        <v>21.99</v>
      </c>
      <c r="H4369">
        <v>12.81</v>
      </c>
      <c r="I4369" t="s">
        <v>44</v>
      </c>
      <c r="J4369">
        <v>4</v>
      </c>
      <c r="K4369" t="s">
        <v>51</v>
      </c>
      <c r="L4369">
        <v>5</v>
      </c>
      <c r="M4369" t="str">
        <f>VLOOKUP(D4369,State_Lookup!$A$2:$B$28,2,FALSE)</f>
        <v>Sao Paulo</v>
      </c>
    </row>
    <row r="4370" spans="1:13" x14ac:dyDescent="0.45">
      <c r="A4370" t="s">
        <v>5058</v>
      </c>
      <c r="B4370" t="s">
        <v>5050</v>
      </c>
      <c r="C4370" t="s">
        <v>4700</v>
      </c>
      <c r="D4370" t="s">
        <v>21</v>
      </c>
      <c r="E4370" t="s">
        <v>61</v>
      </c>
      <c r="F4370">
        <v>1</v>
      </c>
      <c r="G4370">
        <v>12.9</v>
      </c>
      <c r="H4370">
        <v>15.23</v>
      </c>
      <c r="I4370" t="s">
        <v>44</v>
      </c>
      <c r="J4370">
        <v>6</v>
      </c>
      <c r="K4370" t="s">
        <v>51</v>
      </c>
      <c r="L4370">
        <v>5</v>
      </c>
      <c r="M4370" t="str">
        <f>VLOOKUP(D4370,State_Lookup!$A$2:$B$28,2,FALSE)</f>
        <v>Santa Catarina</v>
      </c>
    </row>
    <row r="4371" spans="1:13" x14ac:dyDescent="0.45">
      <c r="A4371" t="s">
        <v>5059</v>
      </c>
      <c r="B4371" t="s">
        <v>5060</v>
      </c>
      <c r="C4371" t="s">
        <v>4700</v>
      </c>
      <c r="D4371" t="s">
        <v>16</v>
      </c>
      <c r="E4371" t="s">
        <v>61</v>
      </c>
      <c r="F4371">
        <v>2</v>
      </c>
      <c r="G4371">
        <v>138</v>
      </c>
      <c r="H4371">
        <v>28.12</v>
      </c>
      <c r="I4371" t="s">
        <v>50</v>
      </c>
      <c r="J4371">
        <v>12</v>
      </c>
      <c r="K4371" t="s">
        <v>51</v>
      </c>
      <c r="L4371">
        <v>5</v>
      </c>
      <c r="M4371" t="str">
        <f>VLOOKUP(D4371,State_Lookup!$A$2:$B$28,2,FALSE)</f>
        <v>Sao Paulo</v>
      </c>
    </row>
    <row r="4372" spans="1:13" x14ac:dyDescent="0.45">
      <c r="A4372" t="s">
        <v>5061</v>
      </c>
      <c r="B4372" t="s">
        <v>5060</v>
      </c>
      <c r="C4372" t="s">
        <v>4700</v>
      </c>
      <c r="D4372" t="s">
        <v>16</v>
      </c>
      <c r="E4372" t="s">
        <v>1648</v>
      </c>
      <c r="F4372">
        <v>1</v>
      </c>
      <c r="G4372">
        <v>11.9</v>
      </c>
      <c r="H4372">
        <v>7.39</v>
      </c>
      <c r="I4372" t="s">
        <v>133</v>
      </c>
      <c r="J4372">
        <v>4</v>
      </c>
      <c r="K4372" t="s">
        <v>51</v>
      </c>
      <c r="L4372">
        <v>5</v>
      </c>
      <c r="M4372" t="str">
        <f>VLOOKUP(D4372,State_Lookup!$A$2:$B$28,2,FALSE)</f>
        <v>Sao Paulo</v>
      </c>
    </row>
    <row r="4373" spans="1:13" x14ac:dyDescent="0.45">
      <c r="A4373" t="s">
        <v>5062</v>
      </c>
      <c r="B4373" t="s">
        <v>5060</v>
      </c>
      <c r="C4373" t="s">
        <v>4700</v>
      </c>
      <c r="D4373" t="s">
        <v>16</v>
      </c>
      <c r="E4373" t="s">
        <v>142</v>
      </c>
      <c r="F4373">
        <v>1</v>
      </c>
      <c r="G4373">
        <v>49.99</v>
      </c>
      <c r="H4373">
        <v>13.93</v>
      </c>
      <c r="I4373" t="s">
        <v>44</v>
      </c>
      <c r="J4373">
        <v>4</v>
      </c>
      <c r="K4373" t="s">
        <v>51</v>
      </c>
      <c r="L4373">
        <v>5</v>
      </c>
      <c r="M4373" t="str">
        <f>VLOOKUP(D4373,State_Lookup!$A$2:$B$28,2,FALSE)</f>
        <v>Sao Paulo</v>
      </c>
    </row>
    <row r="4374" spans="1:13" x14ac:dyDescent="0.45">
      <c r="A4374" t="s">
        <v>5063</v>
      </c>
      <c r="B4374" t="s">
        <v>5060</v>
      </c>
      <c r="C4374" t="s">
        <v>4700</v>
      </c>
      <c r="D4374" t="s">
        <v>22</v>
      </c>
      <c r="E4374" t="s">
        <v>192</v>
      </c>
      <c r="F4374">
        <v>3</v>
      </c>
      <c r="G4374">
        <v>125.28</v>
      </c>
      <c r="H4374">
        <v>118.12</v>
      </c>
      <c r="I4374" t="s">
        <v>44</v>
      </c>
      <c r="J4374">
        <v>13</v>
      </c>
      <c r="K4374" t="s">
        <v>51</v>
      </c>
      <c r="L4374">
        <v>5</v>
      </c>
      <c r="M4374" t="str">
        <f>VLOOKUP(D4374,State_Lookup!$A$2:$B$28,2,FALSE)</f>
        <v>Bahia</v>
      </c>
    </row>
    <row r="4375" spans="1:13" x14ac:dyDescent="0.45">
      <c r="A4375" t="s">
        <v>5064</v>
      </c>
      <c r="B4375" t="s">
        <v>5065</v>
      </c>
      <c r="C4375" t="s">
        <v>5066</v>
      </c>
      <c r="D4375" t="s">
        <v>16</v>
      </c>
      <c r="E4375" t="s">
        <v>142</v>
      </c>
      <c r="F4375">
        <v>1</v>
      </c>
      <c r="G4375">
        <v>105</v>
      </c>
      <c r="H4375">
        <v>16.04</v>
      </c>
      <c r="I4375" t="s">
        <v>44</v>
      </c>
      <c r="J4375">
        <v>4</v>
      </c>
      <c r="K4375" t="s">
        <v>51</v>
      </c>
      <c r="L4375">
        <v>4</v>
      </c>
      <c r="M4375" t="str">
        <f>VLOOKUP(D4375,State_Lookup!$A$2:$B$28,2,FALSE)</f>
        <v>Sao Paulo</v>
      </c>
    </row>
    <row r="4376" spans="1:13" x14ac:dyDescent="0.45">
      <c r="A4376" t="s">
        <v>5067</v>
      </c>
      <c r="B4376" t="s">
        <v>5065</v>
      </c>
      <c r="C4376" t="s">
        <v>5066</v>
      </c>
      <c r="D4376" t="s">
        <v>16</v>
      </c>
      <c r="E4376" t="s">
        <v>244</v>
      </c>
      <c r="F4376">
        <v>1</v>
      </c>
      <c r="G4376">
        <v>299</v>
      </c>
      <c r="H4376">
        <v>33.14</v>
      </c>
      <c r="I4376" t="s">
        <v>44</v>
      </c>
      <c r="J4376">
        <v>4</v>
      </c>
      <c r="K4376" t="s">
        <v>51</v>
      </c>
      <c r="L4376">
        <v>5</v>
      </c>
      <c r="M4376" t="str">
        <f>VLOOKUP(D4376,State_Lookup!$A$2:$B$28,2,FALSE)</f>
        <v>Sao Paulo</v>
      </c>
    </row>
    <row r="4377" spans="1:13" x14ac:dyDescent="0.45">
      <c r="A4377" t="s">
        <v>5068</v>
      </c>
      <c r="B4377" t="s">
        <v>5065</v>
      </c>
      <c r="C4377" t="s">
        <v>5066</v>
      </c>
      <c r="D4377" t="s">
        <v>16</v>
      </c>
      <c r="E4377" t="s">
        <v>107</v>
      </c>
      <c r="F4377">
        <v>1</v>
      </c>
      <c r="G4377">
        <v>19.690000000000001</v>
      </c>
      <c r="H4377">
        <v>7.4</v>
      </c>
      <c r="I4377" t="s">
        <v>108</v>
      </c>
      <c r="J4377">
        <v>4</v>
      </c>
      <c r="K4377" t="s">
        <v>51</v>
      </c>
      <c r="L4377">
        <v>5</v>
      </c>
      <c r="M4377" t="str">
        <f>VLOOKUP(D4377,State_Lookup!$A$2:$B$28,2,FALSE)</f>
        <v>Sao Paulo</v>
      </c>
    </row>
    <row r="4378" spans="1:13" x14ac:dyDescent="0.45">
      <c r="A4378" t="s">
        <v>5069</v>
      </c>
      <c r="B4378" t="s">
        <v>5065</v>
      </c>
      <c r="C4378" t="s">
        <v>5066</v>
      </c>
      <c r="D4378" t="s">
        <v>18</v>
      </c>
      <c r="E4378" t="s">
        <v>125</v>
      </c>
      <c r="F4378">
        <v>1</v>
      </c>
      <c r="G4378">
        <v>11.97</v>
      </c>
      <c r="H4378">
        <v>18.23</v>
      </c>
      <c r="I4378" t="s">
        <v>44</v>
      </c>
      <c r="J4378">
        <v>12</v>
      </c>
      <c r="K4378" t="s">
        <v>51</v>
      </c>
      <c r="L4378">
        <v>4</v>
      </c>
      <c r="M4378" t="str">
        <f>VLOOKUP(D4378,State_Lookup!$A$2:$B$28,2,FALSE)</f>
        <v>Minas Gerais</v>
      </c>
    </row>
    <row r="4379" spans="1:13" x14ac:dyDescent="0.45">
      <c r="A4379" t="s">
        <v>5070</v>
      </c>
      <c r="B4379" t="s">
        <v>5065</v>
      </c>
      <c r="C4379" t="s">
        <v>5066</v>
      </c>
      <c r="D4379" t="s">
        <v>208</v>
      </c>
      <c r="E4379" t="s">
        <v>157</v>
      </c>
      <c r="F4379">
        <v>2</v>
      </c>
      <c r="G4379">
        <v>926</v>
      </c>
      <c r="H4379">
        <v>65.739999999999995</v>
      </c>
      <c r="I4379" t="s">
        <v>44</v>
      </c>
      <c r="J4379">
        <v>9</v>
      </c>
      <c r="K4379" t="s">
        <v>51</v>
      </c>
      <c r="L4379">
        <v>3</v>
      </c>
      <c r="M4379" t="str">
        <f>VLOOKUP(D4379,State_Lookup!$A$2:$B$28,2,FALSE)</f>
        <v>Mato Grosso</v>
      </c>
    </row>
    <row r="4380" spans="1:13" x14ac:dyDescent="0.45">
      <c r="A4380" t="s">
        <v>5071</v>
      </c>
      <c r="B4380" t="s">
        <v>5072</v>
      </c>
      <c r="C4380" t="s">
        <v>5066</v>
      </c>
      <c r="D4380" t="s">
        <v>17</v>
      </c>
      <c r="E4380" t="s">
        <v>43</v>
      </c>
      <c r="F4380">
        <v>1</v>
      </c>
      <c r="G4380">
        <v>179.9</v>
      </c>
      <c r="H4380">
        <v>102.57</v>
      </c>
      <c r="I4380" t="s">
        <v>44</v>
      </c>
      <c r="J4380">
        <v>9</v>
      </c>
      <c r="K4380" t="s">
        <v>51</v>
      </c>
      <c r="L4380">
        <v>5</v>
      </c>
      <c r="M4380" t="str">
        <f>VLOOKUP(D4380,State_Lookup!$A$2:$B$28,2,FALSE)</f>
        <v>Rio de Janeiro</v>
      </c>
    </row>
    <row r="4381" spans="1:13" x14ac:dyDescent="0.45">
      <c r="A4381" t="s">
        <v>5073</v>
      </c>
      <c r="B4381" t="s">
        <v>5072</v>
      </c>
      <c r="C4381" t="s">
        <v>5066</v>
      </c>
      <c r="D4381" t="s">
        <v>20</v>
      </c>
      <c r="E4381" t="s">
        <v>61</v>
      </c>
      <c r="F4381">
        <v>1</v>
      </c>
      <c r="G4381">
        <v>84.9</v>
      </c>
      <c r="H4381">
        <v>26.89</v>
      </c>
      <c r="I4381" t="s">
        <v>50</v>
      </c>
      <c r="J4381">
        <v>7</v>
      </c>
      <c r="K4381" t="s">
        <v>51</v>
      </c>
      <c r="L4381">
        <v>5</v>
      </c>
      <c r="M4381" t="str">
        <f>VLOOKUP(D4381,State_Lookup!$A$2:$B$28,2,FALSE)</f>
        <v>Parana</v>
      </c>
    </row>
    <row r="4382" spans="1:13" x14ac:dyDescent="0.45">
      <c r="A4382" t="s">
        <v>5074</v>
      </c>
      <c r="B4382" t="s">
        <v>5072</v>
      </c>
      <c r="C4382" t="s">
        <v>5066</v>
      </c>
      <c r="D4382" t="s">
        <v>18</v>
      </c>
      <c r="E4382" t="s">
        <v>69</v>
      </c>
      <c r="F4382">
        <v>3</v>
      </c>
      <c r="G4382">
        <v>417</v>
      </c>
      <c r="H4382">
        <v>88.5</v>
      </c>
      <c r="I4382" t="s">
        <v>44</v>
      </c>
      <c r="J4382">
        <v>4</v>
      </c>
      <c r="K4382" t="s">
        <v>51</v>
      </c>
      <c r="L4382">
        <v>5</v>
      </c>
      <c r="M4382" t="str">
        <f>VLOOKUP(D4382,State_Lookup!$A$2:$B$28,2,FALSE)</f>
        <v>Minas Gerais</v>
      </c>
    </row>
    <row r="4383" spans="1:13" x14ac:dyDescent="0.45">
      <c r="A4383" t="s">
        <v>5075</v>
      </c>
      <c r="B4383" t="s">
        <v>5072</v>
      </c>
      <c r="C4383" t="s">
        <v>5066</v>
      </c>
      <c r="D4383" t="s">
        <v>16</v>
      </c>
      <c r="E4383" t="s">
        <v>79</v>
      </c>
      <c r="F4383">
        <v>1</v>
      </c>
      <c r="G4383">
        <v>34.9</v>
      </c>
      <c r="H4383">
        <v>16.43</v>
      </c>
      <c r="I4383" t="s">
        <v>44</v>
      </c>
      <c r="J4383">
        <v>8</v>
      </c>
      <c r="K4383" t="s">
        <v>51</v>
      </c>
      <c r="L4383">
        <v>5</v>
      </c>
      <c r="M4383" t="str">
        <f>VLOOKUP(D4383,State_Lookup!$A$2:$B$28,2,FALSE)</f>
        <v>Sao Paulo</v>
      </c>
    </row>
    <row r="4384" spans="1:13" x14ac:dyDescent="0.45">
      <c r="A4384" t="s">
        <v>5076</v>
      </c>
      <c r="B4384" t="s">
        <v>5072</v>
      </c>
      <c r="C4384" t="s">
        <v>5066</v>
      </c>
      <c r="D4384" t="s">
        <v>16</v>
      </c>
      <c r="E4384" t="s">
        <v>107</v>
      </c>
      <c r="F4384">
        <v>1</v>
      </c>
      <c r="G4384">
        <v>19.989999999999998</v>
      </c>
      <c r="H4384">
        <v>7.88</v>
      </c>
      <c r="I4384" t="s">
        <v>44</v>
      </c>
      <c r="J4384">
        <v>1</v>
      </c>
      <c r="K4384" t="s">
        <v>51</v>
      </c>
      <c r="L4384">
        <v>5</v>
      </c>
      <c r="M4384" t="str">
        <f>VLOOKUP(D4384,State_Lookup!$A$2:$B$28,2,FALSE)</f>
        <v>Sao Paulo</v>
      </c>
    </row>
    <row r="4385" spans="1:13" x14ac:dyDescent="0.45">
      <c r="A4385" t="s">
        <v>5077</v>
      </c>
      <c r="B4385" t="s">
        <v>5072</v>
      </c>
      <c r="C4385" t="s">
        <v>5066</v>
      </c>
      <c r="D4385" t="s">
        <v>16</v>
      </c>
      <c r="E4385" t="s">
        <v>79</v>
      </c>
      <c r="F4385">
        <v>1</v>
      </c>
      <c r="G4385">
        <v>66.989999999999995</v>
      </c>
      <c r="H4385">
        <v>27.75</v>
      </c>
      <c r="I4385" t="s">
        <v>44</v>
      </c>
      <c r="J4385">
        <v>9</v>
      </c>
      <c r="K4385" t="s">
        <v>51</v>
      </c>
      <c r="L4385">
        <v>5</v>
      </c>
      <c r="M4385" t="str">
        <f>VLOOKUP(D4385,State_Lookup!$A$2:$B$28,2,FALSE)</f>
        <v>Sao Paulo</v>
      </c>
    </row>
    <row r="4386" spans="1:13" x14ac:dyDescent="0.45">
      <c r="A4386" t="s">
        <v>5078</v>
      </c>
      <c r="B4386" t="s">
        <v>5072</v>
      </c>
      <c r="C4386" t="s">
        <v>5066</v>
      </c>
      <c r="D4386" t="s">
        <v>20</v>
      </c>
      <c r="E4386" t="s">
        <v>100</v>
      </c>
      <c r="F4386">
        <v>1</v>
      </c>
      <c r="G4386">
        <v>255</v>
      </c>
      <c r="H4386">
        <v>16.89</v>
      </c>
      <c r="I4386" t="s">
        <v>44</v>
      </c>
      <c r="J4386">
        <v>7</v>
      </c>
      <c r="K4386" t="s">
        <v>51</v>
      </c>
      <c r="L4386">
        <v>5</v>
      </c>
      <c r="M4386" t="str">
        <f>VLOOKUP(D4386,State_Lookup!$A$2:$B$28,2,FALSE)</f>
        <v>Parana</v>
      </c>
    </row>
    <row r="4387" spans="1:13" x14ac:dyDescent="0.45">
      <c r="A4387" t="s">
        <v>5079</v>
      </c>
      <c r="B4387" t="s">
        <v>5072</v>
      </c>
      <c r="C4387" t="s">
        <v>5066</v>
      </c>
      <c r="D4387" t="s">
        <v>25</v>
      </c>
      <c r="E4387" t="s">
        <v>79</v>
      </c>
      <c r="F4387">
        <v>1</v>
      </c>
      <c r="G4387">
        <v>56.9</v>
      </c>
      <c r="H4387">
        <v>22.33</v>
      </c>
      <c r="I4387" t="s">
        <v>44</v>
      </c>
      <c r="J4387">
        <v>6</v>
      </c>
      <c r="K4387" t="s">
        <v>51</v>
      </c>
      <c r="L4387">
        <v>5</v>
      </c>
      <c r="M4387" t="str">
        <f>VLOOKUP(D4387,State_Lookup!$A$2:$B$28,2,FALSE)</f>
        <v>Goias</v>
      </c>
    </row>
    <row r="4388" spans="1:13" x14ac:dyDescent="0.45">
      <c r="A4388" t="s">
        <v>5080</v>
      </c>
      <c r="B4388" t="s">
        <v>5072</v>
      </c>
      <c r="C4388" t="s">
        <v>5066</v>
      </c>
      <c r="D4388" t="s">
        <v>21</v>
      </c>
      <c r="E4388" t="s">
        <v>110</v>
      </c>
      <c r="F4388">
        <v>1</v>
      </c>
      <c r="G4388">
        <v>43.99</v>
      </c>
      <c r="H4388">
        <v>19.5</v>
      </c>
      <c r="I4388" t="s">
        <v>44</v>
      </c>
      <c r="J4388">
        <v>9</v>
      </c>
      <c r="K4388" t="s">
        <v>51</v>
      </c>
      <c r="L4388">
        <v>3</v>
      </c>
      <c r="M4388" t="str">
        <f>VLOOKUP(D4388,State_Lookup!$A$2:$B$28,2,FALSE)</f>
        <v>Santa Catarina</v>
      </c>
    </row>
    <row r="4389" spans="1:13" x14ac:dyDescent="0.45">
      <c r="A4389" t="s">
        <v>5081</v>
      </c>
      <c r="B4389" t="s">
        <v>5072</v>
      </c>
      <c r="C4389" t="s">
        <v>5066</v>
      </c>
      <c r="D4389" t="s">
        <v>19</v>
      </c>
      <c r="E4389" t="s">
        <v>110</v>
      </c>
      <c r="F4389">
        <v>2</v>
      </c>
      <c r="G4389">
        <v>159.80000000000001</v>
      </c>
      <c r="H4389">
        <v>46.72</v>
      </c>
      <c r="I4389" t="s">
        <v>44</v>
      </c>
      <c r="J4389">
        <v>6</v>
      </c>
      <c r="K4389" t="s">
        <v>51</v>
      </c>
      <c r="L4389">
        <v>5</v>
      </c>
      <c r="M4389" t="str">
        <f>VLOOKUP(D4389,State_Lookup!$A$2:$B$28,2,FALSE)</f>
        <v>Rio Grande do Sul</v>
      </c>
    </row>
    <row r="4390" spans="1:13" x14ac:dyDescent="0.45">
      <c r="A4390" t="s">
        <v>5082</v>
      </c>
      <c r="B4390" t="s">
        <v>5072</v>
      </c>
      <c r="C4390" t="s">
        <v>5066</v>
      </c>
      <c r="D4390" t="s">
        <v>16</v>
      </c>
      <c r="E4390" t="s">
        <v>142</v>
      </c>
      <c r="F4390">
        <v>1</v>
      </c>
      <c r="G4390">
        <v>130</v>
      </c>
      <c r="H4390">
        <v>15.22</v>
      </c>
      <c r="I4390" t="s">
        <v>44</v>
      </c>
      <c r="J4390">
        <v>3</v>
      </c>
      <c r="K4390" t="s">
        <v>51</v>
      </c>
      <c r="L4390">
        <v>3</v>
      </c>
      <c r="M4390" t="str">
        <f>VLOOKUP(D4390,State_Lookup!$A$2:$B$28,2,FALSE)</f>
        <v>Sao Paulo</v>
      </c>
    </row>
    <row r="4391" spans="1:13" x14ac:dyDescent="0.45">
      <c r="A4391" t="s">
        <v>5083</v>
      </c>
      <c r="B4391" t="s">
        <v>5072</v>
      </c>
      <c r="C4391" t="s">
        <v>5066</v>
      </c>
      <c r="D4391" t="s">
        <v>25</v>
      </c>
      <c r="E4391" t="s">
        <v>103</v>
      </c>
      <c r="F4391">
        <v>1</v>
      </c>
      <c r="G4391">
        <v>89.9</v>
      </c>
      <c r="H4391">
        <v>19.82</v>
      </c>
      <c r="I4391" t="s">
        <v>44</v>
      </c>
      <c r="J4391">
        <v>24</v>
      </c>
      <c r="K4391" t="s">
        <v>143</v>
      </c>
      <c r="L4391">
        <v>1</v>
      </c>
      <c r="M4391" t="str">
        <f>VLOOKUP(D4391,State_Lookup!$A$2:$B$28,2,FALSE)</f>
        <v>Goias</v>
      </c>
    </row>
    <row r="4392" spans="1:13" x14ac:dyDescent="0.45">
      <c r="A4392" t="s">
        <v>5084</v>
      </c>
      <c r="B4392" t="s">
        <v>5085</v>
      </c>
      <c r="C4392" t="s">
        <v>5066</v>
      </c>
      <c r="D4392" t="s">
        <v>16</v>
      </c>
      <c r="E4392" t="s">
        <v>61</v>
      </c>
      <c r="F4392">
        <v>1</v>
      </c>
      <c r="G4392">
        <v>124.89</v>
      </c>
      <c r="H4392">
        <v>14.21</v>
      </c>
      <c r="I4392" t="s">
        <v>108</v>
      </c>
      <c r="J4392">
        <v>8</v>
      </c>
      <c r="K4392" t="s">
        <v>51</v>
      </c>
      <c r="L4392">
        <v>4</v>
      </c>
      <c r="M4392" t="str">
        <f>VLOOKUP(D4392,State_Lookup!$A$2:$B$28,2,FALSE)</f>
        <v>Sao Paulo</v>
      </c>
    </row>
    <row r="4393" spans="1:13" x14ac:dyDescent="0.45">
      <c r="A4393" t="s">
        <v>5086</v>
      </c>
      <c r="B4393" t="s">
        <v>5085</v>
      </c>
      <c r="C4393" t="s">
        <v>5066</v>
      </c>
      <c r="D4393" t="s">
        <v>21</v>
      </c>
      <c r="E4393" t="s">
        <v>103</v>
      </c>
      <c r="F4393">
        <v>1</v>
      </c>
      <c r="G4393">
        <v>109.9</v>
      </c>
      <c r="H4393">
        <v>15.22</v>
      </c>
      <c r="I4393" t="s">
        <v>44</v>
      </c>
      <c r="J4393">
        <v>6</v>
      </c>
      <c r="K4393" t="s">
        <v>51</v>
      </c>
      <c r="L4393">
        <v>5</v>
      </c>
      <c r="M4393" t="str">
        <f>VLOOKUP(D4393,State_Lookup!$A$2:$B$28,2,FALSE)</f>
        <v>Santa Catarina</v>
      </c>
    </row>
    <row r="4394" spans="1:13" x14ac:dyDescent="0.45">
      <c r="A4394" t="s">
        <v>5087</v>
      </c>
      <c r="B4394" t="s">
        <v>5085</v>
      </c>
      <c r="C4394" t="s">
        <v>5066</v>
      </c>
      <c r="D4394" t="s">
        <v>208</v>
      </c>
      <c r="E4394" t="s">
        <v>244</v>
      </c>
      <c r="F4394">
        <v>1</v>
      </c>
      <c r="G4394">
        <v>109</v>
      </c>
      <c r="H4394">
        <v>51.05</v>
      </c>
      <c r="I4394" t="s">
        <v>44</v>
      </c>
      <c r="J4394">
        <v>10</v>
      </c>
      <c r="K4394" t="s">
        <v>51</v>
      </c>
      <c r="L4394">
        <v>5</v>
      </c>
      <c r="M4394" t="str">
        <f>VLOOKUP(D4394,State_Lookup!$A$2:$B$28,2,FALSE)</f>
        <v>Mato Grosso</v>
      </c>
    </row>
    <row r="4395" spans="1:13" x14ac:dyDescent="0.45">
      <c r="A4395" t="s">
        <v>5088</v>
      </c>
      <c r="B4395" t="s">
        <v>5085</v>
      </c>
      <c r="C4395" t="s">
        <v>5066</v>
      </c>
      <c r="D4395" t="s">
        <v>18</v>
      </c>
      <c r="E4395" t="s">
        <v>157</v>
      </c>
      <c r="F4395">
        <v>1</v>
      </c>
      <c r="G4395">
        <v>149.80000000000001</v>
      </c>
      <c r="H4395">
        <v>19.149999999999999</v>
      </c>
      <c r="I4395" t="s">
        <v>44</v>
      </c>
      <c r="J4395">
        <v>6</v>
      </c>
      <c r="K4395" t="s">
        <v>51</v>
      </c>
      <c r="L4395">
        <v>5</v>
      </c>
      <c r="M4395" t="str">
        <f>VLOOKUP(D4395,State_Lookup!$A$2:$B$28,2,FALSE)</f>
        <v>Minas Gerais</v>
      </c>
    </row>
    <row r="4396" spans="1:13" x14ac:dyDescent="0.45">
      <c r="A4396" t="s">
        <v>5089</v>
      </c>
      <c r="B4396" t="s">
        <v>5085</v>
      </c>
      <c r="C4396" t="s">
        <v>5066</v>
      </c>
      <c r="D4396" t="s">
        <v>21</v>
      </c>
      <c r="E4396" t="s">
        <v>49</v>
      </c>
      <c r="F4396">
        <v>1</v>
      </c>
      <c r="G4396">
        <v>109.9</v>
      </c>
      <c r="H4396">
        <v>18.82</v>
      </c>
      <c r="I4396" t="s">
        <v>50</v>
      </c>
      <c r="J4396">
        <v>6</v>
      </c>
      <c r="K4396" t="s">
        <v>51</v>
      </c>
      <c r="L4396">
        <v>5</v>
      </c>
      <c r="M4396" t="str">
        <f>VLOOKUP(D4396,State_Lookup!$A$2:$B$28,2,FALSE)</f>
        <v>Santa Catarina</v>
      </c>
    </row>
    <row r="4397" spans="1:13" x14ac:dyDescent="0.45">
      <c r="A4397" t="s">
        <v>5090</v>
      </c>
      <c r="B4397" t="s">
        <v>5085</v>
      </c>
      <c r="C4397" t="s">
        <v>5066</v>
      </c>
      <c r="D4397" t="s">
        <v>19</v>
      </c>
      <c r="E4397" t="s">
        <v>110</v>
      </c>
      <c r="F4397">
        <v>1</v>
      </c>
      <c r="G4397">
        <v>79</v>
      </c>
      <c r="H4397">
        <v>23.35</v>
      </c>
      <c r="I4397" t="s">
        <v>44</v>
      </c>
      <c r="J4397">
        <v>6</v>
      </c>
      <c r="K4397" t="s">
        <v>51</v>
      </c>
      <c r="L4397">
        <v>5</v>
      </c>
      <c r="M4397" t="str">
        <f>VLOOKUP(D4397,State_Lookup!$A$2:$B$28,2,FALSE)</f>
        <v>Rio Grande do Sul</v>
      </c>
    </row>
    <row r="4398" spans="1:13" x14ac:dyDescent="0.45">
      <c r="A4398" t="s">
        <v>5091</v>
      </c>
      <c r="B4398" t="s">
        <v>5085</v>
      </c>
      <c r="C4398" t="s">
        <v>5066</v>
      </c>
      <c r="D4398" t="s">
        <v>19</v>
      </c>
      <c r="E4398" t="s">
        <v>53</v>
      </c>
      <c r="F4398">
        <v>1</v>
      </c>
      <c r="G4398">
        <v>87.9</v>
      </c>
      <c r="H4398">
        <v>23.42</v>
      </c>
      <c r="I4398" t="s">
        <v>44</v>
      </c>
      <c r="J4398">
        <v>10</v>
      </c>
      <c r="K4398" t="s">
        <v>51</v>
      </c>
      <c r="L4398">
        <v>4</v>
      </c>
      <c r="M4398" t="str">
        <f>VLOOKUP(D4398,State_Lookup!$A$2:$B$28,2,FALSE)</f>
        <v>Rio Grande do Sul</v>
      </c>
    </row>
    <row r="4399" spans="1:13" x14ac:dyDescent="0.45">
      <c r="A4399" t="s">
        <v>5092</v>
      </c>
      <c r="B4399" t="s">
        <v>5085</v>
      </c>
      <c r="C4399" t="s">
        <v>5066</v>
      </c>
      <c r="D4399" t="s">
        <v>16</v>
      </c>
      <c r="E4399" t="s">
        <v>132</v>
      </c>
      <c r="F4399">
        <v>1</v>
      </c>
      <c r="G4399">
        <v>49</v>
      </c>
      <c r="H4399">
        <v>7.6</v>
      </c>
      <c r="I4399" t="s">
        <v>50</v>
      </c>
      <c r="J4399">
        <v>2</v>
      </c>
      <c r="K4399" t="s">
        <v>51</v>
      </c>
      <c r="L4399">
        <v>4</v>
      </c>
      <c r="M4399" t="str">
        <f>VLOOKUP(D4399,State_Lookup!$A$2:$B$28,2,FALSE)</f>
        <v>Sao Paulo</v>
      </c>
    </row>
    <row r="4400" spans="1:13" x14ac:dyDescent="0.45">
      <c r="A4400" t="s">
        <v>5093</v>
      </c>
      <c r="B4400" t="s">
        <v>5085</v>
      </c>
      <c r="C4400" t="s">
        <v>5066</v>
      </c>
      <c r="D4400" t="s">
        <v>16</v>
      </c>
      <c r="E4400" t="s">
        <v>79</v>
      </c>
      <c r="F4400">
        <v>1</v>
      </c>
      <c r="G4400">
        <v>227.17</v>
      </c>
      <c r="H4400">
        <v>10.34</v>
      </c>
      <c r="I4400" t="s">
        <v>44</v>
      </c>
      <c r="J4400">
        <v>8</v>
      </c>
      <c r="K4400" t="s">
        <v>51</v>
      </c>
      <c r="L4400">
        <v>5</v>
      </c>
      <c r="M4400" t="str">
        <f>VLOOKUP(D4400,State_Lookup!$A$2:$B$28,2,FALSE)</f>
        <v>Sao Paulo</v>
      </c>
    </row>
    <row r="4401" spans="1:13" x14ac:dyDescent="0.45">
      <c r="A4401" t="s">
        <v>5094</v>
      </c>
      <c r="B4401" t="s">
        <v>5085</v>
      </c>
      <c r="C4401" t="s">
        <v>5066</v>
      </c>
      <c r="D4401" t="s">
        <v>21</v>
      </c>
      <c r="E4401" t="s">
        <v>1900</v>
      </c>
      <c r="F4401">
        <v>1</v>
      </c>
      <c r="G4401">
        <v>16.399999999999999</v>
      </c>
      <c r="H4401">
        <v>18.23</v>
      </c>
      <c r="I4401" t="s">
        <v>50</v>
      </c>
      <c r="J4401">
        <v>6</v>
      </c>
      <c r="K4401" t="s">
        <v>51</v>
      </c>
      <c r="L4401">
        <v>5</v>
      </c>
      <c r="M4401" t="str">
        <f>VLOOKUP(D4401,State_Lookup!$A$2:$B$28,2,FALSE)</f>
        <v>Santa Catarina</v>
      </c>
    </row>
    <row r="4402" spans="1:13" x14ac:dyDescent="0.45">
      <c r="A4402" t="s">
        <v>5095</v>
      </c>
      <c r="B4402" t="s">
        <v>5096</v>
      </c>
      <c r="C4402" t="s">
        <v>5066</v>
      </c>
      <c r="D4402" t="s">
        <v>19</v>
      </c>
      <c r="E4402" t="s">
        <v>66</v>
      </c>
      <c r="F4402">
        <v>2</v>
      </c>
      <c r="G4402">
        <v>123.99</v>
      </c>
      <c r="H4402">
        <v>37.07</v>
      </c>
      <c r="I4402" t="s">
        <v>50</v>
      </c>
      <c r="J4402">
        <v>8</v>
      </c>
      <c r="K4402" t="s">
        <v>51</v>
      </c>
      <c r="L4402">
        <v>1</v>
      </c>
      <c r="M4402" t="str">
        <f>VLOOKUP(D4402,State_Lookup!$A$2:$B$28,2,FALSE)</f>
        <v>Rio Grande do Sul</v>
      </c>
    </row>
    <row r="4403" spans="1:13" x14ac:dyDescent="0.45">
      <c r="A4403" t="s">
        <v>5097</v>
      </c>
      <c r="B4403" t="s">
        <v>5096</v>
      </c>
      <c r="C4403" t="s">
        <v>5066</v>
      </c>
      <c r="D4403" t="s">
        <v>16</v>
      </c>
      <c r="E4403" t="s">
        <v>110</v>
      </c>
      <c r="F4403">
        <v>1</v>
      </c>
      <c r="G4403">
        <v>219.9</v>
      </c>
      <c r="H4403">
        <v>18.670000000000002</v>
      </c>
      <c r="I4403" t="s">
        <v>44</v>
      </c>
      <c r="J4403">
        <v>6</v>
      </c>
      <c r="K4403" t="s">
        <v>51</v>
      </c>
      <c r="L4403">
        <v>4</v>
      </c>
      <c r="M4403" t="str">
        <f>VLOOKUP(D4403,State_Lookup!$A$2:$B$28,2,FALSE)</f>
        <v>Sao Paulo</v>
      </c>
    </row>
    <row r="4404" spans="1:13" x14ac:dyDescent="0.45">
      <c r="A4404" t="s">
        <v>5098</v>
      </c>
      <c r="B4404" t="s">
        <v>5096</v>
      </c>
      <c r="C4404" t="s">
        <v>5066</v>
      </c>
      <c r="D4404" t="s">
        <v>16</v>
      </c>
      <c r="E4404" t="s">
        <v>69</v>
      </c>
      <c r="F4404">
        <v>1</v>
      </c>
      <c r="G4404">
        <v>810</v>
      </c>
      <c r="H4404">
        <v>70.75</v>
      </c>
      <c r="I4404" t="s">
        <v>44</v>
      </c>
      <c r="J4404">
        <v>5</v>
      </c>
      <c r="K4404" t="s">
        <v>51</v>
      </c>
      <c r="L4404">
        <v>5</v>
      </c>
      <c r="M4404" t="str">
        <f>VLOOKUP(D4404,State_Lookup!$A$2:$B$28,2,FALSE)</f>
        <v>Sao Paulo</v>
      </c>
    </row>
    <row r="4405" spans="1:13" x14ac:dyDescent="0.45">
      <c r="A4405" t="s">
        <v>5099</v>
      </c>
      <c r="B4405" t="s">
        <v>5096</v>
      </c>
      <c r="C4405" t="s">
        <v>5066</v>
      </c>
      <c r="D4405" t="s">
        <v>16</v>
      </c>
      <c r="E4405" t="s">
        <v>107</v>
      </c>
      <c r="F4405">
        <v>1</v>
      </c>
      <c r="G4405">
        <v>27.9</v>
      </c>
      <c r="H4405">
        <v>12.86</v>
      </c>
      <c r="I4405" t="s">
        <v>108</v>
      </c>
      <c r="J4405">
        <v>8</v>
      </c>
      <c r="K4405" t="s">
        <v>51</v>
      </c>
      <c r="L4405">
        <v>5</v>
      </c>
      <c r="M4405" t="str">
        <f>VLOOKUP(D4405,State_Lookup!$A$2:$B$28,2,FALSE)</f>
        <v>Sao Paulo</v>
      </c>
    </row>
    <row r="4406" spans="1:13" x14ac:dyDescent="0.45">
      <c r="A4406" t="s">
        <v>5100</v>
      </c>
      <c r="B4406" t="s">
        <v>5096</v>
      </c>
      <c r="C4406" t="s">
        <v>5066</v>
      </c>
      <c r="D4406" t="s">
        <v>16</v>
      </c>
      <c r="E4406" t="s">
        <v>43</v>
      </c>
      <c r="F4406">
        <v>1</v>
      </c>
      <c r="G4406">
        <v>75.900000000000006</v>
      </c>
      <c r="H4406">
        <v>13.87</v>
      </c>
      <c r="I4406" t="s">
        <v>44</v>
      </c>
      <c r="J4406">
        <v>4</v>
      </c>
      <c r="K4406" t="s">
        <v>51</v>
      </c>
      <c r="L4406">
        <v>5</v>
      </c>
      <c r="M4406" t="str">
        <f>VLOOKUP(D4406,State_Lookup!$A$2:$B$28,2,FALSE)</f>
        <v>Sao Paulo</v>
      </c>
    </row>
    <row r="4407" spans="1:13" x14ac:dyDescent="0.45">
      <c r="A4407" t="s">
        <v>5101</v>
      </c>
      <c r="B4407" t="s">
        <v>5096</v>
      </c>
      <c r="C4407" t="s">
        <v>5066</v>
      </c>
      <c r="D4407" t="s">
        <v>16</v>
      </c>
      <c r="E4407" t="s">
        <v>1648</v>
      </c>
      <c r="F4407">
        <v>1</v>
      </c>
      <c r="G4407">
        <v>112.9</v>
      </c>
      <c r="H4407">
        <v>8.0500000000000007</v>
      </c>
      <c r="I4407" t="s">
        <v>44</v>
      </c>
      <c r="J4407">
        <v>1</v>
      </c>
      <c r="K4407" t="s">
        <v>51</v>
      </c>
      <c r="L4407">
        <v>5</v>
      </c>
      <c r="M4407" t="str">
        <f>VLOOKUP(D4407,State_Lookup!$A$2:$B$28,2,FALSE)</f>
        <v>Sao Paulo</v>
      </c>
    </row>
    <row r="4408" spans="1:13" x14ac:dyDescent="0.45">
      <c r="A4408" t="s">
        <v>5102</v>
      </c>
      <c r="B4408" t="s">
        <v>5096</v>
      </c>
      <c r="C4408" t="s">
        <v>5066</v>
      </c>
      <c r="D4408" t="s">
        <v>16</v>
      </c>
      <c r="E4408" t="s">
        <v>157</v>
      </c>
      <c r="F4408">
        <v>1</v>
      </c>
      <c r="G4408">
        <v>175.99</v>
      </c>
      <c r="H4408">
        <v>20.420000000000002</v>
      </c>
      <c r="I4408" t="s">
        <v>44</v>
      </c>
      <c r="J4408">
        <v>6</v>
      </c>
      <c r="K4408" t="s">
        <v>51</v>
      </c>
      <c r="L4408">
        <v>1</v>
      </c>
      <c r="M4408" t="str">
        <f>VLOOKUP(D4408,State_Lookup!$A$2:$B$28,2,FALSE)</f>
        <v>Sao Paulo</v>
      </c>
    </row>
    <row r="4409" spans="1:13" x14ac:dyDescent="0.45">
      <c r="A4409" t="s">
        <v>5103</v>
      </c>
      <c r="B4409" t="s">
        <v>5096</v>
      </c>
      <c r="C4409" t="s">
        <v>5066</v>
      </c>
      <c r="D4409" t="s">
        <v>16</v>
      </c>
      <c r="E4409" t="s">
        <v>199</v>
      </c>
      <c r="F4409">
        <v>2</v>
      </c>
      <c r="G4409">
        <v>315.8</v>
      </c>
      <c r="H4409">
        <v>56.38</v>
      </c>
      <c r="I4409" t="s">
        <v>44</v>
      </c>
      <c r="J4409">
        <v>6</v>
      </c>
      <c r="K4409" t="s">
        <v>51</v>
      </c>
      <c r="L4409">
        <v>5</v>
      </c>
      <c r="M4409" t="str">
        <f>VLOOKUP(D4409,State_Lookup!$A$2:$B$28,2,FALSE)</f>
        <v>Sao Paulo</v>
      </c>
    </row>
    <row r="4410" spans="1:13" x14ac:dyDescent="0.45">
      <c r="A4410" t="s">
        <v>5104</v>
      </c>
      <c r="B4410" t="s">
        <v>5096</v>
      </c>
      <c r="C4410" t="s">
        <v>5066</v>
      </c>
      <c r="D4410" t="s">
        <v>17</v>
      </c>
      <c r="E4410" t="s">
        <v>366</v>
      </c>
      <c r="F4410">
        <v>1</v>
      </c>
      <c r="G4410">
        <v>26.19</v>
      </c>
      <c r="H4410">
        <v>18.28</v>
      </c>
      <c r="I4410" t="s">
        <v>44</v>
      </c>
      <c r="J4410">
        <v>6</v>
      </c>
      <c r="K4410" t="s">
        <v>51</v>
      </c>
      <c r="L4410">
        <v>3</v>
      </c>
      <c r="M4410" t="str">
        <f>VLOOKUP(D4410,State_Lookup!$A$2:$B$28,2,FALSE)</f>
        <v>Rio de Janeiro</v>
      </c>
    </row>
    <row r="4411" spans="1:13" x14ac:dyDescent="0.45">
      <c r="A4411" t="s">
        <v>5105</v>
      </c>
      <c r="B4411" t="s">
        <v>5096</v>
      </c>
      <c r="C4411" t="s">
        <v>5066</v>
      </c>
      <c r="D4411" t="s">
        <v>19</v>
      </c>
      <c r="E4411" t="s">
        <v>132</v>
      </c>
      <c r="F4411">
        <v>1</v>
      </c>
      <c r="G4411">
        <v>29.99</v>
      </c>
      <c r="H4411">
        <v>7.79</v>
      </c>
      <c r="I4411" t="s">
        <v>50</v>
      </c>
      <c r="J4411">
        <v>2</v>
      </c>
      <c r="K4411" t="s">
        <v>51</v>
      </c>
      <c r="L4411">
        <v>5</v>
      </c>
      <c r="M4411" t="str">
        <f>VLOOKUP(D4411,State_Lookup!$A$2:$B$28,2,FALSE)</f>
        <v>Rio Grande do Sul</v>
      </c>
    </row>
    <row r="4412" spans="1:13" x14ac:dyDescent="0.45">
      <c r="A4412" t="s">
        <v>5106</v>
      </c>
      <c r="B4412" t="s">
        <v>5096</v>
      </c>
      <c r="C4412" t="s">
        <v>5066</v>
      </c>
      <c r="D4412" t="s">
        <v>18</v>
      </c>
      <c r="E4412" t="s">
        <v>132</v>
      </c>
      <c r="F4412">
        <v>1</v>
      </c>
      <c r="G4412">
        <v>96.8</v>
      </c>
      <c r="H4412">
        <v>14.98</v>
      </c>
      <c r="I4412" t="s">
        <v>44</v>
      </c>
      <c r="J4412">
        <v>6</v>
      </c>
      <c r="K4412" t="s">
        <v>51</v>
      </c>
      <c r="L4412">
        <v>4</v>
      </c>
      <c r="M4412" t="str">
        <f>VLOOKUP(D4412,State_Lookup!$A$2:$B$28,2,FALSE)</f>
        <v>Minas Gerais</v>
      </c>
    </row>
    <row r="4413" spans="1:13" x14ac:dyDescent="0.45">
      <c r="A4413" t="s">
        <v>5107</v>
      </c>
      <c r="B4413" t="s">
        <v>5108</v>
      </c>
      <c r="C4413" t="s">
        <v>5066</v>
      </c>
      <c r="D4413" t="s">
        <v>16</v>
      </c>
      <c r="E4413" t="s">
        <v>66</v>
      </c>
      <c r="F4413">
        <v>1</v>
      </c>
      <c r="G4413">
        <v>44.9</v>
      </c>
      <c r="H4413">
        <v>7.57</v>
      </c>
      <c r="I4413" t="s">
        <v>44</v>
      </c>
      <c r="J4413">
        <v>4</v>
      </c>
      <c r="K4413" t="s">
        <v>51</v>
      </c>
      <c r="L4413">
        <v>1</v>
      </c>
      <c r="M4413" t="str">
        <f>VLOOKUP(D4413,State_Lookup!$A$2:$B$28,2,FALSE)</f>
        <v>Sao Paulo</v>
      </c>
    </row>
    <row r="4414" spans="1:13" x14ac:dyDescent="0.45">
      <c r="A4414" t="s">
        <v>5109</v>
      </c>
      <c r="B4414" t="s">
        <v>5108</v>
      </c>
      <c r="C4414" t="s">
        <v>5066</v>
      </c>
      <c r="D4414" t="s">
        <v>16</v>
      </c>
      <c r="E4414" t="s">
        <v>110</v>
      </c>
      <c r="F4414">
        <v>1</v>
      </c>
      <c r="G4414">
        <v>89</v>
      </c>
      <c r="H4414">
        <v>8.36</v>
      </c>
      <c r="I4414" t="s">
        <v>44</v>
      </c>
      <c r="J4414">
        <v>6</v>
      </c>
      <c r="K4414" t="s">
        <v>51</v>
      </c>
      <c r="L4414">
        <v>5</v>
      </c>
      <c r="M4414" t="str">
        <f>VLOOKUP(D4414,State_Lookup!$A$2:$B$28,2,FALSE)</f>
        <v>Sao Paulo</v>
      </c>
    </row>
    <row r="4415" spans="1:13" x14ac:dyDescent="0.45">
      <c r="A4415" t="s">
        <v>5110</v>
      </c>
      <c r="B4415" t="s">
        <v>5108</v>
      </c>
      <c r="C4415" t="s">
        <v>5066</v>
      </c>
      <c r="D4415" t="s">
        <v>17</v>
      </c>
      <c r="E4415" t="s">
        <v>79</v>
      </c>
      <c r="F4415">
        <v>1</v>
      </c>
      <c r="G4415">
        <v>122.99</v>
      </c>
      <c r="H4415">
        <v>30.11</v>
      </c>
      <c r="I4415" t="s">
        <v>50</v>
      </c>
      <c r="J4415">
        <v>18</v>
      </c>
      <c r="K4415" t="s">
        <v>51</v>
      </c>
      <c r="L4415">
        <v>5</v>
      </c>
      <c r="M4415" t="str">
        <f>VLOOKUP(D4415,State_Lookup!$A$2:$B$28,2,FALSE)</f>
        <v>Rio de Janeiro</v>
      </c>
    </row>
    <row r="4416" spans="1:13" x14ac:dyDescent="0.45">
      <c r="A4416" t="s">
        <v>5111</v>
      </c>
      <c r="B4416" t="s">
        <v>5108</v>
      </c>
      <c r="C4416" t="s">
        <v>5066</v>
      </c>
      <c r="D4416" t="s">
        <v>63</v>
      </c>
      <c r="E4416" t="s">
        <v>125</v>
      </c>
      <c r="F4416">
        <v>1</v>
      </c>
      <c r="G4416">
        <v>13.65</v>
      </c>
      <c r="H4416">
        <v>19.04</v>
      </c>
      <c r="I4416" t="s">
        <v>44</v>
      </c>
      <c r="J4416">
        <v>22</v>
      </c>
      <c r="K4416" t="s">
        <v>51</v>
      </c>
      <c r="L4416">
        <v>4</v>
      </c>
      <c r="M4416" t="str">
        <f>VLOOKUP(D4416,State_Lookup!$A$2:$B$28,2,FALSE)</f>
        <v>Pernambuco</v>
      </c>
    </row>
    <row r="4417" spans="1:13" x14ac:dyDescent="0.45">
      <c r="A4417" t="s">
        <v>5112</v>
      </c>
      <c r="B4417" t="s">
        <v>5108</v>
      </c>
      <c r="C4417" t="s">
        <v>5066</v>
      </c>
      <c r="D4417" t="s">
        <v>17</v>
      </c>
      <c r="E4417" t="s">
        <v>103</v>
      </c>
      <c r="F4417">
        <v>1</v>
      </c>
      <c r="G4417">
        <v>39.99</v>
      </c>
      <c r="H4417">
        <v>18.38</v>
      </c>
      <c r="I4417" t="s">
        <v>44</v>
      </c>
      <c r="J4417">
        <v>29</v>
      </c>
      <c r="K4417" t="s">
        <v>143</v>
      </c>
      <c r="L4417">
        <v>1</v>
      </c>
      <c r="M4417" t="str">
        <f>VLOOKUP(D4417,State_Lookup!$A$2:$B$28,2,FALSE)</f>
        <v>Rio de Janeiro</v>
      </c>
    </row>
    <row r="4418" spans="1:13" x14ac:dyDescent="0.45">
      <c r="A4418" t="s">
        <v>5113</v>
      </c>
      <c r="B4418" t="s">
        <v>5108</v>
      </c>
      <c r="C4418" t="s">
        <v>5066</v>
      </c>
      <c r="D4418" t="s">
        <v>18</v>
      </c>
      <c r="E4418" t="s">
        <v>53</v>
      </c>
      <c r="F4418">
        <v>1</v>
      </c>
      <c r="G4418">
        <v>69.900000000000006</v>
      </c>
      <c r="H4418">
        <v>27.44</v>
      </c>
      <c r="I4418" t="s">
        <v>50</v>
      </c>
      <c r="J4418">
        <v>6</v>
      </c>
      <c r="K4418" t="s">
        <v>51</v>
      </c>
      <c r="L4418">
        <v>5</v>
      </c>
      <c r="M4418" t="str">
        <f>VLOOKUP(D4418,State_Lookup!$A$2:$B$28,2,FALSE)</f>
        <v>Minas Gerais</v>
      </c>
    </row>
    <row r="4419" spans="1:13" x14ac:dyDescent="0.45">
      <c r="A4419" t="s">
        <v>5114</v>
      </c>
      <c r="B4419" t="s">
        <v>5108</v>
      </c>
      <c r="C4419" t="s">
        <v>5066</v>
      </c>
      <c r="D4419" t="s">
        <v>25</v>
      </c>
      <c r="E4419" t="s">
        <v>79</v>
      </c>
      <c r="F4419">
        <v>1</v>
      </c>
      <c r="G4419">
        <v>130</v>
      </c>
      <c r="H4419">
        <v>17.84</v>
      </c>
      <c r="I4419" t="s">
        <v>44</v>
      </c>
      <c r="J4419">
        <v>7</v>
      </c>
      <c r="K4419" t="s">
        <v>51</v>
      </c>
      <c r="L4419">
        <v>5</v>
      </c>
      <c r="M4419" t="str">
        <f>VLOOKUP(D4419,State_Lookup!$A$2:$B$28,2,FALSE)</f>
        <v>Goias</v>
      </c>
    </row>
    <row r="4420" spans="1:13" x14ac:dyDescent="0.45">
      <c r="A4420" t="s">
        <v>5115</v>
      </c>
      <c r="B4420" t="s">
        <v>5108</v>
      </c>
      <c r="C4420" t="s">
        <v>5066</v>
      </c>
      <c r="D4420" t="s">
        <v>16</v>
      </c>
      <c r="E4420" t="s">
        <v>53</v>
      </c>
      <c r="F4420">
        <v>1</v>
      </c>
      <c r="G4420">
        <v>125</v>
      </c>
      <c r="H4420">
        <v>18.98</v>
      </c>
      <c r="I4420" t="s">
        <v>44</v>
      </c>
      <c r="J4420">
        <v>8</v>
      </c>
      <c r="K4420" t="s">
        <v>51</v>
      </c>
      <c r="L4420">
        <v>5</v>
      </c>
      <c r="M4420" t="str">
        <f>VLOOKUP(D4420,State_Lookup!$A$2:$B$28,2,FALSE)</f>
        <v>Sao Paulo</v>
      </c>
    </row>
    <row r="4421" spans="1:13" x14ac:dyDescent="0.45">
      <c r="A4421" t="s">
        <v>5116</v>
      </c>
      <c r="B4421" t="s">
        <v>5108</v>
      </c>
      <c r="C4421" t="s">
        <v>5066</v>
      </c>
      <c r="D4421" t="s">
        <v>16</v>
      </c>
      <c r="E4421" t="s">
        <v>61</v>
      </c>
      <c r="F4421">
        <v>1</v>
      </c>
      <c r="G4421">
        <v>149.9</v>
      </c>
      <c r="H4421">
        <v>25.4</v>
      </c>
      <c r="I4421" t="s">
        <v>44</v>
      </c>
      <c r="J4421">
        <v>8</v>
      </c>
      <c r="K4421" t="s">
        <v>51</v>
      </c>
      <c r="L4421">
        <v>5</v>
      </c>
      <c r="M4421" t="str">
        <f>VLOOKUP(D4421,State_Lookup!$A$2:$B$28,2,FALSE)</f>
        <v>Sao Paulo</v>
      </c>
    </row>
    <row r="4422" spans="1:13" x14ac:dyDescent="0.45">
      <c r="A4422" t="s">
        <v>5117</v>
      </c>
      <c r="B4422" t="s">
        <v>5108</v>
      </c>
      <c r="C4422" t="s">
        <v>5066</v>
      </c>
      <c r="D4422" t="s">
        <v>24</v>
      </c>
      <c r="E4422" t="s">
        <v>110</v>
      </c>
      <c r="F4422">
        <v>1</v>
      </c>
      <c r="G4422">
        <v>114.9</v>
      </c>
      <c r="H4422">
        <v>23.6</v>
      </c>
      <c r="I4422" t="s">
        <v>44</v>
      </c>
      <c r="J4422">
        <v>5</v>
      </c>
      <c r="K4422" t="s">
        <v>51</v>
      </c>
      <c r="L4422">
        <v>4</v>
      </c>
      <c r="M4422" t="str">
        <f>VLOOKUP(D4422,State_Lookup!$A$2:$B$28,2,FALSE)</f>
        <v>Distrito Federal</v>
      </c>
    </row>
    <row r="4423" spans="1:13" x14ac:dyDescent="0.45">
      <c r="A4423" t="s">
        <v>5118</v>
      </c>
      <c r="B4423" t="s">
        <v>5108</v>
      </c>
      <c r="C4423" t="s">
        <v>5066</v>
      </c>
      <c r="D4423" t="s">
        <v>17</v>
      </c>
      <c r="E4423" t="s">
        <v>125</v>
      </c>
      <c r="F4423">
        <v>1</v>
      </c>
      <c r="G4423">
        <v>17.989999999999998</v>
      </c>
      <c r="H4423">
        <v>15.23</v>
      </c>
      <c r="I4423" t="s">
        <v>108</v>
      </c>
      <c r="J4423">
        <v>7</v>
      </c>
      <c r="K4423" t="s">
        <v>51</v>
      </c>
      <c r="L4423">
        <v>4</v>
      </c>
      <c r="M4423" t="str">
        <f>VLOOKUP(D4423,State_Lookup!$A$2:$B$28,2,FALSE)</f>
        <v>Rio de Janeiro</v>
      </c>
    </row>
    <row r="4424" spans="1:13" x14ac:dyDescent="0.45">
      <c r="A4424" t="s">
        <v>5119</v>
      </c>
      <c r="B4424" t="s">
        <v>5120</v>
      </c>
      <c r="C4424" t="s">
        <v>5066</v>
      </c>
      <c r="D4424" t="s">
        <v>16</v>
      </c>
      <c r="E4424" t="s">
        <v>49</v>
      </c>
      <c r="F4424">
        <v>1</v>
      </c>
      <c r="G4424">
        <v>95</v>
      </c>
      <c r="H4424">
        <v>13.77</v>
      </c>
      <c r="I4424" t="s">
        <v>50</v>
      </c>
      <c r="J4424">
        <v>7</v>
      </c>
      <c r="K4424" t="s">
        <v>51</v>
      </c>
      <c r="L4424">
        <v>5</v>
      </c>
      <c r="M4424" t="str">
        <f>VLOOKUP(D4424,State_Lookup!$A$2:$B$28,2,FALSE)</f>
        <v>Sao Paulo</v>
      </c>
    </row>
    <row r="4425" spans="1:13" x14ac:dyDescent="0.45">
      <c r="A4425" t="s">
        <v>5121</v>
      </c>
      <c r="B4425" t="s">
        <v>5120</v>
      </c>
      <c r="C4425" t="s">
        <v>5066</v>
      </c>
      <c r="D4425" t="s">
        <v>16</v>
      </c>
      <c r="E4425" t="s">
        <v>142</v>
      </c>
      <c r="F4425">
        <v>1</v>
      </c>
      <c r="G4425">
        <v>78</v>
      </c>
      <c r="H4425">
        <v>18.350000000000001</v>
      </c>
      <c r="I4425" t="s">
        <v>44</v>
      </c>
      <c r="J4425">
        <v>3</v>
      </c>
      <c r="K4425" t="s">
        <v>51</v>
      </c>
      <c r="L4425">
        <v>5</v>
      </c>
      <c r="M4425" t="str">
        <f>VLOOKUP(D4425,State_Lookup!$A$2:$B$28,2,FALSE)</f>
        <v>Sao Paulo</v>
      </c>
    </row>
    <row r="4426" spans="1:13" x14ac:dyDescent="0.45">
      <c r="A4426" t="s">
        <v>5122</v>
      </c>
      <c r="B4426" t="s">
        <v>5120</v>
      </c>
      <c r="C4426" t="s">
        <v>5066</v>
      </c>
      <c r="D4426" t="s">
        <v>16</v>
      </c>
      <c r="E4426" t="s">
        <v>43</v>
      </c>
      <c r="F4426">
        <v>1</v>
      </c>
      <c r="G4426">
        <v>65</v>
      </c>
      <c r="H4426">
        <v>9.2100000000000009</v>
      </c>
      <c r="I4426" t="s">
        <v>108</v>
      </c>
      <c r="J4426">
        <v>7</v>
      </c>
      <c r="K4426" t="s">
        <v>51</v>
      </c>
      <c r="L4426">
        <v>5</v>
      </c>
      <c r="M4426" t="str">
        <f>VLOOKUP(D4426,State_Lookup!$A$2:$B$28,2,FALSE)</f>
        <v>Sao Paulo</v>
      </c>
    </row>
    <row r="4427" spans="1:13" x14ac:dyDescent="0.45">
      <c r="A4427" t="s">
        <v>5123</v>
      </c>
      <c r="B4427" t="s">
        <v>5120</v>
      </c>
      <c r="C4427" t="s">
        <v>5066</v>
      </c>
      <c r="D4427" t="s">
        <v>22</v>
      </c>
      <c r="E4427" t="s">
        <v>43</v>
      </c>
      <c r="F4427">
        <v>2</v>
      </c>
      <c r="G4427">
        <v>97.98</v>
      </c>
      <c r="H4427">
        <v>46.98</v>
      </c>
      <c r="I4427" t="s">
        <v>133</v>
      </c>
      <c r="J4427">
        <v>18</v>
      </c>
      <c r="K4427" t="s">
        <v>51</v>
      </c>
      <c r="L4427">
        <v>5</v>
      </c>
      <c r="M4427" t="str">
        <f>VLOOKUP(D4427,State_Lookup!$A$2:$B$28,2,FALSE)</f>
        <v>Bahia</v>
      </c>
    </row>
    <row r="4428" spans="1:13" x14ac:dyDescent="0.45">
      <c r="A4428" t="s">
        <v>5124</v>
      </c>
      <c r="B4428" t="s">
        <v>5120</v>
      </c>
      <c r="C4428" t="s">
        <v>5066</v>
      </c>
      <c r="D4428" t="s">
        <v>656</v>
      </c>
      <c r="E4428" t="s">
        <v>43</v>
      </c>
      <c r="F4428">
        <v>1</v>
      </c>
      <c r="G4428">
        <v>75</v>
      </c>
      <c r="H4428">
        <v>44.45</v>
      </c>
      <c r="I4428" t="s">
        <v>44</v>
      </c>
      <c r="J4428">
        <v>27</v>
      </c>
      <c r="K4428" t="s">
        <v>51</v>
      </c>
      <c r="L4428">
        <v>5</v>
      </c>
      <c r="M4428" t="str">
        <f>VLOOKUP(D4428,State_Lookup!$A$2:$B$28,2,FALSE)</f>
        <v>Amapa</v>
      </c>
    </row>
    <row r="4429" spans="1:13" x14ac:dyDescent="0.45">
      <c r="A4429" t="s">
        <v>5125</v>
      </c>
      <c r="B4429" t="s">
        <v>5120</v>
      </c>
      <c r="C4429" t="s">
        <v>5066</v>
      </c>
      <c r="D4429" t="s">
        <v>16</v>
      </c>
      <c r="E4429" t="s">
        <v>79</v>
      </c>
      <c r="F4429">
        <v>1</v>
      </c>
      <c r="G4429">
        <v>24.9</v>
      </c>
      <c r="H4429">
        <v>7.43</v>
      </c>
      <c r="I4429" t="s">
        <v>44</v>
      </c>
      <c r="J4429">
        <v>6</v>
      </c>
      <c r="K4429" t="s">
        <v>51</v>
      </c>
      <c r="L4429">
        <v>5</v>
      </c>
      <c r="M4429" t="str">
        <f>VLOOKUP(D4429,State_Lookup!$A$2:$B$28,2,FALSE)</f>
        <v>Sao Paulo</v>
      </c>
    </row>
    <row r="4430" spans="1:13" x14ac:dyDescent="0.45">
      <c r="A4430" t="s">
        <v>5126</v>
      </c>
      <c r="B4430" t="s">
        <v>5127</v>
      </c>
      <c r="C4430" t="s">
        <v>5066</v>
      </c>
      <c r="D4430" t="s">
        <v>16</v>
      </c>
      <c r="E4430" t="s">
        <v>132</v>
      </c>
      <c r="F4430">
        <v>1</v>
      </c>
      <c r="G4430">
        <v>35</v>
      </c>
      <c r="H4430">
        <v>7.51</v>
      </c>
      <c r="I4430" t="s">
        <v>44</v>
      </c>
      <c r="J4430">
        <v>5</v>
      </c>
      <c r="K4430" t="s">
        <v>51</v>
      </c>
      <c r="L4430">
        <v>5</v>
      </c>
      <c r="M4430" t="str">
        <f>VLOOKUP(D4430,State_Lookup!$A$2:$B$28,2,FALSE)</f>
        <v>Sao Paulo</v>
      </c>
    </row>
    <row r="4431" spans="1:13" x14ac:dyDescent="0.45">
      <c r="A4431" t="s">
        <v>5128</v>
      </c>
      <c r="B4431" t="s">
        <v>5127</v>
      </c>
      <c r="C4431" t="s">
        <v>5066</v>
      </c>
      <c r="D4431" t="s">
        <v>16</v>
      </c>
      <c r="E4431" t="s">
        <v>157</v>
      </c>
      <c r="F4431">
        <v>1</v>
      </c>
      <c r="G4431">
        <v>89</v>
      </c>
      <c r="H4431">
        <v>7.88</v>
      </c>
      <c r="I4431" t="s">
        <v>44</v>
      </c>
      <c r="J4431">
        <v>3</v>
      </c>
      <c r="K4431" t="s">
        <v>51</v>
      </c>
      <c r="L4431">
        <v>5</v>
      </c>
      <c r="M4431" t="str">
        <f>VLOOKUP(D4431,State_Lookup!$A$2:$B$28,2,FALSE)</f>
        <v>Sao Paulo</v>
      </c>
    </row>
    <row r="4432" spans="1:13" x14ac:dyDescent="0.45">
      <c r="A4432" t="s">
        <v>5129</v>
      </c>
      <c r="B4432" t="s">
        <v>5127</v>
      </c>
      <c r="C4432" t="s">
        <v>5066</v>
      </c>
      <c r="D4432" t="s">
        <v>18</v>
      </c>
      <c r="E4432" t="s">
        <v>3470</v>
      </c>
      <c r="F4432">
        <v>2</v>
      </c>
      <c r="G4432">
        <v>438</v>
      </c>
      <c r="H4432">
        <v>41.44</v>
      </c>
      <c r="I4432" t="s">
        <v>44</v>
      </c>
      <c r="J4432">
        <v>6</v>
      </c>
      <c r="K4432" t="s">
        <v>51</v>
      </c>
      <c r="L4432">
        <v>5</v>
      </c>
      <c r="M4432" t="str">
        <f>VLOOKUP(D4432,State_Lookup!$A$2:$B$28,2,FALSE)</f>
        <v>Minas Gerais</v>
      </c>
    </row>
    <row r="4433" spans="1:13" x14ac:dyDescent="0.45">
      <c r="A4433" t="s">
        <v>5130</v>
      </c>
      <c r="B4433" t="s">
        <v>5127</v>
      </c>
      <c r="C4433" t="s">
        <v>5066</v>
      </c>
      <c r="D4433" t="s">
        <v>16</v>
      </c>
      <c r="E4433" t="s">
        <v>110</v>
      </c>
      <c r="F4433">
        <v>1</v>
      </c>
      <c r="G4433">
        <v>69.900000000000006</v>
      </c>
      <c r="H4433">
        <v>14.8</v>
      </c>
      <c r="I4433" t="s">
        <v>44</v>
      </c>
      <c r="J4433">
        <v>8</v>
      </c>
      <c r="K4433" t="s">
        <v>51</v>
      </c>
      <c r="L4433">
        <v>5</v>
      </c>
      <c r="M4433" t="str">
        <f>VLOOKUP(D4433,State_Lookup!$A$2:$B$28,2,FALSE)</f>
        <v>Sao Paulo</v>
      </c>
    </row>
    <row r="4434" spans="1:13" x14ac:dyDescent="0.45">
      <c r="A4434" t="s">
        <v>5131</v>
      </c>
      <c r="B4434" t="s">
        <v>5132</v>
      </c>
      <c r="C4434" t="s">
        <v>5066</v>
      </c>
      <c r="D4434" t="s">
        <v>63</v>
      </c>
      <c r="E4434" t="s">
        <v>49</v>
      </c>
      <c r="F4434">
        <v>1</v>
      </c>
      <c r="G4434">
        <v>79</v>
      </c>
      <c r="H4434">
        <v>47.21</v>
      </c>
      <c r="I4434" t="s">
        <v>44</v>
      </c>
      <c r="J4434">
        <v>17</v>
      </c>
      <c r="K4434" t="s">
        <v>51</v>
      </c>
      <c r="L4434">
        <v>5</v>
      </c>
      <c r="M4434" t="str">
        <f>VLOOKUP(D4434,State_Lookup!$A$2:$B$28,2,FALSE)</f>
        <v>Pernambuco</v>
      </c>
    </row>
    <row r="4435" spans="1:13" x14ac:dyDescent="0.45">
      <c r="A4435" t="s">
        <v>5133</v>
      </c>
      <c r="B4435" t="s">
        <v>5132</v>
      </c>
      <c r="C4435" t="s">
        <v>5066</v>
      </c>
      <c r="D4435" t="s">
        <v>16</v>
      </c>
      <c r="E4435" t="s">
        <v>43</v>
      </c>
      <c r="F4435">
        <v>2</v>
      </c>
      <c r="G4435">
        <v>258</v>
      </c>
      <c r="H4435">
        <v>55.86</v>
      </c>
      <c r="I4435" t="s">
        <v>44</v>
      </c>
      <c r="J4435">
        <v>4</v>
      </c>
      <c r="K4435" t="s">
        <v>51</v>
      </c>
      <c r="L4435">
        <v>5</v>
      </c>
      <c r="M4435" t="str">
        <f>VLOOKUP(D4435,State_Lookup!$A$2:$B$28,2,FALSE)</f>
        <v>Sao Paulo</v>
      </c>
    </row>
    <row r="4436" spans="1:13" x14ac:dyDescent="0.45">
      <c r="A4436" t="s">
        <v>5134</v>
      </c>
      <c r="B4436" t="s">
        <v>5132</v>
      </c>
      <c r="C4436" t="s">
        <v>5066</v>
      </c>
      <c r="D4436" t="s">
        <v>17</v>
      </c>
      <c r="E4436" t="s">
        <v>79</v>
      </c>
      <c r="F4436">
        <v>1</v>
      </c>
      <c r="G4436">
        <v>21</v>
      </c>
      <c r="H4436">
        <v>22.08</v>
      </c>
      <c r="I4436" t="s">
        <v>44</v>
      </c>
      <c r="J4436">
        <v>5</v>
      </c>
      <c r="K4436" t="s">
        <v>51</v>
      </c>
      <c r="L4436">
        <v>5</v>
      </c>
      <c r="M4436" t="str">
        <f>VLOOKUP(D4436,State_Lookup!$A$2:$B$28,2,FALSE)</f>
        <v>Rio de Janeiro</v>
      </c>
    </row>
    <row r="4437" spans="1:13" x14ac:dyDescent="0.45">
      <c r="A4437" t="s">
        <v>5135</v>
      </c>
      <c r="B4437" t="s">
        <v>5132</v>
      </c>
      <c r="C4437" t="s">
        <v>5066</v>
      </c>
      <c r="D4437" t="s">
        <v>16</v>
      </c>
      <c r="E4437" t="s">
        <v>64</v>
      </c>
      <c r="F4437">
        <v>1</v>
      </c>
      <c r="G4437">
        <v>129.99</v>
      </c>
      <c r="H4437">
        <v>8.17</v>
      </c>
      <c r="I4437" t="s">
        <v>44</v>
      </c>
      <c r="J4437">
        <v>3</v>
      </c>
      <c r="K4437" t="s">
        <v>51</v>
      </c>
      <c r="L4437">
        <v>5</v>
      </c>
      <c r="M4437" t="str">
        <f>VLOOKUP(D4437,State_Lookup!$A$2:$B$28,2,FALSE)</f>
        <v>Sao Paulo</v>
      </c>
    </row>
    <row r="4438" spans="1:13" x14ac:dyDescent="0.45">
      <c r="A4438" t="s">
        <v>5136</v>
      </c>
      <c r="B4438" t="s">
        <v>5132</v>
      </c>
      <c r="C4438" t="s">
        <v>5066</v>
      </c>
      <c r="D4438" t="s">
        <v>16</v>
      </c>
      <c r="E4438" t="s">
        <v>2079</v>
      </c>
      <c r="F4438">
        <v>1</v>
      </c>
      <c r="G4438">
        <v>169.99</v>
      </c>
      <c r="H4438">
        <v>12.92</v>
      </c>
      <c r="I4438" t="s">
        <v>44</v>
      </c>
      <c r="J4438">
        <v>4</v>
      </c>
      <c r="K4438" t="s">
        <v>51</v>
      </c>
      <c r="L4438">
        <v>5</v>
      </c>
      <c r="M4438" t="str">
        <f>VLOOKUP(D4438,State_Lookup!$A$2:$B$28,2,FALSE)</f>
        <v>Sao Paulo</v>
      </c>
    </row>
    <row r="4439" spans="1:13" x14ac:dyDescent="0.45">
      <c r="A4439" t="s">
        <v>5137</v>
      </c>
      <c r="B4439" t="s">
        <v>5132</v>
      </c>
      <c r="C4439" t="s">
        <v>5066</v>
      </c>
      <c r="D4439" t="s">
        <v>16</v>
      </c>
      <c r="E4439" t="s">
        <v>110</v>
      </c>
      <c r="F4439">
        <v>1</v>
      </c>
      <c r="G4439">
        <v>159.9</v>
      </c>
      <c r="H4439">
        <v>18.329999999999998</v>
      </c>
      <c r="I4439" t="s">
        <v>44</v>
      </c>
      <c r="J4439">
        <v>3</v>
      </c>
      <c r="K4439" t="s">
        <v>51</v>
      </c>
      <c r="L4439">
        <v>5</v>
      </c>
      <c r="M4439" t="str">
        <f>VLOOKUP(D4439,State_Lookup!$A$2:$B$28,2,FALSE)</f>
        <v>Sao Paulo</v>
      </c>
    </row>
    <row r="4440" spans="1:13" x14ac:dyDescent="0.45">
      <c r="A4440" t="s">
        <v>5138</v>
      </c>
      <c r="B4440" t="s">
        <v>5132</v>
      </c>
      <c r="C4440" t="s">
        <v>5066</v>
      </c>
      <c r="D4440" t="s">
        <v>18</v>
      </c>
      <c r="E4440" t="s">
        <v>79</v>
      </c>
      <c r="F4440">
        <v>1</v>
      </c>
      <c r="G4440">
        <v>160</v>
      </c>
      <c r="H4440">
        <v>14.46</v>
      </c>
      <c r="I4440" t="s">
        <v>44</v>
      </c>
      <c r="J4440">
        <v>4</v>
      </c>
      <c r="K4440" t="s">
        <v>51</v>
      </c>
      <c r="L4440">
        <v>3</v>
      </c>
      <c r="M4440" t="str">
        <f>VLOOKUP(D4440,State_Lookup!$A$2:$B$28,2,FALSE)</f>
        <v>Minas Gerais</v>
      </c>
    </row>
    <row r="4441" spans="1:13" x14ac:dyDescent="0.45">
      <c r="A4441" t="s">
        <v>5139</v>
      </c>
      <c r="B4441" t="s">
        <v>5140</v>
      </c>
      <c r="C4441" t="s">
        <v>5066</v>
      </c>
      <c r="D4441" t="s">
        <v>18</v>
      </c>
      <c r="E4441" t="s">
        <v>157</v>
      </c>
      <c r="F4441">
        <v>1</v>
      </c>
      <c r="G4441">
        <v>149</v>
      </c>
      <c r="H4441">
        <v>14.38</v>
      </c>
      <c r="I4441" t="s">
        <v>44</v>
      </c>
      <c r="J4441">
        <v>4</v>
      </c>
      <c r="K4441" t="s">
        <v>51</v>
      </c>
      <c r="L4441">
        <v>5</v>
      </c>
      <c r="M4441" t="str">
        <f>VLOOKUP(D4441,State_Lookup!$A$2:$B$28,2,FALSE)</f>
        <v>Minas Gerais</v>
      </c>
    </row>
    <row r="4442" spans="1:13" x14ac:dyDescent="0.45">
      <c r="A4442" t="s">
        <v>5141</v>
      </c>
      <c r="B4442" t="s">
        <v>5140</v>
      </c>
      <c r="C4442" t="s">
        <v>5066</v>
      </c>
      <c r="D4442" t="s">
        <v>16</v>
      </c>
      <c r="E4442" t="s">
        <v>950</v>
      </c>
      <c r="F4442">
        <v>1</v>
      </c>
      <c r="G4442">
        <v>1129.99</v>
      </c>
      <c r="H4442">
        <v>32.89</v>
      </c>
      <c r="I4442" t="s">
        <v>44</v>
      </c>
      <c r="J4442">
        <v>1</v>
      </c>
      <c r="K4442" t="s">
        <v>51</v>
      </c>
      <c r="L4442">
        <v>5</v>
      </c>
      <c r="M4442" t="str">
        <f>VLOOKUP(D4442,State_Lookup!$A$2:$B$28,2,FALSE)</f>
        <v>Sao Paulo</v>
      </c>
    </row>
    <row r="4443" spans="1:13" x14ac:dyDescent="0.45">
      <c r="A4443" t="s">
        <v>5142</v>
      </c>
      <c r="B4443" t="s">
        <v>5140</v>
      </c>
      <c r="C4443" t="s">
        <v>5066</v>
      </c>
      <c r="D4443" t="s">
        <v>128</v>
      </c>
      <c r="E4443" t="s">
        <v>66</v>
      </c>
      <c r="F4443">
        <v>1</v>
      </c>
      <c r="G4443">
        <v>19.989999999999998</v>
      </c>
      <c r="H4443">
        <v>37.049999999999997</v>
      </c>
      <c r="I4443" t="s">
        <v>44</v>
      </c>
      <c r="J4443">
        <v>10</v>
      </c>
      <c r="K4443" t="s">
        <v>51</v>
      </c>
      <c r="L4443">
        <v>5</v>
      </c>
      <c r="M4443" t="str">
        <f>VLOOKUP(D4443,State_Lookup!$A$2:$B$28,2,FALSE)</f>
        <v>Ceara</v>
      </c>
    </row>
    <row r="4444" spans="1:13" x14ac:dyDescent="0.45">
      <c r="A4444" t="s">
        <v>5143</v>
      </c>
      <c r="B4444" t="s">
        <v>5140</v>
      </c>
      <c r="C4444" t="s">
        <v>5066</v>
      </c>
      <c r="D4444" t="s">
        <v>17</v>
      </c>
      <c r="E4444" t="s">
        <v>157</v>
      </c>
      <c r="F4444">
        <v>1</v>
      </c>
      <c r="G4444">
        <v>173.9</v>
      </c>
      <c r="H4444">
        <v>16.32</v>
      </c>
      <c r="I4444" t="s">
        <v>44</v>
      </c>
      <c r="J4444">
        <v>16</v>
      </c>
      <c r="K4444" t="s">
        <v>51</v>
      </c>
      <c r="L4444">
        <v>2</v>
      </c>
      <c r="M4444" t="str">
        <f>VLOOKUP(D4444,State_Lookup!$A$2:$B$28,2,FALSE)</f>
        <v>Rio de Janeiro</v>
      </c>
    </row>
    <row r="4445" spans="1:13" x14ac:dyDescent="0.45">
      <c r="A4445" t="s">
        <v>5144</v>
      </c>
      <c r="B4445" t="s">
        <v>5140</v>
      </c>
      <c r="C4445" t="s">
        <v>5066</v>
      </c>
      <c r="D4445" t="s">
        <v>17</v>
      </c>
      <c r="E4445" t="s">
        <v>148</v>
      </c>
      <c r="F4445">
        <v>1</v>
      </c>
      <c r="G4445">
        <v>135</v>
      </c>
      <c r="H4445">
        <v>22.88</v>
      </c>
      <c r="I4445" t="s">
        <v>44</v>
      </c>
      <c r="J4445">
        <v>14</v>
      </c>
      <c r="K4445" t="s">
        <v>51</v>
      </c>
      <c r="L4445">
        <v>1</v>
      </c>
      <c r="M4445" t="str">
        <f>VLOOKUP(D4445,State_Lookup!$A$2:$B$28,2,FALSE)</f>
        <v>Rio de Janeiro</v>
      </c>
    </row>
    <row r="4446" spans="1:13" x14ac:dyDescent="0.45">
      <c r="A4446" t="s">
        <v>5145</v>
      </c>
      <c r="B4446" t="s">
        <v>5140</v>
      </c>
      <c r="C4446" t="s">
        <v>5066</v>
      </c>
      <c r="D4446" t="s">
        <v>16</v>
      </c>
      <c r="E4446" t="s">
        <v>53</v>
      </c>
      <c r="F4446">
        <v>1</v>
      </c>
      <c r="G4446">
        <v>79.900000000000006</v>
      </c>
      <c r="H4446">
        <v>8.7200000000000006</v>
      </c>
      <c r="I4446" t="s">
        <v>44</v>
      </c>
      <c r="J4446">
        <v>3</v>
      </c>
      <c r="K4446" t="s">
        <v>51</v>
      </c>
      <c r="L4446">
        <v>5</v>
      </c>
      <c r="M4446" t="str">
        <f>VLOOKUP(D4446,State_Lookup!$A$2:$B$28,2,FALSE)</f>
        <v>Sao Paulo</v>
      </c>
    </row>
    <row r="4447" spans="1:13" x14ac:dyDescent="0.45">
      <c r="A4447" t="s">
        <v>5146</v>
      </c>
      <c r="B4447" t="s">
        <v>5140</v>
      </c>
      <c r="C4447" t="s">
        <v>5066</v>
      </c>
      <c r="D4447" t="s">
        <v>141</v>
      </c>
      <c r="E4447" t="s">
        <v>49</v>
      </c>
      <c r="F4447">
        <v>2</v>
      </c>
      <c r="G4447">
        <v>299.8</v>
      </c>
      <c r="H4447">
        <v>126.14</v>
      </c>
      <c r="I4447" t="s">
        <v>50</v>
      </c>
      <c r="J4447">
        <v>17</v>
      </c>
      <c r="K4447" t="s">
        <v>51</v>
      </c>
      <c r="L4447">
        <v>5</v>
      </c>
      <c r="M4447" t="str">
        <f>VLOOKUP(D4447,State_Lookup!$A$2:$B$28,2,FALSE)</f>
        <v>Maranhao</v>
      </c>
    </row>
    <row r="4448" spans="1:13" x14ac:dyDescent="0.45">
      <c r="A4448" t="s">
        <v>5147</v>
      </c>
      <c r="B4448" t="s">
        <v>5140</v>
      </c>
      <c r="C4448" t="s">
        <v>5066</v>
      </c>
      <c r="D4448" t="s">
        <v>19</v>
      </c>
      <c r="E4448" t="s">
        <v>110</v>
      </c>
      <c r="F4448">
        <v>1</v>
      </c>
      <c r="G4448">
        <v>90.1</v>
      </c>
      <c r="H4448">
        <v>19.82</v>
      </c>
      <c r="I4448" t="s">
        <v>44</v>
      </c>
      <c r="J4448">
        <v>28</v>
      </c>
      <c r="K4448" t="s">
        <v>143</v>
      </c>
      <c r="L4448">
        <v>5</v>
      </c>
      <c r="M4448" t="str">
        <f>VLOOKUP(D4448,State_Lookup!$A$2:$B$28,2,FALSE)</f>
        <v>Rio Grande do Sul</v>
      </c>
    </row>
    <row r="4449" spans="1:13" x14ac:dyDescent="0.45">
      <c r="A4449" t="s">
        <v>5148</v>
      </c>
      <c r="B4449" t="s">
        <v>5140</v>
      </c>
      <c r="C4449" t="s">
        <v>5066</v>
      </c>
      <c r="D4449" t="s">
        <v>141</v>
      </c>
      <c r="E4449" t="s">
        <v>157</v>
      </c>
      <c r="F4449">
        <v>1</v>
      </c>
      <c r="G4449">
        <v>194.91</v>
      </c>
      <c r="H4449">
        <v>24.08</v>
      </c>
      <c r="I4449" t="s">
        <v>44</v>
      </c>
      <c r="J4449">
        <v>25</v>
      </c>
      <c r="K4449" t="s">
        <v>51</v>
      </c>
      <c r="L4449">
        <v>3</v>
      </c>
      <c r="M4449" t="str">
        <f>VLOOKUP(D4449,State_Lookup!$A$2:$B$28,2,FALSE)</f>
        <v>Maranhao</v>
      </c>
    </row>
    <row r="4450" spans="1:13" x14ac:dyDescent="0.45">
      <c r="A4450" t="s">
        <v>5149</v>
      </c>
      <c r="B4450" t="s">
        <v>5150</v>
      </c>
      <c r="C4450" t="s">
        <v>5066</v>
      </c>
      <c r="D4450" t="s">
        <v>16</v>
      </c>
      <c r="E4450" t="s">
        <v>192</v>
      </c>
      <c r="F4450">
        <v>1</v>
      </c>
      <c r="G4450">
        <v>51.31</v>
      </c>
      <c r="H4450">
        <v>7.94</v>
      </c>
      <c r="I4450" t="s">
        <v>44</v>
      </c>
      <c r="J4450">
        <v>2</v>
      </c>
      <c r="K4450" t="s">
        <v>51</v>
      </c>
      <c r="L4450">
        <v>2</v>
      </c>
      <c r="M4450" t="str">
        <f>VLOOKUP(D4450,State_Lookup!$A$2:$B$28,2,FALSE)</f>
        <v>Sao Paulo</v>
      </c>
    </row>
    <row r="4451" spans="1:13" x14ac:dyDescent="0.45">
      <c r="A4451" t="s">
        <v>5151</v>
      </c>
      <c r="B4451" t="s">
        <v>5150</v>
      </c>
      <c r="C4451" t="s">
        <v>5066</v>
      </c>
      <c r="D4451" t="s">
        <v>16</v>
      </c>
      <c r="E4451" t="s">
        <v>79</v>
      </c>
      <c r="F4451">
        <v>1</v>
      </c>
      <c r="G4451">
        <v>64.989999999999995</v>
      </c>
      <c r="H4451">
        <v>8.6199999999999992</v>
      </c>
      <c r="I4451" t="s">
        <v>44</v>
      </c>
      <c r="J4451">
        <v>1</v>
      </c>
      <c r="K4451" t="s">
        <v>51</v>
      </c>
      <c r="L4451">
        <v>5</v>
      </c>
      <c r="M4451" t="str">
        <f>VLOOKUP(D4451,State_Lookup!$A$2:$B$28,2,FALSE)</f>
        <v>Sao Paulo</v>
      </c>
    </row>
    <row r="4452" spans="1:13" x14ac:dyDescent="0.45">
      <c r="A4452" t="s">
        <v>5152</v>
      </c>
      <c r="B4452" t="s">
        <v>5150</v>
      </c>
      <c r="C4452" t="s">
        <v>5066</v>
      </c>
      <c r="D4452" t="s">
        <v>16</v>
      </c>
      <c r="E4452" t="s">
        <v>79</v>
      </c>
      <c r="F4452">
        <v>2</v>
      </c>
      <c r="G4452">
        <v>267.98</v>
      </c>
      <c r="H4452">
        <v>58.4</v>
      </c>
      <c r="I4452" t="s">
        <v>44</v>
      </c>
      <c r="J4452">
        <v>13</v>
      </c>
      <c r="K4452" t="s">
        <v>51</v>
      </c>
      <c r="L4452">
        <v>3</v>
      </c>
      <c r="M4452" t="str">
        <f>VLOOKUP(D4452,State_Lookup!$A$2:$B$28,2,FALSE)</f>
        <v>Sao Paulo</v>
      </c>
    </row>
    <row r="4453" spans="1:13" x14ac:dyDescent="0.45">
      <c r="A4453" t="s">
        <v>5153</v>
      </c>
      <c r="B4453" t="s">
        <v>5150</v>
      </c>
      <c r="C4453" t="s">
        <v>5066</v>
      </c>
      <c r="D4453" t="s">
        <v>22</v>
      </c>
      <c r="E4453" t="s">
        <v>49</v>
      </c>
      <c r="F4453">
        <v>1</v>
      </c>
      <c r="G4453">
        <v>11</v>
      </c>
      <c r="H4453">
        <v>22.06</v>
      </c>
      <c r="I4453" t="s">
        <v>44</v>
      </c>
      <c r="J4453">
        <v>15</v>
      </c>
      <c r="K4453" t="s">
        <v>51</v>
      </c>
      <c r="L4453">
        <v>5</v>
      </c>
      <c r="M4453" t="str">
        <f>VLOOKUP(D4453,State_Lookup!$A$2:$B$28,2,FALSE)</f>
        <v>Bahia</v>
      </c>
    </row>
    <row r="4454" spans="1:13" x14ac:dyDescent="0.45">
      <c r="A4454" t="s">
        <v>5154</v>
      </c>
      <c r="B4454" t="s">
        <v>5155</v>
      </c>
      <c r="C4454" t="s">
        <v>5066</v>
      </c>
      <c r="D4454" t="s">
        <v>16</v>
      </c>
      <c r="E4454" t="s">
        <v>79</v>
      </c>
      <c r="F4454">
        <v>1</v>
      </c>
      <c r="G4454">
        <v>24.9</v>
      </c>
      <c r="H4454">
        <v>7.43</v>
      </c>
      <c r="I4454" t="s">
        <v>44</v>
      </c>
      <c r="J4454">
        <v>1</v>
      </c>
      <c r="K4454" t="s">
        <v>51</v>
      </c>
      <c r="L4454">
        <v>5</v>
      </c>
      <c r="M4454" t="str">
        <f>VLOOKUP(D4454,State_Lookup!$A$2:$B$28,2,FALSE)</f>
        <v>Sao Paulo</v>
      </c>
    </row>
    <row r="4455" spans="1:13" x14ac:dyDescent="0.45">
      <c r="A4455" t="s">
        <v>5156</v>
      </c>
      <c r="B4455" t="s">
        <v>5155</v>
      </c>
      <c r="C4455" t="s">
        <v>5066</v>
      </c>
      <c r="D4455" t="s">
        <v>63</v>
      </c>
      <c r="E4455" t="s">
        <v>157</v>
      </c>
      <c r="F4455">
        <v>1</v>
      </c>
      <c r="G4455">
        <v>55</v>
      </c>
      <c r="H4455">
        <v>37.299999999999997</v>
      </c>
      <c r="I4455" t="s">
        <v>133</v>
      </c>
      <c r="J4455">
        <v>12</v>
      </c>
      <c r="K4455" t="s">
        <v>51</v>
      </c>
      <c r="L4455">
        <v>5</v>
      </c>
      <c r="M4455" t="str">
        <f>VLOOKUP(D4455,State_Lookup!$A$2:$B$28,2,FALSE)</f>
        <v>Pernambuco</v>
      </c>
    </row>
    <row r="4456" spans="1:13" x14ac:dyDescent="0.45">
      <c r="A4456" t="s">
        <v>5157</v>
      </c>
      <c r="B4456" t="s">
        <v>5155</v>
      </c>
      <c r="C4456" t="s">
        <v>5066</v>
      </c>
      <c r="D4456" t="s">
        <v>113</v>
      </c>
      <c r="E4456" t="s">
        <v>1650</v>
      </c>
      <c r="F4456">
        <v>1</v>
      </c>
      <c r="G4456">
        <v>770</v>
      </c>
      <c r="H4456">
        <v>91.24</v>
      </c>
      <c r="I4456" t="s">
        <v>44</v>
      </c>
      <c r="J4456">
        <v>16</v>
      </c>
      <c r="K4456" t="s">
        <v>51</v>
      </c>
      <c r="L4456">
        <v>5</v>
      </c>
      <c r="M4456" t="str">
        <f>VLOOKUP(D4456,State_Lookup!$A$2:$B$28,2,FALSE)</f>
        <v>Piaui</v>
      </c>
    </row>
    <row r="4457" spans="1:13" x14ac:dyDescent="0.45">
      <c r="A4457" t="s">
        <v>5158</v>
      </c>
      <c r="B4457" t="s">
        <v>5155</v>
      </c>
      <c r="C4457" t="s">
        <v>5066</v>
      </c>
      <c r="D4457" t="s">
        <v>16</v>
      </c>
      <c r="E4457" t="s">
        <v>148</v>
      </c>
      <c r="F4457">
        <v>1</v>
      </c>
      <c r="G4457">
        <v>133.9</v>
      </c>
      <c r="H4457">
        <v>19.04</v>
      </c>
      <c r="I4457" t="s">
        <v>50</v>
      </c>
      <c r="J4457">
        <v>12</v>
      </c>
      <c r="K4457" t="s">
        <v>51</v>
      </c>
      <c r="L4457">
        <v>5</v>
      </c>
      <c r="M4457" t="str">
        <f>VLOOKUP(D4457,State_Lookup!$A$2:$B$28,2,FALSE)</f>
        <v>Sao Paulo</v>
      </c>
    </row>
    <row r="4458" spans="1:13" x14ac:dyDescent="0.45">
      <c r="A4458" t="s">
        <v>5159</v>
      </c>
      <c r="B4458" t="s">
        <v>5155</v>
      </c>
      <c r="C4458" t="s">
        <v>5066</v>
      </c>
      <c r="D4458" t="s">
        <v>16</v>
      </c>
      <c r="E4458" t="s">
        <v>64</v>
      </c>
      <c r="F4458">
        <v>4</v>
      </c>
      <c r="G4458">
        <v>179.96</v>
      </c>
      <c r="H4458">
        <v>30.32</v>
      </c>
      <c r="I4458" t="s">
        <v>44</v>
      </c>
      <c r="J4458">
        <v>2</v>
      </c>
      <c r="K4458" t="s">
        <v>51</v>
      </c>
      <c r="L4458">
        <v>5</v>
      </c>
      <c r="M4458" t="str">
        <f>VLOOKUP(D4458,State_Lookup!$A$2:$B$28,2,FALSE)</f>
        <v>Sao Paulo</v>
      </c>
    </row>
    <row r="4459" spans="1:13" x14ac:dyDescent="0.45">
      <c r="A4459" t="s">
        <v>5160</v>
      </c>
      <c r="B4459" t="s">
        <v>5161</v>
      </c>
      <c r="C4459" t="s">
        <v>5066</v>
      </c>
      <c r="D4459" t="s">
        <v>17</v>
      </c>
      <c r="E4459" t="s">
        <v>157</v>
      </c>
      <c r="F4459">
        <v>1</v>
      </c>
      <c r="G4459">
        <v>1534.9</v>
      </c>
      <c r="H4459">
        <v>27.67</v>
      </c>
      <c r="I4459" t="s">
        <v>108</v>
      </c>
      <c r="J4459">
        <v>25</v>
      </c>
      <c r="K4459" t="s">
        <v>51</v>
      </c>
      <c r="L4459">
        <v>3</v>
      </c>
      <c r="M4459" t="str">
        <f>VLOOKUP(D4459,State_Lookup!$A$2:$B$28,2,FALSE)</f>
        <v>Rio de Janeiro</v>
      </c>
    </row>
    <row r="4460" spans="1:13" x14ac:dyDescent="0.45">
      <c r="A4460" t="s">
        <v>5162</v>
      </c>
      <c r="B4460" t="s">
        <v>5161</v>
      </c>
      <c r="C4460" t="s">
        <v>5066</v>
      </c>
      <c r="D4460" t="s">
        <v>632</v>
      </c>
      <c r="E4460" t="s">
        <v>107</v>
      </c>
      <c r="F4460">
        <v>1</v>
      </c>
      <c r="G4460">
        <v>43</v>
      </c>
      <c r="H4460">
        <v>23.02</v>
      </c>
      <c r="I4460" t="s">
        <v>44</v>
      </c>
      <c r="J4460">
        <v>21</v>
      </c>
      <c r="K4460" t="s">
        <v>51</v>
      </c>
      <c r="L4460">
        <v>5</v>
      </c>
      <c r="M4460" t="str">
        <f>VLOOKUP(D4460,State_Lookup!$A$2:$B$28,2,FALSE)</f>
        <v>Alagoas</v>
      </c>
    </row>
    <row r="4461" spans="1:13" x14ac:dyDescent="0.45">
      <c r="A4461" t="s">
        <v>5163</v>
      </c>
      <c r="B4461" t="s">
        <v>5161</v>
      </c>
      <c r="C4461" t="s">
        <v>5066</v>
      </c>
      <c r="D4461" t="s">
        <v>18</v>
      </c>
      <c r="E4461" t="s">
        <v>3021</v>
      </c>
      <c r="F4461">
        <v>1</v>
      </c>
      <c r="G4461">
        <v>99.99</v>
      </c>
      <c r="H4461">
        <v>23.5</v>
      </c>
      <c r="I4461" t="s">
        <v>44</v>
      </c>
      <c r="J4461">
        <v>11</v>
      </c>
      <c r="K4461" t="s">
        <v>51</v>
      </c>
      <c r="L4461">
        <v>5</v>
      </c>
      <c r="M4461" t="str">
        <f>VLOOKUP(D4461,State_Lookup!$A$2:$B$28,2,FALSE)</f>
        <v>Minas Gerais</v>
      </c>
    </row>
    <row r="4462" spans="1:13" x14ac:dyDescent="0.45">
      <c r="A4462" t="s">
        <v>5164</v>
      </c>
      <c r="B4462" t="s">
        <v>5161</v>
      </c>
      <c r="C4462" t="s">
        <v>5066</v>
      </c>
      <c r="D4462" t="s">
        <v>19</v>
      </c>
      <c r="E4462" t="s">
        <v>125</v>
      </c>
      <c r="F4462">
        <v>1</v>
      </c>
      <c r="G4462">
        <v>88.9</v>
      </c>
      <c r="H4462">
        <v>24.97</v>
      </c>
      <c r="I4462" t="s">
        <v>133</v>
      </c>
      <c r="J4462">
        <v>3</v>
      </c>
      <c r="K4462" t="s">
        <v>51</v>
      </c>
      <c r="L4462">
        <v>1</v>
      </c>
      <c r="M4462" t="str">
        <f>VLOOKUP(D4462,State_Lookup!$A$2:$B$28,2,FALSE)</f>
        <v>Rio Grande do Sul</v>
      </c>
    </row>
    <row r="4463" spans="1:13" x14ac:dyDescent="0.45">
      <c r="A4463" t="s">
        <v>5165</v>
      </c>
      <c r="B4463" t="s">
        <v>5161</v>
      </c>
      <c r="C4463" t="s">
        <v>5066</v>
      </c>
      <c r="D4463" t="s">
        <v>63</v>
      </c>
      <c r="E4463" t="s">
        <v>244</v>
      </c>
      <c r="F4463">
        <v>1</v>
      </c>
      <c r="G4463">
        <v>169.9</v>
      </c>
      <c r="H4463">
        <v>20.100000000000001</v>
      </c>
      <c r="I4463" t="s">
        <v>50</v>
      </c>
      <c r="J4463">
        <v>12</v>
      </c>
      <c r="K4463" t="s">
        <v>51</v>
      </c>
      <c r="L4463">
        <v>5</v>
      </c>
      <c r="M4463" t="str">
        <f>VLOOKUP(D4463,State_Lookup!$A$2:$B$28,2,FALSE)</f>
        <v>Pernambuco</v>
      </c>
    </row>
    <row r="4464" spans="1:13" x14ac:dyDescent="0.45">
      <c r="A4464" t="s">
        <v>5166</v>
      </c>
      <c r="B4464" t="s">
        <v>5161</v>
      </c>
      <c r="C4464" t="s">
        <v>5066</v>
      </c>
      <c r="D4464" t="s">
        <v>17</v>
      </c>
      <c r="E4464" t="s">
        <v>103</v>
      </c>
      <c r="F4464">
        <v>1</v>
      </c>
      <c r="G4464">
        <v>20</v>
      </c>
      <c r="H4464">
        <v>18.239999999999998</v>
      </c>
      <c r="I4464" t="s">
        <v>50</v>
      </c>
      <c r="J4464">
        <v>19</v>
      </c>
      <c r="K4464" t="s">
        <v>143</v>
      </c>
      <c r="L4464">
        <v>3</v>
      </c>
      <c r="M4464" t="str">
        <f>VLOOKUP(D4464,State_Lookup!$A$2:$B$28,2,FALSE)</f>
        <v>Rio de Janeiro</v>
      </c>
    </row>
    <row r="4465" spans="1:13" x14ac:dyDescent="0.45">
      <c r="A4465" t="s">
        <v>5167</v>
      </c>
      <c r="B4465" t="s">
        <v>5161</v>
      </c>
      <c r="C4465" t="s">
        <v>5066</v>
      </c>
      <c r="D4465" t="s">
        <v>17</v>
      </c>
      <c r="E4465" t="s">
        <v>110</v>
      </c>
      <c r="F4465">
        <v>1</v>
      </c>
      <c r="G4465">
        <v>70.25</v>
      </c>
      <c r="H4465">
        <v>27.44</v>
      </c>
      <c r="I4465" t="s">
        <v>133</v>
      </c>
      <c r="J4465">
        <v>12</v>
      </c>
      <c r="K4465" t="s">
        <v>51</v>
      </c>
      <c r="L4465">
        <v>1</v>
      </c>
      <c r="M4465" t="str">
        <f>VLOOKUP(D4465,State_Lookup!$A$2:$B$28,2,FALSE)</f>
        <v>Rio de Janeiro</v>
      </c>
    </row>
    <row r="4466" spans="1:13" x14ac:dyDescent="0.45">
      <c r="A4466" t="s">
        <v>5168</v>
      </c>
      <c r="B4466" t="s">
        <v>5161</v>
      </c>
      <c r="C4466" t="s">
        <v>5066</v>
      </c>
      <c r="D4466" t="s">
        <v>16</v>
      </c>
      <c r="E4466" t="s">
        <v>79</v>
      </c>
      <c r="F4466">
        <v>1</v>
      </c>
      <c r="G4466">
        <v>27.9</v>
      </c>
      <c r="H4466">
        <v>7.46</v>
      </c>
      <c r="I4466" t="s">
        <v>44</v>
      </c>
      <c r="J4466">
        <v>1</v>
      </c>
      <c r="K4466" t="s">
        <v>51</v>
      </c>
      <c r="L4466">
        <v>5</v>
      </c>
      <c r="M4466" t="str">
        <f>VLOOKUP(D4466,State_Lookup!$A$2:$B$28,2,FALSE)</f>
        <v>Sao Paulo</v>
      </c>
    </row>
    <row r="4467" spans="1:13" x14ac:dyDescent="0.45">
      <c r="A4467" t="s">
        <v>5169</v>
      </c>
      <c r="B4467" t="s">
        <v>5170</v>
      </c>
      <c r="C4467" t="s">
        <v>5066</v>
      </c>
      <c r="D4467" t="s">
        <v>17</v>
      </c>
      <c r="E4467" t="s">
        <v>1903</v>
      </c>
      <c r="F4467">
        <v>1</v>
      </c>
      <c r="G4467">
        <v>58</v>
      </c>
      <c r="H4467">
        <v>18.510000000000002</v>
      </c>
      <c r="I4467" t="s">
        <v>44</v>
      </c>
      <c r="J4467">
        <v>10</v>
      </c>
      <c r="K4467" t="s">
        <v>51</v>
      </c>
      <c r="L4467">
        <v>5</v>
      </c>
      <c r="M4467" t="str">
        <f>VLOOKUP(D4467,State_Lookup!$A$2:$B$28,2,FALSE)</f>
        <v>Rio de Janeiro</v>
      </c>
    </row>
    <row r="4468" spans="1:13" x14ac:dyDescent="0.45">
      <c r="A4468" t="s">
        <v>5171</v>
      </c>
      <c r="B4468" t="s">
        <v>5170</v>
      </c>
      <c r="C4468" t="s">
        <v>5066</v>
      </c>
      <c r="D4468" t="s">
        <v>16</v>
      </c>
      <c r="E4468" t="s">
        <v>79</v>
      </c>
      <c r="F4468">
        <v>1</v>
      </c>
      <c r="G4468">
        <v>35.9</v>
      </c>
      <c r="H4468">
        <v>18.350000000000001</v>
      </c>
      <c r="I4468" t="s">
        <v>108</v>
      </c>
      <c r="J4468">
        <v>11</v>
      </c>
      <c r="K4468" t="s">
        <v>51</v>
      </c>
      <c r="L4468">
        <v>5</v>
      </c>
      <c r="M4468" t="str">
        <f>VLOOKUP(D4468,State_Lookup!$A$2:$B$28,2,FALSE)</f>
        <v>Sao Paulo</v>
      </c>
    </row>
    <row r="4469" spans="1:13" x14ac:dyDescent="0.45">
      <c r="A4469" t="s">
        <v>5172</v>
      </c>
      <c r="B4469" t="s">
        <v>5170</v>
      </c>
      <c r="C4469" t="s">
        <v>5066</v>
      </c>
      <c r="D4469" t="s">
        <v>63</v>
      </c>
      <c r="E4469" t="s">
        <v>79</v>
      </c>
      <c r="F4469">
        <v>1</v>
      </c>
      <c r="G4469">
        <v>69.900000000000006</v>
      </c>
      <c r="H4469">
        <v>19.399999999999999</v>
      </c>
      <c r="I4469" t="s">
        <v>44</v>
      </c>
      <c r="J4469">
        <v>13</v>
      </c>
      <c r="K4469" t="s">
        <v>51</v>
      </c>
      <c r="L4469">
        <v>5</v>
      </c>
      <c r="M4469" t="str">
        <f>VLOOKUP(D4469,State_Lookup!$A$2:$B$28,2,FALSE)</f>
        <v>Pernambuco</v>
      </c>
    </row>
    <row r="4470" spans="1:13" x14ac:dyDescent="0.45">
      <c r="A4470" t="s">
        <v>5173</v>
      </c>
      <c r="B4470" t="s">
        <v>5170</v>
      </c>
      <c r="C4470" t="s">
        <v>5066</v>
      </c>
      <c r="D4470" t="s">
        <v>25</v>
      </c>
      <c r="E4470" t="s">
        <v>3816</v>
      </c>
      <c r="F4470">
        <v>2</v>
      </c>
      <c r="G4470">
        <v>190.54</v>
      </c>
      <c r="H4470">
        <v>31.54</v>
      </c>
      <c r="I4470" t="s">
        <v>50</v>
      </c>
      <c r="J4470">
        <v>11</v>
      </c>
      <c r="K4470" t="s">
        <v>51</v>
      </c>
      <c r="L4470">
        <v>5</v>
      </c>
      <c r="M4470" t="str">
        <f>VLOOKUP(D4470,State_Lookup!$A$2:$B$28,2,FALSE)</f>
        <v>Goias</v>
      </c>
    </row>
    <row r="4471" spans="1:13" x14ac:dyDescent="0.45">
      <c r="A4471" t="s">
        <v>5174</v>
      </c>
      <c r="B4471" t="s">
        <v>5170</v>
      </c>
      <c r="C4471" t="s">
        <v>5066</v>
      </c>
      <c r="D4471" t="s">
        <v>20</v>
      </c>
      <c r="E4471" t="s">
        <v>79</v>
      </c>
      <c r="F4471">
        <v>3</v>
      </c>
      <c r="G4471">
        <v>116.97</v>
      </c>
      <c r="H4471">
        <v>55.11</v>
      </c>
      <c r="I4471" t="s">
        <v>50</v>
      </c>
      <c r="J4471">
        <v>10</v>
      </c>
      <c r="K4471" t="s">
        <v>51</v>
      </c>
      <c r="L4471">
        <v>5</v>
      </c>
      <c r="M4471" t="str">
        <f>VLOOKUP(D4471,State_Lookup!$A$2:$B$28,2,FALSE)</f>
        <v>Parana</v>
      </c>
    </row>
    <row r="4472" spans="1:13" x14ac:dyDescent="0.45">
      <c r="A4472" t="s">
        <v>5175</v>
      </c>
      <c r="B4472" t="s">
        <v>5170</v>
      </c>
      <c r="C4472" t="s">
        <v>5066</v>
      </c>
      <c r="D4472" t="s">
        <v>16</v>
      </c>
      <c r="E4472" t="s">
        <v>64</v>
      </c>
      <c r="F4472">
        <v>1</v>
      </c>
      <c r="G4472">
        <v>132.19999999999999</v>
      </c>
      <c r="H4472">
        <v>19.03</v>
      </c>
      <c r="I4472" t="s">
        <v>44</v>
      </c>
      <c r="J4472">
        <v>11</v>
      </c>
      <c r="K4472" t="s">
        <v>51</v>
      </c>
      <c r="L4472">
        <v>5</v>
      </c>
      <c r="M4472" t="str">
        <f>VLOOKUP(D4472,State_Lookup!$A$2:$B$28,2,FALSE)</f>
        <v>Sao Paulo</v>
      </c>
    </row>
    <row r="4473" spans="1:13" x14ac:dyDescent="0.45">
      <c r="A4473" t="s">
        <v>5176</v>
      </c>
      <c r="B4473" t="s">
        <v>5170</v>
      </c>
      <c r="C4473" t="s">
        <v>5066</v>
      </c>
      <c r="D4473" t="s">
        <v>21</v>
      </c>
      <c r="E4473" t="s">
        <v>43</v>
      </c>
      <c r="F4473">
        <v>1</v>
      </c>
      <c r="G4473">
        <v>120</v>
      </c>
      <c r="H4473">
        <v>74.790000000000006</v>
      </c>
      <c r="I4473" t="s">
        <v>44</v>
      </c>
      <c r="J4473">
        <v>11</v>
      </c>
      <c r="K4473" t="s">
        <v>51</v>
      </c>
      <c r="L4473">
        <v>5</v>
      </c>
      <c r="M4473" t="str">
        <f>VLOOKUP(D4473,State_Lookup!$A$2:$B$28,2,FALSE)</f>
        <v>Santa Catarina</v>
      </c>
    </row>
    <row r="4474" spans="1:13" x14ac:dyDescent="0.45">
      <c r="A4474" t="s">
        <v>5177</v>
      </c>
      <c r="B4474" t="s">
        <v>5178</v>
      </c>
      <c r="C4474" t="s">
        <v>5066</v>
      </c>
      <c r="D4474" t="s">
        <v>22</v>
      </c>
      <c r="E4474" t="s">
        <v>107</v>
      </c>
      <c r="F4474">
        <v>1</v>
      </c>
      <c r="G4474">
        <v>1280</v>
      </c>
      <c r="H4474">
        <v>63.44</v>
      </c>
      <c r="I4474" t="s">
        <v>44</v>
      </c>
      <c r="J4474">
        <v>9</v>
      </c>
      <c r="K4474" t="s">
        <v>51</v>
      </c>
      <c r="L4474">
        <v>5</v>
      </c>
      <c r="M4474" t="str">
        <f>VLOOKUP(D4474,State_Lookup!$A$2:$B$28,2,FALSE)</f>
        <v>Bahia</v>
      </c>
    </row>
    <row r="4475" spans="1:13" x14ac:dyDescent="0.45">
      <c r="A4475" t="s">
        <v>5179</v>
      </c>
      <c r="B4475" t="s">
        <v>5178</v>
      </c>
      <c r="C4475" t="s">
        <v>5066</v>
      </c>
      <c r="D4475" t="s">
        <v>128</v>
      </c>
      <c r="E4475" t="s">
        <v>302</v>
      </c>
      <c r="F4475">
        <v>1</v>
      </c>
      <c r="G4475">
        <v>55</v>
      </c>
      <c r="H4475">
        <v>38.659999999999997</v>
      </c>
      <c r="I4475" t="s">
        <v>44</v>
      </c>
      <c r="J4475">
        <v>12</v>
      </c>
      <c r="K4475" t="s">
        <v>51</v>
      </c>
      <c r="L4475">
        <v>4</v>
      </c>
      <c r="M4475" t="str">
        <f>VLOOKUP(D4475,State_Lookup!$A$2:$B$28,2,FALSE)</f>
        <v>Ceara</v>
      </c>
    </row>
    <row r="4476" spans="1:13" x14ac:dyDescent="0.45">
      <c r="A4476" t="s">
        <v>5180</v>
      </c>
      <c r="B4476" t="s">
        <v>5178</v>
      </c>
      <c r="C4476" t="s">
        <v>5066</v>
      </c>
      <c r="D4476" t="s">
        <v>20</v>
      </c>
      <c r="E4476" t="s">
        <v>61</v>
      </c>
      <c r="F4476">
        <v>1</v>
      </c>
      <c r="G4476">
        <v>350</v>
      </c>
      <c r="H4476">
        <v>36.53</v>
      </c>
      <c r="I4476" t="s">
        <v>50</v>
      </c>
      <c r="J4476">
        <v>9</v>
      </c>
      <c r="K4476" t="s">
        <v>51</v>
      </c>
      <c r="L4476">
        <v>5</v>
      </c>
      <c r="M4476" t="str">
        <f>VLOOKUP(D4476,State_Lookup!$A$2:$B$28,2,FALSE)</f>
        <v>Parana</v>
      </c>
    </row>
    <row r="4477" spans="1:13" x14ac:dyDescent="0.45">
      <c r="A4477" t="s">
        <v>5181</v>
      </c>
      <c r="B4477" t="s">
        <v>5178</v>
      </c>
      <c r="C4477" t="s">
        <v>5066</v>
      </c>
      <c r="D4477" t="s">
        <v>21</v>
      </c>
      <c r="E4477" t="s">
        <v>66</v>
      </c>
      <c r="F4477">
        <v>1</v>
      </c>
      <c r="G4477">
        <v>29.99</v>
      </c>
      <c r="H4477">
        <v>18.309999999999999</v>
      </c>
      <c r="I4477" t="s">
        <v>44</v>
      </c>
      <c r="J4477">
        <v>12</v>
      </c>
      <c r="K4477" t="s">
        <v>51</v>
      </c>
      <c r="L4477">
        <v>3</v>
      </c>
      <c r="M4477" t="str">
        <f>VLOOKUP(D4477,State_Lookup!$A$2:$B$28,2,FALSE)</f>
        <v>Santa Catarina</v>
      </c>
    </row>
    <row r="4478" spans="1:13" x14ac:dyDescent="0.45">
      <c r="A4478" t="s">
        <v>5182</v>
      </c>
      <c r="B4478" t="s">
        <v>5178</v>
      </c>
      <c r="C4478" t="s">
        <v>5066</v>
      </c>
      <c r="D4478" t="s">
        <v>17</v>
      </c>
      <c r="E4478" t="s">
        <v>220</v>
      </c>
      <c r="F4478">
        <v>1</v>
      </c>
      <c r="G4478">
        <v>79.98</v>
      </c>
      <c r="H4478">
        <v>40.17</v>
      </c>
      <c r="I4478" t="s">
        <v>44</v>
      </c>
      <c r="J4478">
        <v>23</v>
      </c>
      <c r="K4478" t="s">
        <v>51</v>
      </c>
      <c r="L4478">
        <v>5</v>
      </c>
      <c r="M4478" t="str">
        <f>VLOOKUP(D4478,State_Lookup!$A$2:$B$28,2,FALSE)</f>
        <v>Rio de Janeiro</v>
      </c>
    </row>
    <row r="4479" spans="1:13" x14ac:dyDescent="0.45">
      <c r="A4479" t="s">
        <v>5183</v>
      </c>
      <c r="B4479" t="s">
        <v>5184</v>
      </c>
      <c r="C4479" t="s">
        <v>5066</v>
      </c>
      <c r="D4479" t="s">
        <v>17</v>
      </c>
      <c r="E4479" t="s">
        <v>269</v>
      </c>
      <c r="F4479">
        <v>1</v>
      </c>
      <c r="G4479">
        <v>65.489999999999995</v>
      </c>
      <c r="H4479">
        <v>18.559999999999999</v>
      </c>
      <c r="I4479" t="s">
        <v>44</v>
      </c>
      <c r="J4479">
        <v>5</v>
      </c>
      <c r="K4479" t="s">
        <v>51</v>
      </c>
      <c r="L4479">
        <v>5</v>
      </c>
      <c r="M4479" t="str">
        <f>VLOOKUP(D4479,State_Lookup!$A$2:$B$28,2,FALSE)</f>
        <v>Rio de Janeiro</v>
      </c>
    </row>
    <row r="4480" spans="1:13" x14ac:dyDescent="0.45">
      <c r="A4480" t="s">
        <v>5185</v>
      </c>
      <c r="B4480" t="s">
        <v>5184</v>
      </c>
      <c r="C4480" t="s">
        <v>5066</v>
      </c>
      <c r="D4480" t="s">
        <v>16</v>
      </c>
      <c r="E4480" t="s">
        <v>49</v>
      </c>
      <c r="F4480">
        <v>1</v>
      </c>
      <c r="G4480">
        <v>43</v>
      </c>
      <c r="H4480">
        <v>12.96</v>
      </c>
      <c r="I4480" t="s">
        <v>44</v>
      </c>
      <c r="J4480">
        <v>8</v>
      </c>
      <c r="K4480" t="s">
        <v>51</v>
      </c>
      <c r="L4480">
        <v>5</v>
      </c>
      <c r="M4480" t="str">
        <f>VLOOKUP(D4480,State_Lookup!$A$2:$B$28,2,FALSE)</f>
        <v>Sao Paulo</v>
      </c>
    </row>
    <row r="4481" spans="1:13" x14ac:dyDescent="0.45">
      <c r="A4481" t="s">
        <v>5186</v>
      </c>
      <c r="B4481" t="s">
        <v>5184</v>
      </c>
      <c r="C4481" t="s">
        <v>5066</v>
      </c>
      <c r="D4481" t="s">
        <v>16</v>
      </c>
      <c r="E4481" t="s">
        <v>157</v>
      </c>
      <c r="F4481">
        <v>1</v>
      </c>
      <c r="G4481">
        <v>155.97</v>
      </c>
      <c r="H4481">
        <v>8.35</v>
      </c>
      <c r="I4481" t="s">
        <v>44</v>
      </c>
      <c r="J4481">
        <v>10</v>
      </c>
      <c r="K4481" t="s">
        <v>51</v>
      </c>
      <c r="L4481">
        <v>5</v>
      </c>
      <c r="M4481" t="str">
        <f>VLOOKUP(D4481,State_Lookup!$A$2:$B$28,2,FALSE)</f>
        <v>Sao Paulo</v>
      </c>
    </row>
    <row r="4482" spans="1:13" x14ac:dyDescent="0.45">
      <c r="A4482" t="s">
        <v>5187</v>
      </c>
      <c r="B4482" t="s">
        <v>5184</v>
      </c>
      <c r="C4482" t="s">
        <v>5066</v>
      </c>
      <c r="D4482" t="s">
        <v>16</v>
      </c>
      <c r="E4482" t="s">
        <v>157</v>
      </c>
      <c r="F4482">
        <v>1</v>
      </c>
      <c r="G4482">
        <v>139</v>
      </c>
      <c r="H4482">
        <v>19.07</v>
      </c>
      <c r="I4482" t="s">
        <v>50</v>
      </c>
      <c r="J4482">
        <v>9</v>
      </c>
      <c r="K4482" t="s">
        <v>51</v>
      </c>
      <c r="L4482">
        <v>5</v>
      </c>
      <c r="M4482" t="str">
        <f>VLOOKUP(D4482,State_Lookup!$A$2:$B$28,2,FALSE)</f>
        <v>Sao Paulo</v>
      </c>
    </row>
    <row r="4483" spans="1:13" x14ac:dyDescent="0.45">
      <c r="A4483" t="s">
        <v>5188</v>
      </c>
      <c r="B4483" t="s">
        <v>5184</v>
      </c>
      <c r="C4483" t="s">
        <v>5066</v>
      </c>
      <c r="D4483" t="s">
        <v>18</v>
      </c>
      <c r="E4483" t="s">
        <v>43</v>
      </c>
      <c r="F4483">
        <v>1</v>
      </c>
      <c r="G4483">
        <v>39.9</v>
      </c>
      <c r="H4483">
        <v>23.43</v>
      </c>
      <c r="I4483" t="s">
        <v>44</v>
      </c>
      <c r="J4483">
        <v>4</v>
      </c>
      <c r="K4483" t="s">
        <v>51</v>
      </c>
      <c r="L4483">
        <v>5</v>
      </c>
      <c r="M4483" t="str">
        <f>VLOOKUP(D4483,State_Lookup!$A$2:$B$28,2,FALSE)</f>
        <v>Minas Gerais</v>
      </c>
    </row>
    <row r="4484" spans="1:13" x14ac:dyDescent="0.45">
      <c r="A4484" t="s">
        <v>5189</v>
      </c>
      <c r="B4484" t="s">
        <v>5190</v>
      </c>
      <c r="C4484" t="s">
        <v>5066</v>
      </c>
      <c r="D4484" t="s">
        <v>16</v>
      </c>
      <c r="E4484" t="s">
        <v>244</v>
      </c>
      <c r="F4484">
        <v>1</v>
      </c>
      <c r="G4484">
        <v>129.9</v>
      </c>
      <c r="H4484">
        <v>50.43</v>
      </c>
      <c r="I4484" t="s">
        <v>50</v>
      </c>
      <c r="J4484">
        <v>14</v>
      </c>
      <c r="K4484" t="s">
        <v>51</v>
      </c>
      <c r="L4484">
        <v>5</v>
      </c>
      <c r="M4484" t="str">
        <f>VLOOKUP(D4484,State_Lookup!$A$2:$B$28,2,FALSE)</f>
        <v>Sao Paulo</v>
      </c>
    </row>
    <row r="4485" spans="1:13" x14ac:dyDescent="0.45">
      <c r="A4485" t="s">
        <v>5191</v>
      </c>
      <c r="B4485" t="s">
        <v>5190</v>
      </c>
      <c r="C4485" t="s">
        <v>5066</v>
      </c>
      <c r="D4485" t="s">
        <v>16</v>
      </c>
      <c r="E4485" t="s">
        <v>79</v>
      </c>
      <c r="F4485">
        <v>1</v>
      </c>
      <c r="G4485">
        <v>30.5</v>
      </c>
      <c r="H4485">
        <v>18.309999999999999</v>
      </c>
      <c r="I4485" t="s">
        <v>44</v>
      </c>
      <c r="J4485">
        <v>7</v>
      </c>
      <c r="K4485" t="s">
        <v>51</v>
      </c>
      <c r="L4485">
        <v>5</v>
      </c>
      <c r="M4485" t="str">
        <f>VLOOKUP(D4485,State_Lookup!$A$2:$B$28,2,FALSE)</f>
        <v>Sao Paulo</v>
      </c>
    </row>
    <row r="4486" spans="1:13" x14ac:dyDescent="0.45">
      <c r="A4486" t="s">
        <v>5192</v>
      </c>
      <c r="B4486" t="s">
        <v>5190</v>
      </c>
      <c r="C4486" t="s">
        <v>5066</v>
      </c>
      <c r="D4486" t="s">
        <v>17</v>
      </c>
      <c r="E4486" t="s">
        <v>69</v>
      </c>
      <c r="F4486">
        <v>1</v>
      </c>
      <c r="G4486">
        <v>50</v>
      </c>
      <c r="H4486">
        <v>23.15</v>
      </c>
      <c r="I4486" t="s">
        <v>44</v>
      </c>
      <c r="J4486">
        <v>8</v>
      </c>
      <c r="K4486" t="s">
        <v>51</v>
      </c>
      <c r="L4486">
        <v>5</v>
      </c>
      <c r="M4486" t="str">
        <f>VLOOKUP(D4486,State_Lookup!$A$2:$B$28,2,FALSE)</f>
        <v>Rio de Janeiro</v>
      </c>
    </row>
    <row r="4487" spans="1:13" x14ac:dyDescent="0.45">
      <c r="A4487" t="s">
        <v>5193</v>
      </c>
      <c r="B4487" t="s">
        <v>5190</v>
      </c>
      <c r="C4487" t="s">
        <v>5066</v>
      </c>
      <c r="D4487" t="s">
        <v>16</v>
      </c>
      <c r="E4487" t="s">
        <v>79</v>
      </c>
      <c r="F4487">
        <v>2</v>
      </c>
      <c r="G4487">
        <v>220.64</v>
      </c>
      <c r="H4487">
        <v>16.059999999999999</v>
      </c>
      <c r="I4487" t="s">
        <v>108</v>
      </c>
      <c r="J4487">
        <v>10</v>
      </c>
      <c r="K4487" t="s">
        <v>143</v>
      </c>
      <c r="L4487">
        <v>4</v>
      </c>
      <c r="M4487" t="str">
        <f>VLOOKUP(D4487,State_Lookup!$A$2:$B$28,2,FALSE)</f>
        <v>Sao Paulo</v>
      </c>
    </row>
    <row r="4488" spans="1:13" x14ac:dyDescent="0.45">
      <c r="A4488" t="s">
        <v>5194</v>
      </c>
      <c r="B4488" t="s">
        <v>5190</v>
      </c>
      <c r="C4488" t="s">
        <v>5066</v>
      </c>
      <c r="D4488" t="s">
        <v>16</v>
      </c>
      <c r="E4488" t="s">
        <v>79</v>
      </c>
      <c r="F4488">
        <v>1</v>
      </c>
      <c r="G4488">
        <v>66.989999999999995</v>
      </c>
      <c r="H4488">
        <v>27.75</v>
      </c>
      <c r="I4488" t="s">
        <v>44</v>
      </c>
      <c r="J4488">
        <v>25</v>
      </c>
      <c r="K4488" t="s">
        <v>143</v>
      </c>
      <c r="L4488">
        <v>1</v>
      </c>
      <c r="M4488" t="str">
        <f>VLOOKUP(D4488,State_Lookup!$A$2:$B$28,2,FALSE)</f>
        <v>Sao Paulo</v>
      </c>
    </row>
    <row r="4489" spans="1:13" x14ac:dyDescent="0.45">
      <c r="A4489" t="s">
        <v>5195</v>
      </c>
      <c r="B4489" t="s">
        <v>5190</v>
      </c>
      <c r="C4489" t="s">
        <v>5066</v>
      </c>
      <c r="D4489" t="s">
        <v>128</v>
      </c>
      <c r="E4489" t="s">
        <v>64</v>
      </c>
      <c r="F4489">
        <v>1</v>
      </c>
      <c r="G4489">
        <v>44.99</v>
      </c>
      <c r="H4489">
        <v>19.23</v>
      </c>
      <c r="I4489" t="s">
        <v>44</v>
      </c>
      <c r="J4489">
        <v>10</v>
      </c>
      <c r="K4489" t="s">
        <v>51</v>
      </c>
      <c r="L4489">
        <v>5</v>
      </c>
      <c r="M4489" t="str">
        <f>VLOOKUP(D4489,State_Lookup!$A$2:$B$28,2,FALSE)</f>
        <v>Ceara</v>
      </c>
    </row>
    <row r="4490" spans="1:13" x14ac:dyDescent="0.45">
      <c r="A4490" t="s">
        <v>5196</v>
      </c>
      <c r="B4490" t="s">
        <v>5190</v>
      </c>
      <c r="C4490" t="s">
        <v>5066</v>
      </c>
      <c r="D4490" t="s">
        <v>18</v>
      </c>
      <c r="E4490" t="s">
        <v>61</v>
      </c>
      <c r="F4490">
        <v>1</v>
      </c>
      <c r="G4490">
        <v>49</v>
      </c>
      <c r="H4490">
        <v>18.440000000000001</v>
      </c>
      <c r="I4490" t="s">
        <v>44</v>
      </c>
      <c r="J4490">
        <v>9</v>
      </c>
      <c r="K4490" t="s">
        <v>51</v>
      </c>
      <c r="L4490">
        <v>5</v>
      </c>
      <c r="M4490" t="str">
        <f>VLOOKUP(D4490,State_Lookup!$A$2:$B$28,2,FALSE)</f>
        <v>Minas Gerais</v>
      </c>
    </row>
    <row r="4491" spans="1:13" x14ac:dyDescent="0.45">
      <c r="A4491" t="s">
        <v>5197</v>
      </c>
      <c r="B4491" t="s">
        <v>5190</v>
      </c>
      <c r="C4491" t="s">
        <v>5066</v>
      </c>
      <c r="D4491" t="s">
        <v>16</v>
      </c>
      <c r="E4491" t="s">
        <v>79</v>
      </c>
      <c r="F4491">
        <v>1</v>
      </c>
      <c r="G4491">
        <v>14.9</v>
      </c>
      <c r="H4491">
        <v>8.8800000000000008</v>
      </c>
      <c r="I4491" t="s">
        <v>50</v>
      </c>
      <c r="K4491" t="s">
        <v>45</v>
      </c>
      <c r="L4491">
        <v>1</v>
      </c>
      <c r="M4491" t="str">
        <f>VLOOKUP(D4491,State_Lookup!$A$2:$B$28,2,FALSE)</f>
        <v>Sao Paulo</v>
      </c>
    </row>
    <row r="4492" spans="1:13" x14ac:dyDescent="0.45">
      <c r="A4492" t="s">
        <v>5198</v>
      </c>
      <c r="B4492" t="s">
        <v>5190</v>
      </c>
      <c r="C4492" t="s">
        <v>5066</v>
      </c>
      <c r="D4492" t="s">
        <v>16</v>
      </c>
      <c r="E4492" t="s">
        <v>157</v>
      </c>
      <c r="F4492">
        <v>1</v>
      </c>
      <c r="G4492">
        <v>259</v>
      </c>
      <c r="H4492">
        <v>14.47</v>
      </c>
      <c r="I4492" t="s">
        <v>44</v>
      </c>
      <c r="J4492">
        <v>7</v>
      </c>
      <c r="K4492" t="s">
        <v>51</v>
      </c>
      <c r="L4492">
        <v>1</v>
      </c>
      <c r="M4492" t="str">
        <f>VLOOKUP(D4492,State_Lookup!$A$2:$B$28,2,FALSE)</f>
        <v>Sao Paulo</v>
      </c>
    </row>
    <row r="4493" spans="1:13" x14ac:dyDescent="0.45">
      <c r="A4493" t="s">
        <v>5199</v>
      </c>
      <c r="B4493" t="s">
        <v>5190</v>
      </c>
      <c r="C4493" t="s">
        <v>5066</v>
      </c>
      <c r="D4493" t="s">
        <v>20</v>
      </c>
      <c r="E4493" t="s">
        <v>107</v>
      </c>
      <c r="F4493">
        <v>1</v>
      </c>
      <c r="G4493">
        <v>59.8</v>
      </c>
      <c r="H4493">
        <v>23.22</v>
      </c>
      <c r="I4493" t="s">
        <v>44</v>
      </c>
      <c r="J4493">
        <v>4</v>
      </c>
      <c r="K4493" t="s">
        <v>51</v>
      </c>
      <c r="L4493">
        <v>5</v>
      </c>
      <c r="M4493" t="str">
        <f>VLOOKUP(D4493,State_Lookup!$A$2:$B$28,2,FALSE)</f>
        <v>Parana</v>
      </c>
    </row>
    <row r="4494" spans="1:13" x14ac:dyDescent="0.45">
      <c r="A4494" t="s">
        <v>5200</v>
      </c>
      <c r="B4494" t="s">
        <v>5190</v>
      </c>
      <c r="C4494" t="s">
        <v>5066</v>
      </c>
      <c r="D4494" t="s">
        <v>21</v>
      </c>
      <c r="E4494" t="s">
        <v>157</v>
      </c>
      <c r="F4494">
        <v>1</v>
      </c>
      <c r="G4494">
        <v>155.97</v>
      </c>
      <c r="H4494">
        <v>19.190000000000001</v>
      </c>
      <c r="I4494" t="s">
        <v>44</v>
      </c>
      <c r="J4494">
        <v>17</v>
      </c>
      <c r="K4494" t="s">
        <v>51</v>
      </c>
      <c r="L4494">
        <v>5</v>
      </c>
      <c r="M4494" t="str">
        <f>VLOOKUP(D4494,State_Lookup!$A$2:$B$28,2,FALSE)</f>
        <v>Santa Catarina</v>
      </c>
    </row>
    <row r="4495" spans="1:13" x14ac:dyDescent="0.45">
      <c r="A4495" t="s">
        <v>5201</v>
      </c>
      <c r="B4495" t="s">
        <v>5190</v>
      </c>
      <c r="C4495" t="s">
        <v>5066</v>
      </c>
      <c r="D4495" t="s">
        <v>19</v>
      </c>
      <c r="E4495" t="s">
        <v>2079</v>
      </c>
      <c r="F4495">
        <v>2</v>
      </c>
      <c r="G4495">
        <v>59.8</v>
      </c>
      <c r="H4495">
        <v>36.619999999999997</v>
      </c>
      <c r="I4495" t="s">
        <v>44</v>
      </c>
      <c r="J4495">
        <v>6</v>
      </c>
      <c r="K4495" t="s">
        <v>51</v>
      </c>
      <c r="L4495">
        <v>5</v>
      </c>
      <c r="M4495" t="str">
        <f>VLOOKUP(D4495,State_Lookup!$A$2:$B$28,2,FALSE)</f>
        <v>Rio Grande do Sul</v>
      </c>
    </row>
    <row r="4496" spans="1:13" x14ac:dyDescent="0.45">
      <c r="A4496" t="s">
        <v>5202</v>
      </c>
      <c r="B4496" t="s">
        <v>5190</v>
      </c>
      <c r="C4496" t="s">
        <v>5066</v>
      </c>
      <c r="D4496" t="s">
        <v>18</v>
      </c>
      <c r="E4496" t="s">
        <v>79</v>
      </c>
      <c r="F4496">
        <v>1</v>
      </c>
      <c r="G4496">
        <v>99.9</v>
      </c>
      <c r="H4496">
        <v>27</v>
      </c>
      <c r="I4496" t="s">
        <v>44</v>
      </c>
      <c r="J4496">
        <v>8</v>
      </c>
      <c r="K4496" t="s">
        <v>51</v>
      </c>
      <c r="L4496">
        <v>5</v>
      </c>
      <c r="M4496" t="str">
        <f>VLOOKUP(D4496,State_Lookup!$A$2:$B$28,2,FALSE)</f>
        <v>Minas Gerais</v>
      </c>
    </row>
    <row r="4497" spans="1:13" x14ac:dyDescent="0.45">
      <c r="A4497" t="s">
        <v>5203</v>
      </c>
      <c r="B4497" t="s">
        <v>5190</v>
      </c>
      <c r="C4497" t="s">
        <v>5066</v>
      </c>
      <c r="D4497" t="s">
        <v>16</v>
      </c>
      <c r="E4497" t="s">
        <v>157</v>
      </c>
      <c r="F4497">
        <v>1</v>
      </c>
      <c r="G4497">
        <v>509</v>
      </c>
      <c r="H4497">
        <v>12.31</v>
      </c>
      <c r="I4497" t="s">
        <v>44</v>
      </c>
      <c r="J4497">
        <v>4</v>
      </c>
      <c r="K4497" t="s">
        <v>51</v>
      </c>
      <c r="L4497">
        <v>5</v>
      </c>
      <c r="M4497" t="str">
        <f>VLOOKUP(D4497,State_Lookup!$A$2:$B$28,2,FALSE)</f>
        <v>Sao Paulo</v>
      </c>
    </row>
    <row r="4498" spans="1:13" x14ac:dyDescent="0.45">
      <c r="A4498" t="s">
        <v>5204</v>
      </c>
      <c r="B4498" t="s">
        <v>5205</v>
      </c>
      <c r="C4498" t="s">
        <v>5066</v>
      </c>
      <c r="D4498" t="s">
        <v>20</v>
      </c>
      <c r="E4498" t="s">
        <v>2079</v>
      </c>
      <c r="F4498">
        <v>1</v>
      </c>
      <c r="G4498">
        <v>326</v>
      </c>
      <c r="H4498">
        <v>85.69</v>
      </c>
      <c r="I4498" t="s">
        <v>44</v>
      </c>
      <c r="J4498">
        <v>6</v>
      </c>
      <c r="K4498" t="s">
        <v>51</v>
      </c>
      <c r="L4498">
        <v>5</v>
      </c>
      <c r="M4498" t="str">
        <f>VLOOKUP(D4498,State_Lookup!$A$2:$B$28,2,FALSE)</f>
        <v>Parana</v>
      </c>
    </row>
    <row r="4499" spans="1:13" x14ac:dyDescent="0.45">
      <c r="A4499" t="s">
        <v>5206</v>
      </c>
      <c r="B4499" t="s">
        <v>5205</v>
      </c>
      <c r="C4499" t="s">
        <v>5066</v>
      </c>
      <c r="D4499" t="s">
        <v>18</v>
      </c>
      <c r="E4499" t="s">
        <v>61</v>
      </c>
      <c r="F4499">
        <v>1</v>
      </c>
      <c r="G4499">
        <v>38.9</v>
      </c>
      <c r="H4499">
        <v>13.61</v>
      </c>
      <c r="I4499" t="s">
        <v>50</v>
      </c>
      <c r="J4499">
        <v>8</v>
      </c>
      <c r="K4499" t="s">
        <v>51</v>
      </c>
      <c r="L4499">
        <v>5</v>
      </c>
      <c r="M4499" t="str">
        <f>VLOOKUP(D4499,State_Lookup!$A$2:$B$28,2,FALSE)</f>
        <v>Minas Gerais</v>
      </c>
    </row>
    <row r="4500" spans="1:13" x14ac:dyDescent="0.45">
      <c r="A4500" t="s">
        <v>5207</v>
      </c>
      <c r="B4500" t="s">
        <v>5205</v>
      </c>
      <c r="C4500" t="s">
        <v>5066</v>
      </c>
      <c r="D4500" t="s">
        <v>21</v>
      </c>
      <c r="E4500" t="s">
        <v>269</v>
      </c>
      <c r="F4500">
        <v>1</v>
      </c>
      <c r="G4500">
        <v>45.97</v>
      </c>
      <c r="H4500">
        <v>19.510000000000002</v>
      </c>
      <c r="I4500" t="s">
        <v>44</v>
      </c>
      <c r="J4500">
        <v>7</v>
      </c>
      <c r="K4500" t="s">
        <v>51</v>
      </c>
      <c r="L4500">
        <v>5</v>
      </c>
      <c r="M4500" t="str">
        <f>VLOOKUP(D4500,State_Lookup!$A$2:$B$28,2,FALSE)</f>
        <v>Santa Catarina</v>
      </c>
    </row>
    <row r="4501" spans="1:13" x14ac:dyDescent="0.45">
      <c r="A4501" t="s">
        <v>5208</v>
      </c>
      <c r="B4501" t="s">
        <v>5205</v>
      </c>
      <c r="C4501" t="s">
        <v>5066</v>
      </c>
      <c r="D4501" t="s">
        <v>20</v>
      </c>
      <c r="E4501" t="s">
        <v>244</v>
      </c>
      <c r="F4501">
        <v>1</v>
      </c>
      <c r="G4501">
        <v>199.9</v>
      </c>
      <c r="H4501">
        <v>45.2</v>
      </c>
      <c r="I4501" t="s">
        <v>44</v>
      </c>
      <c r="J4501">
        <v>8</v>
      </c>
      <c r="K4501" t="s">
        <v>51</v>
      </c>
      <c r="L4501">
        <v>5</v>
      </c>
      <c r="M4501" t="str">
        <f>VLOOKUP(D4501,State_Lookup!$A$2:$B$28,2,FALSE)</f>
        <v>Parana</v>
      </c>
    </row>
    <row r="4502" spans="1:13" x14ac:dyDescent="0.45">
      <c r="A4502" t="s">
        <v>5209</v>
      </c>
      <c r="B4502" t="s">
        <v>5205</v>
      </c>
      <c r="C4502" t="s">
        <v>5066</v>
      </c>
      <c r="D4502" t="s">
        <v>17</v>
      </c>
      <c r="E4502" t="s">
        <v>110</v>
      </c>
      <c r="F4502">
        <v>1</v>
      </c>
      <c r="G4502">
        <v>49.95</v>
      </c>
      <c r="H4502">
        <v>18.45</v>
      </c>
      <c r="I4502" t="s">
        <v>44</v>
      </c>
      <c r="J4502">
        <v>9</v>
      </c>
      <c r="K4502" t="s">
        <v>51</v>
      </c>
      <c r="L4502">
        <v>4</v>
      </c>
      <c r="M4502" t="str">
        <f>VLOOKUP(D4502,State_Lookup!$A$2:$B$28,2,FALSE)</f>
        <v>Rio de Janeiro</v>
      </c>
    </row>
    <row r="4503" spans="1:13" x14ac:dyDescent="0.45">
      <c r="A4503" t="s">
        <v>5210</v>
      </c>
      <c r="B4503" t="s">
        <v>5205</v>
      </c>
      <c r="C4503" t="s">
        <v>5066</v>
      </c>
      <c r="D4503" t="s">
        <v>16</v>
      </c>
      <c r="E4503" t="s">
        <v>103</v>
      </c>
      <c r="F4503">
        <v>1</v>
      </c>
      <c r="G4503">
        <v>144.97</v>
      </c>
      <c r="H4503">
        <v>9.18</v>
      </c>
      <c r="I4503" t="s">
        <v>133</v>
      </c>
      <c r="J4503">
        <v>2</v>
      </c>
      <c r="K4503" t="s">
        <v>51</v>
      </c>
      <c r="L4503">
        <v>5</v>
      </c>
      <c r="M4503" t="str">
        <f>VLOOKUP(D4503,State_Lookup!$A$2:$B$28,2,FALSE)</f>
        <v>Sao Paulo</v>
      </c>
    </row>
    <row r="4504" spans="1:13" x14ac:dyDescent="0.45">
      <c r="A4504" t="s">
        <v>5211</v>
      </c>
      <c r="B4504" t="s">
        <v>5205</v>
      </c>
      <c r="C4504" t="s">
        <v>5066</v>
      </c>
      <c r="D4504" t="s">
        <v>19</v>
      </c>
      <c r="E4504" t="s">
        <v>142</v>
      </c>
      <c r="F4504">
        <v>3</v>
      </c>
      <c r="G4504">
        <v>9.18</v>
      </c>
      <c r="H4504">
        <v>54.69</v>
      </c>
      <c r="I4504" t="s">
        <v>44</v>
      </c>
      <c r="J4504">
        <v>9</v>
      </c>
      <c r="K4504" t="s">
        <v>51</v>
      </c>
      <c r="L4504">
        <v>3</v>
      </c>
      <c r="M4504" t="str">
        <f>VLOOKUP(D4504,State_Lookup!$A$2:$B$28,2,FALSE)</f>
        <v>Rio Grande do Sul</v>
      </c>
    </row>
    <row r="4505" spans="1:13" x14ac:dyDescent="0.45">
      <c r="A4505" t="s">
        <v>5212</v>
      </c>
      <c r="B4505" t="s">
        <v>5205</v>
      </c>
      <c r="C4505" t="s">
        <v>5066</v>
      </c>
      <c r="D4505" t="s">
        <v>18</v>
      </c>
      <c r="E4505" t="s">
        <v>103</v>
      </c>
      <c r="F4505">
        <v>1</v>
      </c>
      <c r="G4505">
        <v>29.99</v>
      </c>
      <c r="H4505">
        <v>22.14</v>
      </c>
      <c r="I4505" t="s">
        <v>50</v>
      </c>
      <c r="J4505">
        <v>7</v>
      </c>
      <c r="K4505" t="s">
        <v>51</v>
      </c>
      <c r="L4505">
        <v>5</v>
      </c>
      <c r="M4505" t="str">
        <f>VLOOKUP(D4505,State_Lookup!$A$2:$B$28,2,FALSE)</f>
        <v>Minas Gerais</v>
      </c>
    </row>
    <row r="4506" spans="1:13" x14ac:dyDescent="0.45">
      <c r="A4506" t="s">
        <v>5213</v>
      </c>
      <c r="B4506" t="s">
        <v>5214</v>
      </c>
      <c r="C4506" t="s">
        <v>5066</v>
      </c>
      <c r="D4506" t="s">
        <v>16</v>
      </c>
      <c r="E4506" t="s">
        <v>2079</v>
      </c>
      <c r="F4506">
        <v>1</v>
      </c>
      <c r="G4506">
        <v>228</v>
      </c>
      <c r="H4506">
        <v>26.58</v>
      </c>
      <c r="I4506" t="s">
        <v>44</v>
      </c>
      <c r="J4506">
        <v>3</v>
      </c>
      <c r="K4506" t="s">
        <v>51</v>
      </c>
      <c r="L4506">
        <v>5</v>
      </c>
      <c r="M4506" t="str">
        <f>VLOOKUP(D4506,State_Lookup!$A$2:$B$28,2,FALSE)</f>
        <v>Sao Paulo</v>
      </c>
    </row>
    <row r="4507" spans="1:13" x14ac:dyDescent="0.45">
      <c r="A4507" t="s">
        <v>5215</v>
      </c>
      <c r="B4507" t="s">
        <v>5214</v>
      </c>
      <c r="C4507" t="s">
        <v>5066</v>
      </c>
      <c r="D4507" t="s">
        <v>63</v>
      </c>
      <c r="E4507" t="s">
        <v>157</v>
      </c>
      <c r="F4507">
        <v>1</v>
      </c>
      <c r="G4507">
        <v>516.9</v>
      </c>
      <c r="H4507">
        <v>23.89</v>
      </c>
      <c r="I4507" t="s">
        <v>44</v>
      </c>
      <c r="J4507">
        <v>7</v>
      </c>
      <c r="K4507" t="s">
        <v>51</v>
      </c>
      <c r="L4507">
        <v>5</v>
      </c>
      <c r="M4507" t="str">
        <f>VLOOKUP(D4507,State_Lookup!$A$2:$B$28,2,FALSE)</f>
        <v>Pernambuco</v>
      </c>
    </row>
    <row r="4508" spans="1:13" x14ac:dyDescent="0.45">
      <c r="A4508" t="s">
        <v>5216</v>
      </c>
      <c r="B4508" t="s">
        <v>5214</v>
      </c>
      <c r="C4508" t="s">
        <v>5066</v>
      </c>
      <c r="D4508" t="s">
        <v>194</v>
      </c>
      <c r="E4508" t="s">
        <v>110</v>
      </c>
      <c r="F4508">
        <v>1</v>
      </c>
      <c r="G4508">
        <v>126</v>
      </c>
      <c r="H4508">
        <v>15.98</v>
      </c>
      <c r="I4508" t="s">
        <v>44</v>
      </c>
      <c r="J4508">
        <v>7</v>
      </c>
      <c r="K4508" t="s">
        <v>51</v>
      </c>
      <c r="L4508">
        <v>4</v>
      </c>
      <c r="M4508" t="str">
        <f>VLOOKUP(D4508,State_Lookup!$A$2:$B$28,2,FALSE)</f>
        <v>Mato Grosso do Sul</v>
      </c>
    </row>
    <row r="4509" spans="1:13" x14ac:dyDescent="0.45">
      <c r="A4509" t="s">
        <v>5217</v>
      </c>
      <c r="B4509" t="s">
        <v>5214</v>
      </c>
      <c r="C4509" t="s">
        <v>5066</v>
      </c>
      <c r="D4509" t="s">
        <v>16</v>
      </c>
      <c r="E4509" t="s">
        <v>142</v>
      </c>
      <c r="F4509">
        <v>1</v>
      </c>
      <c r="G4509">
        <v>141.38</v>
      </c>
      <c r="H4509">
        <v>14.57</v>
      </c>
      <c r="I4509" t="s">
        <v>44</v>
      </c>
      <c r="J4509">
        <v>4</v>
      </c>
      <c r="K4509" t="s">
        <v>51</v>
      </c>
      <c r="L4509">
        <v>5</v>
      </c>
      <c r="M4509" t="str">
        <f>VLOOKUP(D4509,State_Lookup!$A$2:$B$28,2,FALSE)</f>
        <v>Sao Paulo</v>
      </c>
    </row>
    <row r="4510" spans="1:13" x14ac:dyDescent="0.45">
      <c r="A4510" t="s">
        <v>5218</v>
      </c>
      <c r="B4510" t="s">
        <v>5214</v>
      </c>
      <c r="C4510" t="s">
        <v>5066</v>
      </c>
      <c r="D4510" t="s">
        <v>17</v>
      </c>
      <c r="E4510" t="s">
        <v>61</v>
      </c>
      <c r="F4510">
        <v>1</v>
      </c>
      <c r="G4510">
        <v>20</v>
      </c>
      <c r="H4510">
        <v>14.44</v>
      </c>
      <c r="I4510" t="s">
        <v>44</v>
      </c>
      <c r="J4510">
        <v>6</v>
      </c>
      <c r="K4510" t="s">
        <v>51</v>
      </c>
      <c r="L4510">
        <v>5</v>
      </c>
      <c r="M4510" t="str">
        <f>VLOOKUP(D4510,State_Lookup!$A$2:$B$28,2,FALSE)</f>
        <v>Rio de Janeiro</v>
      </c>
    </row>
    <row r="4511" spans="1:13" x14ac:dyDescent="0.45">
      <c r="A4511" t="s">
        <v>5219</v>
      </c>
      <c r="B4511" t="s">
        <v>5214</v>
      </c>
      <c r="C4511" t="s">
        <v>5066</v>
      </c>
      <c r="D4511" t="s">
        <v>16</v>
      </c>
      <c r="E4511" t="s">
        <v>110</v>
      </c>
      <c r="F4511">
        <v>2</v>
      </c>
      <c r="G4511">
        <v>35.799999999999997</v>
      </c>
      <c r="H4511">
        <v>25.58</v>
      </c>
      <c r="I4511" t="s">
        <v>44</v>
      </c>
      <c r="J4511">
        <v>5</v>
      </c>
      <c r="K4511" t="s">
        <v>51</v>
      </c>
      <c r="L4511">
        <v>3</v>
      </c>
      <c r="M4511" t="str">
        <f>VLOOKUP(D4511,State_Lookup!$A$2:$B$28,2,FALSE)</f>
        <v>Sao Paulo</v>
      </c>
    </row>
    <row r="4512" spans="1:13" x14ac:dyDescent="0.45">
      <c r="A4512" t="s">
        <v>5220</v>
      </c>
      <c r="B4512" t="s">
        <v>5214</v>
      </c>
      <c r="C4512" t="s">
        <v>5066</v>
      </c>
      <c r="D4512" t="s">
        <v>16</v>
      </c>
      <c r="E4512" t="s">
        <v>142</v>
      </c>
      <c r="F4512">
        <v>1</v>
      </c>
      <c r="G4512">
        <v>24.49</v>
      </c>
      <c r="H4512">
        <v>64.8</v>
      </c>
      <c r="I4512" t="s">
        <v>44</v>
      </c>
      <c r="J4512">
        <v>6</v>
      </c>
      <c r="K4512" t="s">
        <v>51</v>
      </c>
      <c r="L4512">
        <v>5</v>
      </c>
      <c r="M4512" t="str">
        <f>VLOOKUP(D4512,State_Lookup!$A$2:$B$28,2,FALSE)</f>
        <v>Sao Paulo</v>
      </c>
    </row>
    <row r="4513" spans="1:13" x14ac:dyDescent="0.45">
      <c r="A4513" t="s">
        <v>5221</v>
      </c>
      <c r="B4513" t="s">
        <v>5214</v>
      </c>
      <c r="C4513" t="s">
        <v>5066</v>
      </c>
      <c r="D4513" t="s">
        <v>249</v>
      </c>
      <c r="E4513" t="s">
        <v>110</v>
      </c>
      <c r="F4513">
        <v>1</v>
      </c>
      <c r="G4513">
        <v>80.8</v>
      </c>
      <c r="H4513">
        <v>37.479999999999997</v>
      </c>
      <c r="I4513" t="s">
        <v>44</v>
      </c>
      <c r="J4513">
        <v>13</v>
      </c>
      <c r="K4513" t="s">
        <v>51</v>
      </c>
      <c r="L4513">
        <v>5</v>
      </c>
      <c r="M4513" t="str">
        <f>VLOOKUP(D4513,State_Lookup!$A$2:$B$28,2,FALSE)</f>
        <v>Tocantins</v>
      </c>
    </row>
    <row r="4514" spans="1:13" x14ac:dyDescent="0.45">
      <c r="A4514" t="s">
        <v>5222</v>
      </c>
      <c r="B4514" t="s">
        <v>5214</v>
      </c>
      <c r="C4514" t="s">
        <v>5066</v>
      </c>
      <c r="D4514" t="s">
        <v>25</v>
      </c>
      <c r="E4514" t="s">
        <v>142</v>
      </c>
      <c r="F4514">
        <v>1</v>
      </c>
      <c r="G4514">
        <v>37.9</v>
      </c>
      <c r="H4514">
        <v>15.37</v>
      </c>
      <c r="I4514" t="s">
        <v>133</v>
      </c>
      <c r="J4514">
        <v>12</v>
      </c>
      <c r="K4514" t="s">
        <v>51</v>
      </c>
      <c r="L4514">
        <v>3</v>
      </c>
      <c r="M4514" t="str">
        <f>VLOOKUP(D4514,State_Lookup!$A$2:$B$28,2,FALSE)</f>
        <v>Goias</v>
      </c>
    </row>
    <row r="4515" spans="1:13" x14ac:dyDescent="0.45">
      <c r="A4515" t="s">
        <v>5223</v>
      </c>
      <c r="B4515" t="s">
        <v>5214</v>
      </c>
      <c r="C4515" t="s">
        <v>5066</v>
      </c>
      <c r="D4515" t="s">
        <v>16</v>
      </c>
      <c r="E4515" t="s">
        <v>79</v>
      </c>
      <c r="F4515">
        <v>1</v>
      </c>
      <c r="G4515">
        <v>110.32</v>
      </c>
      <c r="H4515">
        <v>8.0299999999999994</v>
      </c>
      <c r="I4515" t="s">
        <v>108</v>
      </c>
      <c r="J4515">
        <v>6</v>
      </c>
      <c r="K4515" t="s">
        <v>51</v>
      </c>
      <c r="L4515">
        <v>5</v>
      </c>
      <c r="M4515" t="str">
        <f>VLOOKUP(D4515,State_Lookup!$A$2:$B$28,2,FALSE)</f>
        <v>Sao Paulo</v>
      </c>
    </row>
    <row r="4516" spans="1:13" x14ac:dyDescent="0.45">
      <c r="A4516" t="s">
        <v>5224</v>
      </c>
      <c r="B4516" t="s">
        <v>5214</v>
      </c>
      <c r="C4516" t="s">
        <v>5066</v>
      </c>
      <c r="D4516" t="s">
        <v>24</v>
      </c>
      <c r="E4516" t="s">
        <v>43</v>
      </c>
      <c r="F4516">
        <v>1</v>
      </c>
      <c r="G4516">
        <v>129.9</v>
      </c>
      <c r="H4516">
        <v>63.19</v>
      </c>
      <c r="I4516" t="s">
        <v>50</v>
      </c>
      <c r="J4516">
        <v>11</v>
      </c>
      <c r="K4516" t="s">
        <v>51</v>
      </c>
      <c r="L4516">
        <v>5</v>
      </c>
      <c r="M4516" t="str">
        <f>VLOOKUP(D4516,State_Lookup!$A$2:$B$28,2,FALSE)</f>
        <v>Distrito Federal</v>
      </c>
    </row>
    <row r="4517" spans="1:13" x14ac:dyDescent="0.45">
      <c r="A4517" t="s">
        <v>5225</v>
      </c>
      <c r="B4517" t="s">
        <v>5214</v>
      </c>
      <c r="C4517" t="s">
        <v>5066</v>
      </c>
      <c r="D4517" t="s">
        <v>19</v>
      </c>
      <c r="E4517" t="s">
        <v>110</v>
      </c>
      <c r="F4517">
        <v>1</v>
      </c>
      <c r="G4517">
        <v>50</v>
      </c>
      <c r="H4517">
        <v>19.54</v>
      </c>
      <c r="I4517" t="s">
        <v>108</v>
      </c>
      <c r="J4517">
        <v>13</v>
      </c>
      <c r="K4517" t="s">
        <v>51</v>
      </c>
      <c r="L4517">
        <v>5</v>
      </c>
      <c r="M4517" t="str">
        <f>VLOOKUP(D4517,State_Lookup!$A$2:$B$28,2,FALSE)</f>
        <v>Rio Grande do Sul</v>
      </c>
    </row>
    <row r="4518" spans="1:13" x14ac:dyDescent="0.45">
      <c r="A4518" t="s">
        <v>5226</v>
      </c>
      <c r="B4518" t="s">
        <v>5214</v>
      </c>
      <c r="C4518" t="s">
        <v>5066</v>
      </c>
      <c r="D4518" t="s">
        <v>16</v>
      </c>
      <c r="E4518" t="s">
        <v>110</v>
      </c>
      <c r="F4518">
        <v>1</v>
      </c>
      <c r="G4518">
        <v>19.899999999999999</v>
      </c>
      <c r="H4518">
        <v>15.24</v>
      </c>
      <c r="I4518" t="s">
        <v>44</v>
      </c>
      <c r="J4518">
        <v>5</v>
      </c>
      <c r="K4518" t="s">
        <v>51</v>
      </c>
      <c r="L4518">
        <v>5</v>
      </c>
      <c r="M4518" t="str">
        <f>VLOOKUP(D4518,State_Lookup!$A$2:$B$28,2,FALSE)</f>
        <v>Sao Paulo</v>
      </c>
    </row>
    <row r="4519" spans="1:13" x14ac:dyDescent="0.45">
      <c r="A4519" t="s">
        <v>5227</v>
      </c>
      <c r="B4519" t="s">
        <v>5214</v>
      </c>
      <c r="C4519" t="s">
        <v>5066</v>
      </c>
      <c r="D4519" t="s">
        <v>20</v>
      </c>
      <c r="E4519" t="s">
        <v>43</v>
      </c>
      <c r="F4519">
        <v>1</v>
      </c>
      <c r="G4519">
        <v>179.9</v>
      </c>
      <c r="H4519">
        <v>19.309999999999999</v>
      </c>
      <c r="I4519" t="s">
        <v>44</v>
      </c>
      <c r="J4519">
        <v>11</v>
      </c>
      <c r="K4519" t="s">
        <v>51</v>
      </c>
      <c r="L4519">
        <v>4</v>
      </c>
      <c r="M4519" t="str">
        <f>VLOOKUP(D4519,State_Lookup!$A$2:$B$28,2,FALSE)</f>
        <v>Parana</v>
      </c>
    </row>
    <row r="4520" spans="1:13" x14ac:dyDescent="0.45">
      <c r="A4520" t="s">
        <v>5228</v>
      </c>
      <c r="B4520" t="s">
        <v>5229</v>
      </c>
      <c r="C4520" t="s">
        <v>5066</v>
      </c>
      <c r="D4520" t="s">
        <v>141</v>
      </c>
      <c r="E4520" t="s">
        <v>61</v>
      </c>
      <c r="F4520">
        <v>1</v>
      </c>
      <c r="G4520">
        <v>197.5</v>
      </c>
      <c r="H4520">
        <v>21.65</v>
      </c>
      <c r="I4520" t="s">
        <v>44</v>
      </c>
      <c r="J4520">
        <v>11</v>
      </c>
      <c r="K4520" t="s">
        <v>51</v>
      </c>
      <c r="L4520">
        <v>4</v>
      </c>
      <c r="M4520" t="str">
        <f>VLOOKUP(D4520,State_Lookup!$A$2:$B$28,2,FALSE)</f>
        <v>Maranhao</v>
      </c>
    </row>
    <row r="4521" spans="1:13" x14ac:dyDescent="0.45">
      <c r="A4521" t="s">
        <v>5230</v>
      </c>
      <c r="B4521" t="s">
        <v>5229</v>
      </c>
      <c r="C4521" t="s">
        <v>5066</v>
      </c>
      <c r="D4521" t="s">
        <v>16</v>
      </c>
      <c r="E4521" t="s">
        <v>110</v>
      </c>
      <c r="F4521">
        <v>1</v>
      </c>
      <c r="G4521">
        <v>99.77</v>
      </c>
      <c r="H4521">
        <v>19.89</v>
      </c>
      <c r="I4521" t="s">
        <v>50</v>
      </c>
      <c r="J4521">
        <v>6</v>
      </c>
      <c r="K4521" t="s">
        <v>51</v>
      </c>
      <c r="L4521">
        <v>1</v>
      </c>
      <c r="M4521" t="str">
        <f>VLOOKUP(D4521,State_Lookup!$A$2:$B$28,2,FALSE)</f>
        <v>Sao Paulo</v>
      </c>
    </row>
    <row r="4522" spans="1:13" x14ac:dyDescent="0.45">
      <c r="A4522" t="s">
        <v>5231</v>
      </c>
      <c r="B4522" t="s">
        <v>5229</v>
      </c>
      <c r="C4522" t="s">
        <v>5066</v>
      </c>
      <c r="D4522" t="s">
        <v>17</v>
      </c>
      <c r="E4522" t="s">
        <v>220</v>
      </c>
      <c r="F4522">
        <v>1</v>
      </c>
      <c r="G4522">
        <v>159.97999999999999</v>
      </c>
      <c r="H4522">
        <v>49.49</v>
      </c>
      <c r="I4522" t="s">
        <v>50</v>
      </c>
      <c r="J4522">
        <v>22</v>
      </c>
      <c r="K4522" t="s">
        <v>51</v>
      </c>
      <c r="L4522">
        <v>1</v>
      </c>
      <c r="M4522" t="str">
        <f>VLOOKUP(D4522,State_Lookup!$A$2:$B$28,2,FALSE)</f>
        <v>Rio de Janeiro</v>
      </c>
    </row>
    <row r="4523" spans="1:13" x14ac:dyDescent="0.45">
      <c r="A4523" t="s">
        <v>5232</v>
      </c>
      <c r="B4523" t="s">
        <v>5229</v>
      </c>
      <c r="C4523" t="s">
        <v>5066</v>
      </c>
      <c r="D4523" t="s">
        <v>16</v>
      </c>
      <c r="E4523" t="s">
        <v>79</v>
      </c>
      <c r="F4523">
        <v>1</v>
      </c>
      <c r="G4523">
        <v>100.99</v>
      </c>
      <c r="H4523">
        <v>15.02</v>
      </c>
      <c r="I4523" t="s">
        <v>44</v>
      </c>
      <c r="J4523">
        <v>5</v>
      </c>
      <c r="K4523" t="s">
        <v>51</v>
      </c>
      <c r="L4523">
        <v>5</v>
      </c>
      <c r="M4523" t="str">
        <f>VLOOKUP(D4523,State_Lookup!$A$2:$B$28,2,FALSE)</f>
        <v>Sao Paulo</v>
      </c>
    </row>
    <row r="4524" spans="1:13" x14ac:dyDescent="0.45">
      <c r="A4524" t="s">
        <v>5233</v>
      </c>
      <c r="B4524" t="s">
        <v>5229</v>
      </c>
      <c r="C4524" t="s">
        <v>5066</v>
      </c>
      <c r="D4524" t="s">
        <v>17</v>
      </c>
      <c r="E4524" t="s">
        <v>110</v>
      </c>
      <c r="F4524">
        <v>1</v>
      </c>
      <c r="G4524">
        <v>19.899999999999999</v>
      </c>
      <c r="H4524">
        <v>18.239999999999998</v>
      </c>
      <c r="I4524" t="s">
        <v>50</v>
      </c>
      <c r="J4524">
        <v>7</v>
      </c>
      <c r="K4524" t="s">
        <v>51</v>
      </c>
      <c r="L4524">
        <v>5</v>
      </c>
      <c r="M4524" t="str">
        <f>VLOOKUP(D4524,State_Lookup!$A$2:$B$28,2,FALSE)</f>
        <v>Rio de Janeiro</v>
      </c>
    </row>
    <row r="4525" spans="1:13" x14ac:dyDescent="0.45">
      <c r="A4525" t="s">
        <v>5234</v>
      </c>
      <c r="B4525" t="s">
        <v>5229</v>
      </c>
      <c r="C4525" t="s">
        <v>5066</v>
      </c>
      <c r="D4525" t="s">
        <v>16</v>
      </c>
      <c r="E4525" t="s">
        <v>1056</v>
      </c>
      <c r="F4525">
        <v>1</v>
      </c>
      <c r="G4525">
        <v>29.7</v>
      </c>
      <c r="H4525">
        <v>16.399999999999999</v>
      </c>
      <c r="I4525" t="s">
        <v>50</v>
      </c>
      <c r="J4525">
        <v>9</v>
      </c>
      <c r="K4525" t="s">
        <v>51</v>
      </c>
      <c r="L4525">
        <v>5</v>
      </c>
      <c r="M4525" t="str">
        <f>VLOOKUP(D4525,State_Lookup!$A$2:$B$28,2,FALSE)</f>
        <v>Sao Paulo</v>
      </c>
    </row>
    <row r="4526" spans="1:13" x14ac:dyDescent="0.45">
      <c r="A4526" t="s">
        <v>5235</v>
      </c>
      <c r="B4526" t="s">
        <v>5229</v>
      </c>
      <c r="C4526" t="s">
        <v>5066</v>
      </c>
      <c r="D4526" t="s">
        <v>17</v>
      </c>
      <c r="E4526" t="s">
        <v>61</v>
      </c>
      <c r="F4526">
        <v>1</v>
      </c>
      <c r="G4526">
        <v>110.81</v>
      </c>
      <c r="H4526">
        <v>19.989999999999998</v>
      </c>
      <c r="I4526" t="s">
        <v>44</v>
      </c>
      <c r="J4526">
        <v>14</v>
      </c>
      <c r="K4526" t="s">
        <v>51</v>
      </c>
      <c r="L4526">
        <v>5</v>
      </c>
      <c r="M4526" t="str">
        <f>VLOOKUP(D4526,State_Lookup!$A$2:$B$28,2,FALSE)</f>
        <v>Rio de Janeiro</v>
      </c>
    </row>
    <row r="4527" spans="1:13" x14ac:dyDescent="0.45">
      <c r="A4527" t="s">
        <v>5236</v>
      </c>
      <c r="B4527" t="s">
        <v>5229</v>
      </c>
      <c r="C4527" t="s">
        <v>5066</v>
      </c>
      <c r="D4527" t="s">
        <v>16</v>
      </c>
      <c r="E4527" t="s">
        <v>125</v>
      </c>
      <c r="F4527">
        <v>1</v>
      </c>
      <c r="G4527">
        <v>18.899999999999999</v>
      </c>
      <c r="H4527">
        <v>13.47</v>
      </c>
      <c r="I4527" t="s">
        <v>44</v>
      </c>
      <c r="J4527">
        <v>7</v>
      </c>
      <c r="K4527" t="s">
        <v>51</v>
      </c>
      <c r="L4527">
        <v>3</v>
      </c>
      <c r="M4527" t="str">
        <f>VLOOKUP(D4527,State_Lookup!$A$2:$B$28,2,FALSE)</f>
        <v>Sao Paulo</v>
      </c>
    </row>
    <row r="4528" spans="1:13" x14ac:dyDescent="0.45">
      <c r="A4528" t="s">
        <v>5237</v>
      </c>
      <c r="B4528" t="s">
        <v>5229</v>
      </c>
      <c r="C4528" t="s">
        <v>5066</v>
      </c>
      <c r="D4528" t="s">
        <v>19</v>
      </c>
      <c r="E4528" t="s">
        <v>64</v>
      </c>
      <c r="F4528">
        <v>1</v>
      </c>
      <c r="G4528">
        <v>336</v>
      </c>
      <c r="H4528">
        <v>20.45</v>
      </c>
      <c r="I4528" t="s">
        <v>44</v>
      </c>
      <c r="J4528">
        <v>8</v>
      </c>
      <c r="K4528" t="s">
        <v>51</v>
      </c>
      <c r="L4528">
        <v>5</v>
      </c>
      <c r="M4528" t="str">
        <f>VLOOKUP(D4528,State_Lookup!$A$2:$B$28,2,FALSE)</f>
        <v>Rio Grande do Sul</v>
      </c>
    </row>
    <row r="4529" spans="1:13" x14ac:dyDescent="0.45">
      <c r="A4529" t="s">
        <v>5238</v>
      </c>
      <c r="B4529" t="s">
        <v>5229</v>
      </c>
      <c r="C4529" t="s">
        <v>5066</v>
      </c>
      <c r="D4529" t="s">
        <v>22</v>
      </c>
      <c r="E4529" t="s">
        <v>103</v>
      </c>
      <c r="F4529">
        <v>1</v>
      </c>
      <c r="G4529">
        <v>298.8</v>
      </c>
      <c r="H4529">
        <v>25.24</v>
      </c>
      <c r="I4529" t="s">
        <v>44</v>
      </c>
      <c r="J4529">
        <v>14</v>
      </c>
      <c r="K4529" t="s">
        <v>51</v>
      </c>
      <c r="L4529">
        <v>5</v>
      </c>
      <c r="M4529" t="str">
        <f>VLOOKUP(D4529,State_Lookup!$A$2:$B$28,2,FALSE)</f>
        <v>Bahia</v>
      </c>
    </row>
    <row r="4530" spans="1:13" x14ac:dyDescent="0.45">
      <c r="A4530" t="s">
        <v>5239</v>
      </c>
      <c r="B4530" t="s">
        <v>5229</v>
      </c>
      <c r="C4530" t="s">
        <v>5066</v>
      </c>
      <c r="D4530" t="s">
        <v>16</v>
      </c>
      <c r="E4530" t="s">
        <v>107</v>
      </c>
      <c r="F4530">
        <v>1</v>
      </c>
      <c r="G4530">
        <v>309</v>
      </c>
      <c r="H4530">
        <v>27.67</v>
      </c>
      <c r="I4530" t="s">
        <v>44</v>
      </c>
      <c r="J4530">
        <v>8</v>
      </c>
      <c r="K4530" t="s">
        <v>51</v>
      </c>
      <c r="L4530">
        <v>5</v>
      </c>
      <c r="M4530" t="str">
        <f>VLOOKUP(D4530,State_Lookup!$A$2:$B$28,2,FALSE)</f>
        <v>Sao Paulo</v>
      </c>
    </row>
    <row r="4531" spans="1:13" x14ac:dyDescent="0.45">
      <c r="A4531" t="s">
        <v>5240</v>
      </c>
      <c r="B4531" t="s">
        <v>5229</v>
      </c>
      <c r="C4531" t="s">
        <v>5066</v>
      </c>
      <c r="D4531" t="s">
        <v>16</v>
      </c>
      <c r="E4531" t="s">
        <v>142</v>
      </c>
      <c r="F4531">
        <v>1</v>
      </c>
      <c r="G4531">
        <v>189.9</v>
      </c>
      <c r="H4531">
        <v>13.99</v>
      </c>
      <c r="I4531" t="s">
        <v>44</v>
      </c>
      <c r="J4531">
        <v>7</v>
      </c>
      <c r="K4531" t="s">
        <v>51</v>
      </c>
      <c r="L4531">
        <v>5</v>
      </c>
      <c r="M4531" t="str">
        <f>VLOOKUP(D4531,State_Lookup!$A$2:$B$28,2,FALSE)</f>
        <v>Sao Paulo</v>
      </c>
    </row>
    <row r="4532" spans="1:13" x14ac:dyDescent="0.45">
      <c r="A4532" t="s">
        <v>5241</v>
      </c>
      <c r="B4532" t="s">
        <v>5229</v>
      </c>
      <c r="C4532" t="s">
        <v>5066</v>
      </c>
      <c r="D4532" t="s">
        <v>18</v>
      </c>
      <c r="E4532" t="s">
        <v>79</v>
      </c>
      <c r="F4532">
        <v>1</v>
      </c>
      <c r="G4532">
        <v>519.9</v>
      </c>
      <c r="H4532">
        <v>25.57</v>
      </c>
      <c r="I4532" t="s">
        <v>44</v>
      </c>
      <c r="J4532">
        <v>12</v>
      </c>
      <c r="K4532" t="s">
        <v>51</v>
      </c>
      <c r="L4532">
        <v>1</v>
      </c>
      <c r="M4532" t="str">
        <f>VLOOKUP(D4532,State_Lookup!$A$2:$B$28,2,FALSE)</f>
        <v>Minas Gerais</v>
      </c>
    </row>
    <row r="4533" spans="1:13" x14ac:dyDescent="0.45">
      <c r="A4533" t="s">
        <v>5242</v>
      </c>
      <c r="B4533" t="s">
        <v>5243</v>
      </c>
      <c r="C4533" t="s">
        <v>5066</v>
      </c>
      <c r="D4533" t="s">
        <v>16</v>
      </c>
      <c r="E4533" t="s">
        <v>103</v>
      </c>
      <c r="F4533">
        <v>1</v>
      </c>
      <c r="G4533">
        <v>49.9</v>
      </c>
      <c r="H4533">
        <v>13.01</v>
      </c>
      <c r="I4533" t="s">
        <v>44</v>
      </c>
      <c r="J4533">
        <v>7</v>
      </c>
      <c r="K4533" t="s">
        <v>51</v>
      </c>
      <c r="L4533">
        <v>5</v>
      </c>
      <c r="M4533" t="str">
        <f>VLOOKUP(D4533,State_Lookup!$A$2:$B$28,2,FALSE)</f>
        <v>Sao Paulo</v>
      </c>
    </row>
    <row r="4534" spans="1:13" x14ac:dyDescent="0.45">
      <c r="A4534" t="s">
        <v>5244</v>
      </c>
      <c r="B4534" t="s">
        <v>5243</v>
      </c>
      <c r="C4534" t="s">
        <v>5066</v>
      </c>
      <c r="D4534" t="s">
        <v>16</v>
      </c>
      <c r="E4534" t="s">
        <v>100</v>
      </c>
      <c r="F4534">
        <v>1</v>
      </c>
      <c r="G4534">
        <v>22</v>
      </c>
      <c r="H4534">
        <v>7.41</v>
      </c>
      <c r="I4534" t="s">
        <v>44</v>
      </c>
      <c r="J4534">
        <v>5</v>
      </c>
      <c r="K4534" t="s">
        <v>51</v>
      </c>
      <c r="L4534">
        <v>5</v>
      </c>
      <c r="M4534" t="str">
        <f>VLOOKUP(D4534,State_Lookup!$A$2:$B$28,2,FALSE)</f>
        <v>Sao Paulo</v>
      </c>
    </row>
    <row r="4535" spans="1:13" x14ac:dyDescent="0.45">
      <c r="A4535" t="s">
        <v>5245</v>
      </c>
      <c r="B4535" t="s">
        <v>5243</v>
      </c>
      <c r="C4535" t="s">
        <v>5066</v>
      </c>
      <c r="D4535" t="s">
        <v>20</v>
      </c>
      <c r="E4535" t="s">
        <v>340</v>
      </c>
      <c r="F4535">
        <v>1</v>
      </c>
      <c r="G4535">
        <v>999.9</v>
      </c>
      <c r="H4535">
        <v>27.61</v>
      </c>
      <c r="I4535" t="s">
        <v>44</v>
      </c>
      <c r="J4535">
        <v>10</v>
      </c>
      <c r="K4535" t="s">
        <v>51</v>
      </c>
      <c r="L4535">
        <v>5</v>
      </c>
      <c r="M4535" t="str">
        <f>VLOOKUP(D4535,State_Lookup!$A$2:$B$28,2,FALSE)</f>
        <v>Parana</v>
      </c>
    </row>
    <row r="4536" spans="1:13" x14ac:dyDescent="0.45">
      <c r="A4536" t="s">
        <v>5246</v>
      </c>
      <c r="B4536" t="s">
        <v>5243</v>
      </c>
      <c r="C4536" t="s">
        <v>5066</v>
      </c>
      <c r="D4536" t="s">
        <v>16</v>
      </c>
      <c r="E4536" t="s">
        <v>157</v>
      </c>
      <c r="F4536">
        <v>1</v>
      </c>
      <c r="G4536">
        <v>315.89999999999998</v>
      </c>
      <c r="H4536">
        <v>9.4700000000000006</v>
      </c>
      <c r="I4536" t="s">
        <v>44</v>
      </c>
      <c r="J4536">
        <v>4</v>
      </c>
      <c r="K4536" t="s">
        <v>51</v>
      </c>
      <c r="L4536">
        <v>3</v>
      </c>
      <c r="M4536" t="str">
        <f>VLOOKUP(D4536,State_Lookup!$A$2:$B$28,2,FALSE)</f>
        <v>Sao Paulo</v>
      </c>
    </row>
    <row r="4537" spans="1:13" x14ac:dyDescent="0.45">
      <c r="A4537" t="s">
        <v>5247</v>
      </c>
      <c r="B4537" t="s">
        <v>5243</v>
      </c>
      <c r="C4537" t="s">
        <v>5066</v>
      </c>
      <c r="D4537" t="s">
        <v>194</v>
      </c>
      <c r="E4537" t="s">
        <v>61</v>
      </c>
      <c r="F4537">
        <v>3</v>
      </c>
      <c r="G4537">
        <v>269.7</v>
      </c>
      <c r="H4537">
        <v>67.679999999999993</v>
      </c>
      <c r="I4537" t="s">
        <v>50</v>
      </c>
      <c r="J4537">
        <v>10</v>
      </c>
      <c r="K4537" t="s">
        <v>51</v>
      </c>
      <c r="L4537">
        <v>5</v>
      </c>
      <c r="M4537" t="str">
        <f>VLOOKUP(D4537,State_Lookup!$A$2:$B$28,2,FALSE)</f>
        <v>Mato Grosso do Sul</v>
      </c>
    </row>
    <row r="4538" spans="1:13" x14ac:dyDescent="0.45">
      <c r="A4538" t="s">
        <v>5248</v>
      </c>
      <c r="B4538" t="s">
        <v>5243</v>
      </c>
      <c r="C4538" t="s">
        <v>5066</v>
      </c>
      <c r="D4538" t="s">
        <v>16</v>
      </c>
      <c r="E4538" t="s">
        <v>157</v>
      </c>
      <c r="F4538">
        <v>1</v>
      </c>
      <c r="G4538">
        <v>139.9</v>
      </c>
      <c r="H4538">
        <v>16.079999999999998</v>
      </c>
      <c r="I4538" t="s">
        <v>44</v>
      </c>
      <c r="J4538">
        <v>7</v>
      </c>
      <c r="K4538" t="s">
        <v>51</v>
      </c>
      <c r="L4538">
        <v>1</v>
      </c>
      <c r="M4538" t="str">
        <f>VLOOKUP(D4538,State_Lookup!$A$2:$B$28,2,FALSE)</f>
        <v>Sao Paulo</v>
      </c>
    </row>
    <row r="4539" spans="1:13" x14ac:dyDescent="0.45">
      <c r="A4539" t="s">
        <v>5249</v>
      </c>
      <c r="B4539" t="s">
        <v>5243</v>
      </c>
      <c r="C4539" t="s">
        <v>5066</v>
      </c>
      <c r="D4539" t="s">
        <v>25</v>
      </c>
      <c r="E4539" t="s">
        <v>148</v>
      </c>
      <c r="F4539">
        <v>1</v>
      </c>
      <c r="G4539">
        <v>249.99</v>
      </c>
      <c r="H4539">
        <v>28.05</v>
      </c>
      <c r="I4539" t="s">
        <v>44</v>
      </c>
      <c r="J4539">
        <v>11</v>
      </c>
      <c r="K4539" t="s">
        <v>51</v>
      </c>
      <c r="L4539">
        <v>5</v>
      </c>
      <c r="M4539" t="str">
        <f>VLOOKUP(D4539,State_Lookup!$A$2:$B$28,2,FALSE)</f>
        <v>Goias</v>
      </c>
    </row>
    <row r="4540" spans="1:13" x14ac:dyDescent="0.45">
      <c r="A4540" t="s">
        <v>5250</v>
      </c>
      <c r="B4540" t="s">
        <v>5251</v>
      </c>
      <c r="C4540" t="s">
        <v>5066</v>
      </c>
      <c r="D4540" t="s">
        <v>122</v>
      </c>
      <c r="E4540" t="s">
        <v>103</v>
      </c>
      <c r="F4540">
        <v>1</v>
      </c>
      <c r="G4540">
        <v>62.99</v>
      </c>
      <c r="H4540">
        <v>22.72</v>
      </c>
      <c r="I4540" t="s">
        <v>44</v>
      </c>
      <c r="J4540">
        <v>16</v>
      </c>
      <c r="K4540" t="s">
        <v>51</v>
      </c>
      <c r="L4540">
        <v>4</v>
      </c>
      <c r="M4540" t="str">
        <f>VLOOKUP(D4540,State_Lookup!$A$2:$B$28,2,FALSE)</f>
        <v>Para</v>
      </c>
    </row>
    <row r="4541" spans="1:13" x14ac:dyDescent="0.45">
      <c r="A4541" t="s">
        <v>5252</v>
      </c>
      <c r="B4541" t="s">
        <v>5251</v>
      </c>
      <c r="C4541" t="s">
        <v>5066</v>
      </c>
      <c r="D4541" t="s">
        <v>16</v>
      </c>
      <c r="E4541" t="s">
        <v>366</v>
      </c>
      <c r="F4541">
        <v>1</v>
      </c>
      <c r="G4541">
        <v>26.9</v>
      </c>
      <c r="H4541">
        <v>12.85</v>
      </c>
      <c r="I4541" t="s">
        <v>44</v>
      </c>
      <c r="J4541">
        <v>4</v>
      </c>
      <c r="K4541" t="s">
        <v>51</v>
      </c>
      <c r="L4541">
        <v>5</v>
      </c>
      <c r="M4541" t="str">
        <f>VLOOKUP(D4541,State_Lookup!$A$2:$B$28,2,FALSE)</f>
        <v>Sao Paulo</v>
      </c>
    </row>
    <row r="4542" spans="1:13" x14ac:dyDescent="0.45">
      <c r="A4542" t="s">
        <v>5253</v>
      </c>
      <c r="B4542" t="s">
        <v>5251</v>
      </c>
      <c r="C4542" t="s">
        <v>5066</v>
      </c>
      <c r="D4542" t="s">
        <v>17</v>
      </c>
      <c r="E4542" t="s">
        <v>125</v>
      </c>
      <c r="F4542">
        <v>1</v>
      </c>
      <c r="G4542">
        <v>139.9</v>
      </c>
      <c r="H4542">
        <v>30.78</v>
      </c>
      <c r="I4542" t="s">
        <v>44</v>
      </c>
      <c r="J4542">
        <v>9</v>
      </c>
      <c r="K4542" t="s">
        <v>51</v>
      </c>
      <c r="L4542">
        <v>5</v>
      </c>
      <c r="M4542" t="str">
        <f>VLOOKUP(D4542,State_Lookup!$A$2:$B$28,2,FALSE)</f>
        <v>Rio de Janeiro</v>
      </c>
    </row>
    <row r="4543" spans="1:13" x14ac:dyDescent="0.45">
      <c r="A4543" t="s">
        <v>5254</v>
      </c>
      <c r="B4543" t="s">
        <v>5251</v>
      </c>
      <c r="C4543" t="s">
        <v>5066</v>
      </c>
      <c r="D4543" t="s">
        <v>632</v>
      </c>
      <c r="E4543" t="s">
        <v>61</v>
      </c>
      <c r="F4543">
        <v>1</v>
      </c>
      <c r="G4543">
        <v>49.9</v>
      </c>
      <c r="H4543">
        <v>51.07</v>
      </c>
      <c r="I4543" t="s">
        <v>44</v>
      </c>
      <c r="J4543">
        <v>17</v>
      </c>
      <c r="K4543" t="s">
        <v>51</v>
      </c>
      <c r="L4543">
        <v>5</v>
      </c>
      <c r="M4543" t="str">
        <f>VLOOKUP(D4543,State_Lookup!$A$2:$B$28,2,FALSE)</f>
        <v>Alagoas</v>
      </c>
    </row>
    <row r="4544" spans="1:13" x14ac:dyDescent="0.45">
      <c r="A4544" t="s">
        <v>5255</v>
      </c>
      <c r="B4544" t="s">
        <v>5251</v>
      </c>
      <c r="C4544" t="s">
        <v>5066</v>
      </c>
      <c r="D4544" t="s">
        <v>16</v>
      </c>
      <c r="E4544" t="s">
        <v>142</v>
      </c>
      <c r="F4544">
        <v>1</v>
      </c>
      <c r="G4544">
        <v>40.99</v>
      </c>
      <c r="H4544">
        <v>14.6</v>
      </c>
      <c r="I4544" t="s">
        <v>44</v>
      </c>
      <c r="J4544">
        <v>4</v>
      </c>
      <c r="K4544" t="s">
        <v>51</v>
      </c>
      <c r="L4544">
        <v>5</v>
      </c>
      <c r="M4544" t="str">
        <f>VLOOKUP(D4544,State_Lookup!$A$2:$B$28,2,FALSE)</f>
        <v>Sao Paulo</v>
      </c>
    </row>
    <row r="4545" spans="1:13" x14ac:dyDescent="0.45">
      <c r="A4545" t="s">
        <v>5256</v>
      </c>
      <c r="B4545" t="s">
        <v>5251</v>
      </c>
      <c r="C4545" t="s">
        <v>5066</v>
      </c>
      <c r="D4545" t="s">
        <v>16</v>
      </c>
      <c r="E4545" t="s">
        <v>58</v>
      </c>
      <c r="F4545">
        <v>1</v>
      </c>
      <c r="G4545">
        <v>40</v>
      </c>
      <c r="H4545">
        <v>18.38</v>
      </c>
      <c r="I4545" t="s">
        <v>44</v>
      </c>
      <c r="J4545">
        <v>5</v>
      </c>
      <c r="K4545" t="s">
        <v>51</v>
      </c>
      <c r="L4545">
        <v>5</v>
      </c>
      <c r="M4545" t="str">
        <f>VLOOKUP(D4545,State_Lookup!$A$2:$B$28,2,FALSE)</f>
        <v>Sao Paulo</v>
      </c>
    </row>
    <row r="4546" spans="1:13" x14ac:dyDescent="0.45">
      <c r="A4546" t="s">
        <v>5257</v>
      </c>
      <c r="B4546" t="s">
        <v>5251</v>
      </c>
      <c r="C4546" t="s">
        <v>5066</v>
      </c>
      <c r="D4546" t="s">
        <v>16</v>
      </c>
      <c r="E4546" t="s">
        <v>79</v>
      </c>
      <c r="F4546">
        <v>1</v>
      </c>
      <c r="G4546">
        <v>143.28</v>
      </c>
      <c r="H4546">
        <v>13.66</v>
      </c>
      <c r="I4546" t="s">
        <v>44</v>
      </c>
      <c r="J4546">
        <v>6</v>
      </c>
      <c r="K4546" t="s">
        <v>51</v>
      </c>
      <c r="L4546">
        <v>5</v>
      </c>
      <c r="M4546" t="str">
        <f>VLOOKUP(D4546,State_Lookup!$A$2:$B$28,2,FALSE)</f>
        <v>Sao Paulo</v>
      </c>
    </row>
    <row r="4547" spans="1:13" x14ac:dyDescent="0.45">
      <c r="A4547" t="s">
        <v>5258</v>
      </c>
      <c r="B4547" t="s">
        <v>5251</v>
      </c>
      <c r="C4547" t="s">
        <v>5066</v>
      </c>
      <c r="D4547" t="s">
        <v>16</v>
      </c>
      <c r="E4547" t="s">
        <v>43</v>
      </c>
      <c r="F4547">
        <v>1</v>
      </c>
      <c r="G4547">
        <v>45</v>
      </c>
      <c r="H4547">
        <v>11.34</v>
      </c>
      <c r="I4547" t="s">
        <v>44</v>
      </c>
      <c r="J4547">
        <v>5</v>
      </c>
      <c r="K4547" t="s">
        <v>51</v>
      </c>
      <c r="L4547">
        <v>5</v>
      </c>
      <c r="M4547" t="str">
        <f>VLOOKUP(D4547,State_Lookup!$A$2:$B$28,2,FALSE)</f>
        <v>Sao Paulo</v>
      </c>
    </row>
    <row r="4548" spans="1:13" x14ac:dyDescent="0.45">
      <c r="A4548" t="s">
        <v>5259</v>
      </c>
      <c r="B4548" t="s">
        <v>5251</v>
      </c>
      <c r="C4548" t="s">
        <v>5066</v>
      </c>
      <c r="D4548" t="s">
        <v>19</v>
      </c>
      <c r="E4548" t="s">
        <v>192</v>
      </c>
      <c r="F4548">
        <v>2</v>
      </c>
      <c r="G4548">
        <v>99.8</v>
      </c>
      <c r="H4548">
        <v>49.4</v>
      </c>
      <c r="I4548" t="s">
        <v>44</v>
      </c>
      <c r="J4548">
        <v>19</v>
      </c>
      <c r="K4548" t="s">
        <v>51</v>
      </c>
      <c r="L4548">
        <v>5</v>
      </c>
      <c r="M4548" t="str">
        <f>VLOOKUP(D4548,State_Lookup!$A$2:$B$28,2,FALSE)</f>
        <v>Rio Grande do Sul</v>
      </c>
    </row>
    <row r="4549" spans="1:13" x14ac:dyDescent="0.45">
      <c r="A4549" t="s">
        <v>5260</v>
      </c>
      <c r="B4549" t="s">
        <v>5251</v>
      </c>
      <c r="C4549" t="s">
        <v>5066</v>
      </c>
      <c r="D4549" t="s">
        <v>194</v>
      </c>
      <c r="E4549" t="s">
        <v>1839</v>
      </c>
      <c r="F4549">
        <v>2</v>
      </c>
      <c r="G4549">
        <v>199.75</v>
      </c>
      <c r="H4549">
        <v>43.39</v>
      </c>
      <c r="I4549" t="s">
        <v>44</v>
      </c>
      <c r="J4549">
        <v>25</v>
      </c>
      <c r="K4549" t="s">
        <v>51</v>
      </c>
      <c r="L4549">
        <v>3</v>
      </c>
      <c r="M4549" t="str">
        <f>VLOOKUP(D4549,State_Lookup!$A$2:$B$28,2,FALSE)</f>
        <v>Mato Grosso do Sul</v>
      </c>
    </row>
    <row r="4550" spans="1:13" x14ac:dyDescent="0.45">
      <c r="A4550" t="s">
        <v>5261</v>
      </c>
      <c r="B4550" t="s">
        <v>5262</v>
      </c>
      <c r="C4550" t="s">
        <v>5066</v>
      </c>
      <c r="D4550" t="s">
        <v>18</v>
      </c>
      <c r="E4550" t="s">
        <v>152</v>
      </c>
      <c r="F4550">
        <v>1</v>
      </c>
      <c r="G4550">
        <v>129.9</v>
      </c>
      <c r="H4550">
        <v>22.66</v>
      </c>
      <c r="I4550" t="s">
        <v>44</v>
      </c>
      <c r="J4550">
        <v>8</v>
      </c>
      <c r="K4550" t="s">
        <v>51</v>
      </c>
      <c r="L4550">
        <v>5</v>
      </c>
      <c r="M4550" t="str">
        <f>VLOOKUP(D4550,State_Lookup!$A$2:$B$28,2,FALSE)</f>
        <v>Minas Gerais</v>
      </c>
    </row>
    <row r="4551" spans="1:13" x14ac:dyDescent="0.45">
      <c r="A4551" t="s">
        <v>5263</v>
      </c>
      <c r="B4551" t="s">
        <v>5262</v>
      </c>
      <c r="C4551" t="s">
        <v>5066</v>
      </c>
      <c r="D4551" t="s">
        <v>208</v>
      </c>
      <c r="E4551" t="s">
        <v>142</v>
      </c>
      <c r="F4551">
        <v>1</v>
      </c>
      <c r="G4551">
        <v>159.9</v>
      </c>
      <c r="H4551">
        <v>48.17</v>
      </c>
      <c r="I4551" t="s">
        <v>50</v>
      </c>
      <c r="J4551">
        <v>12</v>
      </c>
      <c r="K4551" t="s">
        <v>51</v>
      </c>
      <c r="L4551">
        <v>5</v>
      </c>
      <c r="M4551" t="str">
        <f>VLOOKUP(D4551,State_Lookup!$A$2:$B$28,2,FALSE)</f>
        <v>Mato Grosso</v>
      </c>
    </row>
    <row r="4552" spans="1:13" x14ac:dyDescent="0.45">
      <c r="A4552" t="s">
        <v>5264</v>
      </c>
      <c r="B4552" t="s">
        <v>5262</v>
      </c>
      <c r="C4552" t="s">
        <v>5066</v>
      </c>
      <c r="D4552" t="s">
        <v>194</v>
      </c>
      <c r="E4552" t="s">
        <v>157</v>
      </c>
      <c r="F4552">
        <v>1</v>
      </c>
      <c r="G4552">
        <v>148.9</v>
      </c>
      <c r="H4552">
        <v>16.14</v>
      </c>
      <c r="I4552" t="s">
        <v>44</v>
      </c>
      <c r="J4552">
        <v>10</v>
      </c>
      <c r="K4552" t="s">
        <v>51</v>
      </c>
      <c r="L4552">
        <v>5</v>
      </c>
      <c r="M4552" t="str">
        <f>VLOOKUP(D4552,State_Lookup!$A$2:$B$28,2,FALSE)</f>
        <v>Mato Grosso do Sul</v>
      </c>
    </row>
    <row r="4553" spans="1:13" x14ac:dyDescent="0.45">
      <c r="A4553" t="s">
        <v>5265</v>
      </c>
      <c r="B4553" t="s">
        <v>5262</v>
      </c>
      <c r="C4553" t="s">
        <v>5066</v>
      </c>
      <c r="D4553" t="s">
        <v>16</v>
      </c>
      <c r="E4553" t="s">
        <v>49</v>
      </c>
      <c r="F4553">
        <v>1</v>
      </c>
      <c r="G4553">
        <v>85.9</v>
      </c>
      <c r="H4553">
        <v>11.62</v>
      </c>
      <c r="I4553" t="s">
        <v>44</v>
      </c>
      <c r="J4553">
        <v>3</v>
      </c>
      <c r="K4553" t="s">
        <v>51</v>
      </c>
      <c r="L4553">
        <v>5</v>
      </c>
      <c r="M4553" t="str">
        <f>VLOOKUP(D4553,State_Lookup!$A$2:$B$28,2,FALSE)</f>
        <v>Sao Paulo</v>
      </c>
    </row>
    <row r="4554" spans="1:13" x14ac:dyDescent="0.45">
      <c r="A4554" t="s">
        <v>5266</v>
      </c>
      <c r="B4554" t="s">
        <v>5262</v>
      </c>
      <c r="C4554" t="s">
        <v>5066</v>
      </c>
      <c r="D4554" t="s">
        <v>16</v>
      </c>
      <c r="E4554" t="s">
        <v>125</v>
      </c>
      <c r="F4554">
        <v>1</v>
      </c>
      <c r="G4554">
        <v>49.99</v>
      </c>
      <c r="H4554">
        <v>7.61</v>
      </c>
      <c r="I4554" t="s">
        <v>44</v>
      </c>
      <c r="J4554">
        <v>6</v>
      </c>
      <c r="K4554" t="s">
        <v>51</v>
      </c>
      <c r="L4554">
        <v>4</v>
      </c>
      <c r="M4554" t="str">
        <f>VLOOKUP(D4554,State_Lookup!$A$2:$B$28,2,FALSE)</f>
        <v>Sao Paulo</v>
      </c>
    </row>
    <row r="4555" spans="1:13" x14ac:dyDescent="0.45">
      <c r="A4555" t="s">
        <v>5267</v>
      </c>
      <c r="B4555" t="s">
        <v>5262</v>
      </c>
      <c r="C4555" t="s">
        <v>5066</v>
      </c>
      <c r="D4555" t="s">
        <v>19</v>
      </c>
      <c r="E4555" t="s">
        <v>157</v>
      </c>
      <c r="F4555">
        <v>1</v>
      </c>
      <c r="G4555">
        <v>178.99</v>
      </c>
      <c r="H4555">
        <v>19.350000000000001</v>
      </c>
      <c r="I4555" t="s">
        <v>44</v>
      </c>
      <c r="J4555">
        <v>12</v>
      </c>
      <c r="K4555" t="s">
        <v>51</v>
      </c>
      <c r="L4555">
        <v>2</v>
      </c>
      <c r="M4555" t="str">
        <f>VLOOKUP(D4555,State_Lookup!$A$2:$B$28,2,FALSE)</f>
        <v>Rio Grande do Sul</v>
      </c>
    </row>
    <row r="4556" spans="1:13" x14ac:dyDescent="0.45">
      <c r="A4556" t="s">
        <v>5268</v>
      </c>
      <c r="B4556" t="s">
        <v>5262</v>
      </c>
      <c r="C4556" t="s">
        <v>5066</v>
      </c>
      <c r="D4556" t="s">
        <v>17</v>
      </c>
      <c r="E4556" t="s">
        <v>157</v>
      </c>
      <c r="F4556">
        <v>1</v>
      </c>
      <c r="G4556">
        <v>35</v>
      </c>
      <c r="H4556">
        <v>15.35</v>
      </c>
      <c r="I4556" t="s">
        <v>50</v>
      </c>
      <c r="J4556">
        <v>8</v>
      </c>
      <c r="K4556" t="s">
        <v>51</v>
      </c>
      <c r="L4556">
        <v>1</v>
      </c>
      <c r="M4556" t="str">
        <f>VLOOKUP(D4556,State_Lookup!$A$2:$B$28,2,FALSE)</f>
        <v>Rio de Janeiro</v>
      </c>
    </row>
    <row r="4557" spans="1:13" x14ac:dyDescent="0.45">
      <c r="A4557" t="s">
        <v>5269</v>
      </c>
      <c r="B4557" t="s">
        <v>5262</v>
      </c>
      <c r="C4557" t="s">
        <v>5066</v>
      </c>
      <c r="D4557" t="s">
        <v>22</v>
      </c>
      <c r="E4557" t="s">
        <v>43</v>
      </c>
      <c r="F4557">
        <v>1</v>
      </c>
      <c r="G4557">
        <v>44.99</v>
      </c>
      <c r="H4557">
        <v>22.25</v>
      </c>
      <c r="I4557" t="s">
        <v>44</v>
      </c>
      <c r="J4557">
        <v>7</v>
      </c>
      <c r="K4557" t="s">
        <v>51</v>
      </c>
      <c r="L4557">
        <v>5</v>
      </c>
      <c r="M4557" t="str">
        <f>VLOOKUP(D4557,State_Lookup!$A$2:$B$28,2,FALSE)</f>
        <v>Bahia</v>
      </c>
    </row>
    <row r="4558" spans="1:13" x14ac:dyDescent="0.45">
      <c r="A4558" t="s">
        <v>5270</v>
      </c>
      <c r="B4558" t="s">
        <v>5271</v>
      </c>
      <c r="C4558" t="s">
        <v>5066</v>
      </c>
      <c r="D4558" t="s">
        <v>18</v>
      </c>
      <c r="E4558" t="s">
        <v>61</v>
      </c>
      <c r="F4558">
        <v>1</v>
      </c>
      <c r="G4558">
        <v>15.99</v>
      </c>
      <c r="H4558">
        <v>18.23</v>
      </c>
      <c r="I4558" t="s">
        <v>44</v>
      </c>
      <c r="J4558">
        <v>6</v>
      </c>
      <c r="K4558" t="s">
        <v>51</v>
      </c>
      <c r="L4558">
        <v>5</v>
      </c>
      <c r="M4558" t="str">
        <f>VLOOKUP(D4558,State_Lookup!$A$2:$B$28,2,FALSE)</f>
        <v>Minas Gerais</v>
      </c>
    </row>
    <row r="4559" spans="1:13" x14ac:dyDescent="0.45">
      <c r="A4559" t="s">
        <v>5272</v>
      </c>
      <c r="B4559" t="s">
        <v>5271</v>
      </c>
      <c r="C4559" t="s">
        <v>5066</v>
      </c>
      <c r="D4559" t="s">
        <v>18</v>
      </c>
      <c r="E4559" t="s">
        <v>2079</v>
      </c>
      <c r="F4559">
        <v>2</v>
      </c>
      <c r="G4559">
        <v>318</v>
      </c>
      <c r="H4559">
        <v>124.52</v>
      </c>
      <c r="I4559" t="s">
        <v>44</v>
      </c>
      <c r="J4559">
        <v>7</v>
      </c>
      <c r="K4559" t="s">
        <v>51</v>
      </c>
      <c r="L4559">
        <v>4</v>
      </c>
      <c r="M4559" t="str">
        <f>VLOOKUP(D4559,State_Lookup!$A$2:$B$28,2,FALSE)</f>
        <v>Minas Gerais</v>
      </c>
    </row>
    <row r="4560" spans="1:13" x14ac:dyDescent="0.45">
      <c r="A4560" t="s">
        <v>5273</v>
      </c>
      <c r="B4560" t="s">
        <v>5271</v>
      </c>
      <c r="C4560" t="s">
        <v>5066</v>
      </c>
      <c r="D4560" t="s">
        <v>19</v>
      </c>
      <c r="E4560" t="s">
        <v>366</v>
      </c>
      <c r="F4560">
        <v>1</v>
      </c>
      <c r="G4560">
        <v>29.9</v>
      </c>
      <c r="H4560">
        <v>18.309999999999999</v>
      </c>
      <c r="I4560" t="s">
        <v>50</v>
      </c>
      <c r="J4560">
        <v>13</v>
      </c>
      <c r="K4560" t="s">
        <v>51</v>
      </c>
      <c r="L4560">
        <v>5</v>
      </c>
      <c r="M4560" t="str">
        <f>VLOOKUP(D4560,State_Lookup!$A$2:$B$28,2,FALSE)</f>
        <v>Rio Grande do Sul</v>
      </c>
    </row>
    <row r="4561" spans="1:13" x14ac:dyDescent="0.45">
      <c r="A4561" t="s">
        <v>5274</v>
      </c>
      <c r="B4561" t="s">
        <v>5271</v>
      </c>
      <c r="C4561" t="s">
        <v>5066</v>
      </c>
      <c r="D4561" t="s">
        <v>141</v>
      </c>
      <c r="E4561" t="s">
        <v>79</v>
      </c>
      <c r="F4561">
        <v>1</v>
      </c>
      <c r="G4561">
        <v>79.900000000000006</v>
      </c>
      <c r="H4561">
        <v>51.28</v>
      </c>
      <c r="I4561" t="s">
        <v>44</v>
      </c>
      <c r="J4561">
        <v>13</v>
      </c>
      <c r="K4561" t="s">
        <v>51</v>
      </c>
      <c r="L4561">
        <v>5</v>
      </c>
      <c r="M4561" t="str">
        <f>VLOOKUP(D4561,State_Lookup!$A$2:$B$28,2,FALSE)</f>
        <v>Maranhao</v>
      </c>
    </row>
    <row r="4562" spans="1:13" x14ac:dyDescent="0.45">
      <c r="A4562" t="s">
        <v>5275</v>
      </c>
      <c r="B4562" t="s">
        <v>5271</v>
      </c>
      <c r="C4562" t="s">
        <v>5066</v>
      </c>
      <c r="D4562" t="s">
        <v>122</v>
      </c>
      <c r="E4562" t="s">
        <v>157</v>
      </c>
      <c r="F4562">
        <v>1</v>
      </c>
      <c r="G4562">
        <v>728.9</v>
      </c>
      <c r="H4562">
        <v>25.37</v>
      </c>
      <c r="I4562" t="s">
        <v>44</v>
      </c>
      <c r="J4562">
        <v>14</v>
      </c>
      <c r="K4562" t="s">
        <v>51</v>
      </c>
      <c r="L4562">
        <v>5</v>
      </c>
      <c r="M4562" t="str">
        <f>VLOOKUP(D4562,State_Lookup!$A$2:$B$28,2,FALSE)</f>
        <v>Para</v>
      </c>
    </row>
    <row r="4563" spans="1:13" x14ac:dyDescent="0.45">
      <c r="A4563" t="s">
        <v>5276</v>
      </c>
      <c r="B4563" t="s">
        <v>5271</v>
      </c>
      <c r="C4563" t="s">
        <v>5066</v>
      </c>
      <c r="D4563" t="s">
        <v>16</v>
      </c>
      <c r="E4563" t="s">
        <v>43</v>
      </c>
      <c r="F4563">
        <v>1</v>
      </c>
      <c r="G4563">
        <v>99.9</v>
      </c>
      <c r="H4563">
        <v>9.4499999999999993</v>
      </c>
      <c r="I4563" t="s">
        <v>44</v>
      </c>
      <c r="J4563">
        <v>2</v>
      </c>
      <c r="K4563" t="s">
        <v>51</v>
      </c>
      <c r="L4563">
        <v>5</v>
      </c>
      <c r="M4563" t="str">
        <f>VLOOKUP(D4563,State_Lookup!$A$2:$B$28,2,FALSE)</f>
        <v>Sao Paulo</v>
      </c>
    </row>
    <row r="4564" spans="1:13" x14ac:dyDescent="0.45">
      <c r="A4564" t="s">
        <v>5277</v>
      </c>
      <c r="B4564" t="s">
        <v>5271</v>
      </c>
      <c r="C4564" t="s">
        <v>5066</v>
      </c>
      <c r="D4564" t="s">
        <v>16</v>
      </c>
      <c r="E4564" t="s">
        <v>79</v>
      </c>
      <c r="F4564">
        <v>1</v>
      </c>
      <c r="G4564">
        <v>110.32</v>
      </c>
      <c r="H4564">
        <v>8.0299999999999994</v>
      </c>
      <c r="I4564" t="s">
        <v>44</v>
      </c>
      <c r="J4564">
        <v>4</v>
      </c>
      <c r="K4564" t="s">
        <v>51</v>
      </c>
      <c r="L4564">
        <v>5</v>
      </c>
      <c r="M4564" t="str">
        <f>VLOOKUP(D4564,State_Lookup!$A$2:$B$28,2,FALSE)</f>
        <v>Sao Paulo</v>
      </c>
    </row>
    <row r="4565" spans="1:13" x14ac:dyDescent="0.45">
      <c r="A4565" t="s">
        <v>5278</v>
      </c>
      <c r="B4565" t="s">
        <v>5271</v>
      </c>
      <c r="C4565" t="s">
        <v>5066</v>
      </c>
      <c r="D4565" t="s">
        <v>19</v>
      </c>
      <c r="E4565" t="s">
        <v>49</v>
      </c>
      <c r="F4565">
        <v>1</v>
      </c>
      <c r="G4565">
        <v>175</v>
      </c>
      <c r="H4565">
        <v>59.31</v>
      </c>
      <c r="I4565" t="s">
        <v>44</v>
      </c>
      <c r="J4565">
        <v>6</v>
      </c>
      <c r="K4565" t="s">
        <v>51</v>
      </c>
      <c r="L4565">
        <v>5</v>
      </c>
      <c r="M4565" t="str">
        <f>VLOOKUP(D4565,State_Lookup!$A$2:$B$28,2,FALSE)</f>
        <v>Rio Grande do Sul</v>
      </c>
    </row>
    <row r="4566" spans="1:13" x14ac:dyDescent="0.45">
      <c r="A4566" t="s">
        <v>5279</v>
      </c>
      <c r="B4566" t="s">
        <v>5271</v>
      </c>
      <c r="C4566" t="s">
        <v>5066</v>
      </c>
      <c r="D4566" t="s">
        <v>16</v>
      </c>
      <c r="E4566" t="s">
        <v>204</v>
      </c>
      <c r="F4566">
        <v>1</v>
      </c>
      <c r="G4566">
        <v>120</v>
      </c>
      <c r="H4566">
        <v>17.03</v>
      </c>
      <c r="I4566" t="s">
        <v>44</v>
      </c>
      <c r="J4566">
        <v>7</v>
      </c>
      <c r="K4566" t="s">
        <v>51</v>
      </c>
      <c r="L4566">
        <v>5</v>
      </c>
      <c r="M4566" t="str">
        <f>VLOOKUP(D4566,State_Lookup!$A$2:$B$28,2,FALSE)</f>
        <v>Sao Paulo</v>
      </c>
    </row>
    <row r="4567" spans="1:13" x14ac:dyDescent="0.45">
      <c r="A4567" t="s">
        <v>5280</v>
      </c>
      <c r="B4567" t="s">
        <v>5271</v>
      </c>
      <c r="C4567" t="s">
        <v>5066</v>
      </c>
      <c r="D4567" t="s">
        <v>19</v>
      </c>
      <c r="E4567" t="s">
        <v>53</v>
      </c>
      <c r="F4567">
        <v>1</v>
      </c>
      <c r="G4567">
        <v>45.2</v>
      </c>
      <c r="H4567">
        <v>19.510000000000002</v>
      </c>
      <c r="I4567" t="s">
        <v>44</v>
      </c>
      <c r="J4567">
        <v>8</v>
      </c>
      <c r="K4567" t="s">
        <v>51</v>
      </c>
      <c r="L4567">
        <v>5</v>
      </c>
      <c r="M4567" t="str">
        <f>VLOOKUP(D4567,State_Lookup!$A$2:$B$28,2,FALSE)</f>
        <v>Rio Grande do Sul</v>
      </c>
    </row>
    <row r="4568" spans="1:13" x14ac:dyDescent="0.45">
      <c r="A4568" t="s">
        <v>5281</v>
      </c>
      <c r="B4568" t="s">
        <v>5271</v>
      </c>
      <c r="C4568" t="s">
        <v>5066</v>
      </c>
      <c r="D4568" t="s">
        <v>17</v>
      </c>
      <c r="E4568" t="s">
        <v>53</v>
      </c>
      <c r="F4568">
        <v>1</v>
      </c>
      <c r="G4568">
        <v>139.99</v>
      </c>
      <c r="H4568">
        <v>17.170000000000002</v>
      </c>
      <c r="I4568" t="s">
        <v>44</v>
      </c>
      <c r="J4568">
        <v>7</v>
      </c>
      <c r="K4568" t="s">
        <v>51</v>
      </c>
      <c r="L4568">
        <v>5</v>
      </c>
      <c r="M4568" t="str">
        <f>VLOOKUP(D4568,State_Lookup!$A$2:$B$28,2,FALSE)</f>
        <v>Rio de Janeiro</v>
      </c>
    </row>
    <row r="4569" spans="1:13" x14ac:dyDescent="0.45">
      <c r="A4569" t="s">
        <v>5282</v>
      </c>
      <c r="B4569" t="s">
        <v>5271</v>
      </c>
      <c r="C4569" t="s">
        <v>5066</v>
      </c>
      <c r="D4569" t="s">
        <v>21</v>
      </c>
      <c r="E4569" t="s">
        <v>157</v>
      </c>
      <c r="F4569">
        <v>1</v>
      </c>
      <c r="G4569">
        <v>78</v>
      </c>
      <c r="H4569">
        <v>18.649999999999999</v>
      </c>
      <c r="I4569" t="s">
        <v>44</v>
      </c>
      <c r="J4569">
        <v>6</v>
      </c>
      <c r="K4569" t="s">
        <v>51</v>
      </c>
      <c r="L4569">
        <v>4</v>
      </c>
      <c r="M4569" t="str">
        <f>VLOOKUP(D4569,State_Lookup!$A$2:$B$28,2,FALSE)</f>
        <v>Santa Catarina</v>
      </c>
    </row>
    <row r="4570" spans="1:13" x14ac:dyDescent="0.45">
      <c r="A4570" t="s">
        <v>5283</v>
      </c>
      <c r="B4570" t="s">
        <v>5271</v>
      </c>
      <c r="C4570" t="s">
        <v>5066</v>
      </c>
      <c r="D4570" t="s">
        <v>16</v>
      </c>
      <c r="E4570" t="s">
        <v>69</v>
      </c>
      <c r="F4570">
        <v>1</v>
      </c>
      <c r="G4570">
        <v>664</v>
      </c>
      <c r="H4570">
        <v>38.409999999999997</v>
      </c>
      <c r="I4570" t="s">
        <v>44</v>
      </c>
      <c r="J4570">
        <v>3</v>
      </c>
      <c r="K4570" t="s">
        <v>51</v>
      </c>
      <c r="L4570">
        <v>1</v>
      </c>
      <c r="M4570" t="str">
        <f>VLOOKUP(D4570,State_Lookup!$A$2:$B$28,2,FALSE)</f>
        <v>Sao Paulo</v>
      </c>
    </row>
    <row r="4571" spans="1:13" x14ac:dyDescent="0.45">
      <c r="A4571" t="s">
        <v>5284</v>
      </c>
      <c r="B4571" t="s">
        <v>5271</v>
      </c>
      <c r="C4571" t="s">
        <v>5066</v>
      </c>
      <c r="D4571" t="s">
        <v>19</v>
      </c>
      <c r="E4571" t="s">
        <v>110</v>
      </c>
      <c r="F4571">
        <v>1</v>
      </c>
      <c r="G4571">
        <v>88</v>
      </c>
      <c r="H4571">
        <v>23.42</v>
      </c>
      <c r="I4571" t="s">
        <v>44</v>
      </c>
      <c r="J4571">
        <v>6</v>
      </c>
      <c r="K4571" t="s">
        <v>51</v>
      </c>
      <c r="L4571">
        <v>5</v>
      </c>
      <c r="M4571" t="str">
        <f>VLOOKUP(D4571,State_Lookup!$A$2:$B$28,2,FALSE)</f>
        <v>Rio Grande do Sul</v>
      </c>
    </row>
    <row r="4572" spans="1:13" x14ac:dyDescent="0.45">
      <c r="A4572" t="s">
        <v>5285</v>
      </c>
      <c r="B4572" t="s">
        <v>5271</v>
      </c>
      <c r="C4572" t="s">
        <v>5066</v>
      </c>
      <c r="D4572" t="s">
        <v>18</v>
      </c>
      <c r="E4572" t="s">
        <v>157</v>
      </c>
      <c r="F4572">
        <v>1</v>
      </c>
      <c r="G4572">
        <v>154.9</v>
      </c>
      <c r="H4572">
        <v>19.18</v>
      </c>
      <c r="I4572" t="s">
        <v>44</v>
      </c>
      <c r="J4572">
        <v>3</v>
      </c>
      <c r="K4572" t="s">
        <v>51</v>
      </c>
      <c r="L4572">
        <v>5</v>
      </c>
      <c r="M4572" t="str">
        <f>VLOOKUP(D4572,State_Lookup!$A$2:$B$28,2,FALSE)</f>
        <v>Minas Gerais</v>
      </c>
    </row>
    <row r="4573" spans="1:13" x14ac:dyDescent="0.45">
      <c r="A4573" t="s">
        <v>5286</v>
      </c>
      <c r="B4573" t="s">
        <v>5271</v>
      </c>
      <c r="C4573" t="s">
        <v>5066</v>
      </c>
      <c r="D4573" t="s">
        <v>16</v>
      </c>
      <c r="E4573" t="s">
        <v>58</v>
      </c>
      <c r="F4573">
        <v>1</v>
      </c>
      <c r="G4573">
        <v>140</v>
      </c>
      <c r="H4573">
        <v>64.8</v>
      </c>
      <c r="I4573" t="s">
        <v>44</v>
      </c>
      <c r="J4573">
        <v>4</v>
      </c>
      <c r="K4573" t="s">
        <v>51</v>
      </c>
      <c r="L4573">
        <v>5</v>
      </c>
      <c r="M4573" t="str">
        <f>VLOOKUP(D4573,State_Lookup!$A$2:$B$28,2,FALSE)</f>
        <v>Sao Paulo</v>
      </c>
    </row>
    <row r="4574" spans="1:13" x14ac:dyDescent="0.45">
      <c r="A4574" t="s">
        <v>5287</v>
      </c>
      <c r="B4574" t="s">
        <v>5271</v>
      </c>
      <c r="C4574" t="s">
        <v>5066</v>
      </c>
      <c r="D4574" t="s">
        <v>19</v>
      </c>
      <c r="E4574" t="s">
        <v>157</v>
      </c>
      <c r="F4574">
        <v>2</v>
      </c>
      <c r="G4574">
        <v>78</v>
      </c>
      <c r="H4574">
        <v>36.74</v>
      </c>
      <c r="I4574" t="s">
        <v>50</v>
      </c>
      <c r="J4574">
        <v>7</v>
      </c>
      <c r="K4574" t="s">
        <v>51</v>
      </c>
      <c r="L4574">
        <v>5</v>
      </c>
      <c r="M4574" t="str">
        <f>VLOOKUP(D4574,State_Lookup!$A$2:$B$28,2,FALSE)</f>
        <v>Rio Grande do Sul</v>
      </c>
    </row>
    <row r="4575" spans="1:13" x14ac:dyDescent="0.45">
      <c r="A4575" t="s">
        <v>5288</v>
      </c>
      <c r="B4575" t="s">
        <v>5271</v>
      </c>
      <c r="C4575" t="s">
        <v>5066</v>
      </c>
      <c r="D4575" t="s">
        <v>25</v>
      </c>
      <c r="E4575" t="s">
        <v>157</v>
      </c>
      <c r="F4575">
        <v>1</v>
      </c>
      <c r="G4575">
        <v>78</v>
      </c>
      <c r="H4575">
        <v>15.65</v>
      </c>
      <c r="I4575" t="s">
        <v>44</v>
      </c>
      <c r="J4575">
        <v>14</v>
      </c>
      <c r="K4575" t="s">
        <v>51</v>
      </c>
      <c r="L4575">
        <v>5</v>
      </c>
      <c r="M4575" t="str">
        <f>VLOOKUP(D4575,State_Lookup!$A$2:$B$28,2,FALSE)</f>
        <v>Goias</v>
      </c>
    </row>
    <row r="4576" spans="1:13" x14ac:dyDescent="0.45">
      <c r="A4576" t="s">
        <v>5289</v>
      </c>
      <c r="B4576" t="s">
        <v>5271</v>
      </c>
      <c r="C4576" t="s">
        <v>5066</v>
      </c>
      <c r="D4576" t="s">
        <v>16</v>
      </c>
      <c r="E4576" t="s">
        <v>110</v>
      </c>
      <c r="F4576">
        <v>1</v>
      </c>
      <c r="G4576">
        <v>107.5</v>
      </c>
      <c r="H4576">
        <v>17.88</v>
      </c>
      <c r="I4576" t="s">
        <v>44</v>
      </c>
      <c r="J4576">
        <v>4</v>
      </c>
      <c r="K4576" t="s">
        <v>51</v>
      </c>
      <c r="L4576">
        <v>4</v>
      </c>
      <c r="M4576" t="str">
        <f>VLOOKUP(D4576,State_Lookup!$A$2:$B$28,2,FALSE)</f>
        <v>Sao Paulo</v>
      </c>
    </row>
    <row r="4577" spans="1:13" x14ac:dyDescent="0.45">
      <c r="A4577" t="s">
        <v>5290</v>
      </c>
      <c r="B4577" t="s">
        <v>5271</v>
      </c>
      <c r="C4577" t="s">
        <v>5066</v>
      </c>
      <c r="D4577" t="s">
        <v>16</v>
      </c>
      <c r="E4577" t="s">
        <v>142</v>
      </c>
      <c r="F4577">
        <v>3</v>
      </c>
      <c r="G4577">
        <v>188.7</v>
      </c>
      <c r="H4577">
        <v>34.380000000000003</v>
      </c>
      <c r="I4577" t="s">
        <v>44</v>
      </c>
      <c r="J4577">
        <v>2</v>
      </c>
      <c r="K4577" t="s">
        <v>51</v>
      </c>
      <c r="L4577">
        <v>3</v>
      </c>
      <c r="M4577" t="str">
        <f>VLOOKUP(D4577,State_Lookup!$A$2:$B$28,2,FALSE)</f>
        <v>Sao Paulo</v>
      </c>
    </row>
    <row r="4578" spans="1:13" x14ac:dyDescent="0.45">
      <c r="A4578" t="s">
        <v>5291</v>
      </c>
      <c r="B4578" t="s">
        <v>5271</v>
      </c>
      <c r="C4578" t="s">
        <v>5066</v>
      </c>
      <c r="D4578" t="s">
        <v>16</v>
      </c>
      <c r="E4578" t="s">
        <v>66</v>
      </c>
      <c r="F4578">
        <v>1</v>
      </c>
      <c r="G4578">
        <v>45.95</v>
      </c>
      <c r="H4578">
        <v>7.58</v>
      </c>
      <c r="I4578" t="s">
        <v>50</v>
      </c>
      <c r="J4578">
        <v>2</v>
      </c>
      <c r="K4578" t="s">
        <v>51</v>
      </c>
      <c r="L4578">
        <v>5</v>
      </c>
      <c r="M4578" t="str">
        <f>VLOOKUP(D4578,State_Lookup!$A$2:$B$28,2,FALSE)</f>
        <v>Sao Paulo</v>
      </c>
    </row>
    <row r="4579" spans="1:13" x14ac:dyDescent="0.45">
      <c r="A4579" t="s">
        <v>5292</v>
      </c>
      <c r="B4579" t="s">
        <v>5271</v>
      </c>
      <c r="C4579" t="s">
        <v>5066</v>
      </c>
      <c r="D4579" t="s">
        <v>20</v>
      </c>
      <c r="E4579" t="s">
        <v>49</v>
      </c>
      <c r="F4579">
        <v>3</v>
      </c>
      <c r="G4579">
        <v>357.13</v>
      </c>
      <c r="H4579">
        <v>88.07</v>
      </c>
      <c r="I4579" t="s">
        <v>50</v>
      </c>
      <c r="J4579">
        <v>8</v>
      </c>
      <c r="K4579" t="s">
        <v>51</v>
      </c>
      <c r="L4579">
        <v>5</v>
      </c>
      <c r="M4579" t="str">
        <f>VLOOKUP(D4579,State_Lookup!$A$2:$B$28,2,FALSE)</f>
        <v>Parana</v>
      </c>
    </row>
    <row r="4580" spans="1:13" x14ac:dyDescent="0.45">
      <c r="A4580" t="s">
        <v>5293</v>
      </c>
      <c r="B4580" t="s">
        <v>5294</v>
      </c>
      <c r="C4580" t="s">
        <v>5066</v>
      </c>
      <c r="D4580" t="s">
        <v>249</v>
      </c>
      <c r="E4580" t="s">
        <v>49</v>
      </c>
      <c r="F4580">
        <v>2</v>
      </c>
      <c r="G4580">
        <v>178.98</v>
      </c>
      <c r="H4580">
        <v>75.08</v>
      </c>
      <c r="I4580" t="s">
        <v>50</v>
      </c>
      <c r="J4580">
        <v>13</v>
      </c>
      <c r="K4580" t="s">
        <v>51</v>
      </c>
      <c r="L4580">
        <v>5</v>
      </c>
      <c r="M4580" t="str">
        <f>VLOOKUP(D4580,State_Lookup!$A$2:$B$28,2,FALSE)</f>
        <v>Tocantins</v>
      </c>
    </row>
    <row r="4581" spans="1:13" x14ac:dyDescent="0.45">
      <c r="A4581" t="s">
        <v>5295</v>
      </c>
      <c r="B4581" t="s">
        <v>5294</v>
      </c>
      <c r="C4581" t="s">
        <v>5066</v>
      </c>
      <c r="D4581" t="s">
        <v>122</v>
      </c>
      <c r="E4581" t="s">
        <v>79</v>
      </c>
      <c r="F4581">
        <v>1</v>
      </c>
      <c r="G4581">
        <v>151.72</v>
      </c>
      <c r="H4581">
        <v>23.34</v>
      </c>
      <c r="I4581" t="s">
        <v>44</v>
      </c>
      <c r="J4581">
        <v>38</v>
      </c>
      <c r="K4581" t="s">
        <v>143</v>
      </c>
      <c r="L4581">
        <v>1</v>
      </c>
      <c r="M4581" t="str">
        <f>VLOOKUP(D4581,State_Lookup!$A$2:$B$28,2,FALSE)</f>
        <v>Para</v>
      </c>
    </row>
    <row r="4582" spans="1:13" x14ac:dyDescent="0.45">
      <c r="A4582" t="s">
        <v>5296</v>
      </c>
      <c r="B4582" t="s">
        <v>5294</v>
      </c>
      <c r="C4582" t="s">
        <v>5066</v>
      </c>
      <c r="D4582" t="s">
        <v>20</v>
      </c>
      <c r="E4582" t="s">
        <v>107</v>
      </c>
      <c r="F4582">
        <v>1</v>
      </c>
      <c r="G4582">
        <v>93.97</v>
      </c>
      <c r="H4582">
        <v>18.760000000000002</v>
      </c>
      <c r="I4582" t="s">
        <v>44</v>
      </c>
      <c r="J4582">
        <v>7</v>
      </c>
      <c r="K4582" t="s">
        <v>51</v>
      </c>
      <c r="L4582">
        <v>5</v>
      </c>
      <c r="M4582" t="str">
        <f>VLOOKUP(D4582,State_Lookup!$A$2:$B$28,2,FALSE)</f>
        <v>Parana</v>
      </c>
    </row>
    <row r="4583" spans="1:13" x14ac:dyDescent="0.45">
      <c r="A4583" t="s">
        <v>5297</v>
      </c>
      <c r="B4583" t="s">
        <v>5294</v>
      </c>
      <c r="C4583" t="s">
        <v>5066</v>
      </c>
      <c r="D4583" t="s">
        <v>23</v>
      </c>
      <c r="E4583" t="s">
        <v>1839</v>
      </c>
      <c r="F4583">
        <v>1</v>
      </c>
      <c r="G4583">
        <v>150</v>
      </c>
      <c r="H4583">
        <v>28.03</v>
      </c>
      <c r="I4583" t="s">
        <v>44</v>
      </c>
      <c r="J4583">
        <v>6</v>
      </c>
      <c r="K4583" t="s">
        <v>51</v>
      </c>
      <c r="L4583">
        <v>5</v>
      </c>
      <c r="M4583" t="str">
        <f>VLOOKUP(D4583,State_Lookup!$A$2:$B$28,2,FALSE)</f>
        <v>Espirito Santo</v>
      </c>
    </row>
    <row r="4584" spans="1:13" x14ac:dyDescent="0.45">
      <c r="A4584" t="s">
        <v>5298</v>
      </c>
      <c r="B4584" t="s">
        <v>5294</v>
      </c>
      <c r="C4584" t="s">
        <v>5066</v>
      </c>
      <c r="D4584" t="s">
        <v>16</v>
      </c>
      <c r="E4584" t="s">
        <v>244</v>
      </c>
      <c r="F4584">
        <v>1</v>
      </c>
      <c r="G4584">
        <v>74.5</v>
      </c>
      <c r="H4584">
        <v>21.16</v>
      </c>
      <c r="I4584" t="s">
        <v>44</v>
      </c>
      <c r="J4584">
        <v>3</v>
      </c>
      <c r="K4584" t="s">
        <v>51</v>
      </c>
      <c r="L4584">
        <v>5</v>
      </c>
      <c r="M4584" t="str">
        <f>VLOOKUP(D4584,State_Lookup!$A$2:$B$28,2,FALSE)</f>
        <v>Sao Paulo</v>
      </c>
    </row>
    <row r="4585" spans="1:13" x14ac:dyDescent="0.45">
      <c r="A4585" t="s">
        <v>5299</v>
      </c>
      <c r="B4585" t="s">
        <v>5294</v>
      </c>
      <c r="C4585" t="s">
        <v>5066</v>
      </c>
      <c r="D4585" t="s">
        <v>16</v>
      </c>
      <c r="E4585" t="s">
        <v>110</v>
      </c>
      <c r="F4585">
        <v>3</v>
      </c>
      <c r="G4585">
        <v>143.69999999999999</v>
      </c>
      <c r="H4585">
        <v>54.33</v>
      </c>
      <c r="I4585" t="s">
        <v>44</v>
      </c>
      <c r="J4585">
        <v>3</v>
      </c>
      <c r="K4585" t="s">
        <v>51</v>
      </c>
      <c r="L4585">
        <v>2</v>
      </c>
      <c r="M4585" t="str">
        <f>VLOOKUP(D4585,State_Lookup!$A$2:$B$28,2,FALSE)</f>
        <v>Sao Paulo</v>
      </c>
    </row>
    <row r="4586" spans="1:13" x14ac:dyDescent="0.45">
      <c r="A4586" t="s">
        <v>5300</v>
      </c>
      <c r="B4586" t="s">
        <v>5294</v>
      </c>
      <c r="C4586" t="s">
        <v>5066</v>
      </c>
      <c r="D4586" t="s">
        <v>16</v>
      </c>
      <c r="E4586" t="s">
        <v>64</v>
      </c>
      <c r="F4586">
        <v>1</v>
      </c>
      <c r="G4586">
        <v>279.89999999999998</v>
      </c>
      <c r="H4586">
        <v>20.059999999999999</v>
      </c>
      <c r="I4586" t="s">
        <v>44</v>
      </c>
      <c r="J4586">
        <v>6</v>
      </c>
      <c r="K4586" t="s">
        <v>51</v>
      </c>
      <c r="L4586">
        <v>5</v>
      </c>
      <c r="M4586" t="str">
        <f>VLOOKUP(D4586,State_Lookup!$A$2:$B$28,2,FALSE)</f>
        <v>Sao Paulo</v>
      </c>
    </row>
    <row r="4587" spans="1:13" x14ac:dyDescent="0.45">
      <c r="A4587" t="s">
        <v>5301</v>
      </c>
      <c r="B4587" t="s">
        <v>5294</v>
      </c>
      <c r="C4587" t="s">
        <v>5066</v>
      </c>
      <c r="D4587" t="s">
        <v>487</v>
      </c>
      <c r="E4587" t="s">
        <v>61</v>
      </c>
      <c r="F4587">
        <v>1</v>
      </c>
      <c r="G4587">
        <v>24.99</v>
      </c>
      <c r="H4587">
        <v>22.9</v>
      </c>
      <c r="I4587" t="s">
        <v>44</v>
      </c>
      <c r="J4587">
        <v>9</v>
      </c>
      <c r="K4587" t="s">
        <v>51</v>
      </c>
      <c r="L4587">
        <v>5</v>
      </c>
      <c r="M4587" t="str">
        <f>VLOOKUP(D4587,State_Lookup!$A$2:$B$28,2,FALSE)</f>
        <v>Rio Grande do Norte</v>
      </c>
    </row>
    <row r="4588" spans="1:13" x14ac:dyDescent="0.45">
      <c r="A4588" t="s">
        <v>5302</v>
      </c>
      <c r="B4588" t="s">
        <v>5294</v>
      </c>
      <c r="C4588" t="s">
        <v>5066</v>
      </c>
      <c r="D4588" t="s">
        <v>249</v>
      </c>
      <c r="E4588" t="s">
        <v>1839</v>
      </c>
      <c r="F4588">
        <v>1</v>
      </c>
      <c r="G4588">
        <v>79.900000000000006</v>
      </c>
      <c r="H4588">
        <v>38.83</v>
      </c>
      <c r="I4588" t="s">
        <v>50</v>
      </c>
      <c r="J4588">
        <v>22</v>
      </c>
      <c r="K4588" t="s">
        <v>51</v>
      </c>
      <c r="L4588">
        <v>5</v>
      </c>
      <c r="M4588" t="str">
        <f>VLOOKUP(D4588,State_Lookup!$A$2:$B$28,2,FALSE)</f>
        <v>Tocantins</v>
      </c>
    </row>
    <row r="4589" spans="1:13" x14ac:dyDescent="0.45">
      <c r="A4589" t="s">
        <v>5303</v>
      </c>
      <c r="B4589" t="s">
        <v>5294</v>
      </c>
      <c r="C4589" t="s">
        <v>5066</v>
      </c>
      <c r="D4589" t="s">
        <v>63</v>
      </c>
      <c r="E4589" t="s">
        <v>269</v>
      </c>
      <c r="F4589">
        <v>1</v>
      </c>
      <c r="G4589">
        <v>319.99</v>
      </c>
      <c r="H4589">
        <v>24.52</v>
      </c>
      <c r="I4589" t="s">
        <v>44</v>
      </c>
      <c r="J4589">
        <v>7</v>
      </c>
      <c r="K4589" t="s">
        <v>51</v>
      </c>
      <c r="L4589">
        <v>5</v>
      </c>
      <c r="M4589" t="str">
        <f>VLOOKUP(D4589,State_Lookup!$A$2:$B$28,2,FALSE)</f>
        <v>Pernambuco</v>
      </c>
    </row>
    <row r="4590" spans="1:13" x14ac:dyDescent="0.45">
      <c r="A4590" t="s">
        <v>5304</v>
      </c>
      <c r="B4590" t="s">
        <v>5294</v>
      </c>
      <c r="C4590" t="s">
        <v>5066</v>
      </c>
      <c r="D4590" t="s">
        <v>19</v>
      </c>
      <c r="E4590" t="s">
        <v>220</v>
      </c>
      <c r="F4590">
        <v>1</v>
      </c>
      <c r="G4590">
        <v>119.98</v>
      </c>
      <c r="H4590">
        <v>58.92</v>
      </c>
      <c r="I4590" t="s">
        <v>50</v>
      </c>
      <c r="J4590">
        <v>21</v>
      </c>
      <c r="K4590" t="s">
        <v>51</v>
      </c>
      <c r="L4590">
        <v>5</v>
      </c>
      <c r="M4590" t="str">
        <f>VLOOKUP(D4590,State_Lookup!$A$2:$B$28,2,FALSE)</f>
        <v>Rio Grande do Sul</v>
      </c>
    </row>
    <row r="4591" spans="1:13" x14ac:dyDescent="0.45">
      <c r="A4591" t="s">
        <v>5305</v>
      </c>
      <c r="B4591" t="s">
        <v>5294</v>
      </c>
      <c r="C4591" t="s">
        <v>5066</v>
      </c>
      <c r="D4591" t="s">
        <v>128</v>
      </c>
      <c r="E4591" t="s">
        <v>43</v>
      </c>
      <c r="F4591">
        <v>1</v>
      </c>
      <c r="G4591">
        <v>59.9</v>
      </c>
      <c r="H4591">
        <v>20.69</v>
      </c>
      <c r="I4591" t="s">
        <v>50</v>
      </c>
      <c r="J4591">
        <v>13</v>
      </c>
      <c r="K4591" t="s">
        <v>51</v>
      </c>
      <c r="L4591">
        <v>5</v>
      </c>
      <c r="M4591" t="str">
        <f>VLOOKUP(D4591,State_Lookup!$A$2:$B$28,2,FALSE)</f>
        <v>Ceara</v>
      </c>
    </row>
    <row r="4592" spans="1:13" x14ac:dyDescent="0.45">
      <c r="A4592" t="s">
        <v>5306</v>
      </c>
      <c r="B4592" t="s">
        <v>5294</v>
      </c>
      <c r="C4592" t="s">
        <v>5066</v>
      </c>
      <c r="D4592" t="s">
        <v>20</v>
      </c>
      <c r="E4592" t="s">
        <v>142</v>
      </c>
      <c r="F4592">
        <v>1</v>
      </c>
      <c r="G4592">
        <v>24.9</v>
      </c>
      <c r="H4592">
        <v>18.27</v>
      </c>
      <c r="I4592" t="s">
        <v>44</v>
      </c>
      <c r="J4592">
        <v>16</v>
      </c>
      <c r="K4592" t="s">
        <v>51</v>
      </c>
      <c r="L4592">
        <v>5</v>
      </c>
      <c r="M4592" t="str">
        <f>VLOOKUP(D4592,State_Lookup!$A$2:$B$28,2,FALSE)</f>
        <v>Parana</v>
      </c>
    </row>
    <row r="4593" spans="1:13" x14ac:dyDescent="0.45">
      <c r="A4593" t="s">
        <v>5307</v>
      </c>
      <c r="B4593" t="s">
        <v>5308</v>
      </c>
      <c r="C4593" t="s">
        <v>5066</v>
      </c>
      <c r="D4593" t="s">
        <v>16</v>
      </c>
      <c r="E4593" t="s">
        <v>61</v>
      </c>
      <c r="F4593">
        <v>1</v>
      </c>
      <c r="G4593">
        <v>112.99</v>
      </c>
      <c r="H4593">
        <v>15.18</v>
      </c>
      <c r="I4593" t="s">
        <v>50</v>
      </c>
      <c r="J4593">
        <v>6</v>
      </c>
      <c r="K4593" t="s">
        <v>51</v>
      </c>
      <c r="L4593">
        <v>5</v>
      </c>
      <c r="M4593" t="str">
        <f>VLOOKUP(D4593,State_Lookup!$A$2:$B$28,2,FALSE)</f>
        <v>Sao Paulo</v>
      </c>
    </row>
    <row r="4594" spans="1:13" x14ac:dyDescent="0.45">
      <c r="A4594" t="s">
        <v>5309</v>
      </c>
      <c r="B4594" t="s">
        <v>5308</v>
      </c>
      <c r="C4594" t="s">
        <v>5066</v>
      </c>
      <c r="D4594" t="s">
        <v>23</v>
      </c>
      <c r="E4594" t="s">
        <v>49</v>
      </c>
      <c r="F4594">
        <v>1</v>
      </c>
      <c r="G4594">
        <v>89.9</v>
      </c>
      <c r="H4594">
        <v>18.43</v>
      </c>
      <c r="I4594" t="s">
        <v>50</v>
      </c>
      <c r="J4594">
        <v>6</v>
      </c>
      <c r="K4594" t="s">
        <v>51</v>
      </c>
      <c r="L4594">
        <v>5</v>
      </c>
      <c r="M4594" t="str">
        <f>VLOOKUP(D4594,State_Lookup!$A$2:$B$28,2,FALSE)</f>
        <v>Espirito Santo</v>
      </c>
    </row>
    <row r="4595" spans="1:13" x14ac:dyDescent="0.45">
      <c r="A4595" t="s">
        <v>5310</v>
      </c>
      <c r="B4595" t="s">
        <v>5308</v>
      </c>
      <c r="C4595" t="s">
        <v>5066</v>
      </c>
      <c r="D4595" t="s">
        <v>19</v>
      </c>
      <c r="E4595" t="s">
        <v>244</v>
      </c>
      <c r="F4595">
        <v>2</v>
      </c>
      <c r="G4595">
        <v>176.42</v>
      </c>
      <c r="H4595">
        <v>33.619999999999997</v>
      </c>
      <c r="I4595" t="s">
        <v>44</v>
      </c>
      <c r="J4595">
        <v>12</v>
      </c>
      <c r="K4595" t="s">
        <v>51</v>
      </c>
      <c r="L4595">
        <v>5</v>
      </c>
      <c r="M4595" t="str">
        <f>VLOOKUP(D4595,State_Lookup!$A$2:$B$28,2,FALSE)</f>
        <v>Rio Grande do Sul</v>
      </c>
    </row>
    <row r="4596" spans="1:13" x14ac:dyDescent="0.45">
      <c r="A4596" t="s">
        <v>5311</v>
      </c>
      <c r="B4596" t="s">
        <v>5308</v>
      </c>
      <c r="C4596" t="s">
        <v>5066</v>
      </c>
      <c r="D4596" t="s">
        <v>20</v>
      </c>
      <c r="E4596" t="s">
        <v>43</v>
      </c>
      <c r="F4596">
        <v>1</v>
      </c>
      <c r="G4596">
        <v>70</v>
      </c>
      <c r="H4596">
        <v>18.54</v>
      </c>
      <c r="I4596" t="s">
        <v>44</v>
      </c>
      <c r="J4596">
        <v>6</v>
      </c>
      <c r="K4596" t="s">
        <v>51</v>
      </c>
      <c r="L4596">
        <v>3</v>
      </c>
      <c r="M4596" t="str">
        <f>VLOOKUP(D4596,State_Lookup!$A$2:$B$28,2,FALSE)</f>
        <v>Parana</v>
      </c>
    </row>
    <row r="4597" spans="1:13" x14ac:dyDescent="0.45">
      <c r="A4597" t="s">
        <v>5312</v>
      </c>
      <c r="B4597" t="s">
        <v>5308</v>
      </c>
      <c r="C4597" t="s">
        <v>5066</v>
      </c>
      <c r="D4597" t="s">
        <v>18</v>
      </c>
      <c r="E4597" t="s">
        <v>107</v>
      </c>
      <c r="F4597">
        <v>1</v>
      </c>
      <c r="G4597">
        <v>24.99</v>
      </c>
      <c r="H4597">
        <v>18.28</v>
      </c>
      <c r="I4597" t="s">
        <v>44</v>
      </c>
      <c r="J4597">
        <v>6</v>
      </c>
      <c r="K4597" t="s">
        <v>51</v>
      </c>
      <c r="L4597">
        <v>5</v>
      </c>
      <c r="M4597" t="str">
        <f>VLOOKUP(D4597,State_Lookup!$A$2:$B$28,2,FALSE)</f>
        <v>Minas Gerais</v>
      </c>
    </row>
    <row r="4598" spans="1:13" x14ac:dyDescent="0.45">
      <c r="A4598" t="s">
        <v>5313</v>
      </c>
      <c r="B4598" t="s">
        <v>5308</v>
      </c>
      <c r="C4598" t="s">
        <v>5066</v>
      </c>
      <c r="D4598" t="s">
        <v>18</v>
      </c>
      <c r="E4598" t="s">
        <v>157</v>
      </c>
      <c r="F4598">
        <v>1</v>
      </c>
      <c r="G4598">
        <v>49</v>
      </c>
      <c r="H4598">
        <v>15.44</v>
      </c>
      <c r="I4598" t="s">
        <v>44</v>
      </c>
      <c r="J4598">
        <v>5</v>
      </c>
      <c r="K4598" t="s">
        <v>51</v>
      </c>
      <c r="L4598">
        <v>1</v>
      </c>
      <c r="M4598" t="str">
        <f>VLOOKUP(D4598,State_Lookup!$A$2:$B$28,2,FALSE)</f>
        <v>Minas Gerais</v>
      </c>
    </row>
    <row r="4599" spans="1:13" x14ac:dyDescent="0.45">
      <c r="A4599" t="s">
        <v>5314</v>
      </c>
      <c r="B4599" t="s">
        <v>5308</v>
      </c>
      <c r="C4599" t="s">
        <v>5066</v>
      </c>
      <c r="D4599" t="s">
        <v>16</v>
      </c>
      <c r="E4599" t="s">
        <v>157</v>
      </c>
      <c r="F4599">
        <v>1</v>
      </c>
      <c r="G4599">
        <v>119.9</v>
      </c>
      <c r="H4599">
        <v>13.5</v>
      </c>
      <c r="I4599" t="s">
        <v>50</v>
      </c>
      <c r="J4599">
        <v>6</v>
      </c>
      <c r="K4599" t="s">
        <v>51</v>
      </c>
      <c r="L4599">
        <v>5</v>
      </c>
      <c r="M4599" t="str">
        <f>VLOOKUP(D4599,State_Lookup!$A$2:$B$28,2,FALSE)</f>
        <v>Sao Paulo</v>
      </c>
    </row>
    <row r="4600" spans="1:13" x14ac:dyDescent="0.45">
      <c r="A4600" t="s">
        <v>5315</v>
      </c>
      <c r="B4600" t="s">
        <v>5308</v>
      </c>
      <c r="C4600" t="s">
        <v>5066</v>
      </c>
      <c r="D4600" t="s">
        <v>23</v>
      </c>
      <c r="E4600" t="s">
        <v>157</v>
      </c>
      <c r="F4600">
        <v>1</v>
      </c>
      <c r="G4600">
        <v>95</v>
      </c>
      <c r="H4600">
        <v>18.77</v>
      </c>
      <c r="I4600" t="s">
        <v>44</v>
      </c>
      <c r="J4600">
        <v>6</v>
      </c>
      <c r="K4600" t="s">
        <v>51</v>
      </c>
      <c r="L4600">
        <v>4</v>
      </c>
      <c r="M4600" t="str">
        <f>VLOOKUP(D4600,State_Lookup!$A$2:$B$28,2,FALSE)</f>
        <v>Espirito Santo</v>
      </c>
    </row>
    <row r="4601" spans="1:13" x14ac:dyDescent="0.45">
      <c r="A4601" t="s">
        <v>5316</v>
      </c>
      <c r="B4601" t="s">
        <v>5308</v>
      </c>
      <c r="C4601" t="s">
        <v>5066</v>
      </c>
      <c r="D4601" t="s">
        <v>23</v>
      </c>
      <c r="E4601" t="s">
        <v>1650</v>
      </c>
      <c r="F4601">
        <v>1</v>
      </c>
      <c r="G4601">
        <v>6729</v>
      </c>
      <c r="H4601">
        <v>193.21</v>
      </c>
      <c r="I4601" t="s">
        <v>50</v>
      </c>
      <c r="J4601">
        <v>20</v>
      </c>
      <c r="K4601" t="s">
        <v>143</v>
      </c>
      <c r="M4601" t="str">
        <f>VLOOKUP(D4601,State_Lookup!$A$2:$B$28,2,FALSE)</f>
        <v>Espirito Santo</v>
      </c>
    </row>
    <row r="4602" spans="1:13" x14ac:dyDescent="0.45">
      <c r="A4602" t="s">
        <v>5317</v>
      </c>
      <c r="B4602" t="s">
        <v>5308</v>
      </c>
      <c r="C4602" t="s">
        <v>5066</v>
      </c>
      <c r="D4602" t="s">
        <v>16</v>
      </c>
      <c r="E4602" t="s">
        <v>49</v>
      </c>
      <c r="F4602">
        <v>1</v>
      </c>
      <c r="G4602">
        <v>95</v>
      </c>
      <c r="H4602">
        <v>23.47</v>
      </c>
      <c r="I4602" t="s">
        <v>44</v>
      </c>
      <c r="J4602">
        <v>5</v>
      </c>
      <c r="K4602" t="s">
        <v>51</v>
      </c>
      <c r="L4602">
        <v>5</v>
      </c>
      <c r="M4602" t="str">
        <f>VLOOKUP(D4602,State_Lookup!$A$2:$B$28,2,FALSE)</f>
        <v>Sao Paulo</v>
      </c>
    </row>
    <row r="4603" spans="1:13" x14ac:dyDescent="0.45">
      <c r="A4603" t="s">
        <v>5318</v>
      </c>
      <c r="B4603" t="s">
        <v>5308</v>
      </c>
      <c r="C4603" t="s">
        <v>5066</v>
      </c>
      <c r="D4603" t="s">
        <v>16</v>
      </c>
      <c r="E4603" t="s">
        <v>69</v>
      </c>
      <c r="F4603">
        <v>1</v>
      </c>
      <c r="G4603">
        <v>49.9</v>
      </c>
      <c r="H4603">
        <v>20.99</v>
      </c>
      <c r="I4603" t="s">
        <v>44</v>
      </c>
      <c r="J4603">
        <v>5</v>
      </c>
      <c r="K4603" t="s">
        <v>51</v>
      </c>
      <c r="L4603">
        <v>3</v>
      </c>
      <c r="M4603" t="str">
        <f>VLOOKUP(D4603,State_Lookup!$A$2:$B$28,2,FALSE)</f>
        <v>Sao Paulo</v>
      </c>
    </row>
    <row r="4604" spans="1:13" x14ac:dyDescent="0.45">
      <c r="A4604" t="s">
        <v>5319</v>
      </c>
      <c r="B4604" t="s">
        <v>5308</v>
      </c>
      <c r="C4604" t="s">
        <v>5066</v>
      </c>
      <c r="D4604" t="s">
        <v>16</v>
      </c>
      <c r="E4604" t="s">
        <v>69</v>
      </c>
      <c r="F4604">
        <v>1</v>
      </c>
      <c r="G4604">
        <v>49.9</v>
      </c>
      <c r="H4604">
        <v>20.99</v>
      </c>
      <c r="I4604" t="s">
        <v>44</v>
      </c>
      <c r="J4604">
        <v>5</v>
      </c>
      <c r="K4604" t="s">
        <v>51</v>
      </c>
      <c r="L4604">
        <v>5</v>
      </c>
      <c r="M4604" t="str">
        <f>VLOOKUP(D4604,State_Lookup!$A$2:$B$28,2,FALSE)</f>
        <v>Sao Paulo</v>
      </c>
    </row>
    <row r="4605" spans="1:13" x14ac:dyDescent="0.45">
      <c r="A4605" t="s">
        <v>5320</v>
      </c>
      <c r="B4605" t="s">
        <v>5308</v>
      </c>
      <c r="C4605" t="s">
        <v>5066</v>
      </c>
      <c r="D4605" t="s">
        <v>16</v>
      </c>
      <c r="E4605" t="s">
        <v>49</v>
      </c>
      <c r="F4605">
        <v>1</v>
      </c>
      <c r="G4605">
        <v>99.9</v>
      </c>
      <c r="H4605">
        <v>9.4499999999999993</v>
      </c>
      <c r="I4605" t="s">
        <v>44</v>
      </c>
      <c r="J4605">
        <v>3</v>
      </c>
      <c r="K4605" t="s">
        <v>51</v>
      </c>
      <c r="L4605">
        <v>5</v>
      </c>
      <c r="M4605" t="str">
        <f>VLOOKUP(D4605,State_Lookup!$A$2:$B$28,2,FALSE)</f>
        <v>Sao Paulo</v>
      </c>
    </row>
    <row r="4606" spans="1:13" x14ac:dyDescent="0.45">
      <c r="A4606" t="s">
        <v>5321</v>
      </c>
      <c r="B4606" t="s">
        <v>5322</v>
      </c>
      <c r="C4606" t="s">
        <v>5066</v>
      </c>
      <c r="D4606" t="s">
        <v>24</v>
      </c>
      <c r="E4606" t="s">
        <v>157</v>
      </c>
      <c r="F4606">
        <v>1</v>
      </c>
      <c r="G4606">
        <v>59</v>
      </c>
      <c r="H4606">
        <v>15.51</v>
      </c>
      <c r="I4606" t="s">
        <v>44</v>
      </c>
      <c r="J4606">
        <v>7</v>
      </c>
      <c r="K4606" t="s">
        <v>51</v>
      </c>
      <c r="L4606">
        <v>3</v>
      </c>
      <c r="M4606" t="str">
        <f>VLOOKUP(D4606,State_Lookup!$A$2:$B$28,2,FALSE)</f>
        <v>Distrito Federal</v>
      </c>
    </row>
    <row r="4607" spans="1:13" x14ac:dyDescent="0.45">
      <c r="A4607" t="s">
        <v>5323</v>
      </c>
      <c r="B4607" t="s">
        <v>5322</v>
      </c>
      <c r="C4607" t="s">
        <v>5066</v>
      </c>
      <c r="D4607" t="s">
        <v>63</v>
      </c>
      <c r="E4607" t="s">
        <v>53</v>
      </c>
      <c r="F4607">
        <v>1</v>
      </c>
      <c r="G4607">
        <v>329.9</v>
      </c>
      <c r="H4607">
        <v>65.87</v>
      </c>
      <c r="I4607" t="s">
        <v>44</v>
      </c>
      <c r="J4607">
        <v>15</v>
      </c>
      <c r="K4607" t="s">
        <v>51</v>
      </c>
      <c r="L4607">
        <v>5</v>
      </c>
      <c r="M4607" t="str">
        <f>VLOOKUP(D4607,State_Lookup!$A$2:$B$28,2,FALSE)</f>
        <v>Pernambuco</v>
      </c>
    </row>
    <row r="4608" spans="1:13" x14ac:dyDescent="0.45">
      <c r="A4608" t="s">
        <v>5324</v>
      </c>
      <c r="B4608" t="s">
        <v>5322</v>
      </c>
      <c r="C4608" t="s">
        <v>5066</v>
      </c>
      <c r="D4608" t="s">
        <v>16</v>
      </c>
      <c r="E4608" t="s">
        <v>244</v>
      </c>
      <c r="F4608">
        <v>1</v>
      </c>
      <c r="G4608">
        <v>42</v>
      </c>
      <c r="H4608">
        <v>8.4499999999999993</v>
      </c>
      <c r="I4608" t="s">
        <v>44</v>
      </c>
      <c r="J4608">
        <v>1</v>
      </c>
      <c r="K4608" t="s">
        <v>51</v>
      </c>
      <c r="L4608">
        <v>5</v>
      </c>
      <c r="M4608" t="str">
        <f>VLOOKUP(D4608,State_Lookup!$A$2:$B$28,2,FALSE)</f>
        <v>Sao Paulo</v>
      </c>
    </row>
    <row r="4609" spans="1:13" x14ac:dyDescent="0.45">
      <c r="A4609" t="s">
        <v>5325</v>
      </c>
      <c r="B4609" t="s">
        <v>5322</v>
      </c>
      <c r="C4609" t="s">
        <v>5066</v>
      </c>
      <c r="D4609" t="s">
        <v>16</v>
      </c>
      <c r="E4609" t="s">
        <v>49</v>
      </c>
      <c r="F4609">
        <v>1</v>
      </c>
      <c r="G4609">
        <v>240</v>
      </c>
      <c r="H4609">
        <v>13.98</v>
      </c>
      <c r="I4609" t="s">
        <v>44</v>
      </c>
      <c r="J4609">
        <v>5</v>
      </c>
      <c r="K4609" t="s">
        <v>51</v>
      </c>
      <c r="L4609">
        <v>4</v>
      </c>
      <c r="M4609" t="str">
        <f>VLOOKUP(D4609,State_Lookup!$A$2:$B$28,2,FALSE)</f>
        <v>Sao Paulo</v>
      </c>
    </row>
    <row r="4610" spans="1:13" x14ac:dyDescent="0.45">
      <c r="A4610" t="s">
        <v>5326</v>
      </c>
      <c r="B4610" t="s">
        <v>5322</v>
      </c>
      <c r="C4610" t="s">
        <v>5066</v>
      </c>
      <c r="D4610" t="s">
        <v>16</v>
      </c>
      <c r="E4610" t="s">
        <v>142</v>
      </c>
      <c r="F4610">
        <v>1</v>
      </c>
      <c r="G4610">
        <v>125.4</v>
      </c>
      <c r="H4610">
        <v>24.96</v>
      </c>
      <c r="I4610" t="s">
        <v>44</v>
      </c>
      <c r="J4610">
        <v>11</v>
      </c>
      <c r="K4610" t="s">
        <v>51</v>
      </c>
      <c r="L4610">
        <v>4</v>
      </c>
      <c r="M4610" t="str">
        <f>VLOOKUP(D4610,State_Lookup!$A$2:$B$28,2,FALSE)</f>
        <v>Sao Paulo</v>
      </c>
    </row>
    <row r="4611" spans="1:13" x14ac:dyDescent="0.45">
      <c r="A4611" t="s">
        <v>5327</v>
      </c>
      <c r="B4611" t="s">
        <v>5322</v>
      </c>
      <c r="C4611" t="s">
        <v>5066</v>
      </c>
      <c r="D4611" t="s">
        <v>16</v>
      </c>
      <c r="E4611" t="s">
        <v>662</v>
      </c>
      <c r="F4611">
        <v>1</v>
      </c>
      <c r="G4611">
        <v>139.99</v>
      </c>
      <c r="H4611">
        <v>34.74</v>
      </c>
      <c r="I4611" t="s">
        <v>50</v>
      </c>
      <c r="J4611">
        <v>4</v>
      </c>
      <c r="K4611" t="s">
        <v>51</v>
      </c>
      <c r="L4611">
        <v>5</v>
      </c>
      <c r="M4611" t="str">
        <f>VLOOKUP(D4611,State_Lookup!$A$2:$B$28,2,FALSE)</f>
        <v>Sao Paulo</v>
      </c>
    </row>
    <row r="4612" spans="1:13" x14ac:dyDescent="0.45">
      <c r="A4612" t="s">
        <v>5328</v>
      </c>
      <c r="B4612" t="s">
        <v>5322</v>
      </c>
      <c r="C4612" t="s">
        <v>5066</v>
      </c>
      <c r="D4612" t="s">
        <v>16</v>
      </c>
      <c r="E4612" t="s">
        <v>4329</v>
      </c>
      <c r="F4612">
        <v>1</v>
      </c>
      <c r="G4612">
        <v>28.8</v>
      </c>
      <c r="H4612">
        <v>11.22</v>
      </c>
      <c r="I4612" t="s">
        <v>44</v>
      </c>
      <c r="K4612" t="s">
        <v>45</v>
      </c>
      <c r="L4612">
        <v>1</v>
      </c>
      <c r="M4612" t="str">
        <f>VLOOKUP(D4612,State_Lookup!$A$2:$B$28,2,FALSE)</f>
        <v>Sao Paulo</v>
      </c>
    </row>
    <row r="4613" spans="1:13" x14ac:dyDescent="0.45">
      <c r="A4613" t="s">
        <v>5329</v>
      </c>
      <c r="B4613" t="s">
        <v>5322</v>
      </c>
      <c r="C4613" t="s">
        <v>5066</v>
      </c>
      <c r="D4613" t="s">
        <v>17</v>
      </c>
      <c r="E4613" t="s">
        <v>107</v>
      </c>
      <c r="F4613">
        <v>1</v>
      </c>
      <c r="G4613">
        <v>19.899999999999999</v>
      </c>
      <c r="H4613">
        <v>18.239999999999998</v>
      </c>
      <c r="I4613" t="s">
        <v>108</v>
      </c>
      <c r="J4613">
        <v>11</v>
      </c>
      <c r="K4613" t="s">
        <v>51</v>
      </c>
      <c r="L4613">
        <v>5</v>
      </c>
      <c r="M4613" t="str">
        <f>VLOOKUP(D4613,State_Lookup!$A$2:$B$28,2,FALSE)</f>
        <v>Rio de Janeiro</v>
      </c>
    </row>
    <row r="4614" spans="1:13" x14ac:dyDescent="0.45">
      <c r="A4614" t="s">
        <v>5330</v>
      </c>
      <c r="B4614" t="s">
        <v>5322</v>
      </c>
      <c r="C4614" t="s">
        <v>5066</v>
      </c>
      <c r="D4614" t="s">
        <v>17</v>
      </c>
      <c r="E4614" t="s">
        <v>110</v>
      </c>
      <c r="F4614">
        <v>1</v>
      </c>
      <c r="G4614">
        <v>93</v>
      </c>
      <c r="H4614">
        <v>19.84</v>
      </c>
      <c r="I4614" t="s">
        <v>50</v>
      </c>
      <c r="J4614">
        <v>7</v>
      </c>
      <c r="K4614" t="s">
        <v>51</v>
      </c>
      <c r="L4614">
        <v>5</v>
      </c>
      <c r="M4614" t="str">
        <f>VLOOKUP(D4614,State_Lookup!$A$2:$B$28,2,FALSE)</f>
        <v>Rio de Janeiro</v>
      </c>
    </row>
    <row r="4615" spans="1:13" x14ac:dyDescent="0.45">
      <c r="A4615" t="s">
        <v>5331</v>
      </c>
      <c r="B4615" t="s">
        <v>5322</v>
      </c>
      <c r="C4615" t="s">
        <v>5066</v>
      </c>
      <c r="D4615" t="s">
        <v>83</v>
      </c>
      <c r="E4615" t="s">
        <v>142</v>
      </c>
      <c r="F4615">
        <v>1</v>
      </c>
      <c r="G4615">
        <v>180</v>
      </c>
      <c r="H4615">
        <v>28.03</v>
      </c>
      <c r="I4615" t="s">
        <v>44</v>
      </c>
      <c r="J4615">
        <v>8</v>
      </c>
      <c r="K4615" t="s">
        <v>51</v>
      </c>
      <c r="L4615">
        <v>5</v>
      </c>
      <c r="M4615" t="str">
        <f>VLOOKUP(D4615,State_Lookup!$A$2:$B$28,2,FALSE)</f>
        <v>Sergipe</v>
      </c>
    </row>
    <row r="4616" spans="1:13" x14ac:dyDescent="0.45">
      <c r="A4616" t="s">
        <v>5332</v>
      </c>
      <c r="B4616" t="s">
        <v>5322</v>
      </c>
      <c r="C4616" t="s">
        <v>5066</v>
      </c>
      <c r="D4616" t="s">
        <v>22</v>
      </c>
      <c r="E4616" t="s">
        <v>157</v>
      </c>
      <c r="F4616">
        <v>1</v>
      </c>
      <c r="G4616">
        <v>44</v>
      </c>
      <c r="H4616">
        <v>22.24</v>
      </c>
      <c r="I4616" t="s">
        <v>50</v>
      </c>
      <c r="J4616">
        <v>14</v>
      </c>
      <c r="K4616" t="s">
        <v>51</v>
      </c>
      <c r="L4616">
        <v>3</v>
      </c>
      <c r="M4616" t="str">
        <f>VLOOKUP(D4616,State_Lookup!$A$2:$B$28,2,FALSE)</f>
        <v>Bahia</v>
      </c>
    </row>
    <row r="4617" spans="1:13" x14ac:dyDescent="0.45">
      <c r="A4617" t="s">
        <v>5333</v>
      </c>
      <c r="B4617" t="s">
        <v>5322</v>
      </c>
      <c r="C4617" t="s">
        <v>5066</v>
      </c>
      <c r="D4617" t="s">
        <v>16</v>
      </c>
      <c r="E4617" t="s">
        <v>49</v>
      </c>
      <c r="F4617">
        <v>1</v>
      </c>
      <c r="G4617">
        <v>43</v>
      </c>
      <c r="H4617">
        <v>8.0399999999999991</v>
      </c>
      <c r="I4617" t="s">
        <v>50</v>
      </c>
      <c r="J4617">
        <v>5</v>
      </c>
      <c r="K4617" t="s">
        <v>51</v>
      </c>
      <c r="L4617">
        <v>5</v>
      </c>
      <c r="M4617" t="str">
        <f>VLOOKUP(D4617,State_Lookup!$A$2:$B$28,2,FALSE)</f>
        <v>Sao Paulo</v>
      </c>
    </row>
    <row r="4618" spans="1:13" x14ac:dyDescent="0.45">
      <c r="A4618" t="s">
        <v>5334</v>
      </c>
      <c r="B4618" t="s">
        <v>5335</v>
      </c>
      <c r="C4618" t="s">
        <v>5066</v>
      </c>
      <c r="D4618" t="s">
        <v>18</v>
      </c>
      <c r="E4618" t="s">
        <v>107</v>
      </c>
      <c r="F4618">
        <v>1</v>
      </c>
      <c r="G4618">
        <v>199</v>
      </c>
      <c r="H4618">
        <v>52.26</v>
      </c>
      <c r="I4618" t="s">
        <v>50</v>
      </c>
      <c r="J4618">
        <v>10</v>
      </c>
      <c r="K4618" t="s">
        <v>51</v>
      </c>
      <c r="L4618">
        <v>5</v>
      </c>
      <c r="M4618" t="str">
        <f>VLOOKUP(D4618,State_Lookup!$A$2:$B$28,2,FALSE)</f>
        <v>Minas Gerais</v>
      </c>
    </row>
    <row r="4619" spans="1:13" x14ac:dyDescent="0.45">
      <c r="A4619" t="s">
        <v>5336</v>
      </c>
      <c r="B4619" t="s">
        <v>5335</v>
      </c>
      <c r="C4619" t="s">
        <v>5066</v>
      </c>
      <c r="D4619" t="s">
        <v>18</v>
      </c>
      <c r="E4619" t="s">
        <v>53</v>
      </c>
      <c r="F4619">
        <v>1</v>
      </c>
      <c r="G4619">
        <v>113.1</v>
      </c>
      <c r="H4619">
        <v>18.89</v>
      </c>
      <c r="I4619" t="s">
        <v>44</v>
      </c>
      <c r="J4619">
        <v>7</v>
      </c>
      <c r="K4619" t="s">
        <v>51</v>
      </c>
      <c r="L4619">
        <v>5</v>
      </c>
      <c r="M4619" t="str">
        <f>VLOOKUP(D4619,State_Lookup!$A$2:$B$28,2,FALSE)</f>
        <v>Minas Gerais</v>
      </c>
    </row>
    <row r="4620" spans="1:13" x14ac:dyDescent="0.45">
      <c r="A4620" t="s">
        <v>5337</v>
      </c>
      <c r="B4620" t="s">
        <v>5335</v>
      </c>
      <c r="C4620" t="s">
        <v>5066</v>
      </c>
      <c r="D4620" t="s">
        <v>20</v>
      </c>
      <c r="E4620" t="s">
        <v>79</v>
      </c>
      <c r="F4620">
        <v>1</v>
      </c>
      <c r="G4620">
        <v>78.900000000000006</v>
      </c>
      <c r="H4620">
        <v>19.739999999999998</v>
      </c>
      <c r="I4620" t="s">
        <v>50</v>
      </c>
      <c r="J4620">
        <v>11</v>
      </c>
      <c r="K4620" t="s">
        <v>51</v>
      </c>
      <c r="L4620">
        <v>4</v>
      </c>
      <c r="M4620" t="str">
        <f>VLOOKUP(D4620,State_Lookup!$A$2:$B$28,2,FALSE)</f>
        <v>Parana</v>
      </c>
    </row>
    <row r="4621" spans="1:13" x14ac:dyDescent="0.45">
      <c r="A4621" t="s">
        <v>5338</v>
      </c>
      <c r="B4621" t="s">
        <v>5335</v>
      </c>
      <c r="C4621" t="s">
        <v>5066</v>
      </c>
      <c r="D4621" t="s">
        <v>21</v>
      </c>
      <c r="E4621" t="s">
        <v>61</v>
      </c>
      <c r="F4621">
        <v>2</v>
      </c>
      <c r="G4621">
        <v>79.8</v>
      </c>
      <c r="H4621">
        <v>38.94</v>
      </c>
      <c r="I4621" t="s">
        <v>50</v>
      </c>
      <c r="J4621">
        <v>11</v>
      </c>
      <c r="K4621" t="s">
        <v>51</v>
      </c>
      <c r="L4621">
        <v>3</v>
      </c>
      <c r="M4621" t="str">
        <f>VLOOKUP(D4621,State_Lookup!$A$2:$B$28,2,FALSE)</f>
        <v>Santa Catarina</v>
      </c>
    </row>
    <row r="4622" spans="1:13" x14ac:dyDescent="0.45">
      <c r="A4622" t="s">
        <v>5339</v>
      </c>
      <c r="B4622" t="s">
        <v>5335</v>
      </c>
      <c r="C4622" t="s">
        <v>5066</v>
      </c>
      <c r="D4622" t="s">
        <v>17</v>
      </c>
      <c r="E4622" t="s">
        <v>61</v>
      </c>
      <c r="F4622">
        <v>1</v>
      </c>
      <c r="G4622">
        <v>54.9</v>
      </c>
      <c r="H4622">
        <v>22.31</v>
      </c>
      <c r="I4622" t="s">
        <v>44</v>
      </c>
      <c r="J4622">
        <v>20</v>
      </c>
      <c r="K4622" t="s">
        <v>51</v>
      </c>
      <c r="L4622">
        <v>3</v>
      </c>
      <c r="M4622" t="str">
        <f>VLOOKUP(D4622,State_Lookup!$A$2:$B$28,2,FALSE)</f>
        <v>Rio de Janeiro</v>
      </c>
    </row>
    <row r="4623" spans="1:13" x14ac:dyDescent="0.45">
      <c r="A4623" t="s">
        <v>5340</v>
      </c>
      <c r="B4623" t="s">
        <v>5335</v>
      </c>
      <c r="C4623" t="s">
        <v>5066</v>
      </c>
      <c r="D4623" t="s">
        <v>16</v>
      </c>
      <c r="E4623" t="s">
        <v>53</v>
      </c>
      <c r="F4623">
        <v>1</v>
      </c>
      <c r="G4623">
        <v>79.989999999999995</v>
      </c>
      <c r="H4623">
        <v>16.75</v>
      </c>
      <c r="I4623" t="s">
        <v>44</v>
      </c>
      <c r="J4623">
        <v>4</v>
      </c>
      <c r="K4623" t="s">
        <v>51</v>
      </c>
      <c r="L4623">
        <v>5</v>
      </c>
      <c r="M4623" t="str">
        <f>VLOOKUP(D4623,State_Lookup!$A$2:$B$28,2,FALSE)</f>
        <v>Sao Paulo</v>
      </c>
    </row>
    <row r="4624" spans="1:13" x14ac:dyDescent="0.45">
      <c r="A4624" t="s">
        <v>5341</v>
      </c>
      <c r="B4624" t="s">
        <v>5335</v>
      </c>
      <c r="C4624" t="s">
        <v>5066</v>
      </c>
      <c r="D4624" t="s">
        <v>16</v>
      </c>
      <c r="E4624" t="s">
        <v>103</v>
      </c>
      <c r="F4624">
        <v>1</v>
      </c>
      <c r="G4624">
        <v>80</v>
      </c>
      <c r="H4624">
        <v>23.28</v>
      </c>
      <c r="I4624" t="s">
        <v>44</v>
      </c>
      <c r="J4624">
        <v>16</v>
      </c>
      <c r="K4624" t="s">
        <v>51</v>
      </c>
      <c r="L4624">
        <v>2</v>
      </c>
      <c r="M4624" t="str">
        <f>VLOOKUP(D4624,State_Lookup!$A$2:$B$28,2,FALSE)</f>
        <v>Sao Paulo</v>
      </c>
    </row>
    <row r="4625" spans="1:13" x14ac:dyDescent="0.45">
      <c r="A4625" t="s">
        <v>5342</v>
      </c>
      <c r="B4625" t="s">
        <v>5335</v>
      </c>
      <c r="C4625" t="s">
        <v>5066</v>
      </c>
      <c r="D4625" t="s">
        <v>219</v>
      </c>
      <c r="E4625" t="s">
        <v>269</v>
      </c>
      <c r="F4625">
        <v>1</v>
      </c>
      <c r="G4625">
        <v>749.9</v>
      </c>
      <c r="H4625">
        <v>27.97</v>
      </c>
      <c r="I4625" t="s">
        <v>44</v>
      </c>
      <c r="J4625">
        <v>10</v>
      </c>
      <c r="K4625" t="s">
        <v>51</v>
      </c>
      <c r="L4625">
        <v>5</v>
      </c>
      <c r="M4625" t="str">
        <f>VLOOKUP(D4625,State_Lookup!$A$2:$B$28,2,FALSE)</f>
        <v>Rondonia</v>
      </c>
    </row>
    <row r="4626" spans="1:13" x14ac:dyDescent="0.45">
      <c r="A4626" t="s">
        <v>5343</v>
      </c>
      <c r="B4626" t="s">
        <v>5335</v>
      </c>
      <c r="C4626" t="s">
        <v>5066</v>
      </c>
      <c r="D4626" t="s">
        <v>16</v>
      </c>
      <c r="E4626" t="s">
        <v>66</v>
      </c>
      <c r="F4626">
        <v>1</v>
      </c>
      <c r="G4626">
        <v>39.99</v>
      </c>
      <c r="H4626">
        <v>12.94</v>
      </c>
      <c r="I4626" t="s">
        <v>44</v>
      </c>
      <c r="J4626">
        <v>6</v>
      </c>
      <c r="K4626" t="s">
        <v>51</v>
      </c>
      <c r="L4626">
        <v>5</v>
      </c>
      <c r="M4626" t="str">
        <f>VLOOKUP(D4626,State_Lookup!$A$2:$B$28,2,FALSE)</f>
        <v>Sao Paulo</v>
      </c>
    </row>
    <row r="4627" spans="1:13" x14ac:dyDescent="0.45">
      <c r="A4627" t="s">
        <v>5344</v>
      </c>
      <c r="B4627" t="s">
        <v>5345</v>
      </c>
      <c r="C4627" t="s">
        <v>5066</v>
      </c>
      <c r="D4627" t="s">
        <v>24</v>
      </c>
      <c r="E4627" t="s">
        <v>142</v>
      </c>
      <c r="F4627">
        <v>1</v>
      </c>
      <c r="G4627">
        <v>149.97</v>
      </c>
      <c r="H4627">
        <v>18.850000000000001</v>
      </c>
      <c r="I4627" t="s">
        <v>44</v>
      </c>
      <c r="J4627">
        <v>4</v>
      </c>
      <c r="K4627" t="s">
        <v>51</v>
      </c>
      <c r="L4627">
        <v>4</v>
      </c>
      <c r="M4627" t="str">
        <f>VLOOKUP(D4627,State_Lookup!$A$2:$B$28,2,FALSE)</f>
        <v>Distrito Federal</v>
      </c>
    </row>
    <row r="4628" spans="1:13" x14ac:dyDescent="0.45">
      <c r="A4628" t="s">
        <v>5346</v>
      </c>
      <c r="B4628" t="s">
        <v>5345</v>
      </c>
      <c r="C4628" t="s">
        <v>5066</v>
      </c>
      <c r="D4628" t="s">
        <v>16</v>
      </c>
      <c r="E4628" t="s">
        <v>142</v>
      </c>
      <c r="F4628">
        <v>1</v>
      </c>
      <c r="G4628">
        <v>32</v>
      </c>
      <c r="H4628">
        <v>13.8</v>
      </c>
      <c r="I4628" t="s">
        <v>44</v>
      </c>
      <c r="J4628">
        <v>5</v>
      </c>
      <c r="K4628" t="s">
        <v>51</v>
      </c>
      <c r="L4628">
        <v>5</v>
      </c>
      <c r="M4628" t="str">
        <f>VLOOKUP(D4628,State_Lookup!$A$2:$B$28,2,FALSE)</f>
        <v>Sao Paulo</v>
      </c>
    </row>
    <row r="4629" spans="1:13" x14ac:dyDescent="0.45">
      <c r="A4629" t="s">
        <v>5347</v>
      </c>
      <c r="B4629" t="s">
        <v>5345</v>
      </c>
      <c r="C4629" t="s">
        <v>5066</v>
      </c>
      <c r="D4629" t="s">
        <v>16</v>
      </c>
      <c r="E4629" t="s">
        <v>61</v>
      </c>
      <c r="F4629">
        <v>1</v>
      </c>
      <c r="G4629">
        <v>19.989999999999998</v>
      </c>
      <c r="H4629">
        <v>7.4</v>
      </c>
      <c r="I4629" t="s">
        <v>44</v>
      </c>
      <c r="J4629">
        <v>3</v>
      </c>
      <c r="K4629" t="s">
        <v>51</v>
      </c>
      <c r="L4629">
        <v>5</v>
      </c>
      <c r="M4629" t="str">
        <f>VLOOKUP(D4629,State_Lookup!$A$2:$B$28,2,FALSE)</f>
        <v>Sao Paulo</v>
      </c>
    </row>
    <row r="4630" spans="1:13" x14ac:dyDescent="0.45">
      <c r="A4630" t="s">
        <v>5348</v>
      </c>
      <c r="B4630" t="s">
        <v>5345</v>
      </c>
      <c r="C4630" t="s">
        <v>5066</v>
      </c>
      <c r="D4630" t="s">
        <v>16</v>
      </c>
      <c r="E4630" t="s">
        <v>366</v>
      </c>
      <c r="F4630">
        <v>1</v>
      </c>
      <c r="G4630">
        <v>29.9</v>
      </c>
      <c r="H4630">
        <v>7.95</v>
      </c>
      <c r="I4630" t="s">
        <v>44</v>
      </c>
      <c r="J4630">
        <v>4</v>
      </c>
      <c r="K4630" t="s">
        <v>51</v>
      </c>
      <c r="L4630">
        <v>5</v>
      </c>
      <c r="M4630" t="str">
        <f>VLOOKUP(D4630,State_Lookup!$A$2:$B$28,2,FALSE)</f>
        <v>Sao Paulo</v>
      </c>
    </row>
    <row r="4631" spans="1:13" x14ac:dyDescent="0.45">
      <c r="A4631" t="s">
        <v>5349</v>
      </c>
      <c r="B4631" t="s">
        <v>5345</v>
      </c>
      <c r="C4631" t="s">
        <v>5066</v>
      </c>
      <c r="D4631" t="s">
        <v>63</v>
      </c>
      <c r="E4631" t="s">
        <v>79</v>
      </c>
      <c r="F4631">
        <v>1</v>
      </c>
      <c r="G4631">
        <v>69.5</v>
      </c>
      <c r="H4631">
        <v>37.4</v>
      </c>
      <c r="I4631" t="s">
        <v>44</v>
      </c>
      <c r="J4631">
        <v>8</v>
      </c>
      <c r="K4631" t="s">
        <v>51</v>
      </c>
      <c r="L4631">
        <v>2</v>
      </c>
      <c r="M4631" t="str">
        <f>VLOOKUP(D4631,State_Lookup!$A$2:$B$28,2,FALSE)</f>
        <v>Pernambuco</v>
      </c>
    </row>
    <row r="4632" spans="1:13" x14ac:dyDescent="0.45">
      <c r="A4632" t="s">
        <v>5350</v>
      </c>
      <c r="B4632" t="s">
        <v>5345</v>
      </c>
      <c r="C4632" t="s">
        <v>5066</v>
      </c>
      <c r="D4632" t="s">
        <v>16</v>
      </c>
      <c r="E4632" t="s">
        <v>107</v>
      </c>
      <c r="F4632">
        <v>1</v>
      </c>
      <c r="G4632">
        <v>13.3</v>
      </c>
      <c r="H4632">
        <v>8.8800000000000008</v>
      </c>
      <c r="I4632" t="s">
        <v>50</v>
      </c>
      <c r="J4632">
        <v>4</v>
      </c>
      <c r="K4632" t="s">
        <v>51</v>
      </c>
      <c r="L4632">
        <v>5</v>
      </c>
      <c r="M4632" t="str">
        <f>VLOOKUP(D4632,State_Lookup!$A$2:$B$28,2,FALSE)</f>
        <v>Sao Paulo</v>
      </c>
    </row>
    <row r="4633" spans="1:13" x14ac:dyDescent="0.45">
      <c r="A4633" t="s">
        <v>5351</v>
      </c>
      <c r="B4633" t="s">
        <v>5345</v>
      </c>
      <c r="C4633" t="s">
        <v>5066</v>
      </c>
      <c r="D4633" t="s">
        <v>16</v>
      </c>
      <c r="E4633" t="s">
        <v>157</v>
      </c>
      <c r="F4633">
        <v>1</v>
      </c>
      <c r="G4633">
        <v>112</v>
      </c>
      <c r="H4633">
        <v>13.44</v>
      </c>
      <c r="I4633" t="s">
        <v>44</v>
      </c>
      <c r="J4633">
        <v>6</v>
      </c>
      <c r="K4633" t="s">
        <v>51</v>
      </c>
      <c r="L4633">
        <v>5</v>
      </c>
      <c r="M4633" t="str">
        <f>VLOOKUP(D4633,State_Lookup!$A$2:$B$28,2,FALSE)</f>
        <v>Sao Paulo</v>
      </c>
    </row>
    <row r="4634" spans="1:13" x14ac:dyDescent="0.45">
      <c r="A4634" t="s">
        <v>5352</v>
      </c>
      <c r="B4634" t="s">
        <v>5345</v>
      </c>
      <c r="C4634" t="s">
        <v>5066</v>
      </c>
      <c r="D4634" t="s">
        <v>24</v>
      </c>
      <c r="E4634" t="s">
        <v>66</v>
      </c>
      <c r="F4634">
        <v>1</v>
      </c>
      <c r="G4634">
        <v>170</v>
      </c>
      <c r="H4634">
        <v>21.46</v>
      </c>
      <c r="I4634" t="s">
        <v>44</v>
      </c>
      <c r="J4634">
        <v>10</v>
      </c>
      <c r="K4634" t="s">
        <v>51</v>
      </c>
      <c r="L4634">
        <v>4</v>
      </c>
      <c r="M4634" t="str">
        <f>VLOOKUP(D4634,State_Lookup!$A$2:$B$28,2,FALSE)</f>
        <v>Distrito Federal</v>
      </c>
    </row>
    <row r="4635" spans="1:13" x14ac:dyDescent="0.45">
      <c r="A4635" t="s">
        <v>5353</v>
      </c>
      <c r="B4635" t="s">
        <v>5354</v>
      </c>
      <c r="C4635" t="s">
        <v>5066</v>
      </c>
      <c r="D4635" t="s">
        <v>24</v>
      </c>
      <c r="E4635" t="s">
        <v>49</v>
      </c>
      <c r="F4635">
        <v>1</v>
      </c>
      <c r="G4635">
        <v>109.9</v>
      </c>
      <c r="H4635">
        <v>18.57</v>
      </c>
      <c r="I4635" t="s">
        <v>108</v>
      </c>
      <c r="J4635">
        <v>8</v>
      </c>
      <c r="K4635" t="s">
        <v>51</v>
      </c>
      <c r="L4635">
        <v>5</v>
      </c>
      <c r="M4635" t="str">
        <f>VLOOKUP(D4635,State_Lookup!$A$2:$B$28,2,FALSE)</f>
        <v>Distrito Federal</v>
      </c>
    </row>
    <row r="4636" spans="1:13" x14ac:dyDescent="0.45">
      <c r="A4636" t="s">
        <v>5355</v>
      </c>
      <c r="B4636" t="s">
        <v>5354</v>
      </c>
      <c r="C4636" t="s">
        <v>5066</v>
      </c>
      <c r="D4636" t="s">
        <v>128</v>
      </c>
      <c r="E4636" t="s">
        <v>260</v>
      </c>
      <c r="F4636">
        <v>1</v>
      </c>
      <c r="G4636">
        <v>99</v>
      </c>
      <c r="H4636">
        <v>39.99</v>
      </c>
      <c r="I4636" t="s">
        <v>44</v>
      </c>
      <c r="J4636">
        <v>8</v>
      </c>
      <c r="K4636" t="s">
        <v>51</v>
      </c>
      <c r="L4636">
        <v>5</v>
      </c>
      <c r="M4636" t="str">
        <f>VLOOKUP(D4636,State_Lookup!$A$2:$B$28,2,FALSE)</f>
        <v>Ceara</v>
      </c>
    </row>
    <row r="4637" spans="1:13" x14ac:dyDescent="0.45">
      <c r="A4637" t="s">
        <v>5356</v>
      </c>
      <c r="B4637" t="s">
        <v>5354</v>
      </c>
      <c r="C4637" t="s">
        <v>5066</v>
      </c>
      <c r="D4637" t="s">
        <v>63</v>
      </c>
      <c r="E4637" t="s">
        <v>43</v>
      </c>
      <c r="F4637">
        <v>1</v>
      </c>
      <c r="G4637">
        <v>64.900000000000006</v>
      </c>
      <c r="H4637">
        <v>19.36</v>
      </c>
      <c r="I4637" t="s">
        <v>44</v>
      </c>
      <c r="J4637">
        <v>46</v>
      </c>
      <c r="K4637" t="s">
        <v>143</v>
      </c>
      <c r="L4637">
        <v>1</v>
      </c>
      <c r="M4637" t="str">
        <f>VLOOKUP(D4637,State_Lookup!$A$2:$B$28,2,FALSE)</f>
        <v>Pernambuco</v>
      </c>
    </row>
    <row r="4638" spans="1:13" x14ac:dyDescent="0.45">
      <c r="A4638" t="s">
        <v>5357</v>
      </c>
      <c r="B4638" t="s">
        <v>5354</v>
      </c>
      <c r="C4638" t="s">
        <v>5066</v>
      </c>
      <c r="D4638" t="s">
        <v>18</v>
      </c>
      <c r="E4638" t="s">
        <v>142</v>
      </c>
      <c r="F4638">
        <v>1</v>
      </c>
      <c r="G4638">
        <v>118.13</v>
      </c>
      <c r="H4638">
        <v>15.13</v>
      </c>
      <c r="I4638" t="s">
        <v>44</v>
      </c>
      <c r="J4638">
        <v>3</v>
      </c>
      <c r="K4638" t="s">
        <v>51</v>
      </c>
      <c r="L4638">
        <v>4</v>
      </c>
      <c r="M4638" t="str">
        <f>VLOOKUP(D4638,State_Lookup!$A$2:$B$28,2,FALSE)</f>
        <v>Minas Gerais</v>
      </c>
    </row>
    <row r="4639" spans="1:13" x14ac:dyDescent="0.45">
      <c r="A4639" t="s">
        <v>5358</v>
      </c>
      <c r="B4639" t="s">
        <v>5354</v>
      </c>
      <c r="C4639" t="s">
        <v>5066</v>
      </c>
      <c r="D4639" t="s">
        <v>16</v>
      </c>
      <c r="E4639" t="s">
        <v>103</v>
      </c>
      <c r="F4639">
        <v>1</v>
      </c>
      <c r="G4639">
        <v>136.9</v>
      </c>
      <c r="H4639">
        <v>18.989999999999998</v>
      </c>
      <c r="I4639" t="s">
        <v>44</v>
      </c>
      <c r="J4639">
        <v>3</v>
      </c>
      <c r="K4639" t="s">
        <v>51</v>
      </c>
      <c r="L4639">
        <v>5</v>
      </c>
      <c r="M4639" t="str">
        <f>VLOOKUP(D4639,State_Lookup!$A$2:$B$28,2,FALSE)</f>
        <v>Sao Paulo</v>
      </c>
    </row>
    <row r="4640" spans="1:13" x14ac:dyDescent="0.45">
      <c r="A4640" t="s">
        <v>5359</v>
      </c>
      <c r="B4640" t="s">
        <v>5360</v>
      </c>
      <c r="C4640" t="s">
        <v>5066</v>
      </c>
      <c r="D4640" t="s">
        <v>16</v>
      </c>
      <c r="E4640" t="s">
        <v>79</v>
      </c>
      <c r="F4640">
        <v>1</v>
      </c>
      <c r="G4640">
        <v>13.99</v>
      </c>
      <c r="H4640">
        <v>7.39</v>
      </c>
      <c r="I4640" t="s">
        <v>50</v>
      </c>
      <c r="J4640">
        <v>3</v>
      </c>
      <c r="K4640" t="s">
        <v>143</v>
      </c>
      <c r="L4640">
        <v>5</v>
      </c>
      <c r="M4640" t="str">
        <f>VLOOKUP(D4640,State_Lookup!$A$2:$B$28,2,FALSE)</f>
        <v>Sao Paulo</v>
      </c>
    </row>
    <row r="4641" spans="1:13" x14ac:dyDescent="0.45">
      <c r="A4641" t="s">
        <v>5361</v>
      </c>
      <c r="B4641" t="s">
        <v>5360</v>
      </c>
      <c r="C4641" t="s">
        <v>5066</v>
      </c>
      <c r="D4641" t="s">
        <v>16</v>
      </c>
      <c r="E4641" t="s">
        <v>125</v>
      </c>
      <c r="F4641">
        <v>1</v>
      </c>
      <c r="G4641">
        <v>17.489999999999998</v>
      </c>
      <c r="H4641">
        <v>12.79</v>
      </c>
      <c r="I4641" t="s">
        <v>44</v>
      </c>
      <c r="J4641">
        <v>7</v>
      </c>
      <c r="K4641" t="s">
        <v>51</v>
      </c>
      <c r="L4641">
        <v>1</v>
      </c>
      <c r="M4641" t="str">
        <f>VLOOKUP(D4641,State_Lookup!$A$2:$B$28,2,FALSE)</f>
        <v>Sao Paulo</v>
      </c>
    </row>
    <row r="4642" spans="1:13" x14ac:dyDescent="0.45">
      <c r="A4642" t="s">
        <v>5362</v>
      </c>
      <c r="B4642" t="s">
        <v>5360</v>
      </c>
      <c r="C4642" t="s">
        <v>5066</v>
      </c>
      <c r="D4642" t="s">
        <v>16</v>
      </c>
      <c r="E4642" t="s">
        <v>66</v>
      </c>
      <c r="F4642">
        <v>1</v>
      </c>
      <c r="G4642">
        <v>12.67</v>
      </c>
      <c r="H4642">
        <v>7.39</v>
      </c>
      <c r="I4642" t="s">
        <v>108</v>
      </c>
      <c r="J4642">
        <v>11</v>
      </c>
      <c r="K4642" t="s">
        <v>143</v>
      </c>
      <c r="L4642">
        <v>4</v>
      </c>
      <c r="M4642" t="str">
        <f>VLOOKUP(D4642,State_Lookup!$A$2:$B$28,2,FALSE)</f>
        <v>Sao Paulo</v>
      </c>
    </row>
    <row r="4643" spans="1:13" x14ac:dyDescent="0.45">
      <c r="A4643" t="s">
        <v>5363</v>
      </c>
      <c r="B4643" t="s">
        <v>5360</v>
      </c>
      <c r="C4643" t="s">
        <v>5066</v>
      </c>
      <c r="D4643" t="s">
        <v>16</v>
      </c>
      <c r="E4643" t="s">
        <v>64</v>
      </c>
      <c r="F4643">
        <v>1</v>
      </c>
      <c r="G4643">
        <v>104.9</v>
      </c>
      <c r="H4643">
        <v>19.64</v>
      </c>
      <c r="I4643" t="s">
        <v>44</v>
      </c>
      <c r="J4643">
        <v>7</v>
      </c>
      <c r="K4643" t="s">
        <v>51</v>
      </c>
      <c r="L4643">
        <v>5</v>
      </c>
      <c r="M4643" t="str">
        <f>VLOOKUP(D4643,State_Lookup!$A$2:$B$28,2,FALSE)</f>
        <v>Sao Paulo</v>
      </c>
    </row>
    <row r="4644" spans="1:13" x14ac:dyDescent="0.45">
      <c r="A4644" t="s">
        <v>5364</v>
      </c>
      <c r="B4644" t="s">
        <v>5360</v>
      </c>
      <c r="C4644" t="s">
        <v>5066</v>
      </c>
      <c r="D4644" t="s">
        <v>16</v>
      </c>
      <c r="E4644" t="s">
        <v>49</v>
      </c>
      <c r="F4644">
        <v>2</v>
      </c>
      <c r="G4644">
        <v>72.789999999999992</v>
      </c>
      <c r="H4644">
        <v>15.04</v>
      </c>
      <c r="I4644" t="s">
        <v>44</v>
      </c>
      <c r="J4644">
        <v>2</v>
      </c>
      <c r="K4644" t="s">
        <v>51</v>
      </c>
      <c r="L4644">
        <v>2</v>
      </c>
      <c r="M4644" t="str">
        <f>VLOOKUP(D4644,State_Lookup!$A$2:$B$28,2,FALSE)</f>
        <v>Sao Paulo</v>
      </c>
    </row>
    <row r="4645" spans="1:13" x14ac:dyDescent="0.45">
      <c r="A4645" t="s">
        <v>5365</v>
      </c>
      <c r="B4645" t="s">
        <v>5360</v>
      </c>
      <c r="C4645" t="s">
        <v>5066</v>
      </c>
      <c r="D4645" t="s">
        <v>24</v>
      </c>
      <c r="E4645" t="s">
        <v>49</v>
      </c>
      <c r="F4645">
        <v>1</v>
      </c>
      <c r="G4645">
        <v>114.99</v>
      </c>
      <c r="H4645">
        <v>34.57</v>
      </c>
      <c r="I4645" t="s">
        <v>44</v>
      </c>
      <c r="J4645">
        <v>4</v>
      </c>
      <c r="K4645" t="s">
        <v>51</v>
      </c>
      <c r="L4645">
        <v>3</v>
      </c>
      <c r="M4645" t="str">
        <f>VLOOKUP(D4645,State_Lookup!$A$2:$B$28,2,FALSE)</f>
        <v>Distrito Federal</v>
      </c>
    </row>
    <row r="4646" spans="1:13" x14ac:dyDescent="0.45">
      <c r="A4646" t="s">
        <v>5366</v>
      </c>
      <c r="B4646" t="s">
        <v>5360</v>
      </c>
      <c r="C4646" t="s">
        <v>5066</v>
      </c>
      <c r="D4646" t="s">
        <v>17</v>
      </c>
      <c r="E4646" t="s">
        <v>366</v>
      </c>
      <c r="F4646">
        <v>1</v>
      </c>
      <c r="G4646">
        <v>26</v>
      </c>
      <c r="H4646">
        <v>18.28</v>
      </c>
      <c r="I4646" t="s">
        <v>44</v>
      </c>
      <c r="J4646">
        <v>7</v>
      </c>
      <c r="K4646" t="s">
        <v>51</v>
      </c>
      <c r="L4646">
        <v>5</v>
      </c>
      <c r="M4646" t="str">
        <f>VLOOKUP(D4646,State_Lookup!$A$2:$B$28,2,FALSE)</f>
        <v>Rio de Janeiro</v>
      </c>
    </row>
    <row r="4647" spans="1:13" x14ac:dyDescent="0.45">
      <c r="A4647" t="s">
        <v>5367</v>
      </c>
      <c r="B4647" t="s">
        <v>5360</v>
      </c>
      <c r="C4647" t="s">
        <v>5066</v>
      </c>
      <c r="D4647" t="s">
        <v>17</v>
      </c>
      <c r="E4647" t="s">
        <v>220</v>
      </c>
      <c r="F4647">
        <v>1</v>
      </c>
      <c r="G4647">
        <v>380</v>
      </c>
      <c r="H4647">
        <v>79.63</v>
      </c>
      <c r="I4647" t="s">
        <v>50</v>
      </c>
      <c r="K4647" t="s">
        <v>45</v>
      </c>
      <c r="L4647">
        <v>3</v>
      </c>
      <c r="M4647" t="str">
        <f>VLOOKUP(D4647,State_Lookup!$A$2:$B$28,2,FALSE)</f>
        <v>Rio de Janeiro</v>
      </c>
    </row>
    <row r="4648" spans="1:13" x14ac:dyDescent="0.45">
      <c r="A4648" t="s">
        <v>5368</v>
      </c>
      <c r="B4648" t="s">
        <v>5360</v>
      </c>
      <c r="C4648" t="s">
        <v>5066</v>
      </c>
      <c r="D4648" t="s">
        <v>20</v>
      </c>
      <c r="E4648" t="s">
        <v>103</v>
      </c>
      <c r="F4648">
        <v>1</v>
      </c>
      <c r="G4648">
        <v>95.99</v>
      </c>
      <c r="H4648">
        <v>23.47</v>
      </c>
      <c r="I4648" t="s">
        <v>133</v>
      </c>
      <c r="J4648">
        <v>8</v>
      </c>
      <c r="K4648" t="s">
        <v>51</v>
      </c>
      <c r="L4648">
        <v>4</v>
      </c>
      <c r="M4648" t="str">
        <f>VLOOKUP(D4648,State_Lookup!$A$2:$B$28,2,FALSE)</f>
        <v>Parana</v>
      </c>
    </row>
    <row r="4649" spans="1:13" x14ac:dyDescent="0.45">
      <c r="A4649" t="s">
        <v>5369</v>
      </c>
      <c r="B4649" t="s">
        <v>5360</v>
      </c>
      <c r="C4649" t="s">
        <v>5066</v>
      </c>
      <c r="D4649" t="s">
        <v>16</v>
      </c>
      <c r="E4649" t="s">
        <v>61</v>
      </c>
      <c r="F4649">
        <v>1</v>
      </c>
      <c r="G4649">
        <v>8.99</v>
      </c>
      <c r="H4649">
        <v>7.39</v>
      </c>
      <c r="I4649" t="s">
        <v>44</v>
      </c>
      <c r="J4649">
        <v>1</v>
      </c>
      <c r="K4649" t="s">
        <v>51</v>
      </c>
      <c r="L4649">
        <v>5</v>
      </c>
      <c r="M4649" t="str">
        <f>VLOOKUP(D4649,State_Lookup!$A$2:$B$28,2,FALSE)</f>
        <v>Sao Paulo</v>
      </c>
    </row>
    <row r="4650" spans="1:13" x14ac:dyDescent="0.45">
      <c r="A4650" t="s">
        <v>5370</v>
      </c>
      <c r="B4650" t="s">
        <v>5360</v>
      </c>
      <c r="C4650" t="s">
        <v>5066</v>
      </c>
      <c r="D4650" t="s">
        <v>17</v>
      </c>
      <c r="E4650" t="s">
        <v>260</v>
      </c>
      <c r="F4650">
        <v>1</v>
      </c>
      <c r="G4650">
        <v>29.9</v>
      </c>
      <c r="H4650">
        <v>22.14</v>
      </c>
      <c r="I4650" t="s">
        <v>44</v>
      </c>
      <c r="J4650">
        <v>10</v>
      </c>
      <c r="K4650" t="s">
        <v>51</v>
      </c>
      <c r="L4650">
        <v>5</v>
      </c>
      <c r="M4650" t="str">
        <f>VLOOKUP(D4650,State_Lookup!$A$2:$B$28,2,FALSE)</f>
        <v>Rio de Janeiro</v>
      </c>
    </row>
    <row r="4651" spans="1:13" x14ac:dyDescent="0.45">
      <c r="A4651" t="s">
        <v>5371</v>
      </c>
      <c r="B4651" t="s">
        <v>5360</v>
      </c>
      <c r="C4651" t="s">
        <v>5066</v>
      </c>
      <c r="D4651" t="s">
        <v>22</v>
      </c>
      <c r="E4651" t="s">
        <v>49</v>
      </c>
      <c r="F4651">
        <v>1</v>
      </c>
      <c r="G4651">
        <v>76</v>
      </c>
      <c r="H4651">
        <v>22.46</v>
      </c>
      <c r="I4651" t="s">
        <v>50</v>
      </c>
      <c r="J4651">
        <v>14</v>
      </c>
      <c r="K4651" t="s">
        <v>51</v>
      </c>
      <c r="L4651">
        <v>5</v>
      </c>
      <c r="M4651" t="str">
        <f>VLOOKUP(D4651,State_Lookup!$A$2:$B$28,2,FALSE)</f>
        <v>Bahia</v>
      </c>
    </row>
    <row r="4652" spans="1:13" x14ac:dyDescent="0.45">
      <c r="A4652" t="s">
        <v>5372</v>
      </c>
      <c r="B4652" t="s">
        <v>5360</v>
      </c>
      <c r="C4652" t="s">
        <v>5066</v>
      </c>
      <c r="D4652" t="s">
        <v>21</v>
      </c>
      <c r="E4652" t="s">
        <v>79</v>
      </c>
      <c r="F4652">
        <v>1</v>
      </c>
      <c r="G4652">
        <v>38.9</v>
      </c>
      <c r="H4652">
        <v>18.37</v>
      </c>
      <c r="I4652" t="s">
        <v>44</v>
      </c>
      <c r="J4652">
        <v>3</v>
      </c>
      <c r="K4652" t="s">
        <v>51</v>
      </c>
      <c r="L4652">
        <v>5</v>
      </c>
      <c r="M4652" t="str">
        <f>VLOOKUP(D4652,State_Lookup!$A$2:$B$28,2,FALSE)</f>
        <v>Santa Catarina</v>
      </c>
    </row>
    <row r="4653" spans="1:13" x14ac:dyDescent="0.45">
      <c r="A4653" t="s">
        <v>5373</v>
      </c>
      <c r="B4653" t="s">
        <v>5360</v>
      </c>
      <c r="C4653" t="s">
        <v>5066</v>
      </c>
      <c r="D4653" t="s">
        <v>19</v>
      </c>
      <c r="E4653" t="s">
        <v>61</v>
      </c>
      <c r="F4653">
        <v>3</v>
      </c>
      <c r="G4653">
        <v>150.6</v>
      </c>
      <c r="H4653">
        <v>55.35</v>
      </c>
      <c r="I4653" t="s">
        <v>44</v>
      </c>
      <c r="J4653">
        <v>20</v>
      </c>
      <c r="K4653" t="s">
        <v>51</v>
      </c>
      <c r="L4653">
        <v>5</v>
      </c>
      <c r="M4653" t="str">
        <f>VLOOKUP(D4653,State_Lookup!$A$2:$B$28,2,FALSE)</f>
        <v>Rio Grande do Sul</v>
      </c>
    </row>
    <row r="4654" spans="1:13" x14ac:dyDescent="0.45">
      <c r="A4654" t="s">
        <v>5374</v>
      </c>
      <c r="B4654" t="s">
        <v>5360</v>
      </c>
      <c r="C4654" t="s">
        <v>5066</v>
      </c>
      <c r="D4654" t="s">
        <v>18</v>
      </c>
      <c r="E4654" t="s">
        <v>100</v>
      </c>
      <c r="F4654">
        <v>1</v>
      </c>
      <c r="G4654">
        <v>549.9</v>
      </c>
      <c r="H4654">
        <v>50.93</v>
      </c>
      <c r="I4654" t="s">
        <v>50</v>
      </c>
      <c r="K4654" t="s">
        <v>45</v>
      </c>
      <c r="L4654">
        <v>1</v>
      </c>
      <c r="M4654" t="str">
        <f>VLOOKUP(D4654,State_Lookup!$A$2:$B$28,2,FALSE)</f>
        <v>Minas Gerais</v>
      </c>
    </row>
    <row r="4655" spans="1:13" x14ac:dyDescent="0.45">
      <c r="A4655" t="s">
        <v>5375</v>
      </c>
      <c r="B4655" t="s">
        <v>5360</v>
      </c>
      <c r="C4655" t="s">
        <v>5066</v>
      </c>
      <c r="D4655" t="s">
        <v>17</v>
      </c>
      <c r="E4655" t="s">
        <v>53</v>
      </c>
      <c r="F4655">
        <v>1</v>
      </c>
      <c r="G4655">
        <v>113.1</v>
      </c>
      <c r="H4655">
        <v>8.2100000000000009</v>
      </c>
      <c r="I4655" t="s">
        <v>44</v>
      </c>
      <c r="J4655">
        <v>3</v>
      </c>
      <c r="K4655" t="s">
        <v>143</v>
      </c>
      <c r="L4655">
        <v>5</v>
      </c>
      <c r="M4655" t="str">
        <f>VLOOKUP(D4655,State_Lookup!$A$2:$B$28,2,FALSE)</f>
        <v>Rio de Janeiro</v>
      </c>
    </row>
    <row r="4656" spans="1:13" x14ac:dyDescent="0.45">
      <c r="A4656" t="s">
        <v>5376</v>
      </c>
      <c r="B4656" t="s">
        <v>5360</v>
      </c>
      <c r="C4656" t="s">
        <v>5066</v>
      </c>
      <c r="D4656" t="s">
        <v>18</v>
      </c>
      <c r="E4656" t="s">
        <v>43</v>
      </c>
      <c r="F4656">
        <v>1</v>
      </c>
      <c r="G4656">
        <v>70</v>
      </c>
      <c r="H4656">
        <v>31.36</v>
      </c>
      <c r="I4656" t="s">
        <v>44</v>
      </c>
      <c r="J4656">
        <v>63</v>
      </c>
      <c r="K4656" t="s">
        <v>143</v>
      </c>
      <c r="L4656">
        <v>5</v>
      </c>
      <c r="M4656" t="str">
        <f>VLOOKUP(D4656,State_Lookup!$A$2:$B$28,2,FALSE)</f>
        <v>Minas Gerais</v>
      </c>
    </row>
    <row r="4657" spans="1:13" x14ac:dyDescent="0.45">
      <c r="A4657" t="s">
        <v>5377</v>
      </c>
      <c r="B4657" t="s">
        <v>5360</v>
      </c>
      <c r="C4657" t="s">
        <v>5066</v>
      </c>
      <c r="D4657" t="s">
        <v>16</v>
      </c>
      <c r="E4657" t="s">
        <v>61</v>
      </c>
      <c r="F4657">
        <v>2</v>
      </c>
      <c r="G4657">
        <v>131.80000000000001</v>
      </c>
      <c r="H4657">
        <v>27.6</v>
      </c>
      <c r="I4657" t="s">
        <v>50</v>
      </c>
      <c r="J4657">
        <v>15</v>
      </c>
      <c r="K4657" t="s">
        <v>51</v>
      </c>
      <c r="L4657">
        <v>5</v>
      </c>
      <c r="M4657" t="str">
        <f>VLOOKUP(D4657,State_Lookup!$A$2:$B$28,2,FALSE)</f>
        <v>Sao Paulo</v>
      </c>
    </row>
    <row r="4658" spans="1:13" x14ac:dyDescent="0.45">
      <c r="A4658" t="s">
        <v>5378</v>
      </c>
      <c r="B4658" t="s">
        <v>5360</v>
      </c>
      <c r="C4658" t="s">
        <v>5066</v>
      </c>
      <c r="D4658" t="s">
        <v>22</v>
      </c>
      <c r="E4658" t="s">
        <v>66</v>
      </c>
      <c r="F4658">
        <v>1</v>
      </c>
      <c r="G4658">
        <v>29.99</v>
      </c>
      <c r="H4658">
        <v>17.14</v>
      </c>
      <c r="I4658" t="s">
        <v>133</v>
      </c>
      <c r="J4658">
        <v>15</v>
      </c>
      <c r="K4658" t="s">
        <v>51</v>
      </c>
      <c r="L4658">
        <v>5</v>
      </c>
      <c r="M4658" t="str">
        <f>VLOOKUP(D4658,State_Lookup!$A$2:$B$28,2,FALSE)</f>
        <v>Bahia</v>
      </c>
    </row>
    <row r="4659" spans="1:13" x14ac:dyDescent="0.45">
      <c r="A4659" t="s">
        <v>5379</v>
      </c>
      <c r="B4659" t="s">
        <v>5360</v>
      </c>
      <c r="C4659" t="s">
        <v>5066</v>
      </c>
      <c r="D4659" t="s">
        <v>16</v>
      </c>
      <c r="E4659" t="s">
        <v>110</v>
      </c>
      <c r="F4659">
        <v>1</v>
      </c>
      <c r="G4659">
        <v>29.97</v>
      </c>
      <c r="H4659">
        <v>18.309999999999999</v>
      </c>
      <c r="I4659" t="s">
        <v>50</v>
      </c>
      <c r="J4659">
        <v>5</v>
      </c>
      <c r="K4659" t="s">
        <v>51</v>
      </c>
      <c r="L4659">
        <v>4</v>
      </c>
      <c r="M4659" t="str">
        <f>VLOOKUP(D4659,State_Lookup!$A$2:$B$28,2,FALSE)</f>
        <v>Sao Paulo</v>
      </c>
    </row>
    <row r="4660" spans="1:13" x14ac:dyDescent="0.45">
      <c r="A4660" t="s">
        <v>5380</v>
      </c>
      <c r="B4660" t="s">
        <v>5360</v>
      </c>
      <c r="C4660" t="s">
        <v>5066</v>
      </c>
      <c r="D4660" t="s">
        <v>194</v>
      </c>
      <c r="E4660" t="s">
        <v>53</v>
      </c>
      <c r="F4660">
        <v>1</v>
      </c>
      <c r="G4660">
        <v>39.9</v>
      </c>
      <c r="H4660">
        <v>23.08</v>
      </c>
      <c r="I4660" t="s">
        <v>44</v>
      </c>
      <c r="J4660">
        <v>7</v>
      </c>
      <c r="K4660" t="s">
        <v>51</v>
      </c>
      <c r="L4660">
        <v>4</v>
      </c>
      <c r="M4660" t="str">
        <f>VLOOKUP(D4660,State_Lookup!$A$2:$B$28,2,FALSE)</f>
        <v>Mato Grosso do Sul</v>
      </c>
    </row>
    <row r="4661" spans="1:13" x14ac:dyDescent="0.45">
      <c r="A4661" t="s">
        <v>5381</v>
      </c>
      <c r="B4661" t="s">
        <v>5382</v>
      </c>
      <c r="C4661" t="s">
        <v>5066</v>
      </c>
      <c r="D4661" t="s">
        <v>16</v>
      </c>
      <c r="E4661" t="s">
        <v>69</v>
      </c>
      <c r="F4661">
        <v>1</v>
      </c>
      <c r="G4661">
        <v>32</v>
      </c>
      <c r="H4661">
        <v>20.49</v>
      </c>
      <c r="I4661" t="s">
        <v>44</v>
      </c>
      <c r="J4661">
        <v>7</v>
      </c>
      <c r="K4661" t="s">
        <v>51</v>
      </c>
      <c r="L4661">
        <v>5</v>
      </c>
      <c r="M4661" t="str">
        <f>VLOOKUP(D4661,State_Lookup!$A$2:$B$28,2,FALSE)</f>
        <v>Sao Paulo</v>
      </c>
    </row>
    <row r="4662" spans="1:13" x14ac:dyDescent="0.45">
      <c r="A4662" t="s">
        <v>5383</v>
      </c>
      <c r="B4662" t="s">
        <v>5382</v>
      </c>
      <c r="C4662" t="s">
        <v>5066</v>
      </c>
      <c r="D4662" t="s">
        <v>208</v>
      </c>
      <c r="E4662" t="s">
        <v>66</v>
      </c>
      <c r="F4662">
        <v>2</v>
      </c>
      <c r="G4662">
        <v>340</v>
      </c>
      <c r="H4662">
        <v>51.08</v>
      </c>
      <c r="I4662" t="s">
        <v>44</v>
      </c>
      <c r="J4662">
        <v>24</v>
      </c>
      <c r="K4662" t="s">
        <v>51</v>
      </c>
      <c r="L4662">
        <v>1</v>
      </c>
      <c r="M4662" t="str">
        <f>VLOOKUP(D4662,State_Lookup!$A$2:$B$28,2,FALSE)</f>
        <v>Mato Grosso</v>
      </c>
    </row>
    <row r="4663" spans="1:13" x14ac:dyDescent="0.45">
      <c r="A4663" t="s">
        <v>5384</v>
      </c>
      <c r="B4663" t="s">
        <v>5382</v>
      </c>
      <c r="C4663" t="s">
        <v>5066</v>
      </c>
      <c r="D4663" t="s">
        <v>16</v>
      </c>
      <c r="E4663" t="s">
        <v>142</v>
      </c>
      <c r="F4663">
        <v>1</v>
      </c>
      <c r="G4663">
        <v>69.900000000000006</v>
      </c>
      <c r="H4663">
        <v>19.68</v>
      </c>
      <c r="I4663" t="s">
        <v>108</v>
      </c>
      <c r="J4663">
        <v>6</v>
      </c>
      <c r="K4663" t="s">
        <v>51</v>
      </c>
      <c r="L4663">
        <v>4</v>
      </c>
      <c r="M4663" t="str">
        <f>VLOOKUP(D4663,State_Lookup!$A$2:$B$28,2,FALSE)</f>
        <v>Sao Paulo</v>
      </c>
    </row>
    <row r="4664" spans="1:13" x14ac:dyDescent="0.45">
      <c r="A4664" t="s">
        <v>5385</v>
      </c>
      <c r="B4664" t="s">
        <v>5382</v>
      </c>
      <c r="C4664" t="s">
        <v>5066</v>
      </c>
      <c r="D4664" t="s">
        <v>17</v>
      </c>
      <c r="E4664" t="s">
        <v>61</v>
      </c>
      <c r="F4664">
        <v>1</v>
      </c>
      <c r="G4664">
        <v>65.900000000000006</v>
      </c>
      <c r="H4664">
        <v>22.39</v>
      </c>
      <c r="I4664" t="s">
        <v>44</v>
      </c>
      <c r="J4664">
        <v>15</v>
      </c>
      <c r="K4664" t="s">
        <v>51</v>
      </c>
      <c r="L4664">
        <v>5</v>
      </c>
      <c r="M4664" t="str">
        <f>VLOOKUP(D4664,State_Lookup!$A$2:$B$28,2,FALSE)</f>
        <v>Rio de Janeiro</v>
      </c>
    </row>
    <row r="4665" spans="1:13" x14ac:dyDescent="0.45">
      <c r="A4665" t="s">
        <v>5386</v>
      </c>
      <c r="B4665" t="s">
        <v>5382</v>
      </c>
      <c r="C4665" t="s">
        <v>5066</v>
      </c>
      <c r="D4665" t="s">
        <v>17</v>
      </c>
      <c r="E4665" t="s">
        <v>61</v>
      </c>
      <c r="F4665">
        <v>1</v>
      </c>
      <c r="G4665">
        <v>135</v>
      </c>
      <c r="H4665">
        <v>17.88</v>
      </c>
      <c r="I4665" t="s">
        <v>50</v>
      </c>
      <c r="J4665">
        <v>6</v>
      </c>
      <c r="K4665" t="s">
        <v>51</v>
      </c>
      <c r="L4665">
        <v>5</v>
      </c>
      <c r="M4665" t="str">
        <f>VLOOKUP(D4665,State_Lookup!$A$2:$B$28,2,FALSE)</f>
        <v>Rio de Janeiro</v>
      </c>
    </row>
    <row r="4666" spans="1:13" x14ac:dyDescent="0.45">
      <c r="A4666" t="s">
        <v>5387</v>
      </c>
      <c r="B4666" t="s">
        <v>5382</v>
      </c>
      <c r="C4666" t="s">
        <v>5066</v>
      </c>
      <c r="D4666" t="s">
        <v>17</v>
      </c>
      <c r="E4666" t="s">
        <v>49</v>
      </c>
      <c r="F4666">
        <v>1</v>
      </c>
      <c r="G4666">
        <v>34.9</v>
      </c>
      <c r="H4666">
        <v>17.170000000000002</v>
      </c>
      <c r="I4666" t="s">
        <v>133</v>
      </c>
      <c r="J4666">
        <v>8</v>
      </c>
      <c r="K4666" t="s">
        <v>51</v>
      </c>
      <c r="L4666">
        <v>5</v>
      </c>
      <c r="M4666" t="str">
        <f>VLOOKUP(D4666,State_Lookup!$A$2:$B$28,2,FALSE)</f>
        <v>Rio de Janeiro</v>
      </c>
    </row>
    <row r="4667" spans="1:13" x14ac:dyDescent="0.45">
      <c r="A4667" t="s">
        <v>5388</v>
      </c>
      <c r="B4667" t="s">
        <v>5382</v>
      </c>
      <c r="C4667" t="s">
        <v>5066</v>
      </c>
      <c r="D4667" t="s">
        <v>16</v>
      </c>
      <c r="E4667" t="s">
        <v>53</v>
      </c>
      <c r="F4667">
        <v>1</v>
      </c>
      <c r="G4667">
        <v>29.99</v>
      </c>
      <c r="H4667">
        <v>8.9600000000000009</v>
      </c>
      <c r="I4667" t="s">
        <v>44</v>
      </c>
      <c r="J4667">
        <v>9</v>
      </c>
      <c r="K4667" t="s">
        <v>143</v>
      </c>
      <c r="L4667">
        <v>5</v>
      </c>
      <c r="M4667" t="str">
        <f>VLOOKUP(D4667,State_Lookup!$A$2:$B$28,2,FALSE)</f>
        <v>Sao Paulo</v>
      </c>
    </row>
    <row r="4668" spans="1:13" x14ac:dyDescent="0.45">
      <c r="A4668" t="s">
        <v>5389</v>
      </c>
      <c r="B4668" t="s">
        <v>5382</v>
      </c>
      <c r="C4668" t="s">
        <v>5066</v>
      </c>
      <c r="D4668" t="s">
        <v>16</v>
      </c>
      <c r="E4668" t="s">
        <v>152</v>
      </c>
      <c r="F4668">
        <v>1</v>
      </c>
      <c r="G4668">
        <v>115.99</v>
      </c>
      <c r="H4668">
        <v>22.11</v>
      </c>
      <c r="I4668" t="s">
        <v>44</v>
      </c>
      <c r="J4668">
        <v>4</v>
      </c>
      <c r="K4668" t="s">
        <v>51</v>
      </c>
      <c r="L4668">
        <v>5</v>
      </c>
      <c r="M4668" t="str">
        <f>VLOOKUP(D4668,State_Lookup!$A$2:$B$28,2,FALSE)</f>
        <v>Sao Paulo</v>
      </c>
    </row>
    <row r="4669" spans="1:13" x14ac:dyDescent="0.45">
      <c r="A4669" t="s">
        <v>5390</v>
      </c>
      <c r="B4669" t="s">
        <v>5382</v>
      </c>
      <c r="C4669" t="s">
        <v>5066</v>
      </c>
      <c r="D4669" t="s">
        <v>16</v>
      </c>
      <c r="E4669" t="s">
        <v>61</v>
      </c>
      <c r="F4669">
        <v>1</v>
      </c>
      <c r="G4669">
        <v>22.32</v>
      </c>
      <c r="H4669">
        <v>15.26</v>
      </c>
      <c r="I4669" t="s">
        <v>44</v>
      </c>
      <c r="J4669">
        <v>15</v>
      </c>
      <c r="K4669" t="s">
        <v>143</v>
      </c>
      <c r="L4669">
        <v>3</v>
      </c>
      <c r="M4669" t="str">
        <f>VLOOKUP(D4669,State_Lookup!$A$2:$B$28,2,FALSE)</f>
        <v>Sao Paulo</v>
      </c>
    </row>
    <row r="4670" spans="1:13" x14ac:dyDescent="0.45">
      <c r="A4670" t="s">
        <v>5391</v>
      </c>
      <c r="B4670" t="s">
        <v>5382</v>
      </c>
      <c r="C4670" t="s">
        <v>5066</v>
      </c>
      <c r="D4670" t="s">
        <v>16</v>
      </c>
      <c r="E4670" t="s">
        <v>157</v>
      </c>
      <c r="F4670">
        <v>1</v>
      </c>
      <c r="G4670">
        <v>149</v>
      </c>
      <c r="H4670">
        <v>9.7899999999999991</v>
      </c>
      <c r="I4670" t="s">
        <v>44</v>
      </c>
      <c r="J4670">
        <v>2</v>
      </c>
      <c r="K4670" t="s">
        <v>143</v>
      </c>
      <c r="L4670">
        <v>5</v>
      </c>
      <c r="M4670" t="str">
        <f>VLOOKUP(D4670,State_Lookup!$A$2:$B$28,2,FALSE)</f>
        <v>Sao Paulo</v>
      </c>
    </row>
    <row r="4671" spans="1:13" x14ac:dyDescent="0.45">
      <c r="A4671" t="s">
        <v>5392</v>
      </c>
      <c r="B4671" t="s">
        <v>5382</v>
      </c>
      <c r="C4671" t="s">
        <v>5066</v>
      </c>
      <c r="D4671" t="s">
        <v>17</v>
      </c>
      <c r="E4671" t="s">
        <v>61</v>
      </c>
      <c r="F4671">
        <v>1</v>
      </c>
      <c r="G4671">
        <v>65.900000000000006</v>
      </c>
      <c r="H4671">
        <v>22.39</v>
      </c>
      <c r="I4671" t="s">
        <v>44</v>
      </c>
      <c r="J4671">
        <v>14</v>
      </c>
      <c r="K4671" t="s">
        <v>51</v>
      </c>
      <c r="L4671">
        <v>1</v>
      </c>
      <c r="M4671" t="str">
        <f>VLOOKUP(D4671,State_Lookup!$A$2:$B$28,2,FALSE)</f>
        <v>Rio de Janeiro</v>
      </c>
    </row>
    <row r="4672" spans="1:13" x14ac:dyDescent="0.45">
      <c r="A4672" t="s">
        <v>5393</v>
      </c>
      <c r="B4672" t="s">
        <v>5382</v>
      </c>
      <c r="C4672" t="s">
        <v>5066</v>
      </c>
      <c r="D4672" t="s">
        <v>16</v>
      </c>
      <c r="E4672" t="s">
        <v>43</v>
      </c>
      <c r="F4672">
        <v>1</v>
      </c>
      <c r="G4672">
        <v>19.2</v>
      </c>
      <c r="H4672">
        <v>13.47</v>
      </c>
      <c r="I4672" t="s">
        <v>44</v>
      </c>
      <c r="K4672" t="s">
        <v>45</v>
      </c>
      <c r="L4672">
        <v>1</v>
      </c>
      <c r="M4672" t="str">
        <f>VLOOKUP(D4672,State_Lookup!$A$2:$B$28,2,FALSE)</f>
        <v>Sao Paulo</v>
      </c>
    </row>
    <row r="4673" spans="1:13" x14ac:dyDescent="0.45">
      <c r="A4673" t="s">
        <v>5394</v>
      </c>
      <c r="B4673" t="s">
        <v>5382</v>
      </c>
      <c r="C4673" t="s">
        <v>5066</v>
      </c>
      <c r="D4673" t="s">
        <v>25</v>
      </c>
      <c r="E4673" t="s">
        <v>142</v>
      </c>
      <c r="F4673">
        <v>1</v>
      </c>
      <c r="G4673">
        <v>24.9</v>
      </c>
      <c r="H4673">
        <v>17.97</v>
      </c>
      <c r="I4673" t="s">
        <v>50</v>
      </c>
      <c r="J4673">
        <v>6</v>
      </c>
      <c r="K4673" t="s">
        <v>51</v>
      </c>
      <c r="L4673">
        <v>5</v>
      </c>
      <c r="M4673" t="str">
        <f>VLOOKUP(D4673,State_Lookup!$A$2:$B$28,2,FALSE)</f>
        <v>Goias</v>
      </c>
    </row>
    <row r="4674" spans="1:13" x14ac:dyDescent="0.45">
      <c r="A4674" t="s">
        <v>5395</v>
      </c>
      <c r="B4674" t="s">
        <v>5382</v>
      </c>
      <c r="C4674" t="s">
        <v>5066</v>
      </c>
      <c r="D4674" t="s">
        <v>194</v>
      </c>
      <c r="E4674" t="s">
        <v>157</v>
      </c>
      <c r="F4674">
        <v>1</v>
      </c>
      <c r="G4674">
        <v>45</v>
      </c>
      <c r="H4674">
        <v>18.420000000000002</v>
      </c>
      <c r="I4674" t="s">
        <v>44</v>
      </c>
      <c r="J4674">
        <v>16</v>
      </c>
      <c r="K4674" t="s">
        <v>51</v>
      </c>
      <c r="L4674">
        <v>4</v>
      </c>
      <c r="M4674" t="str">
        <f>VLOOKUP(D4674,State_Lookup!$A$2:$B$28,2,FALSE)</f>
        <v>Mato Grosso do Sul</v>
      </c>
    </row>
    <row r="4675" spans="1:13" x14ac:dyDescent="0.45">
      <c r="A4675" t="s">
        <v>5396</v>
      </c>
      <c r="B4675" t="s">
        <v>5397</v>
      </c>
      <c r="C4675" t="s">
        <v>5398</v>
      </c>
      <c r="D4675" t="s">
        <v>18</v>
      </c>
      <c r="E4675" t="s">
        <v>61</v>
      </c>
      <c r="F4675">
        <v>1</v>
      </c>
      <c r="G4675">
        <v>54.9</v>
      </c>
      <c r="H4675">
        <v>22.31</v>
      </c>
      <c r="I4675" t="s">
        <v>50</v>
      </c>
      <c r="J4675">
        <v>19</v>
      </c>
      <c r="K4675" t="s">
        <v>51</v>
      </c>
      <c r="L4675">
        <v>1</v>
      </c>
      <c r="M4675" t="str">
        <f>VLOOKUP(D4675,State_Lookup!$A$2:$B$28,2,FALSE)</f>
        <v>Minas Gerais</v>
      </c>
    </row>
    <row r="4676" spans="1:13" x14ac:dyDescent="0.45">
      <c r="A4676" t="s">
        <v>5399</v>
      </c>
      <c r="B4676" t="s">
        <v>5397</v>
      </c>
      <c r="C4676" t="s">
        <v>5398</v>
      </c>
      <c r="D4676" t="s">
        <v>17</v>
      </c>
      <c r="E4676" t="s">
        <v>148</v>
      </c>
      <c r="F4676">
        <v>1</v>
      </c>
      <c r="G4676">
        <v>34.9</v>
      </c>
      <c r="H4676">
        <v>7.66</v>
      </c>
      <c r="I4676" t="s">
        <v>44</v>
      </c>
      <c r="J4676">
        <v>6</v>
      </c>
      <c r="K4676" t="s">
        <v>143</v>
      </c>
      <c r="L4676">
        <v>4</v>
      </c>
      <c r="M4676" t="str">
        <f>VLOOKUP(D4676,State_Lookup!$A$2:$B$28,2,FALSE)</f>
        <v>Rio de Janeiro</v>
      </c>
    </row>
    <row r="4677" spans="1:13" x14ac:dyDescent="0.45">
      <c r="A4677" t="s">
        <v>5400</v>
      </c>
      <c r="B4677" t="s">
        <v>5397</v>
      </c>
      <c r="C4677" t="s">
        <v>5398</v>
      </c>
      <c r="D4677" t="s">
        <v>20</v>
      </c>
      <c r="E4677" t="s">
        <v>79</v>
      </c>
      <c r="F4677">
        <v>1</v>
      </c>
      <c r="G4677">
        <v>23.99</v>
      </c>
      <c r="H4677">
        <v>18.27</v>
      </c>
      <c r="I4677" t="s">
        <v>44</v>
      </c>
      <c r="J4677">
        <v>12</v>
      </c>
      <c r="K4677" t="s">
        <v>51</v>
      </c>
      <c r="L4677">
        <v>5</v>
      </c>
      <c r="M4677" t="str">
        <f>VLOOKUP(D4677,State_Lookup!$A$2:$B$28,2,FALSE)</f>
        <v>Parana</v>
      </c>
    </row>
    <row r="4678" spans="1:13" x14ac:dyDescent="0.45">
      <c r="A4678" t="s">
        <v>5401</v>
      </c>
      <c r="B4678" t="s">
        <v>5397</v>
      </c>
      <c r="C4678" t="s">
        <v>5398</v>
      </c>
      <c r="D4678" t="s">
        <v>16</v>
      </c>
      <c r="E4678" t="s">
        <v>110</v>
      </c>
      <c r="F4678">
        <v>1</v>
      </c>
      <c r="G4678">
        <v>41.99</v>
      </c>
      <c r="H4678">
        <v>13.87</v>
      </c>
      <c r="I4678" t="s">
        <v>44</v>
      </c>
      <c r="J4678">
        <v>13</v>
      </c>
      <c r="K4678" t="s">
        <v>143</v>
      </c>
      <c r="L4678">
        <v>3</v>
      </c>
      <c r="M4678" t="str">
        <f>VLOOKUP(D4678,State_Lookup!$A$2:$B$28,2,FALSE)</f>
        <v>Sao Paulo</v>
      </c>
    </row>
    <row r="4679" spans="1:13" x14ac:dyDescent="0.45">
      <c r="A4679" t="s">
        <v>5402</v>
      </c>
      <c r="B4679" t="s">
        <v>5397</v>
      </c>
      <c r="C4679" t="s">
        <v>5398</v>
      </c>
      <c r="D4679" t="s">
        <v>20</v>
      </c>
      <c r="E4679" t="s">
        <v>107</v>
      </c>
      <c r="F4679">
        <v>1</v>
      </c>
      <c r="G4679">
        <v>121.99</v>
      </c>
      <c r="H4679">
        <v>45.97</v>
      </c>
      <c r="I4679" t="s">
        <v>44</v>
      </c>
      <c r="J4679">
        <v>7</v>
      </c>
      <c r="K4679" t="s">
        <v>51</v>
      </c>
      <c r="L4679">
        <v>5</v>
      </c>
      <c r="M4679" t="str">
        <f>VLOOKUP(D4679,State_Lookup!$A$2:$B$28,2,FALSE)</f>
        <v>Parana</v>
      </c>
    </row>
    <row r="4680" spans="1:13" x14ac:dyDescent="0.45">
      <c r="A4680" t="s">
        <v>5403</v>
      </c>
      <c r="B4680" t="s">
        <v>5397</v>
      </c>
      <c r="C4680" t="s">
        <v>5398</v>
      </c>
      <c r="D4680" t="s">
        <v>16</v>
      </c>
      <c r="E4680" t="s">
        <v>1935</v>
      </c>
      <c r="F4680">
        <v>1</v>
      </c>
      <c r="G4680">
        <v>28</v>
      </c>
      <c r="H4680">
        <v>12.86</v>
      </c>
      <c r="I4680" t="s">
        <v>44</v>
      </c>
      <c r="J4680">
        <v>7</v>
      </c>
      <c r="K4680" t="s">
        <v>51</v>
      </c>
      <c r="L4680">
        <v>5</v>
      </c>
      <c r="M4680" t="str">
        <f>VLOOKUP(D4680,State_Lookup!$A$2:$B$28,2,FALSE)</f>
        <v>Sao Paulo</v>
      </c>
    </row>
    <row r="4681" spans="1:13" x14ac:dyDescent="0.45">
      <c r="A4681" t="s">
        <v>5404</v>
      </c>
      <c r="B4681" t="s">
        <v>5397</v>
      </c>
      <c r="C4681" t="s">
        <v>5398</v>
      </c>
      <c r="D4681" t="s">
        <v>23</v>
      </c>
      <c r="E4681" t="s">
        <v>66</v>
      </c>
      <c r="F4681">
        <v>1</v>
      </c>
      <c r="G4681">
        <v>37.99</v>
      </c>
      <c r="H4681">
        <v>18.37</v>
      </c>
      <c r="I4681" t="s">
        <v>44</v>
      </c>
      <c r="J4681">
        <v>6</v>
      </c>
      <c r="K4681" t="s">
        <v>51</v>
      </c>
      <c r="L4681">
        <v>5</v>
      </c>
      <c r="M4681" t="str">
        <f>VLOOKUP(D4681,State_Lookup!$A$2:$B$28,2,FALSE)</f>
        <v>Espirito Santo</v>
      </c>
    </row>
    <row r="4682" spans="1:13" x14ac:dyDescent="0.45">
      <c r="A4682" t="s">
        <v>5405</v>
      </c>
      <c r="B4682" t="s">
        <v>5397</v>
      </c>
      <c r="C4682" t="s">
        <v>5398</v>
      </c>
      <c r="D4682" t="s">
        <v>16</v>
      </c>
      <c r="E4682" t="s">
        <v>192</v>
      </c>
      <c r="F4682">
        <v>1</v>
      </c>
      <c r="G4682">
        <v>34.9</v>
      </c>
      <c r="H4682">
        <v>12.9</v>
      </c>
      <c r="I4682" t="s">
        <v>50</v>
      </c>
      <c r="J4682">
        <v>9</v>
      </c>
      <c r="K4682" t="s">
        <v>51</v>
      </c>
      <c r="L4682">
        <v>5</v>
      </c>
      <c r="M4682" t="str">
        <f>VLOOKUP(D4682,State_Lookup!$A$2:$B$28,2,FALSE)</f>
        <v>Sao Paulo</v>
      </c>
    </row>
    <row r="4683" spans="1:13" x14ac:dyDescent="0.45">
      <c r="A4683" t="s">
        <v>5406</v>
      </c>
      <c r="B4683" t="s">
        <v>5397</v>
      </c>
      <c r="C4683" t="s">
        <v>5398</v>
      </c>
      <c r="D4683" t="s">
        <v>16</v>
      </c>
      <c r="E4683" t="s">
        <v>43</v>
      </c>
      <c r="F4683">
        <v>1</v>
      </c>
      <c r="G4683">
        <v>42.99</v>
      </c>
      <c r="H4683">
        <v>11.32</v>
      </c>
      <c r="I4683" t="s">
        <v>50</v>
      </c>
      <c r="J4683">
        <v>6</v>
      </c>
      <c r="K4683" t="s">
        <v>143</v>
      </c>
      <c r="L4683">
        <v>3</v>
      </c>
      <c r="M4683" t="str">
        <f>VLOOKUP(D4683,State_Lookup!$A$2:$B$28,2,FALSE)</f>
        <v>Sao Paulo</v>
      </c>
    </row>
    <row r="4684" spans="1:13" x14ac:dyDescent="0.45">
      <c r="A4684" t="s">
        <v>5407</v>
      </c>
      <c r="B4684" t="s">
        <v>5397</v>
      </c>
      <c r="C4684" t="s">
        <v>5398</v>
      </c>
      <c r="D4684" t="s">
        <v>23</v>
      </c>
      <c r="E4684" t="s">
        <v>69</v>
      </c>
      <c r="F4684">
        <v>1</v>
      </c>
      <c r="G4684">
        <v>229.9</v>
      </c>
      <c r="H4684">
        <v>28.59</v>
      </c>
      <c r="I4684" t="s">
        <v>44</v>
      </c>
      <c r="J4684">
        <v>9</v>
      </c>
      <c r="K4684" t="s">
        <v>51</v>
      </c>
      <c r="L4684">
        <v>5</v>
      </c>
      <c r="M4684" t="str">
        <f>VLOOKUP(D4684,State_Lookup!$A$2:$B$28,2,FALSE)</f>
        <v>Espirito Santo</v>
      </c>
    </row>
    <row r="4685" spans="1:13" x14ac:dyDescent="0.45">
      <c r="A4685" t="s">
        <v>5408</v>
      </c>
      <c r="B4685" t="s">
        <v>5397</v>
      </c>
      <c r="C4685" t="s">
        <v>5398</v>
      </c>
      <c r="D4685" t="s">
        <v>16</v>
      </c>
      <c r="E4685" t="s">
        <v>61</v>
      </c>
      <c r="F4685">
        <v>1</v>
      </c>
      <c r="G4685">
        <v>50.2</v>
      </c>
      <c r="H4685">
        <v>13.69</v>
      </c>
      <c r="I4685" t="s">
        <v>44</v>
      </c>
      <c r="J4685">
        <v>20</v>
      </c>
      <c r="K4685" t="s">
        <v>51</v>
      </c>
      <c r="L4685">
        <v>5</v>
      </c>
      <c r="M4685" t="str">
        <f>VLOOKUP(D4685,State_Lookup!$A$2:$B$28,2,FALSE)</f>
        <v>Sao Paulo</v>
      </c>
    </row>
    <row r="4686" spans="1:13" x14ac:dyDescent="0.45">
      <c r="A4686" t="s">
        <v>5409</v>
      </c>
      <c r="B4686" t="s">
        <v>5397</v>
      </c>
      <c r="C4686" t="s">
        <v>5398</v>
      </c>
      <c r="D4686" t="s">
        <v>18</v>
      </c>
      <c r="E4686" t="s">
        <v>269</v>
      </c>
      <c r="F4686">
        <v>1</v>
      </c>
      <c r="G4686">
        <v>61.1</v>
      </c>
      <c r="H4686">
        <v>23.23</v>
      </c>
      <c r="I4686" t="s">
        <v>50</v>
      </c>
      <c r="J4686">
        <v>15</v>
      </c>
      <c r="K4686" t="s">
        <v>51</v>
      </c>
      <c r="L4686">
        <v>4</v>
      </c>
      <c r="M4686" t="str">
        <f>VLOOKUP(D4686,State_Lookup!$A$2:$B$28,2,FALSE)</f>
        <v>Minas Gerais</v>
      </c>
    </row>
    <row r="4687" spans="1:13" x14ac:dyDescent="0.45">
      <c r="A4687" t="s">
        <v>5410</v>
      </c>
      <c r="B4687" t="s">
        <v>5397</v>
      </c>
      <c r="C4687" t="s">
        <v>5398</v>
      </c>
      <c r="D4687" t="s">
        <v>18</v>
      </c>
      <c r="E4687" t="s">
        <v>142</v>
      </c>
      <c r="F4687">
        <v>1</v>
      </c>
      <c r="G4687">
        <v>10</v>
      </c>
      <c r="H4687">
        <v>18.23</v>
      </c>
      <c r="I4687" t="s">
        <v>50</v>
      </c>
      <c r="J4687">
        <v>7</v>
      </c>
      <c r="K4687" t="s">
        <v>51</v>
      </c>
      <c r="L4687">
        <v>5</v>
      </c>
      <c r="M4687" t="str">
        <f>VLOOKUP(D4687,State_Lookup!$A$2:$B$28,2,FALSE)</f>
        <v>Minas Gerais</v>
      </c>
    </row>
    <row r="4688" spans="1:13" x14ac:dyDescent="0.45">
      <c r="A4688" t="s">
        <v>5411</v>
      </c>
      <c r="B4688" t="s">
        <v>5397</v>
      </c>
      <c r="C4688" t="s">
        <v>5398</v>
      </c>
      <c r="D4688" t="s">
        <v>16</v>
      </c>
      <c r="E4688" t="s">
        <v>79</v>
      </c>
      <c r="F4688">
        <v>2</v>
      </c>
      <c r="G4688">
        <v>113.8</v>
      </c>
      <c r="H4688">
        <v>22.84</v>
      </c>
      <c r="I4688" t="s">
        <v>133</v>
      </c>
      <c r="J4688">
        <v>5</v>
      </c>
      <c r="K4688" t="s">
        <v>143</v>
      </c>
      <c r="M4688" t="str">
        <f>VLOOKUP(D4688,State_Lookup!$A$2:$B$28,2,FALSE)</f>
        <v>Sao Paulo</v>
      </c>
    </row>
    <row r="4689" spans="1:13" x14ac:dyDescent="0.45">
      <c r="A4689" t="s">
        <v>5412</v>
      </c>
      <c r="B4689" t="s">
        <v>5397</v>
      </c>
      <c r="C4689" t="s">
        <v>5398</v>
      </c>
      <c r="D4689" t="s">
        <v>25</v>
      </c>
      <c r="E4689" t="s">
        <v>43</v>
      </c>
      <c r="F4689">
        <v>1</v>
      </c>
      <c r="G4689">
        <v>37.9</v>
      </c>
      <c r="H4689">
        <v>16.46</v>
      </c>
      <c r="I4689" t="s">
        <v>44</v>
      </c>
      <c r="J4689">
        <v>9</v>
      </c>
      <c r="K4689" t="s">
        <v>51</v>
      </c>
      <c r="L4689">
        <v>5</v>
      </c>
      <c r="M4689" t="str">
        <f>VLOOKUP(D4689,State_Lookup!$A$2:$B$28,2,FALSE)</f>
        <v>Goias</v>
      </c>
    </row>
    <row r="4690" spans="1:13" x14ac:dyDescent="0.45">
      <c r="A4690" t="s">
        <v>5413</v>
      </c>
      <c r="B4690" t="s">
        <v>5414</v>
      </c>
      <c r="C4690" t="s">
        <v>5398</v>
      </c>
      <c r="D4690" t="s">
        <v>16</v>
      </c>
      <c r="E4690" t="s">
        <v>157</v>
      </c>
      <c r="F4690">
        <v>1</v>
      </c>
      <c r="G4690">
        <v>78</v>
      </c>
      <c r="H4690">
        <v>7.81</v>
      </c>
      <c r="I4690" t="s">
        <v>44</v>
      </c>
      <c r="J4690">
        <v>1</v>
      </c>
      <c r="K4690" t="s">
        <v>51</v>
      </c>
      <c r="L4690">
        <v>5</v>
      </c>
      <c r="M4690" t="str">
        <f>VLOOKUP(D4690,State_Lookup!$A$2:$B$28,2,FALSE)</f>
        <v>Sao Paulo</v>
      </c>
    </row>
    <row r="4691" spans="1:13" x14ac:dyDescent="0.45">
      <c r="A4691" t="s">
        <v>5415</v>
      </c>
      <c r="B4691" t="s">
        <v>5414</v>
      </c>
      <c r="C4691" t="s">
        <v>5398</v>
      </c>
      <c r="D4691" t="s">
        <v>21</v>
      </c>
      <c r="E4691" t="s">
        <v>53</v>
      </c>
      <c r="F4691">
        <v>1</v>
      </c>
      <c r="G4691">
        <v>121.75</v>
      </c>
      <c r="H4691">
        <v>23.65</v>
      </c>
      <c r="I4691" t="s">
        <v>44</v>
      </c>
      <c r="J4691">
        <v>6</v>
      </c>
      <c r="K4691" t="s">
        <v>51</v>
      </c>
      <c r="L4691">
        <v>5</v>
      </c>
      <c r="M4691" t="str">
        <f>VLOOKUP(D4691,State_Lookup!$A$2:$B$28,2,FALSE)</f>
        <v>Santa Catarina</v>
      </c>
    </row>
    <row r="4692" spans="1:13" x14ac:dyDescent="0.45">
      <c r="A4692" t="s">
        <v>5416</v>
      </c>
      <c r="B4692" t="s">
        <v>5414</v>
      </c>
      <c r="C4692" t="s">
        <v>5398</v>
      </c>
      <c r="D4692" t="s">
        <v>21</v>
      </c>
      <c r="E4692" t="s">
        <v>269</v>
      </c>
      <c r="F4692">
        <v>1</v>
      </c>
      <c r="G4692">
        <v>45.97</v>
      </c>
      <c r="H4692">
        <v>19.510000000000002</v>
      </c>
      <c r="I4692" t="s">
        <v>44</v>
      </c>
      <c r="J4692">
        <v>7</v>
      </c>
      <c r="K4692" t="s">
        <v>51</v>
      </c>
      <c r="L4692">
        <v>5</v>
      </c>
      <c r="M4692" t="str">
        <f>VLOOKUP(D4692,State_Lookup!$A$2:$B$28,2,FALSE)</f>
        <v>Santa Catarina</v>
      </c>
    </row>
    <row r="4693" spans="1:13" x14ac:dyDescent="0.45">
      <c r="A4693" t="s">
        <v>5417</v>
      </c>
      <c r="B4693" t="s">
        <v>5414</v>
      </c>
      <c r="C4693" t="s">
        <v>5398</v>
      </c>
      <c r="D4693" t="s">
        <v>16</v>
      </c>
      <c r="E4693" t="s">
        <v>110</v>
      </c>
      <c r="F4693">
        <v>1</v>
      </c>
      <c r="G4693">
        <v>52.9</v>
      </c>
      <c r="H4693">
        <v>14.68</v>
      </c>
      <c r="I4693" t="s">
        <v>44</v>
      </c>
      <c r="J4693">
        <v>11</v>
      </c>
      <c r="K4693" t="s">
        <v>143</v>
      </c>
      <c r="L4693">
        <v>3</v>
      </c>
      <c r="M4693" t="str">
        <f>VLOOKUP(D4693,State_Lookup!$A$2:$B$28,2,FALSE)</f>
        <v>Sao Paulo</v>
      </c>
    </row>
    <row r="4694" spans="1:13" x14ac:dyDescent="0.45">
      <c r="A4694" t="s">
        <v>5418</v>
      </c>
      <c r="B4694" t="s">
        <v>5414</v>
      </c>
      <c r="C4694" t="s">
        <v>5398</v>
      </c>
      <c r="D4694" t="s">
        <v>16</v>
      </c>
      <c r="E4694" t="s">
        <v>269</v>
      </c>
      <c r="F4694">
        <v>1</v>
      </c>
      <c r="G4694">
        <v>148</v>
      </c>
      <c r="H4694">
        <v>23.84</v>
      </c>
      <c r="I4694" t="s">
        <v>44</v>
      </c>
      <c r="J4694">
        <v>6</v>
      </c>
      <c r="K4694" t="s">
        <v>51</v>
      </c>
      <c r="L4694">
        <v>4</v>
      </c>
      <c r="M4694" t="str">
        <f>VLOOKUP(D4694,State_Lookup!$A$2:$B$28,2,FALSE)</f>
        <v>Sao Paulo</v>
      </c>
    </row>
    <row r="4695" spans="1:13" x14ac:dyDescent="0.45">
      <c r="A4695" t="s">
        <v>5419</v>
      </c>
      <c r="B4695" t="s">
        <v>5414</v>
      </c>
      <c r="C4695" t="s">
        <v>5398</v>
      </c>
      <c r="D4695" t="s">
        <v>16</v>
      </c>
      <c r="E4695" t="s">
        <v>142</v>
      </c>
      <c r="F4695">
        <v>1</v>
      </c>
      <c r="G4695">
        <v>13.5</v>
      </c>
      <c r="H4695">
        <v>7.39</v>
      </c>
      <c r="I4695" t="s">
        <v>108</v>
      </c>
      <c r="J4695">
        <v>7</v>
      </c>
      <c r="K4695" t="s">
        <v>143</v>
      </c>
      <c r="L4695">
        <v>3</v>
      </c>
      <c r="M4695" t="str">
        <f>VLOOKUP(D4695,State_Lookup!$A$2:$B$28,2,FALSE)</f>
        <v>Sao Paulo</v>
      </c>
    </row>
    <row r="4696" spans="1:13" x14ac:dyDescent="0.45">
      <c r="A4696" t="s">
        <v>5420</v>
      </c>
      <c r="B4696" t="s">
        <v>5414</v>
      </c>
      <c r="C4696" t="s">
        <v>5398</v>
      </c>
      <c r="D4696" t="s">
        <v>20</v>
      </c>
      <c r="E4696" t="s">
        <v>3470</v>
      </c>
      <c r="F4696">
        <v>1</v>
      </c>
      <c r="G4696">
        <v>9.8800000000000008</v>
      </c>
      <c r="H4696">
        <v>13.47</v>
      </c>
      <c r="I4696" t="s">
        <v>44</v>
      </c>
      <c r="J4696">
        <v>5</v>
      </c>
      <c r="K4696" t="s">
        <v>51</v>
      </c>
      <c r="L4696">
        <v>5</v>
      </c>
      <c r="M4696" t="str">
        <f>VLOOKUP(D4696,State_Lookup!$A$2:$B$28,2,FALSE)</f>
        <v>Parana</v>
      </c>
    </row>
    <row r="4697" spans="1:13" x14ac:dyDescent="0.45">
      <c r="A4697" t="s">
        <v>5421</v>
      </c>
      <c r="B4697" t="s">
        <v>5414</v>
      </c>
      <c r="C4697" t="s">
        <v>5398</v>
      </c>
      <c r="D4697" t="s">
        <v>16</v>
      </c>
      <c r="E4697" t="s">
        <v>79</v>
      </c>
      <c r="F4697">
        <v>1</v>
      </c>
      <c r="G4697">
        <v>527.9</v>
      </c>
      <c r="H4697">
        <v>21.8</v>
      </c>
      <c r="I4697" t="s">
        <v>50</v>
      </c>
      <c r="J4697">
        <v>32</v>
      </c>
      <c r="K4697" t="s">
        <v>143</v>
      </c>
      <c r="L4697">
        <v>1</v>
      </c>
      <c r="M4697" t="str">
        <f>VLOOKUP(D4697,State_Lookup!$A$2:$B$28,2,FALSE)</f>
        <v>Sao Paulo</v>
      </c>
    </row>
    <row r="4698" spans="1:13" x14ac:dyDescent="0.45">
      <c r="A4698" t="s">
        <v>5422</v>
      </c>
      <c r="B4698" t="s">
        <v>5414</v>
      </c>
      <c r="C4698" t="s">
        <v>5398</v>
      </c>
      <c r="D4698" t="s">
        <v>249</v>
      </c>
      <c r="E4698" t="s">
        <v>58</v>
      </c>
      <c r="F4698">
        <v>1</v>
      </c>
      <c r="G4698">
        <v>171.9</v>
      </c>
      <c r="H4698">
        <v>28.48</v>
      </c>
      <c r="I4698" t="s">
        <v>133</v>
      </c>
      <c r="J4698">
        <v>13</v>
      </c>
      <c r="K4698" t="s">
        <v>51</v>
      </c>
      <c r="L4698">
        <v>5</v>
      </c>
      <c r="M4698" t="str">
        <f>VLOOKUP(D4698,State_Lookup!$A$2:$B$28,2,FALSE)</f>
        <v>Tocantins</v>
      </c>
    </row>
    <row r="4699" spans="1:13" x14ac:dyDescent="0.45">
      <c r="A4699" t="s">
        <v>5423</v>
      </c>
      <c r="B4699" t="s">
        <v>5414</v>
      </c>
      <c r="C4699" t="s">
        <v>5398</v>
      </c>
      <c r="D4699" t="s">
        <v>16</v>
      </c>
      <c r="E4699" t="s">
        <v>69</v>
      </c>
      <c r="F4699">
        <v>1</v>
      </c>
      <c r="G4699">
        <v>35</v>
      </c>
      <c r="H4699">
        <v>14.56</v>
      </c>
      <c r="I4699" t="s">
        <v>44</v>
      </c>
      <c r="J4699">
        <v>6</v>
      </c>
      <c r="K4699" t="s">
        <v>51</v>
      </c>
      <c r="L4699">
        <v>2</v>
      </c>
      <c r="M4699" t="str">
        <f>VLOOKUP(D4699,State_Lookup!$A$2:$B$28,2,FALSE)</f>
        <v>Sao Paulo</v>
      </c>
    </row>
    <row r="4700" spans="1:13" x14ac:dyDescent="0.45">
      <c r="A4700" t="s">
        <v>5424</v>
      </c>
      <c r="B4700" t="s">
        <v>5414</v>
      </c>
      <c r="C4700" t="s">
        <v>5398</v>
      </c>
      <c r="D4700" t="s">
        <v>18</v>
      </c>
      <c r="E4700" t="s">
        <v>1900</v>
      </c>
      <c r="F4700">
        <v>1</v>
      </c>
      <c r="G4700">
        <v>144.9</v>
      </c>
      <c r="H4700">
        <v>21.65</v>
      </c>
      <c r="I4700" t="s">
        <v>44</v>
      </c>
      <c r="J4700">
        <v>5</v>
      </c>
      <c r="K4700" t="s">
        <v>51</v>
      </c>
      <c r="L4700">
        <v>5</v>
      </c>
      <c r="M4700" t="str">
        <f>VLOOKUP(D4700,State_Lookup!$A$2:$B$28,2,FALSE)</f>
        <v>Minas Gerais</v>
      </c>
    </row>
    <row r="4701" spans="1:13" x14ac:dyDescent="0.45">
      <c r="A4701" t="s">
        <v>5425</v>
      </c>
      <c r="B4701" t="s">
        <v>5414</v>
      </c>
      <c r="C4701" t="s">
        <v>5398</v>
      </c>
      <c r="D4701" t="s">
        <v>16</v>
      </c>
      <c r="E4701" t="s">
        <v>199</v>
      </c>
      <c r="F4701">
        <v>1</v>
      </c>
      <c r="G4701">
        <v>56.9</v>
      </c>
      <c r="H4701">
        <v>13.98</v>
      </c>
      <c r="I4701" t="s">
        <v>44</v>
      </c>
      <c r="J4701">
        <v>7</v>
      </c>
      <c r="K4701" t="s">
        <v>51</v>
      </c>
      <c r="L4701">
        <v>4</v>
      </c>
      <c r="M4701" t="str">
        <f>VLOOKUP(D4701,State_Lookup!$A$2:$B$28,2,FALSE)</f>
        <v>Sao Paulo</v>
      </c>
    </row>
    <row r="4702" spans="1:13" x14ac:dyDescent="0.45">
      <c r="A4702" t="s">
        <v>5426</v>
      </c>
      <c r="B4702" t="s">
        <v>5414</v>
      </c>
      <c r="C4702" t="s">
        <v>5398</v>
      </c>
      <c r="D4702" t="s">
        <v>16</v>
      </c>
      <c r="E4702" t="s">
        <v>110</v>
      </c>
      <c r="F4702">
        <v>1</v>
      </c>
      <c r="G4702">
        <v>52.9</v>
      </c>
      <c r="H4702">
        <v>14.68</v>
      </c>
      <c r="I4702" t="s">
        <v>44</v>
      </c>
      <c r="J4702">
        <v>11</v>
      </c>
      <c r="K4702" t="s">
        <v>143</v>
      </c>
      <c r="L4702">
        <v>5</v>
      </c>
      <c r="M4702" t="str">
        <f>VLOOKUP(D4702,State_Lookup!$A$2:$B$28,2,FALSE)</f>
        <v>Sao Paulo</v>
      </c>
    </row>
    <row r="4703" spans="1:13" x14ac:dyDescent="0.45">
      <c r="A4703" t="s">
        <v>5427</v>
      </c>
      <c r="B4703" t="s">
        <v>5428</v>
      </c>
      <c r="C4703" t="s">
        <v>5398</v>
      </c>
      <c r="D4703" t="s">
        <v>16</v>
      </c>
      <c r="E4703" t="s">
        <v>49</v>
      </c>
      <c r="F4703">
        <v>1</v>
      </c>
      <c r="G4703">
        <v>89.9</v>
      </c>
      <c r="H4703">
        <v>23.43</v>
      </c>
      <c r="I4703" t="s">
        <v>44</v>
      </c>
      <c r="J4703">
        <v>10</v>
      </c>
      <c r="K4703" t="s">
        <v>51</v>
      </c>
      <c r="L4703">
        <v>5</v>
      </c>
      <c r="M4703" t="str">
        <f>VLOOKUP(D4703,State_Lookup!$A$2:$B$28,2,FALSE)</f>
        <v>Sao Paulo</v>
      </c>
    </row>
    <row r="4704" spans="1:13" x14ac:dyDescent="0.45">
      <c r="A4704" t="s">
        <v>5429</v>
      </c>
      <c r="B4704" t="s">
        <v>5428</v>
      </c>
      <c r="C4704" t="s">
        <v>5398</v>
      </c>
      <c r="D4704" t="s">
        <v>20</v>
      </c>
      <c r="E4704" t="s">
        <v>43</v>
      </c>
      <c r="F4704">
        <v>1</v>
      </c>
      <c r="G4704">
        <v>49</v>
      </c>
      <c r="H4704">
        <v>13.68</v>
      </c>
      <c r="I4704" t="s">
        <v>44</v>
      </c>
      <c r="J4704">
        <v>9</v>
      </c>
      <c r="K4704" t="s">
        <v>51</v>
      </c>
      <c r="L4704">
        <v>5</v>
      </c>
      <c r="M4704" t="str">
        <f>VLOOKUP(D4704,State_Lookup!$A$2:$B$28,2,FALSE)</f>
        <v>Parana</v>
      </c>
    </row>
    <row r="4705" spans="1:13" x14ac:dyDescent="0.45">
      <c r="A4705" t="s">
        <v>5430</v>
      </c>
      <c r="B4705" t="s">
        <v>5428</v>
      </c>
      <c r="C4705" t="s">
        <v>5398</v>
      </c>
      <c r="D4705" t="s">
        <v>16</v>
      </c>
      <c r="E4705" t="s">
        <v>61</v>
      </c>
      <c r="F4705">
        <v>1</v>
      </c>
      <c r="G4705">
        <v>139</v>
      </c>
      <c r="H4705">
        <v>19.07</v>
      </c>
      <c r="I4705" t="s">
        <v>44</v>
      </c>
      <c r="J4705">
        <v>11</v>
      </c>
      <c r="K4705" t="s">
        <v>51</v>
      </c>
      <c r="L4705">
        <v>5</v>
      </c>
      <c r="M4705" t="str">
        <f>VLOOKUP(D4705,State_Lookup!$A$2:$B$28,2,FALSE)</f>
        <v>Sao Paulo</v>
      </c>
    </row>
    <row r="4706" spans="1:13" x14ac:dyDescent="0.45">
      <c r="A4706" t="s">
        <v>5431</v>
      </c>
      <c r="B4706" t="s">
        <v>5428</v>
      </c>
      <c r="C4706" t="s">
        <v>5398</v>
      </c>
      <c r="D4706" t="s">
        <v>22</v>
      </c>
      <c r="E4706" t="s">
        <v>66</v>
      </c>
      <c r="F4706">
        <v>1</v>
      </c>
      <c r="G4706">
        <v>170</v>
      </c>
      <c r="H4706">
        <v>10.32</v>
      </c>
      <c r="I4706" t="s">
        <v>44</v>
      </c>
      <c r="K4706" t="s">
        <v>45</v>
      </c>
      <c r="L4706">
        <v>4</v>
      </c>
      <c r="M4706" t="str">
        <f>VLOOKUP(D4706,State_Lookup!$A$2:$B$28,2,FALSE)</f>
        <v>Bahia</v>
      </c>
    </row>
    <row r="4707" spans="1:13" x14ac:dyDescent="0.45">
      <c r="A4707" t="s">
        <v>5432</v>
      </c>
      <c r="B4707" t="s">
        <v>5428</v>
      </c>
      <c r="C4707" t="s">
        <v>5398</v>
      </c>
      <c r="D4707" t="s">
        <v>16</v>
      </c>
      <c r="E4707" t="s">
        <v>79</v>
      </c>
      <c r="F4707">
        <v>1</v>
      </c>
      <c r="G4707">
        <v>109.22</v>
      </c>
      <c r="H4707">
        <v>9.52</v>
      </c>
      <c r="I4707" t="s">
        <v>44</v>
      </c>
      <c r="J4707">
        <v>3</v>
      </c>
      <c r="K4707" t="s">
        <v>51</v>
      </c>
      <c r="L4707">
        <v>5</v>
      </c>
      <c r="M4707" t="str">
        <f>VLOOKUP(D4707,State_Lookup!$A$2:$B$28,2,FALSE)</f>
        <v>Sao Paulo</v>
      </c>
    </row>
    <row r="4708" spans="1:13" x14ac:dyDescent="0.45">
      <c r="A4708" t="s">
        <v>5433</v>
      </c>
      <c r="B4708" t="s">
        <v>5428</v>
      </c>
      <c r="C4708" t="s">
        <v>5398</v>
      </c>
      <c r="D4708" t="s">
        <v>18</v>
      </c>
      <c r="E4708" t="s">
        <v>79</v>
      </c>
      <c r="F4708">
        <v>1</v>
      </c>
      <c r="G4708">
        <v>199.9</v>
      </c>
      <c r="H4708">
        <v>24.2</v>
      </c>
      <c r="I4708" t="s">
        <v>44</v>
      </c>
      <c r="J4708">
        <v>7</v>
      </c>
      <c r="K4708" t="s">
        <v>51</v>
      </c>
      <c r="L4708">
        <v>5</v>
      </c>
      <c r="M4708" t="str">
        <f>VLOOKUP(D4708,State_Lookup!$A$2:$B$28,2,FALSE)</f>
        <v>Minas Gerais</v>
      </c>
    </row>
    <row r="4709" spans="1:13" x14ac:dyDescent="0.45">
      <c r="A4709" t="s">
        <v>5434</v>
      </c>
      <c r="B4709" t="s">
        <v>5428</v>
      </c>
      <c r="C4709" t="s">
        <v>5398</v>
      </c>
      <c r="D4709" t="s">
        <v>16</v>
      </c>
      <c r="E4709" t="s">
        <v>64</v>
      </c>
      <c r="F4709">
        <v>1</v>
      </c>
      <c r="G4709">
        <v>114.08</v>
      </c>
      <c r="H4709">
        <v>13.46</v>
      </c>
      <c r="I4709" t="s">
        <v>44</v>
      </c>
      <c r="J4709">
        <v>9</v>
      </c>
      <c r="K4709" t="s">
        <v>51</v>
      </c>
      <c r="L4709">
        <v>5</v>
      </c>
      <c r="M4709" t="str">
        <f>VLOOKUP(D4709,State_Lookup!$A$2:$B$28,2,FALSE)</f>
        <v>Sao Paulo</v>
      </c>
    </row>
    <row r="4710" spans="1:13" x14ac:dyDescent="0.45">
      <c r="A4710" t="s">
        <v>5435</v>
      </c>
      <c r="B4710" t="s">
        <v>5428</v>
      </c>
      <c r="C4710" t="s">
        <v>5398</v>
      </c>
      <c r="D4710" t="s">
        <v>16</v>
      </c>
      <c r="E4710" t="s">
        <v>79</v>
      </c>
      <c r="F4710">
        <v>1</v>
      </c>
      <c r="G4710">
        <v>109.22</v>
      </c>
      <c r="H4710">
        <v>9.52</v>
      </c>
      <c r="I4710" t="s">
        <v>44</v>
      </c>
      <c r="J4710">
        <v>4</v>
      </c>
      <c r="K4710" t="s">
        <v>51</v>
      </c>
      <c r="L4710">
        <v>5</v>
      </c>
      <c r="M4710" t="str">
        <f>VLOOKUP(D4710,State_Lookup!$A$2:$B$28,2,FALSE)</f>
        <v>Sao Paulo</v>
      </c>
    </row>
    <row r="4711" spans="1:13" x14ac:dyDescent="0.45">
      <c r="A4711" t="s">
        <v>5436</v>
      </c>
      <c r="B4711" t="s">
        <v>5428</v>
      </c>
      <c r="C4711" t="s">
        <v>5398</v>
      </c>
      <c r="D4711" t="s">
        <v>16</v>
      </c>
      <c r="E4711" t="s">
        <v>157</v>
      </c>
      <c r="F4711">
        <v>1</v>
      </c>
      <c r="G4711">
        <v>58</v>
      </c>
      <c r="H4711">
        <v>13.07</v>
      </c>
      <c r="I4711" t="s">
        <v>44</v>
      </c>
      <c r="J4711">
        <v>5</v>
      </c>
      <c r="K4711" t="s">
        <v>51</v>
      </c>
      <c r="L4711">
        <v>4</v>
      </c>
      <c r="M4711" t="str">
        <f>VLOOKUP(D4711,State_Lookup!$A$2:$B$28,2,FALSE)</f>
        <v>Sao Paulo</v>
      </c>
    </row>
    <row r="4712" spans="1:13" x14ac:dyDescent="0.45">
      <c r="A4712" t="s">
        <v>5437</v>
      </c>
      <c r="B4712" t="s">
        <v>5428</v>
      </c>
      <c r="C4712" t="s">
        <v>5398</v>
      </c>
      <c r="D4712" t="s">
        <v>194</v>
      </c>
      <c r="E4712" t="s">
        <v>79</v>
      </c>
      <c r="F4712">
        <v>1</v>
      </c>
      <c r="G4712">
        <v>175.06</v>
      </c>
      <c r="H4712">
        <v>19.03</v>
      </c>
      <c r="I4712" t="s">
        <v>44</v>
      </c>
      <c r="J4712">
        <v>21</v>
      </c>
      <c r="K4712" t="s">
        <v>143</v>
      </c>
      <c r="L4712">
        <v>1</v>
      </c>
      <c r="M4712" t="str">
        <f>VLOOKUP(D4712,State_Lookup!$A$2:$B$28,2,FALSE)</f>
        <v>Mato Grosso do Sul</v>
      </c>
    </row>
    <row r="4713" spans="1:13" x14ac:dyDescent="0.45">
      <c r="A4713" t="s">
        <v>5438</v>
      </c>
      <c r="B4713" t="s">
        <v>5428</v>
      </c>
      <c r="C4713" t="s">
        <v>5398</v>
      </c>
      <c r="D4713" t="s">
        <v>19</v>
      </c>
      <c r="E4713" t="s">
        <v>66</v>
      </c>
      <c r="F4713">
        <v>1</v>
      </c>
      <c r="G4713">
        <v>13.47</v>
      </c>
      <c r="H4713">
        <v>18.23</v>
      </c>
      <c r="I4713" t="s">
        <v>44</v>
      </c>
      <c r="J4713">
        <v>13</v>
      </c>
      <c r="K4713" t="s">
        <v>51</v>
      </c>
      <c r="L4713">
        <v>5</v>
      </c>
      <c r="M4713" t="str">
        <f>VLOOKUP(D4713,State_Lookup!$A$2:$B$28,2,FALSE)</f>
        <v>Rio Grande do Sul</v>
      </c>
    </row>
    <row r="4714" spans="1:13" x14ac:dyDescent="0.45">
      <c r="A4714" t="s">
        <v>5439</v>
      </c>
      <c r="B4714" t="s">
        <v>5428</v>
      </c>
      <c r="C4714" t="s">
        <v>5398</v>
      </c>
      <c r="D4714" t="s">
        <v>16</v>
      </c>
      <c r="E4714" t="s">
        <v>157</v>
      </c>
      <c r="F4714">
        <v>1</v>
      </c>
      <c r="G4714">
        <v>78</v>
      </c>
      <c r="H4714">
        <v>13.21</v>
      </c>
      <c r="I4714" t="s">
        <v>44</v>
      </c>
      <c r="J4714">
        <v>5</v>
      </c>
      <c r="K4714" t="s">
        <v>51</v>
      </c>
      <c r="L4714">
        <v>5</v>
      </c>
      <c r="M4714" t="str">
        <f>VLOOKUP(D4714,State_Lookup!$A$2:$B$28,2,FALSE)</f>
        <v>Sao Paulo</v>
      </c>
    </row>
    <row r="4715" spans="1:13" x14ac:dyDescent="0.45">
      <c r="A4715" t="s">
        <v>5440</v>
      </c>
      <c r="B4715" t="s">
        <v>5428</v>
      </c>
      <c r="C4715" t="s">
        <v>5398</v>
      </c>
      <c r="D4715" t="s">
        <v>194</v>
      </c>
      <c r="E4715" t="s">
        <v>269</v>
      </c>
      <c r="F4715">
        <v>1</v>
      </c>
      <c r="G4715">
        <v>39.9</v>
      </c>
      <c r="H4715">
        <v>18.079999999999998</v>
      </c>
      <c r="I4715" t="s">
        <v>44</v>
      </c>
      <c r="J4715">
        <v>20</v>
      </c>
      <c r="K4715" t="s">
        <v>143</v>
      </c>
      <c r="L4715">
        <v>1</v>
      </c>
      <c r="M4715" t="str">
        <f>VLOOKUP(D4715,State_Lookup!$A$2:$B$28,2,FALSE)</f>
        <v>Mato Grosso do Sul</v>
      </c>
    </row>
    <row r="4716" spans="1:13" x14ac:dyDescent="0.45">
      <c r="A4716" t="s">
        <v>5441</v>
      </c>
      <c r="B4716" t="s">
        <v>5428</v>
      </c>
      <c r="C4716" t="s">
        <v>5398</v>
      </c>
      <c r="D4716" t="s">
        <v>20</v>
      </c>
      <c r="E4716" t="s">
        <v>49</v>
      </c>
      <c r="F4716">
        <v>1</v>
      </c>
      <c r="G4716">
        <v>43</v>
      </c>
      <c r="H4716">
        <v>18.399999999999999</v>
      </c>
      <c r="I4716" t="s">
        <v>44</v>
      </c>
      <c r="J4716">
        <v>4</v>
      </c>
      <c r="K4716" t="s">
        <v>51</v>
      </c>
      <c r="L4716">
        <v>4</v>
      </c>
      <c r="M4716" t="str">
        <f>VLOOKUP(D4716,State_Lookup!$A$2:$B$28,2,FALSE)</f>
        <v>Parana</v>
      </c>
    </row>
    <row r="4717" spans="1:13" x14ac:dyDescent="0.45">
      <c r="A4717" t="s">
        <v>5442</v>
      </c>
      <c r="B4717" t="s">
        <v>5428</v>
      </c>
      <c r="C4717" t="s">
        <v>5398</v>
      </c>
      <c r="D4717" t="s">
        <v>122</v>
      </c>
      <c r="E4717" t="s">
        <v>142</v>
      </c>
      <c r="F4717">
        <v>1</v>
      </c>
      <c r="G4717">
        <v>180</v>
      </c>
      <c r="H4717">
        <v>43.54</v>
      </c>
      <c r="I4717" t="s">
        <v>44</v>
      </c>
      <c r="J4717">
        <v>12</v>
      </c>
      <c r="K4717" t="s">
        <v>51</v>
      </c>
      <c r="L4717">
        <v>5</v>
      </c>
      <c r="M4717" t="str">
        <f>VLOOKUP(D4717,State_Lookup!$A$2:$B$28,2,FALSE)</f>
        <v>Para</v>
      </c>
    </row>
    <row r="4718" spans="1:13" x14ac:dyDescent="0.45">
      <c r="A4718" t="s">
        <v>5443</v>
      </c>
      <c r="B4718" t="s">
        <v>5428</v>
      </c>
      <c r="C4718" t="s">
        <v>5398</v>
      </c>
      <c r="D4718" t="s">
        <v>18</v>
      </c>
      <c r="E4718" t="s">
        <v>49</v>
      </c>
      <c r="F4718">
        <v>1</v>
      </c>
      <c r="G4718">
        <v>28.9</v>
      </c>
      <c r="H4718">
        <v>23.35</v>
      </c>
      <c r="I4718" t="s">
        <v>50</v>
      </c>
      <c r="J4718">
        <v>12</v>
      </c>
      <c r="K4718" t="s">
        <v>143</v>
      </c>
      <c r="L4718">
        <v>5</v>
      </c>
      <c r="M4718" t="str">
        <f>VLOOKUP(D4718,State_Lookup!$A$2:$B$28,2,FALSE)</f>
        <v>Minas Gerais</v>
      </c>
    </row>
    <row r="4719" spans="1:13" x14ac:dyDescent="0.45">
      <c r="A4719" t="s">
        <v>5444</v>
      </c>
      <c r="B4719" t="s">
        <v>5428</v>
      </c>
      <c r="C4719" t="s">
        <v>5398</v>
      </c>
      <c r="D4719" t="s">
        <v>18</v>
      </c>
      <c r="E4719" t="s">
        <v>61</v>
      </c>
      <c r="F4719">
        <v>1</v>
      </c>
      <c r="G4719">
        <v>189</v>
      </c>
      <c r="H4719">
        <v>19.420000000000002</v>
      </c>
      <c r="I4719" t="s">
        <v>50</v>
      </c>
      <c r="J4719">
        <v>7</v>
      </c>
      <c r="K4719" t="s">
        <v>51</v>
      </c>
      <c r="L4719">
        <v>5</v>
      </c>
      <c r="M4719" t="str">
        <f>VLOOKUP(D4719,State_Lookup!$A$2:$B$28,2,FALSE)</f>
        <v>Minas Gerais</v>
      </c>
    </row>
    <row r="4720" spans="1:13" x14ac:dyDescent="0.45">
      <c r="A4720" t="s">
        <v>5445</v>
      </c>
      <c r="B4720" t="s">
        <v>5446</v>
      </c>
      <c r="C4720" t="s">
        <v>5398</v>
      </c>
      <c r="D4720" t="s">
        <v>18</v>
      </c>
      <c r="E4720" t="s">
        <v>142</v>
      </c>
      <c r="F4720">
        <v>1</v>
      </c>
      <c r="G4720">
        <v>59.99</v>
      </c>
      <c r="H4720">
        <v>21.72</v>
      </c>
      <c r="I4720" t="s">
        <v>50</v>
      </c>
      <c r="J4720">
        <v>16</v>
      </c>
      <c r="K4720" t="s">
        <v>51</v>
      </c>
      <c r="L4720">
        <v>4</v>
      </c>
      <c r="M4720" t="str">
        <f>VLOOKUP(D4720,State_Lookup!$A$2:$B$28,2,FALSE)</f>
        <v>Minas Gerais</v>
      </c>
    </row>
    <row r="4721" spans="1:13" x14ac:dyDescent="0.45">
      <c r="A4721" t="s">
        <v>5447</v>
      </c>
      <c r="B4721" t="s">
        <v>5446</v>
      </c>
      <c r="C4721" t="s">
        <v>5398</v>
      </c>
      <c r="D4721" t="s">
        <v>16</v>
      </c>
      <c r="E4721" t="s">
        <v>244</v>
      </c>
      <c r="F4721">
        <v>1</v>
      </c>
      <c r="G4721">
        <v>29</v>
      </c>
      <c r="H4721">
        <v>7.46</v>
      </c>
      <c r="I4721" t="s">
        <v>44</v>
      </c>
      <c r="J4721">
        <v>17</v>
      </c>
      <c r="K4721" t="s">
        <v>143</v>
      </c>
      <c r="L4721">
        <v>4</v>
      </c>
      <c r="M4721" t="str">
        <f>VLOOKUP(D4721,State_Lookup!$A$2:$B$28,2,FALSE)</f>
        <v>Sao Paulo</v>
      </c>
    </row>
    <row r="4722" spans="1:13" x14ac:dyDescent="0.45">
      <c r="A4722" t="s">
        <v>5448</v>
      </c>
      <c r="B4722" t="s">
        <v>5446</v>
      </c>
      <c r="C4722" t="s">
        <v>5398</v>
      </c>
      <c r="D4722" t="s">
        <v>16</v>
      </c>
      <c r="E4722" t="s">
        <v>61</v>
      </c>
      <c r="F4722">
        <v>1</v>
      </c>
      <c r="G4722">
        <v>82</v>
      </c>
      <c r="H4722">
        <v>13.87</v>
      </c>
      <c r="I4722" t="s">
        <v>44</v>
      </c>
      <c r="J4722">
        <v>9</v>
      </c>
      <c r="K4722" t="s">
        <v>143</v>
      </c>
      <c r="L4722">
        <v>2</v>
      </c>
      <c r="M4722" t="str">
        <f>VLOOKUP(D4722,State_Lookup!$A$2:$B$28,2,FALSE)</f>
        <v>Sao Paulo</v>
      </c>
    </row>
    <row r="4723" spans="1:13" x14ac:dyDescent="0.45">
      <c r="A4723" t="s">
        <v>5449</v>
      </c>
      <c r="B4723" t="s">
        <v>5446</v>
      </c>
      <c r="C4723" t="s">
        <v>5398</v>
      </c>
      <c r="D4723" t="s">
        <v>16</v>
      </c>
      <c r="E4723" t="s">
        <v>107</v>
      </c>
      <c r="F4723">
        <v>1</v>
      </c>
      <c r="G4723">
        <v>30</v>
      </c>
      <c r="H4723">
        <v>8.9600000000000009</v>
      </c>
      <c r="I4723" t="s">
        <v>50</v>
      </c>
      <c r="J4723">
        <v>10</v>
      </c>
      <c r="K4723" t="s">
        <v>143</v>
      </c>
      <c r="L4723">
        <v>5</v>
      </c>
      <c r="M4723" t="str">
        <f>VLOOKUP(D4723,State_Lookup!$A$2:$B$28,2,FALSE)</f>
        <v>Sao Paulo</v>
      </c>
    </row>
    <row r="4724" spans="1:13" x14ac:dyDescent="0.45">
      <c r="A4724" t="s">
        <v>5450</v>
      </c>
      <c r="B4724" t="s">
        <v>5446</v>
      </c>
      <c r="C4724" t="s">
        <v>5398</v>
      </c>
      <c r="D4724" t="s">
        <v>21</v>
      </c>
      <c r="E4724" t="s">
        <v>66</v>
      </c>
      <c r="F4724">
        <v>1</v>
      </c>
      <c r="G4724">
        <v>170</v>
      </c>
      <c r="H4724">
        <v>53.54</v>
      </c>
      <c r="I4724" t="s">
        <v>133</v>
      </c>
      <c r="J4724">
        <v>16</v>
      </c>
      <c r="K4724" t="s">
        <v>51</v>
      </c>
      <c r="L4724">
        <v>5</v>
      </c>
      <c r="M4724" t="str">
        <f>VLOOKUP(D4724,State_Lookup!$A$2:$B$28,2,FALSE)</f>
        <v>Santa Catarina</v>
      </c>
    </row>
    <row r="4725" spans="1:13" x14ac:dyDescent="0.45">
      <c r="A4725" t="s">
        <v>5451</v>
      </c>
      <c r="B4725" t="s">
        <v>5446</v>
      </c>
      <c r="C4725" t="s">
        <v>5398</v>
      </c>
      <c r="D4725" t="s">
        <v>16</v>
      </c>
      <c r="E4725" t="s">
        <v>49</v>
      </c>
      <c r="F4725">
        <v>1</v>
      </c>
      <c r="G4725">
        <v>53.49</v>
      </c>
      <c r="H4725">
        <v>7.63</v>
      </c>
      <c r="I4725" t="s">
        <v>44</v>
      </c>
      <c r="J4725">
        <v>3</v>
      </c>
      <c r="K4725" t="s">
        <v>51</v>
      </c>
      <c r="L4725">
        <v>5</v>
      </c>
      <c r="M4725" t="str">
        <f>VLOOKUP(D4725,State_Lookup!$A$2:$B$28,2,FALSE)</f>
        <v>Sao Paulo</v>
      </c>
    </row>
    <row r="4726" spans="1:13" x14ac:dyDescent="0.45">
      <c r="A4726" t="s">
        <v>5452</v>
      </c>
      <c r="B4726" t="s">
        <v>5446</v>
      </c>
      <c r="C4726" t="s">
        <v>5398</v>
      </c>
      <c r="D4726" t="s">
        <v>16</v>
      </c>
      <c r="E4726" t="s">
        <v>61</v>
      </c>
      <c r="F4726">
        <v>1</v>
      </c>
      <c r="G4726">
        <v>61.4</v>
      </c>
      <c r="H4726">
        <v>13.77</v>
      </c>
      <c r="I4726" t="s">
        <v>133</v>
      </c>
      <c r="J4726">
        <v>12</v>
      </c>
      <c r="K4726" t="s">
        <v>51</v>
      </c>
      <c r="L4726">
        <v>5</v>
      </c>
      <c r="M4726" t="str">
        <f>VLOOKUP(D4726,State_Lookup!$A$2:$B$28,2,FALSE)</f>
        <v>Sao Paulo</v>
      </c>
    </row>
    <row r="4727" spans="1:13" x14ac:dyDescent="0.45">
      <c r="A4727" t="s">
        <v>5453</v>
      </c>
      <c r="B4727" t="s">
        <v>5446</v>
      </c>
      <c r="C4727" t="s">
        <v>5398</v>
      </c>
      <c r="D4727" t="s">
        <v>128</v>
      </c>
      <c r="E4727" t="s">
        <v>43</v>
      </c>
      <c r="F4727">
        <v>2</v>
      </c>
      <c r="G4727">
        <v>174.89</v>
      </c>
      <c r="H4727">
        <v>46.9</v>
      </c>
      <c r="I4727" t="s">
        <v>44</v>
      </c>
      <c r="J4727">
        <v>16</v>
      </c>
      <c r="K4727" t="s">
        <v>51</v>
      </c>
      <c r="L4727">
        <v>3</v>
      </c>
      <c r="M4727" t="str">
        <f>VLOOKUP(D4727,State_Lookup!$A$2:$B$28,2,FALSE)</f>
        <v>Ceara</v>
      </c>
    </row>
    <row r="4728" spans="1:13" x14ac:dyDescent="0.45">
      <c r="A4728" t="s">
        <v>5454</v>
      </c>
      <c r="B4728" t="s">
        <v>5446</v>
      </c>
      <c r="C4728" t="s">
        <v>5398</v>
      </c>
      <c r="D4728" t="s">
        <v>16</v>
      </c>
      <c r="E4728" t="s">
        <v>79</v>
      </c>
      <c r="F4728">
        <v>1</v>
      </c>
      <c r="G4728">
        <v>310</v>
      </c>
      <c r="H4728">
        <v>9.43</v>
      </c>
      <c r="I4728" t="s">
        <v>108</v>
      </c>
      <c r="J4728">
        <v>4</v>
      </c>
      <c r="K4728" t="s">
        <v>51</v>
      </c>
      <c r="L4728">
        <v>5</v>
      </c>
      <c r="M4728" t="str">
        <f>VLOOKUP(D4728,State_Lookup!$A$2:$B$28,2,FALSE)</f>
        <v>Sao Paulo</v>
      </c>
    </row>
    <row r="4729" spans="1:13" x14ac:dyDescent="0.45">
      <c r="A4729" t="s">
        <v>5455</v>
      </c>
      <c r="B4729" t="s">
        <v>5446</v>
      </c>
      <c r="C4729" t="s">
        <v>5398</v>
      </c>
      <c r="D4729" t="s">
        <v>16</v>
      </c>
      <c r="E4729" t="s">
        <v>103</v>
      </c>
      <c r="F4729">
        <v>1</v>
      </c>
      <c r="G4729">
        <v>134.9</v>
      </c>
      <c r="H4729">
        <v>9.69</v>
      </c>
      <c r="I4729" t="s">
        <v>44</v>
      </c>
      <c r="J4729">
        <v>3</v>
      </c>
      <c r="K4729" t="s">
        <v>51</v>
      </c>
      <c r="L4729">
        <v>5</v>
      </c>
      <c r="M4729" t="str">
        <f>VLOOKUP(D4729,State_Lookup!$A$2:$B$28,2,FALSE)</f>
        <v>Sao Paulo</v>
      </c>
    </row>
    <row r="4730" spans="1:13" x14ac:dyDescent="0.45">
      <c r="A4730" t="s">
        <v>5456</v>
      </c>
      <c r="B4730" t="s">
        <v>5446</v>
      </c>
      <c r="C4730" t="s">
        <v>5398</v>
      </c>
      <c r="D4730" t="s">
        <v>18</v>
      </c>
      <c r="E4730" t="s">
        <v>132</v>
      </c>
      <c r="F4730">
        <v>1</v>
      </c>
      <c r="G4730">
        <v>69</v>
      </c>
      <c r="H4730">
        <v>18.579999999999998</v>
      </c>
      <c r="I4730" t="s">
        <v>44</v>
      </c>
      <c r="J4730">
        <v>6</v>
      </c>
      <c r="K4730" t="s">
        <v>51</v>
      </c>
      <c r="L4730">
        <v>5</v>
      </c>
      <c r="M4730" t="str">
        <f>VLOOKUP(D4730,State_Lookup!$A$2:$B$28,2,FALSE)</f>
        <v>Minas Gerais</v>
      </c>
    </row>
    <row r="4731" spans="1:13" x14ac:dyDescent="0.45">
      <c r="A4731" t="s">
        <v>5457</v>
      </c>
      <c r="B4731" t="s">
        <v>5446</v>
      </c>
      <c r="C4731" t="s">
        <v>5398</v>
      </c>
      <c r="D4731" t="s">
        <v>16</v>
      </c>
      <c r="E4731" t="s">
        <v>103</v>
      </c>
      <c r="F4731">
        <v>1</v>
      </c>
      <c r="G4731">
        <v>97.1</v>
      </c>
      <c r="H4731">
        <v>8.84</v>
      </c>
      <c r="I4731" t="s">
        <v>44</v>
      </c>
      <c r="J4731">
        <v>9</v>
      </c>
      <c r="K4731" t="s">
        <v>143</v>
      </c>
      <c r="L4731">
        <v>1</v>
      </c>
      <c r="M4731" t="str">
        <f>VLOOKUP(D4731,State_Lookup!$A$2:$B$28,2,FALSE)</f>
        <v>Sao Paulo</v>
      </c>
    </row>
    <row r="4732" spans="1:13" x14ac:dyDescent="0.45">
      <c r="A4732" t="s">
        <v>5458</v>
      </c>
      <c r="B4732" t="s">
        <v>5446</v>
      </c>
      <c r="C4732" t="s">
        <v>5398</v>
      </c>
      <c r="D4732" t="s">
        <v>141</v>
      </c>
      <c r="E4732" t="s">
        <v>142</v>
      </c>
      <c r="F4732">
        <v>1</v>
      </c>
      <c r="G4732">
        <v>25.99</v>
      </c>
      <c r="H4732">
        <v>37.090000000000003</v>
      </c>
      <c r="I4732" t="s">
        <v>50</v>
      </c>
      <c r="J4732">
        <v>9</v>
      </c>
      <c r="K4732" t="s">
        <v>51</v>
      </c>
      <c r="L4732">
        <v>5</v>
      </c>
      <c r="M4732" t="str">
        <f>VLOOKUP(D4732,State_Lookup!$A$2:$B$28,2,FALSE)</f>
        <v>Maranhao</v>
      </c>
    </row>
    <row r="4733" spans="1:13" x14ac:dyDescent="0.45">
      <c r="A4733" t="s">
        <v>5459</v>
      </c>
      <c r="B4733" t="s">
        <v>5460</v>
      </c>
      <c r="C4733" t="s">
        <v>5398</v>
      </c>
      <c r="D4733" t="s">
        <v>16</v>
      </c>
      <c r="E4733" t="s">
        <v>125</v>
      </c>
      <c r="F4733">
        <v>1</v>
      </c>
      <c r="G4733">
        <v>24.5</v>
      </c>
      <c r="H4733">
        <v>7.43</v>
      </c>
      <c r="I4733" t="s">
        <v>44</v>
      </c>
      <c r="J4733">
        <v>3</v>
      </c>
      <c r="K4733" t="s">
        <v>51</v>
      </c>
      <c r="L4733">
        <v>5</v>
      </c>
      <c r="M4733" t="str">
        <f>VLOOKUP(D4733,State_Lookup!$A$2:$B$28,2,FALSE)</f>
        <v>Sao Paulo</v>
      </c>
    </row>
    <row r="4734" spans="1:13" x14ac:dyDescent="0.45">
      <c r="A4734" t="s">
        <v>5461</v>
      </c>
      <c r="B4734" t="s">
        <v>5460</v>
      </c>
      <c r="C4734" t="s">
        <v>5398</v>
      </c>
      <c r="D4734" t="s">
        <v>18</v>
      </c>
      <c r="E4734" t="s">
        <v>107</v>
      </c>
      <c r="F4734">
        <v>1</v>
      </c>
      <c r="G4734">
        <v>28.99</v>
      </c>
      <c r="H4734">
        <v>18.3</v>
      </c>
      <c r="I4734" t="s">
        <v>44</v>
      </c>
      <c r="J4734">
        <v>7</v>
      </c>
      <c r="K4734" t="s">
        <v>51</v>
      </c>
      <c r="L4734">
        <v>5</v>
      </c>
      <c r="M4734" t="str">
        <f>VLOOKUP(D4734,State_Lookup!$A$2:$B$28,2,FALSE)</f>
        <v>Minas Gerais</v>
      </c>
    </row>
    <row r="4735" spans="1:13" x14ac:dyDescent="0.45">
      <c r="A4735" t="s">
        <v>5462</v>
      </c>
      <c r="B4735" t="s">
        <v>5460</v>
      </c>
      <c r="C4735" t="s">
        <v>5398</v>
      </c>
      <c r="D4735" t="s">
        <v>16</v>
      </c>
      <c r="E4735" t="s">
        <v>1839</v>
      </c>
      <c r="F4735">
        <v>1</v>
      </c>
      <c r="G4735">
        <v>155.99</v>
      </c>
      <c r="H4735">
        <v>13.75</v>
      </c>
      <c r="I4735" t="s">
        <v>44</v>
      </c>
      <c r="J4735">
        <v>5</v>
      </c>
      <c r="K4735" t="s">
        <v>51</v>
      </c>
      <c r="L4735">
        <v>4</v>
      </c>
      <c r="M4735" t="str">
        <f>VLOOKUP(D4735,State_Lookup!$A$2:$B$28,2,FALSE)</f>
        <v>Sao Paulo</v>
      </c>
    </row>
    <row r="4736" spans="1:13" x14ac:dyDescent="0.45">
      <c r="A4736" t="s">
        <v>5463</v>
      </c>
      <c r="B4736" t="s">
        <v>5460</v>
      </c>
      <c r="C4736" t="s">
        <v>5398</v>
      </c>
      <c r="D4736" t="s">
        <v>16</v>
      </c>
      <c r="E4736" t="s">
        <v>79</v>
      </c>
      <c r="F4736">
        <v>1</v>
      </c>
      <c r="G4736">
        <v>29.9</v>
      </c>
      <c r="H4736">
        <v>7.47</v>
      </c>
      <c r="I4736" t="s">
        <v>108</v>
      </c>
      <c r="J4736">
        <v>9</v>
      </c>
      <c r="K4736" t="s">
        <v>143</v>
      </c>
      <c r="L4736">
        <v>5</v>
      </c>
      <c r="M4736" t="str">
        <f>VLOOKUP(D4736,State_Lookup!$A$2:$B$28,2,FALSE)</f>
        <v>Sao Paulo</v>
      </c>
    </row>
    <row r="4737" spans="1:13" x14ac:dyDescent="0.45">
      <c r="A4737" t="s">
        <v>5464</v>
      </c>
      <c r="B4737" t="s">
        <v>5460</v>
      </c>
      <c r="C4737" t="s">
        <v>5398</v>
      </c>
      <c r="D4737" t="s">
        <v>16</v>
      </c>
      <c r="E4737" t="s">
        <v>61</v>
      </c>
      <c r="F4737">
        <v>1</v>
      </c>
      <c r="G4737">
        <v>74.989999999999995</v>
      </c>
      <c r="H4737">
        <v>8.69</v>
      </c>
      <c r="I4737" t="s">
        <v>50</v>
      </c>
      <c r="J4737">
        <v>3</v>
      </c>
      <c r="K4737" t="s">
        <v>51</v>
      </c>
      <c r="L4737">
        <v>5</v>
      </c>
      <c r="M4737" t="str">
        <f>VLOOKUP(D4737,State_Lookup!$A$2:$B$28,2,FALSE)</f>
        <v>Sao Paulo</v>
      </c>
    </row>
    <row r="4738" spans="1:13" x14ac:dyDescent="0.45">
      <c r="A4738" t="s">
        <v>5465</v>
      </c>
      <c r="B4738" t="s">
        <v>5460</v>
      </c>
      <c r="C4738" t="s">
        <v>5398</v>
      </c>
      <c r="D4738" t="s">
        <v>16</v>
      </c>
      <c r="E4738" t="s">
        <v>58</v>
      </c>
      <c r="F4738">
        <v>1</v>
      </c>
      <c r="G4738">
        <v>69.989999999999995</v>
      </c>
      <c r="H4738">
        <v>18.59</v>
      </c>
      <c r="I4738" t="s">
        <v>133</v>
      </c>
      <c r="J4738">
        <v>4</v>
      </c>
      <c r="K4738" t="s">
        <v>51</v>
      </c>
      <c r="L4738">
        <v>3</v>
      </c>
      <c r="M4738" t="str">
        <f>VLOOKUP(D4738,State_Lookup!$A$2:$B$28,2,FALSE)</f>
        <v>Sao Paulo</v>
      </c>
    </row>
    <row r="4739" spans="1:13" x14ac:dyDescent="0.45">
      <c r="A4739" t="s">
        <v>5466</v>
      </c>
      <c r="B4739" t="s">
        <v>5460</v>
      </c>
      <c r="C4739" t="s">
        <v>5398</v>
      </c>
      <c r="D4739" t="s">
        <v>20</v>
      </c>
      <c r="E4739" t="s">
        <v>148</v>
      </c>
      <c r="F4739">
        <v>2</v>
      </c>
      <c r="G4739">
        <v>250</v>
      </c>
      <c r="H4739">
        <v>28.44</v>
      </c>
      <c r="I4739" t="s">
        <v>44</v>
      </c>
      <c r="J4739">
        <v>15</v>
      </c>
      <c r="K4739" t="s">
        <v>143</v>
      </c>
      <c r="L4739">
        <v>4</v>
      </c>
      <c r="M4739" t="str">
        <f>VLOOKUP(D4739,State_Lookup!$A$2:$B$28,2,FALSE)</f>
        <v>Parana</v>
      </c>
    </row>
    <row r="4740" spans="1:13" x14ac:dyDescent="0.45">
      <c r="A4740" t="s">
        <v>5467</v>
      </c>
      <c r="B4740" t="s">
        <v>5460</v>
      </c>
      <c r="C4740" t="s">
        <v>5398</v>
      </c>
      <c r="D4740" t="s">
        <v>16</v>
      </c>
      <c r="E4740" t="s">
        <v>61</v>
      </c>
      <c r="F4740">
        <v>1</v>
      </c>
      <c r="G4740">
        <v>105</v>
      </c>
      <c r="H4740">
        <v>14.32</v>
      </c>
      <c r="I4740" t="s">
        <v>44</v>
      </c>
      <c r="J4740">
        <v>7</v>
      </c>
      <c r="K4740" t="s">
        <v>51</v>
      </c>
      <c r="L4740">
        <v>3</v>
      </c>
      <c r="M4740" t="str">
        <f>VLOOKUP(D4740,State_Lookup!$A$2:$B$28,2,FALSE)</f>
        <v>Sao Paulo</v>
      </c>
    </row>
    <row r="4741" spans="1:13" x14ac:dyDescent="0.45">
      <c r="A4741" t="s">
        <v>5468</v>
      </c>
      <c r="B4741" t="s">
        <v>5460</v>
      </c>
      <c r="C4741" t="s">
        <v>5398</v>
      </c>
      <c r="D4741" t="s">
        <v>16</v>
      </c>
      <c r="E4741" t="s">
        <v>107</v>
      </c>
      <c r="F4741">
        <v>1</v>
      </c>
      <c r="G4741">
        <v>69.989999999999995</v>
      </c>
      <c r="H4741">
        <v>18.59</v>
      </c>
      <c r="I4741" t="s">
        <v>44</v>
      </c>
      <c r="J4741">
        <v>4</v>
      </c>
      <c r="K4741" t="s">
        <v>51</v>
      </c>
      <c r="L4741">
        <v>4</v>
      </c>
      <c r="M4741" t="str">
        <f>VLOOKUP(D4741,State_Lookup!$A$2:$B$28,2,FALSE)</f>
        <v>Sao Paulo</v>
      </c>
    </row>
    <row r="4742" spans="1:13" x14ac:dyDescent="0.45">
      <c r="A4742" t="s">
        <v>5469</v>
      </c>
      <c r="B4742" t="s">
        <v>5460</v>
      </c>
      <c r="C4742" t="s">
        <v>5398</v>
      </c>
      <c r="D4742" t="s">
        <v>16</v>
      </c>
      <c r="E4742" t="s">
        <v>43</v>
      </c>
      <c r="F4742">
        <v>3</v>
      </c>
      <c r="G4742">
        <v>225</v>
      </c>
      <c r="H4742">
        <v>63.510000000000012</v>
      </c>
      <c r="I4742" t="s">
        <v>50</v>
      </c>
      <c r="J4742">
        <v>9</v>
      </c>
      <c r="K4742" t="s">
        <v>51</v>
      </c>
      <c r="L4742">
        <v>5</v>
      </c>
      <c r="M4742" t="str">
        <f>VLOOKUP(D4742,State_Lookup!$A$2:$B$28,2,FALSE)</f>
        <v>Sao Paulo</v>
      </c>
    </row>
    <row r="4743" spans="1:13" x14ac:dyDescent="0.45">
      <c r="A4743" t="s">
        <v>5470</v>
      </c>
      <c r="B4743" t="s">
        <v>5460</v>
      </c>
      <c r="C4743" t="s">
        <v>5398</v>
      </c>
      <c r="D4743" t="s">
        <v>17</v>
      </c>
      <c r="E4743" t="s">
        <v>244</v>
      </c>
      <c r="F4743">
        <v>1</v>
      </c>
      <c r="G4743">
        <v>129.9</v>
      </c>
      <c r="H4743">
        <v>27.89</v>
      </c>
      <c r="I4743" t="s">
        <v>44</v>
      </c>
      <c r="J4743">
        <v>2</v>
      </c>
      <c r="K4743" t="s">
        <v>51</v>
      </c>
      <c r="L4743">
        <v>5</v>
      </c>
      <c r="M4743" t="str">
        <f>VLOOKUP(D4743,State_Lookup!$A$2:$B$28,2,FALSE)</f>
        <v>Rio de Janeiro</v>
      </c>
    </row>
    <row r="4744" spans="1:13" x14ac:dyDescent="0.45">
      <c r="A4744" t="s">
        <v>5471</v>
      </c>
      <c r="B4744" t="s">
        <v>5472</v>
      </c>
      <c r="C4744" t="s">
        <v>5398</v>
      </c>
      <c r="D4744" t="s">
        <v>16</v>
      </c>
      <c r="E4744" t="s">
        <v>132</v>
      </c>
      <c r="F4744">
        <v>1</v>
      </c>
      <c r="G4744">
        <v>49</v>
      </c>
      <c r="H4744">
        <v>7.6</v>
      </c>
      <c r="I4744" t="s">
        <v>108</v>
      </c>
      <c r="J4744">
        <v>3</v>
      </c>
      <c r="K4744" t="s">
        <v>143</v>
      </c>
      <c r="L4744">
        <v>5</v>
      </c>
      <c r="M4744" t="str">
        <f>VLOOKUP(D4744,State_Lookup!$A$2:$B$28,2,FALSE)</f>
        <v>Sao Paulo</v>
      </c>
    </row>
    <row r="4745" spans="1:13" x14ac:dyDescent="0.45">
      <c r="A4745" t="s">
        <v>5473</v>
      </c>
      <c r="B4745" t="s">
        <v>5472</v>
      </c>
      <c r="C4745" t="s">
        <v>5398</v>
      </c>
      <c r="D4745" t="s">
        <v>16</v>
      </c>
      <c r="E4745" t="s">
        <v>49</v>
      </c>
      <c r="F4745">
        <v>1</v>
      </c>
      <c r="G4745">
        <v>59</v>
      </c>
      <c r="H4745">
        <v>7.67</v>
      </c>
      <c r="I4745" t="s">
        <v>44</v>
      </c>
      <c r="J4745">
        <v>1</v>
      </c>
      <c r="K4745" t="s">
        <v>51</v>
      </c>
      <c r="L4745">
        <v>5</v>
      </c>
      <c r="M4745" t="str">
        <f>VLOOKUP(D4745,State_Lookup!$A$2:$B$28,2,FALSE)</f>
        <v>Sao Paulo</v>
      </c>
    </row>
    <row r="4746" spans="1:13" x14ac:dyDescent="0.45">
      <c r="A4746" t="s">
        <v>5474</v>
      </c>
      <c r="B4746" t="s">
        <v>5472</v>
      </c>
      <c r="C4746" t="s">
        <v>5398</v>
      </c>
      <c r="D4746" t="s">
        <v>249</v>
      </c>
      <c r="E4746" t="s">
        <v>43</v>
      </c>
      <c r="F4746">
        <v>3</v>
      </c>
      <c r="G4746">
        <v>874</v>
      </c>
      <c r="H4746">
        <v>251.36</v>
      </c>
      <c r="I4746" t="s">
        <v>44</v>
      </c>
      <c r="J4746">
        <v>8</v>
      </c>
      <c r="K4746" t="s">
        <v>51</v>
      </c>
      <c r="L4746">
        <v>5</v>
      </c>
      <c r="M4746" t="str">
        <f>VLOOKUP(D4746,State_Lookup!$A$2:$B$28,2,FALSE)</f>
        <v>Tocantins</v>
      </c>
    </row>
    <row r="4747" spans="1:13" x14ac:dyDescent="0.45">
      <c r="A4747" t="s">
        <v>5475</v>
      </c>
      <c r="B4747" t="s">
        <v>5472</v>
      </c>
      <c r="C4747" t="s">
        <v>5398</v>
      </c>
      <c r="D4747" t="s">
        <v>16</v>
      </c>
      <c r="E4747" t="s">
        <v>132</v>
      </c>
      <c r="F4747">
        <v>1</v>
      </c>
      <c r="G4747">
        <v>29.9</v>
      </c>
      <c r="H4747">
        <v>15.31</v>
      </c>
      <c r="I4747" t="s">
        <v>44</v>
      </c>
      <c r="J4747">
        <v>7</v>
      </c>
      <c r="K4747" t="s">
        <v>51</v>
      </c>
      <c r="L4747">
        <v>5</v>
      </c>
      <c r="M4747" t="str">
        <f>VLOOKUP(D4747,State_Lookup!$A$2:$B$28,2,FALSE)</f>
        <v>Sao Paulo</v>
      </c>
    </row>
    <row r="4748" spans="1:13" x14ac:dyDescent="0.45">
      <c r="A4748" t="s">
        <v>5476</v>
      </c>
      <c r="B4748" t="s">
        <v>5472</v>
      </c>
      <c r="C4748" t="s">
        <v>5398</v>
      </c>
      <c r="D4748" t="s">
        <v>16</v>
      </c>
      <c r="E4748" t="s">
        <v>79</v>
      </c>
      <c r="F4748">
        <v>1</v>
      </c>
      <c r="G4748">
        <v>99.9</v>
      </c>
      <c r="H4748">
        <v>17.829999999999998</v>
      </c>
      <c r="I4748" t="s">
        <v>50</v>
      </c>
      <c r="J4748">
        <v>8</v>
      </c>
      <c r="K4748" t="s">
        <v>143</v>
      </c>
      <c r="L4748">
        <v>5</v>
      </c>
      <c r="M4748" t="str">
        <f>VLOOKUP(D4748,State_Lookup!$A$2:$B$28,2,FALSE)</f>
        <v>Sao Paulo</v>
      </c>
    </row>
    <row r="4749" spans="1:13" x14ac:dyDescent="0.45">
      <c r="A4749" t="s">
        <v>5477</v>
      </c>
      <c r="B4749" t="s">
        <v>5472</v>
      </c>
      <c r="C4749" t="s">
        <v>5398</v>
      </c>
      <c r="D4749" t="s">
        <v>16</v>
      </c>
      <c r="E4749" t="s">
        <v>2079</v>
      </c>
      <c r="F4749">
        <v>1</v>
      </c>
      <c r="G4749">
        <v>240</v>
      </c>
      <c r="H4749">
        <v>15.99</v>
      </c>
      <c r="I4749" t="s">
        <v>44</v>
      </c>
      <c r="J4749">
        <v>4</v>
      </c>
      <c r="K4749" t="s">
        <v>51</v>
      </c>
      <c r="L4749">
        <v>4</v>
      </c>
      <c r="M4749" t="str">
        <f>VLOOKUP(D4749,State_Lookup!$A$2:$B$28,2,FALSE)</f>
        <v>Sao Paulo</v>
      </c>
    </row>
    <row r="4750" spans="1:13" x14ac:dyDescent="0.45">
      <c r="A4750" t="s">
        <v>5478</v>
      </c>
      <c r="B4750" t="s">
        <v>5472</v>
      </c>
      <c r="C4750" t="s">
        <v>5398</v>
      </c>
      <c r="D4750" t="s">
        <v>16</v>
      </c>
      <c r="E4750" t="s">
        <v>79</v>
      </c>
      <c r="F4750">
        <v>1</v>
      </c>
      <c r="G4750">
        <v>527.9</v>
      </c>
      <c r="H4750">
        <v>21.8</v>
      </c>
      <c r="I4750" t="s">
        <v>44</v>
      </c>
      <c r="J4750">
        <v>28</v>
      </c>
      <c r="K4750" t="s">
        <v>143</v>
      </c>
      <c r="L4750">
        <v>2</v>
      </c>
      <c r="M4750" t="str">
        <f>VLOOKUP(D4750,State_Lookup!$A$2:$B$28,2,FALSE)</f>
        <v>Sao Paulo</v>
      </c>
    </row>
    <row r="4751" spans="1:13" x14ac:dyDescent="0.45">
      <c r="A4751" t="s">
        <v>5479</v>
      </c>
      <c r="B4751" t="s">
        <v>5472</v>
      </c>
      <c r="C4751" t="s">
        <v>5398</v>
      </c>
      <c r="D4751" t="s">
        <v>16</v>
      </c>
      <c r="E4751" t="s">
        <v>107</v>
      </c>
      <c r="F4751">
        <v>1</v>
      </c>
      <c r="G4751">
        <v>19.989999999999998</v>
      </c>
      <c r="H4751">
        <v>8.89</v>
      </c>
      <c r="I4751" t="s">
        <v>44</v>
      </c>
      <c r="J4751">
        <v>5</v>
      </c>
      <c r="K4751" t="s">
        <v>51</v>
      </c>
      <c r="L4751">
        <v>4</v>
      </c>
      <c r="M4751" t="str">
        <f>VLOOKUP(D4751,State_Lookup!$A$2:$B$28,2,FALSE)</f>
        <v>Sao Paulo</v>
      </c>
    </row>
    <row r="4752" spans="1:13" x14ac:dyDescent="0.45">
      <c r="A4752" t="s">
        <v>5480</v>
      </c>
      <c r="B4752" t="s">
        <v>5472</v>
      </c>
      <c r="C4752" t="s">
        <v>5398</v>
      </c>
      <c r="D4752" t="s">
        <v>16</v>
      </c>
      <c r="E4752" t="s">
        <v>269</v>
      </c>
      <c r="F4752">
        <v>1</v>
      </c>
      <c r="G4752">
        <v>85.5</v>
      </c>
      <c r="H4752">
        <v>19.79</v>
      </c>
      <c r="I4752" t="s">
        <v>44</v>
      </c>
      <c r="J4752">
        <v>9</v>
      </c>
      <c r="K4752" t="s">
        <v>51</v>
      </c>
      <c r="L4752">
        <v>4</v>
      </c>
      <c r="M4752" t="str">
        <f>VLOOKUP(D4752,State_Lookup!$A$2:$B$28,2,FALSE)</f>
        <v>Sao Paulo</v>
      </c>
    </row>
    <row r="4753" spans="1:13" x14ac:dyDescent="0.45">
      <c r="A4753" t="s">
        <v>5481</v>
      </c>
      <c r="B4753" t="s">
        <v>5472</v>
      </c>
      <c r="C4753" t="s">
        <v>5398</v>
      </c>
      <c r="D4753" t="s">
        <v>16</v>
      </c>
      <c r="E4753" t="s">
        <v>61</v>
      </c>
      <c r="F4753">
        <v>1</v>
      </c>
      <c r="G4753">
        <v>79.900000000000006</v>
      </c>
      <c r="H4753">
        <v>13.9</v>
      </c>
      <c r="I4753" t="s">
        <v>50</v>
      </c>
      <c r="J4753">
        <v>16</v>
      </c>
      <c r="K4753" t="s">
        <v>51</v>
      </c>
      <c r="L4753">
        <v>5</v>
      </c>
      <c r="M4753" t="str">
        <f>VLOOKUP(D4753,State_Lookup!$A$2:$B$28,2,FALSE)</f>
        <v>Sao Paulo</v>
      </c>
    </row>
    <row r="4754" spans="1:13" x14ac:dyDescent="0.45">
      <c r="A4754" t="s">
        <v>5482</v>
      </c>
      <c r="B4754" t="s">
        <v>5472</v>
      </c>
      <c r="C4754" t="s">
        <v>5398</v>
      </c>
      <c r="D4754" t="s">
        <v>16</v>
      </c>
      <c r="E4754" t="s">
        <v>110</v>
      </c>
      <c r="F4754">
        <v>1</v>
      </c>
      <c r="G4754">
        <v>58.67</v>
      </c>
      <c r="H4754">
        <v>8.57</v>
      </c>
      <c r="I4754" t="s">
        <v>44</v>
      </c>
      <c r="J4754">
        <v>10</v>
      </c>
      <c r="K4754" t="s">
        <v>51</v>
      </c>
      <c r="L4754">
        <v>5</v>
      </c>
      <c r="M4754" t="str">
        <f>VLOOKUP(D4754,State_Lookup!$A$2:$B$28,2,FALSE)</f>
        <v>Sao Paulo</v>
      </c>
    </row>
    <row r="4755" spans="1:13" x14ac:dyDescent="0.45">
      <c r="A4755" t="s">
        <v>5483</v>
      </c>
      <c r="B4755" t="s">
        <v>5472</v>
      </c>
      <c r="C4755" t="s">
        <v>5398</v>
      </c>
      <c r="D4755" t="s">
        <v>25</v>
      </c>
      <c r="E4755" t="s">
        <v>100</v>
      </c>
      <c r="F4755">
        <v>1</v>
      </c>
      <c r="G4755">
        <v>109.9</v>
      </c>
      <c r="H4755">
        <v>51.06</v>
      </c>
      <c r="I4755" t="s">
        <v>44</v>
      </c>
      <c r="J4755">
        <v>10</v>
      </c>
      <c r="K4755" t="s">
        <v>51</v>
      </c>
      <c r="L4755">
        <v>5</v>
      </c>
      <c r="M4755" t="str">
        <f>VLOOKUP(D4755,State_Lookup!$A$2:$B$28,2,FALSE)</f>
        <v>Goias</v>
      </c>
    </row>
    <row r="4756" spans="1:13" x14ac:dyDescent="0.45">
      <c r="A4756" t="s">
        <v>5484</v>
      </c>
      <c r="B4756" t="s">
        <v>5472</v>
      </c>
      <c r="C4756" t="s">
        <v>5398</v>
      </c>
      <c r="D4756" t="s">
        <v>23</v>
      </c>
      <c r="E4756" t="s">
        <v>53</v>
      </c>
      <c r="F4756">
        <v>1</v>
      </c>
      <c r="G4756">
        <v>113.1</v>
      </c>
      <c r="H4756">
        <v>18.89</v>
      </c>
      <c r="I4756" t="s">
        <v>44</v>
      </c>
      <c r="K4756" t="s">
        <v>45</v>
      </c>
      <c r="L4756">
        <v>1</v>
      </c>
      <c r="M4756" t="str">
        <f>VLOOKUP(D4756,State_Lookup!$A$2:$B$28,2,FALSE)</f>
        <v>Espirito Santo</v>
      </c>
    </row>
    <row r="4757" spans="1:13" x14ac:dyDescent="0.45">
      <c r="A4757" t="s">
        <v>5485</v>
      </c>
      <c r="B4757" t="s">
        <v>5472</v>
      </c>
      <c r="C4757" t="s">
        <v>5398</v>
      </c>
      <c r="D4757" t="s">
        <v>17</v>
      </c>
      <c r="E4757" t="s">
        <v>61</v>
      </c>
      <c r="F4757">
        <v>1</v>
      </c>
      <c r="G4757">
        <v>169.9</v>
      </c>
      <c r="H4757">
        <v>14.4</v>
      </c>
      <c r="I4757" t="s">
        <v>44</v>
      </c>
      <c r="J4757">
        <v>7</v>
      </c>
      <c r="K4757" t="s">
        <v>51</v>
      </c>
      <c r="L4757">
        <v>5</v>
      </c>
      <c r="M4757" t="str">
        <f>VLOOKUP(D4757,State_Lookup!$A$2:$B$28,2,FALSE)</f>
        <v>Rio de Janeiro</v>
      </c>
    </row>
    <row r="4758" spans="1:13" x14ac:dyDescent="0.45">
      <c r="A4758" t="s">
        <v>5486</v>
      </c>
      <c r="B4758" t="s">
        <v>5472</v>
      </c>
      <c r="C4758" t="s">
        <v>5398</v>
      </c>
      <c r="D4758" t="s">
        <v>17</v>
      </c>
      <c r="E4758" t="s">
        <v>173</v>
      </c>
      <c r="F4758">
        <v>1</v>
      </c>
      <c r="G4758">
        <v>65.900000000000006</v>
      </c>
      <c r="H4758">
        <v>14.62</v>
      </c>
      <c r="I4758" t="s">
        <v>44</v>
      </c>
      <c r="J4758">
        <v>3</v>
      </c>
      <c r="K4758" t="s">
        <v>51</v>
      </c>
      <c r="L4758">
        <v>5</v>
      </c>
      <c r="M4758" t="str">
        <f>VLOOKUP(D4758,State_Lookup!$A$2:$B$28,2,FALSE)</f>
        <v>Rio de Janeiro</v>
      </c>
    </row>
    <row r="4759" spans="1:13" x14ac:dyDescent="0.45">
      <c r="A4759" t="s">
        <v>5487</v>
      </c>
      <c r="B4759" t="s">
        <v>5472</v>
      </c>
      <c r="C4759" t="s">
        <v>5398</v>
      </c>
      <c r="D4759" t="s">
        <v>21</v>
      </c>
      <c r="E4759" t="s">
        <v>49</v>
      </c>
      <c r="F4759">
        <v>1</v>
      </c>
      <c r="G4759">
        <v>190</v>
      </c>
      <c r="H4759">
        <v>24.13</v>
      </c>
      <c r="I4759" t="s">
        <v>44</v>
      </c>
      <c r="J4759">
        <v>4</v>
      </c>
      <c r="K4759" t="s">
        <v>51</v>
      </c>
      <c r="L4759">
        <v>4</v>
      </c>
      <c r="M4759" t="str">
        <f>VLOOKUP(D4759,State_Lookup!$A$2:$B$28,2,FALSE)</f>
        <v>Santa Catarina</v>
      </c>
    </row>
    <row r="4760" spans="1:13" x14ac:dyDescent="0.45">
      <c r="A4760" t="s">
        <v>5488</v>
      </c>
      <c r="B4760" t="s">
        <v>5472</v>
      </c>
      <c r="C4760" t="s">
        <v>5398</v>
      </c>
      <c r="D4760" t="s">
        <v>17</v>
      </c>
      <c r="E4760" t="s">
        <v>79</v>
      </c>
      <c r="F4760">
        <v>1</v>
      </c>
      <c r="G4760">
        <v>39.9</v>
      </c>
      <c r="H4760">
        <v>9.2100000000000009</v>
      </c>
      <c r="I4760" t="s">
        <v>133</v>
      </c>
      <c r="K4760" t="s">
        <v>45</v>
      </c>
      <c r="L4760">
        <v>1</v>
      </c>
      <c r="M4760" t="str">
        <f>VLOOKUP(D4760,State_Lookup!$A$2:$B$28,2,FALSE)</f>
        <v>Rio de Janeiro</v>
      </c>
    </row>
    <row r="4761" spans="1:13" x14ac:dyDescent="0.45">
      <c r="A4761" t="s">
        <v>5489</v>
      </c>
      <c r="B4761" t="s">
        <v>5472</v>
      </c>
      <c r="C4761" t="s">
        <v>5398</v>
      </c>
      <c r="D4761" t="s">
        <v>16</v>
      </c>
      <c r="E4761" t="s">
        <v>107</v>
      </c>
      <c r="F4761">
        <v>1</v>
      </c>
      <c r="G4761">
        <v>46.99</v>
      </c>
      <c r="H4761">
        <v>9.08</v>
      </c>
      <c r="I4761" t="s">
        <v>44</v>
      </c>
      <c r="J4761">
        <v>3</v>
      </c>
      <c r="K4761" t="s">
        <v>143</v>
      </c>
      <c r="L4761">
        <v>5</v>
      </c>
      <c r="M4761" t="str">
        <f>VLOOKUP(D4761,State_Lookup!$A$2:$B$28,2,FALSE)</f>
        <v>Sao Paulo</v>
      </c>
    </row>
    <row r="4762" spans="1:13" x14ac:dyDescent="0.45">
      <c r="A4762" t="s">
        <v>5490</v>
      </c>
      <c r="B4762" t="s">
        <v>5472</v>
      </c>
      <c r="C4762" t="s">
        <v>5398</v>
      </c>
      <c r="D4762" t="s">
        <v>17</v>
      </c>
      <c r="E4762" t="s">
        <v>269</v>
      </c>
      <c r="F4762">
        <v>1</v>
      </c>
      <c r="G4762">
        <v>91.6</v>
      </c>
      <c r="H4762">
        <v>59.87</v>
      </c>
      <c r="I4762" t="s">
        <v>50</v>
      </c>
      <c r="J4762">
        <v>7</v>
      </c>
      <c r="K4762" t="s">
        <v>51</v>
      </c>
      <c r="L4762">
        <v>5</v>
      </c>
      <c r="M4762" t="str">
        <f>VLOOKUP(D4762,State_Lookup!$A$2:$B$28,2,FALSE)</f>
        <v>Rio de Janeiro</v>
      </c>
    </row>
    <row r="4763" spans="1:13" x14ac:dyDescent="0.45">
      <c r="A4763" t="s">
        <v>5491</v>
      </c>
      <c r="B4763" t="s">
        <v>5472</v>
      </c>
      <c r="C4763" t="s">
        <v>5398</v>
      </c>
      <c r="D4763" t="s">
        <v>17</v>
      </c>
      <c r="E4763" t="s">
        <v>66</v>
      </c>
      <c r="F4763">
        <v>1</v>
      </c>
      <c r="G4763">
        <v>170</v>
      </c>
      <c r="H4763">
        <v>21.46</v>
      </c>
      <c r="I4763" t="s">
        <v>44</v>
      </c>
      <c r="J4763">
        <v>8</v>
      </c>
      <c r="K4763" t="s">
        <v>51</v>
      </c>
      <c r="L4763">
        <v>4</v>
      </c>
      <c r="M4763" t="str">
        <f>VLOOKUP(D4763,State_Lookup!$A$2:$B$28,2,FALSE)</f>
        <v>Rio de Janeiro</v>
      </c>
    </row>
    <row r="4764" spans="1:13" x14ac:dyDescent="0.45">
      <c r="A4764" t="s">
        <v>5492</v>
      </c>
      <c r="B4764" t="s">
        <v>5493</v>
      </c>
      <c r="C4764" t="s">
        <v>5398</v>
      </c>
      <c r="D4764" t="s">
        <v>20</v>
      </c>
      <c r="E4764" t="s">
        <v>302</v>
      </c>
      <c r="F4764">
        <v>1</v>
      </c>
      <c r="G4764">
        <v>169.9</v>
      </c>
      <c r="H4764">
        <v>19.29</v>
      </c>
      <c r="I4764" t="s">
        <v>44</v>
      </c>
      <c r="J4764">
        <v>14</v>
      </c>
      <c r="K4764" t="s">
        <v>51</v>
      </c>
      <c r="L4764">
        <v>5</v>
      </c>
      <c r="M4764" t="str">
        <f>VLOOKUP(D4764,State_Lookup!$A$2:$B$28,2,FALSE)</f>
        <v>Parana</v>
      </c>
    </row>
    <row r="4765" spans="1:13" x14ac:dyDescent="0.45">
      <c r="A4765" t="s">
        <v>5494</v>
      </c>
      <c r="B4765" t="s">
        <v>5493</v>
      </c>
      <c r="C4765" t="s">
        <v>5398</v>
      </c>
      <c r="D4765" t="s">
        <v>18</v>
      </c>
      <c r="E4765" t="s">
        <v>110</v>
      </c>
      <c r="F4765">
        <v>3</v>
      </c>
      <c r="G4765">
        <v>170.97</v>
      </c>
      <c r="H4765">
        <v>58.77</v>
      </c>
      <c r="I4765" t="s">
        <v>44</v>
      </c>
      <c r="J4765">
        <v>6</v>
      </c>
      <c r="K4765" t="s">
        <v>51</v>
      </c>
      <c r="L4765">
        <v>1</v>
      </c>
      <c r="M4765" t="str">
        <f>VLOOKUP(D4765,State_Lookup!$A$2:$B$28,2,FALSE)</f>
        <v>Minas Gerais</v>
      </c>
    </row>
    <row r="4766" spans="1:13" x14ac:dyDescent="0.45">
      <c r="A4766" t="s">
        <v>5495</v>
      </c>
      <c r="B4766" t="s">
        <v>5493</v>
      </c>
      <c r="C4766" t="s">
        <v>5398</v>
      </c>
      <c r="D4766" t="s">
        <v>20</v>
      </c>
      <c r="E4766" t="s">
        <v>61</v>
      </c>
      <c r="F4766">
        <v>1</v>
      </c>
      <c r="G4766">
        <v>135</v>
      </c>
      <c r="H4766">
        <v>16.05</v>
      </c>
      <c r="I4766" t="s">
        <v>50</v>
      </c>
      <c r="J4766">
        <v>6</v>
      </c>
      <c r="K4766" t="s">
        <v>51</v>
      </c>
      <c r="L4766">
        <v>5</v>
      </c>
      <c r="M4766" t="str">
        <f>VLOOKUP(D4766,State_Lookup!$A$2:$B$28,2,FALSE)</f>
        <v>Parana</v>
      </c>
    </row>
    <row r="4767" spans="1:13" x14ac:dyDescent="0.45">
      <c r="A4767" t="s">
        <v>5496</v>
      </c>
      <c r="B4767" t="s">
        <v>5493</v>
      </c>
      <c r="C4767" t="s">
        <v>5398</v>
      </c>
      <c r="D4767" t="s">
        <v>16</v>
      </c>
      <c r="E4767" t="s">
        <v>2079</v>
      </c>
      <c r="F4767">
        <v>1</v>
      </c>
      <c r="G4767">
        <v>29.99</v>
      </c>
      <c r="H4767">
        <v>12.87</v>
      </c>
      <c r="I4767" t="s">
        <v>50</v>
      </c>
      <c r="J4767">
        <v>6</v>
      </c>
      <c r="K4767" t="s">
        <v>51</v>
      </c>
      <c r="L4767">
        <v>5</v>
      </c>
      <c r="M4767" t="str">
        <f>VLOOKUP(D4767,State_Lookup!$A$2:$B$28,2,FALSE)</f>
        <v>Sao Paulo</v>
      </c>
    </row>
    <row r="4768" spans="1:13" x14ac:dyDescent="0.45">
      <c r="A4768" t="s">
        <v>5497</v>
      </c>
      <c r="B4768" t="s">
        <v>5493</v>
      </c>
      <c r="C4768" t="s">
        <v>5398</v>
      </c>
      <c r="D4768" t="s">
        <v>20</v>
      </c>
      <c r="E4768" t="s">
        <v>110</v>
      </c>
      <c r="F4768">
        <v>1</v>
      </c>
      <c r="G4768">
        <v>59.9</v>
      </c>
      <c r="H4768">
        <v>11.91</v>
      </c>
      <c r="I4768" t="s">
        <v>50</v>
      </c>
      <c r="J4768">
        <v>2</v>
      </c>
      <c r="K4768" t="s">
        <v>51</v>
      </c>
      <c r="L4768">
        <v>5</v>
      </c>
      <c r="M4768" t="str">
        <f>VLOOKUP(D4768,State_Lookup!$A$2:$B$28,2,FALSE)</f>
        <v>Parana</v>
      </c>
    </row>
    <row r="4769" spans="1:13" x14ac:dyDescent="0.45">
      <c r="A4769" t="s">
        <v>5498</v>
      </c>
      <c r="B4769" t="s">
        <v>5493</v>
      </c>
      <c r="C4769" t="s">
        <v>5398</v>
      </c>
      <c r="D4769" t="s">
        <v>16</v>
      </c>
      <c r="E4769" t="s">
        <v>157</v>
      </c>
      <c r="F4769">
        <v>1</v>
      </c>
      <c r="G4769">
        <v>189</v>
      </c>
      <c r="H4769">
        <v>8.58</v>
      </c>
      <c r="I4769" t="s">
        <v>44</v>
      </c>
      <c r="J4769">
        <v>5</v>
      </c>
      <c r="K4769" t="s">
        <v>143</v>
      </c>
      <c r="L4769">
        <v>4</v>
      </c>
      <c r="M4769" t="str">
        <f>VLOOKUP(D4769,State_Lookup!$A$2:$B$28,2,FALSE)</f>
        <v>Sao Paulo</v>
      </c>
    </row>
    <row r="4770" spans="1:13" x14ac:dyDescent="0.45">
      <c r="A4770" t="s">
        <v>5499</v>
      </c>
      <c r="B4770" t="s">
        <v>5493</v>
      </c>
      <c r="C4770" t="s">
        <v>5398</v>
      </c>
      <c r="D4770" t="s">
        <v>18</v>
      </c>
      <c r="E4770" t="s">
        <v>107</v>
      </c>
      <c r="F4770">
        <v>1</v>
      </c>
      <c r="G4770">
        <v>98.7</v>
      </c>
      <c r="H4770">
        <v>18.79</v>
      </c>
      <c r="I4770" t="s">
        <v>44</v>
      </c>
      <c r="J4770">
        <v>5</v>
      </c>
      <c r="K4770" t="s">
        <v>51</v>
      </c>
      <c r="L4770">
        <v>3</v>
      </c>
      <c r="M4770" t="str">
        <f>VLOOKUP(D4770,State_Lookup!$A$2:$B$28,2,FALSE)</f>
        <v>Minas Gerais</v>
      </c>
    </row>
    <row r="4771" spans="1:13" x14ac:dyDescent="0.45">
      <c r="A4771" t="s">
        <v>5500</v>
      </c>
      <c r="B4771" t="s">
        <v>5493</v>
      </c>
      <c r="C4771" t="s">
        <v>5398</v>
      </c>
      <c r="D4771" t="s">
        <v>17</v>
      </c>
      <c r="E4771" t="s">
        <v>110</v>
      </c>
      <c r="F4771">
        <v>1</v>
      </c>
      <c r="G4771">
        <v>42.9</v>
      </c>
      <c r="H4771">
        <v>19.489999999999998</v>
      </c>
      <c r="I4771" t="s">
        <v>133</v>
      </c>
      <c r="J4771">
        <v>16</v>
      </c>
      <c r="K4771" t="s">
        <v>143</v>
      </c>
      <c r="L4771">
        <v>1</v>
      </c>
      <c r="M4771" t="str">
        <f>VLOOKUP(D4771,State_Lookup!$A$2:$B$28,2,FALSE)</f>
        <v>Rio de Janeiro</v>
      </c>
    </row>
    <row r="4772" spans="1:13" x14ac:dyDescent="0.45">
      <c r="A4772" t="s">
        <v>5501</v>
      </c>
      <c r="B4772" t="s">
        <v>5493</v>
      </c>
      <c r="C4772" t="s">
        <v>5398</v>
      </c>
      <c r="D4772" t="s">
        <v>194</v>
      </c>
      <c r="E4772" t="s">
        <v>110</v>
      </c>
      <c r="F4772">
        <v>1</v>
      </c>
      <c r="G4772">
        <v>19.899999999999999</v>
      </c>
      <c r="H4772">
        <v>18.239999999999998</v>
      </c>
      <c r="I4772" t="s">
        <v>50</v>
      </c>
      <c r="J4772">
        <v>21</v>
      </c>
      <c r="K4772" t="s">
        <v>143</v>
      </c>
      <c r="L4772">
        <v>5</v>
      </c>
      <c r="M4772" t="str">
        <f>VLOOKUP(D4772,State_Lookup!$A$2:$B$28,2,FALSE)</f>
        <v>Mato Grosso do Sul</v>
      </c>
    </row>
    <row r="4773" spans="1:13" x14ac:dyDescent="0.45">
      <c r="A4773" t="s">
        <v>5502</v>
      </c>
      <c r="B4773" t="s">
        <v>5493</v>
      </c>
      <c r="C4773" t="s">
        <v>5398</v>
      </c>
      <c r="D4773" t="s">
        <v>16</v>
      </c>
      <c r="E4773" t="s">
        <v>260</v>
      </c>
      <c r="F4773">
        <v>1</v>
      </c>
      <c r="G4773">
        <v>81.489999999999995</v>
      </c>
      <c r="H4773">
        <v>8.73</v>
      </c>
      <c r="I4773" t="s">
        <v>44</v>
      </c>
      <c r="J4773">
        <v>7</v>
      </c>
      <c r="K4773" t="s">
        <v>143</v>
      </c>
      <c r="L4773">
        <v>5</v>
      </c>
      <c r="M4773" t="str">
        <f>VLOOKUP(D4773,State_Lookup!$A$2:$B$28,2,FALSE)</f>
        <v>Sao Paulo</v>
      </c>
    </row>
    <row r="4774" spans="1:13" x14ac:dyDescent="0.45">
      <c r="A4774" t="s">
        <v>5503</v>
      </c>
      <c r="B4774" t="s">
        <v>5493</v>
      </c>
      <c r="C4774" t="s">
        <v>5398</v>
      </c>
      <c r="D4774" t="s">
        <v>18</v>
      </c>
      <c r="E4774" t="s">
        <v>152</v>
      </c>
      <c r="F4774">
        <v>2</v>
      </c>
      <c r="G4774">
        <v>174.9</v>
      </c>
      <c r="H4774">
        <v>32.28</v>
      </c>
      <c r="I4774" t="s">
        <v>44</v>
      </c>
      <c r="J4774">
        <v>2</v>
      </c>
      <c r="K4774" t="s">
        <v>51</v>
      </c>
      <c r="L4774">
        <v>2</v>
      </c>
      <c r="M4774" t="str">
        <f>VLOOKUP(D4774,State_Lookup!$A$2:$B$28,2,FALSE)</f>
        <v>Minas Gerais</v>
      </c>
    </row>
    <row r="4775" spans="1:13" x14ac:dyDescent="0.45">
      <c r="A4775" t="s">
        <v>5504</v>
      </c>
      <c r="B4775" t="s">
        <v>5493</v>
      </c>
      <c r="C4775" t="s">
        <v>5398</v>
      </c>
      <c r="D4775" t="s">
        <v>17</v>
      </c>
      <c r="E4775" t="s">
        <v>110</v>
      </c>
      <c r="F4775">
        <v>2</v>
      </c>
      <c r="G4775">
        <v>84</v>
      </c>
      <c r="H4775">
        <v>38.49</v>
      </c>
      <c r="I4775" t="s">
        <v>44</v>
      </c>
      <c r="J4775">
        <v>6</v>
      </c>
      <c r="K4775" t="s">
        <v>51</v>
      </c>
      <c r="L4775">
        <v>1</v>
      </c>
      <c r="M4775" t="str">
        <f>VLOOKUP(D4775,State_Lookup!$A$2:$B$28,2,FALSE)</f>
        <v>Rio de Janeiro</v>
      </c>
    </row>
    <row r="4776" spans="1:13" x14ac:dyDescent="0.45">
      <c r="A4776" t="s">
        <v>5505</v>
      </c>
      <c r="B4776" t="s">
        <v>5493</v>
      </c>
      <c r="C4776" t="s">
        <v>5398</v>
      </c>
      <c r="D4776" t="s">
        <v>16</v>
      </c>
      <c r="E4776" t="s">
        <v>132</v>
      </c>
      <c r="F4776">
        <v>1</v>
      </c>
      <c r="G4776">
        <v>96.8</v>
      </c>
      <c r="H4776">
        <v>14.98</v>
      </c>
      <c r="I4776" t="s">
        <v>50</v>
      </c>
      <c r="J4776">
        <v>8</v>
      </c>
      <c r="K4776" t="s">
        <v>51</v>
      </c>
      <c r="L4776">
        <v>5</v>
      </c>
      <c r="M4776" t="str">
        <f>VLOOKUP(D4776,State_Lookup!$A$2:$B$28,2,FALSE)</f>
        <v>Sao Paulo</v>
      </c>
    </row>
    <row r="4777" spans="1:13" x14ac:dyDescent="0.45">
      <c r="A4777" t="s">
        <v>5506</v>
      </c>
      <c r="B4777" t="s">
        <v>5493</v>
      </c>
      <c r="C4777" t="s">
        <v>5398</v>
      </c>
      <c r="D4777" t="s">
        <v>19</v>
      </c>
      <c r="E4777" t="s">
        <v>49</v>
      </c>
      <c r="F4777">
        <v>1</v>
      </c>
      <c r="G4777">
        <v>69.900000000000006</v>
      </c>
      <c r="H4777">
        <v>19.68</v>
      </c>
      <c r="I4777" t="s">
        <v>44</v>
      </c>
      <c r="J4777">
        <v>8</v>
      </c>
      <c r="K4777" t="s">
        <v>51</v>
      </c>
      <c r="L4777">
        <v>5</v>
      </c>
      <c r="M4777" t="str">
        <f>VLOOKUP(D4777,State_Lookup!$A$2:$B$28,2,FALSE)</f>
        <v>Rio Grande do Sul</v>
      </c>
    </row>
    <row r="4778" spans="1:13" x14ac:dyDescent="0.45">
      <c r="A4778" t="s">
        <v>5507</v>
      </c>
      <c r="B4778" t="s">
        <v>5493</v>
      </c>
      <c r="C4778" t="s">
        <v>5398</v>
      </c>
      <c r="D4778" t="s">
        <v>19</v>
      </c>
      <c r="E4778" t="s">
        <v>220</v>
      </c>
      <c r="F4778">
        <v>1</v>
      </c>
      <c r="G4778">
        <v>345.6</v>
      </c>
      <c r="H4778">
        <v>37.770000000000003</v>
      </c>
      <c r="I4778" t="s">
        <v>50</v>
      </c>
      <c r="J4778">
        <v>7</v>
      </c>
      <c r="K4778" t="s">
        <v>51</v>
      </c>
      <c r="L4778">
        <v>5</v>
      </c>
      <c r="M4778" t="str">
        <f>VLOOKUP(D4778,State_Lookup!$A$2:$B$28,2,FALSE)</f>
        <v>Rio Grande do Sul</v>
      </c>
    </row>
    <row r="4779" spans="1:13" x14ac:dyDescent="0.45">
      <c r="A4779" t="s">
        <v>5508</v>
      </c>
      <c r="B4779" t="s">
        <v>5493</v>
      </c>
      <c r="C4779" t="s">
        <v>5398</v>
      </c>
      <c r="D4779" t="s">
        <v>16</v>
      </c>
      <c r="E4779" t="s">
        <v>244</v>
      </c>
      <c r="F4779">
        <v>1</v>
      </c>
      <c r="G4779">
        <v>98.9</v>
      </c>
      <c r="H4779">
        <v>16.96</v>
      </c>
      <c r="I4779" t="s">
        <v>50</v>
      </c>
      <c r="J4779">
        <v>2</v>
      </c>
      <c r="K4779" t="s">
        <v>51</v>
      </c>
      <c r="L4779">
        <v>5</v>
      </c>
      <c r="M4779" t="str">
        <f>VLOOKUP(D4779,State_Lookup!$A$2:$B$28,2,FALSE)</f>
        <v>Sao Paulo</v>
      </c>
    </row>
    <row r="4780" spans="1:13" x14ac:dyDescent="0.45">
      <c r="A4780" t="s">
        <v>5509</v>
      </c>
      <c r="B4780" t="s">
        <v>5493</v>
      </c>
      <c r="C4780" t="s">
        <v>5398</v>
      </c>
      <c r="D4780" t="s">
        <v>16</v>
      </c>
      <c r="E4780" t="s">
        <v>79</v>
      </c>
      <c r="F4780">
        <v>2</v>
      </c>
      <c r="G4780">
        <v>220.64</v>
      </c>
      <c r="H4780">
        <v>16.059999999999999</v>
      </c>
      <c r="I4780" t="s">
        <v>44</v>
      </c>
      <c r="J4780">
        <v>8</v>
      </c>
      <c r="K4780" t="s">
        <v>143</v>
      </c>
      <c r="L4780">
        <v>5</v>
      </c>
      <c r="M4780" t="str">
        <f>VLOOKUP(D4780,State_Lookup!$A$2:$B$28,2,FALSE)</f>
        <v>Sao Paulo</v>
      </c>
    </row>
    <row r="4781" spans="1:13" x14ac:dyDescent="0.45">
      <c r="A4781" t="s">
        <v>5510</v>
      </c>
      <c r="B4781" t="s">
        <v>5493</v>
      </c>
      <c r="C4781" t="s">
        <v>5398</v>
      </c>
      <c r="D4781" t="s">
        <v>16</v>
      </c>
      <c r="E4781" t="s">
        <v>110</v>
      </c>
      <c r="F4781">
        <v>1</v>
      </c>
      <c r="G4781">
        <v>68.900000000000006</v>
      </c>
      <c r="H4781">
        <v>14.06</v>
      </c>
      <c r="I4781" t="s">
        <v>50</v>
      </c>
      <c r="J4781">
        <v>6</v>
      </c>
      <c r="K4781" t="s">
        <v>51</v>
      </c>
      <c r="L4781">
        <v>5</v>
      </c>
      <c r="M4781" t="str">
        <f>VLOOKUP(D4781,State_Lookup!$A$2:$B$28,2,FALSE)</f>
        <v>Sao Paulo</v>
      </c>
    </row>
    <row r="4782" spans="1:13" x14ac:dyDescent="0.45">
      <c r="A4782" t="s">
        <v>5511</v>
      </c>
      <c r="B4782" t="s">
        <v>5512</v>
      </c>
      <c r="C4782" t="s">
        <v>5398</v>
      </c>
      <c r="D4782" t="s">
        <v>24</v>
      </c>
      <c r="E4782" t="s">
        <v>69</v>
      </c>
      <c r="F4782">
        <v>1</v>
      </c>
      <c r="G4782">
        <v>13.99</v>
      </c>
      <c r="H4782">
        <v>18.23</v>
      </c>
      <c r="I4782" t="s">
        <v>44</v>
      </c>
      <c r="J4782">
        <v>5</v>
      </c>
      <c r="K4782" t="s">
        <v>51</v>
      </c>
      <c r="L4782">
        <v>5</v>
      </c>
      <c r="M4782" t="str">
        <f>VLOOKUP(D4782,State_Lookup!$A$2:$B$28,2,FALSE)</f>
        <v>Distrito Federal</v>
      </c>
    </row>
    <row r="4783" spans="1:13" x14ac:dyDescent="0.45">
      <c r="A4783" t="s">
        <v>5513</v>
      </c>
      <c r="B4783" t="s">
        <v>5512</v>
      </c>
      <c r="C4783" t="s">
        <v>5398</v>
      </c>
      <c r="D4783" t="s">
        <v>18</v>
      </c>
      <c r="E4783" t="s">
        <v>1839</v>
      </c>
      <c r="F4783">
        <v>1</v>
      </c>
      <c r="G4783">
        <v>21.7</v>
      </c>
      <c r="H4783">
        <v>19.34</v>
      </c>
      <c r="I4783" t="s">
        <v>44</v>
      </c>
      <c r="J4783">
        <v>6</v>
      </c>
      <c r="K4783" t="s">
        <v>51</v>
      </c>
      <c r="L4783">
        <v>5</v>
      </c>
      <c r="M4783" t="str">
        <f>VLOOKUP(D4783,State_Lookup!$A$2:$B$28,2,FALSE)</f>
        <v>Minas Gerais</v>
      </c>
    </row>
    <row r="4784" spans="1:13" x14ac:dyDescent="0.45">
      <c r="A4784" t="s">
        <v>5514</v>
      </c>
      <c r="B4784" t="s">
        <v>5512</v>
      </c>
      <c r="C4784" t="s">
        <v>5398</v>
      </c>
      <c r="D4784" t="s">
        <v>672</v>
      </c>
      <c r="E4784" t="s">
        <v>66</v>
      </c>
      <c r="F4784">
        <v>1</v>
      </c>
      <c r="G4784">
        <v>219</v>
      </c>
      <c r="H4784">
        <v>18.46</v>
      </c>
      <c r="I4784" t="s">
        <v>44</v>
      </c>
      <c r="J4784">
        <v>19</v>
      </c>
      <c r="K4784" t="s">
        <v>51</v>
      </c>
      <c r="L4784">
        <v>2</v>
      </c>
      <c r="M4784" t="str">
        <f>VLOOKUP(D4784,State_Lookup!$A$2:$B$28,2,FALSE)</f>
        <v>Paraiba</v>
      </c>
    </row>
    <row r="4785" spans="1:13" x14ac:dyDescent="0.45">
      <c r="A4785" t="s">
        <v>5515</v>
      </c>
      <c r="B4785" t="s">
        <v>5512</v>
      </c>
      <c r="C4785" t="s">
        <v>5398</v>
      </c>
      <c r="D4785" t="s">
        <v>16</v>
      </c>
      <c r="E4785" t="s">
        <v>110</v>
      </c>
      <c r="F4785">
        <v>1</v>
      </c>
      <c r="G4785">
        <v>69</v>
      </c>
      <c r="H4785">
        <v>14.79</v>
      </c>
      <c r="I4785" t="s">
        <v>44</v>
      </c>
      <c r="J4785">
        <v>5</v>
      </c>
      <c r="K4785" t="s">
        <v>51</v>
      </c>
      <c r="L4785">
        <v>5</v>
      </c>
      <c r="M4785" t="str">
        <f>VLOOKUP(D4785,State_Lookup!$A$2:$B$28,2,FALSE)</f>
        <v>Sao Paulo</v>
      </c>
    </row>
    <row r="4786" spans="1:13" x14ac:dyDescent="0.45">
      <c r="A4786" t="s">
        <v>5516</v>
      </c>
      <c r="B4786" t="s">
        <v>5512</v>
      </c>
      <c r="C4786" t="s">
        <v>5398</v>
      </c>
      <c r="D4786" t="s">
        <v>16</v>
      </c>
      <c r="E4786" t="s">
        <v>2079</v>
      </c>
      <c r="F4786">
        <v>1</v>
      </c>
      <c r="G4786">
        <v>119</v>
      </c>
      <c r="H4786">
        <v>15.14</v>
      </c>
      <c r="I4786" t="s">
        <v>44</v>
      </c>
      <c r="J4786">
        <v>5</v>
      </c>
      <c r="K4786" t="s">
        <v>51</v>
      </c>
      <c r="L4786">
        <v>5</v>
      </c>
      <c r="M4786" t="str">
        <f>VLOOKUP(D4786,State_Lookup!$A$2:$B$28,2,FALSE)</f>
        <v>Sao Paulo</v>
      </c>
    </row>
    <row r="4787" spans="1:13" x14ac:dyDescent="0.45">
      <c r="A4787" t="s">
        <v>5517</v>
      </c>
      <c r="B4787" t="s">
        <v>5512</v>
      </c>
      <c r="C4787" t="s">
        <v>5398</v>
      </c>
      <c r="D4787" t="s">
        <v>22</v>
      </c>
      <c r="E4787" t="s">
        <v>142</v>
      </c>
      <c r="F4787">
        <v>1</v>
      </c>
      <c r="G4787">
        <v>71.400000000000006</v>
      </c>
      <c r="H4787">
        <v>22.43</v>
      </c>
      <c r="I4787" t="s">
        <v>108</v>
      </c>
      <c r="J4787">
        <v>8</v>
      </c>
      <c r="K4787" t="s">
        <v>51</v>
      </c>
      <c r="L4787">
        <v>4</v>
      </c>
      <c r="M4787" t="str">
        <f>VLOOKUP(D4787,State_Lookup!$A$2:$B$28,2,FALSE)</f>
        <v>Bahia</v>
      </c>
    </row>
    <row r="4788" spans="1:13" x14ac:dyDescent="0.45">
      <c r="A4788" t="s">
        <v>5518</v>
      </c>
      <c r="B4788" t="s">
        <v>5512</v>
      </c>
      <c r="C4788" t="s">
        <v>5398</v>
      </c>
      <c r="D4788" t="s">
        <v>16</v>
      </c>
      <c r="E4788" t="s">
        <v>43</v>
      </c>
      <c r="F4788">
        <v>1</v>
      </c>
      <c r="G4788">
        <v>189</v>
      </c>
      <c r="H4788">
        <v>53.67</v>
      </c>
      <c r="I4788" t="s">
        <v>44</v>
      </c>
      <c r="J4788">
        <v>9</v>
      </c>
      <c r="K4788" t="s">
        <v>51</v>
      </c>
      <c r="L4788">
        <v>3</v>
      </c>
      <c r="M4788" t="str">
        <f>VLOOKUP(D4788,State_Lookup!$A$2:$B$28,2,FALSE)</f>
        <v>Sao Paulo</v>
      </c>
    </row>
    <row r="4789" spans="1:13" x14ac:dyDescent="0.45">
      <c r="A4789" t="s">
        <v>5519</v>
      </c>
      <c r="B4789" t="s">
        <v>5512</v>
      </c>
      <c r="C4789" t="s">
        <v>5398</v>
      </c>
      <c r="D4789" t="s">
        <v>16</v>
      </c>
      <c r="E4789" t="s">
        <v>79</v>
      </c>
      <c r="F4789">
        <v>1</v>
      </c>
      <c r="G4789">
        <v>149.65</v>
      </c>
      <c r="H4789">
        <v>18.989999999999998</v>
      </c>
      <c r="I4789" t="s">
        <v>44</v>
      </c>
      <c r="J4789">
        <v>11</v>
      </c>
      <c r="K4789" t="s">
        <v>51</v>
      </c>
      <c r="L4789">
        <v>5</v>
      </c>
      <c r="M4789" t="str">
        <f>VLOOKUP(D4789,State_Lookup!$A$2:$B$28,2,FALSE)</f>
        <v>Sao Paulo</v>
      </c>
    </row>
    <row r="4790" spans="1:13" x14ac:dyDescent="0.45">
      <c r="A4790" t="s">
        <v>5520</v>
      </c>
      <c r="B4790" t="s">
        <v>5512</v>
      </c>
      <c r="C4790" t="s">
        <v>5398</v>
      </c>
      <c r="D4790" t="s">
        <v>16</v>
      </c>
      <c r="E4790" t="s">
        <v>142</v>
      </c>
      <c r="F4790">
        <v>1</v>
      </c>
      <c r="G4790">
        <v>199</v>
      </c>
      <c r="H4790">
        <v>45.38</v>
      </c>
      <c r="I4790" t="s">
        <v>50</v>
      </c>
      <c r="J4790">
        <v>7</v>
      </c>
      <c r="K4790" t="s">
        <v>51</v>
      </c>
      <c r="L4790">
        <v>5</v>
      </c>
      <c r="M4790" t="str">
        <f>VLOOKUP(D4790,State_Lookup!$A$2:$B$28,2,FALSE)</f>
        <v>Sao Paulo</v>
      </c>
    </row>
    <row r="4791" spans="1:13" x14ac:dyDescent="0.45">
      <c r="A4791" t="s">
        <v>5521</v>
      </c>
      <c r="B4791" t="s">
        <v>5512</v>
      </c>
      <c r="C4791" t="s">
        <v>5398</v>
      </c>
      <c r="D4791" t="s">
        <v>16</v>
      </c>
      <c r="E4791" t="s">
        <v>192</v>
      </c>
      <c r="F4791">
        <v>1</v>
      </c>
      <c r="G4791">
        <v>42.99</v>
      </c>
      <c r="H4791">
        <v>13.88</v>
      </c>
      <c r="I4791" t="s">
        <v>44</v>
      </c>
      <c r="J4791">
        <v>4</v>
      </c>
      <c r="K4791" t="s">
        <v>51</v>
      </c>
      <c r="L4791">
        <v>4</v>
      </c>
      <c r="M4791" t="str">
        <f>VLOOKUP(D4791,State_Lookup!$A$2:$B$28,2,FALSE)</f>
        <v>Sao Paulo</v>
      </c>
    </row>
    <row r="4792" spans="1:13" x14ac:dyDescent="0.45">
      <c r="A4792" t="s">
        <v>5522</v>
      </c>
      <c r="B4792" t="s">
        <v>5512</v>
      </c>
      <c r="C4792" t="s">
        <v>5398</v>
      </c>
      <c r="D4792" t="s">
        <v>16</v>
      </c>
      <c r="E4792" t="s">
        <v>61</v>
      </c>
      <c r="F4792">
        <v>1</v>
      </c>
      <c r="G4792">
        <v>149.9</v>
      </c>
      <c r="H4792">
        <v>23.77</v>
      </c>
      <c r="I4792" t="s">
        <v>50</v>
      </c>
      <c r="J4792">
        <v>5</v>
      </c>
      <c r="K4792" t="s">
        <v>51</v>
      </c>
      <c r="L4792">
        <v>5</v>
      </c>
      <c r="M4792" t="str">
        <f>VLOOKUP(D4792,State_Lookup!$A$2:$B$28,2,FALSE)</f>
        <v>Sao Paulo</v>
      </c>
    </row>
    <row r="4793" spans="1:13" x14ac:dyDescent="0.45">
      <c r="A4793" t="s">
        <v>5523</v>
      </c>
      <c r="B4793" t="s">
        <v>5512</v>
      </c>
      <c r="C4793" t="s">
        <v>5398</v>
      </c>
      <c r="D4793" t="s">
        <v>16</v>
      </c>
      <c r="E4793" t="s">
        <v>110</v>
      </c>
      <c r="F4793">
        <v>1</v>
      </c>
      <c r="G4793">
        <v>69.900000000000006</v>
      </c>
      <c r="H4793">
        <v>18.29</v>
      </c>
      <c r="I4793" t="s">
        <v>50</v>
      </c>
      <c r="J4793">
        <v>8</v>
      </c>
      <c r="K4793" t="s">
        <v>51</v>
      </c>
      <c r="L4793">
        <v>5</v>
      </c>
      <c r="M4793" t="str">
        <f>VLOOKUP(D4793,State_Lookup!$A$2:$B$28,2,FALSE)</f>
        <v>Sao Paulo</v>
      </c>
    </row>
    <row r="4794" spans="1:13" x14ac:dyDescent="0.45">
      <c r="A4794" t="s">
        <v>5524</v>
      </c>
      <c r="B4794" t="s">
        <v>5512</v>
      </c>
      <c r="C4794" t="s">
        <v>5398</v>
      </c>
      <c r="D4794" t="s">
        <v>22</v>
      </c>
      <c r="E4794" t="s">
        <v>192</v>
      </c>
      <c r="F4794">
        <v>1</v>
      </c>
      <c r="G4794">
        <v>94.9</v>
      </c>
      <c r="H4794">
        <v>23.81</v>
      </c>
      <c r="I4794" t="s">
        <v>44</v>
      </c>
      <c r="J4794">
        <v>13</v>
      </c>
      <c r="K4794" t="s">
        <v>51</v>
      </c>
      <c r="L4794">
        <v>5</v>
      </c>
      <c r="M4794" t="str">
        <f>VLOOKUP(D4794,State_Lookup!$A$2:$B$28,2,FALSE)</f>
        <v>Bahia</v>
      </c>
    </row>
    <row r="4795" spans="1:13" x14ac:dyDescent="0.45">
      <c r="A4795" t="s">
        <v>5525</v>
      </c>
      <c r="B4795" t="s">
        <v>5512</v>
      </c>
      <c r="C4795" t="s">
        <v>5398</v>
      </c>
      <c r="D4795" t="s">
        <v>16</v>
      </c>
      <c r="E4795" t="s">
        <v>110</v>
      </c>
      <c r="F4795">
        <v>2</v>
      </c>
      <c r="G4795">
        <v>133.1</v>
      </c>
      <c r="H4795">
        <v>29.56</v>
      </c>
      <c r="I4795" t="s">
        <v>44</v>
      </c>
      <c r="J4795">
        <v>12</v>
      </c>
      <c r="K4795" t="s">
        <v>143</v>
      </c>
      <c r="L4795">
        <v>5</v>
      </c>
      <c r="M4795" t="str">
        <f>VLOOKUP(D4795,State_Lookup!$A$2:$B$28,2,FALSE)</f>
        <v>Sao Paulo</v>
      </c>
    </row>
    <row r="4796" spans="1:13" x14ac:dyDescent="0.45">
      <c r="A4796" t="s">
        <v>5526</v>
      </c>
      <c r="B4796" t="s">
        <v>5512</v>
      </c>
      <c r="C4796" t="s">
        <v>5398</v>
      </c>
      <c r="D4796" t="s">
        <v>16</v>
      </c>
      <c r="E4796" t="s">
        <v>110</v>
      </c>
      <c r="F4796">
        <v>1</v>
      </c>
      <c r="G4796">
        <v>114.9</v>
      </c>
      <c r="H4796">
        <v>15.11</v>
      </c>
      <c r="I4796" t="s">
        <v>44</v>
      </c>
      <c r="J4796">
        <v>6</v>
      </c>
      <c r="K4796" t="s">
        <v>51</v>
      </c>
      <c r="L4796">
        <v>5</v>
      </c>
      <c r="M4796" t="str">
        <f>VLOOKUP(D4796,State_Lookup!$A$2:$B$28,2,FALSE)</f>
        <v>Sao Paulo</v>
      </c>
    </row>
    <row r="4797" spans="1:13" x14ac:dyDescent="0.45">
      <c r="A4797" t="s">
        <v>5527</v>
      </c>
      <c r="B4797" t="s">
        <v>5512</v>
      </c>
      <c r="C4797" t="s">
        <v>5398</v>
      </c>
      <c r="D4797" t="s">
        <v>16</v>
      </c>
      <c r="E4797" t="s">
        <v>58</v>
      </c>
      <c r="F4797">
        <v>1</v>
      </c>
      <c r="G4797">
        <v>75</v>
      </c>
      <c r="H4797">
        <v>13.19</v>
      </c>
      <c r="I4797" t="s">
        <v>50</v>
      </c>
      <c r="J4797">
        <v>8</v>
      </c>
      <c r="K4797" t="s">
        <v>51</v>
      </c>
      <c r="L4797">
        <v>4</v>
      </c>
      <c r="M4797" t="str">
        <f>VLOOKUP(D4797,State_Lookup!$A$2:$B$28,2,FALSE)</f>
        <v>Sao Paulo</v>
      </c>
    </row>
    <row r="4798" spans="1:13" x14ac:dyDescent="0.45">
      <c r="A4798" t="s">
        <v>5528</v>
      </c>
      <c r="B4798" t="s">
        <v>5512</v>
      </c>
      <c r="C4798" t="s">
        <v>5398</v>
      </c>
      <c r="D4798" t="s">
        <v>16</v>
      </c>
      <c r="E4798" t="s">
        <v>110</v>
      </c>
      <c r="F4798">
        <v>1</v>
      </c>
      <c r="G4798">
        <v>39</v>
      </c>
      <c r="H4798">
        <v>13.85</v>
      </c>
      <c r="I4798" t="s">
        <v>44</v>
      </c>
      <c r="J4798">
        <v>6</v>
      </c>
      <c r="K4798" t="s">
        <v>51</v>
      </c>
      <c r="L4798">
        <v>5</v>
      </c>
      <c r="M4798" t="str">
        <f>VLOOKUP(D4798,State_Lookup!$A$2:$B$28,2,FALSE)</f>
        <v>Sao Paulo</v>
      </c>
    </row>
    <row r="4799" spans="1:13" x14ac:dyDescent="0.45">
      <c r="A4799" t="s">
        <v>5529</v>
      </c>
      <c r="B4799" t="s">
        <v>5512</v>
      </c>
      <c r="C4799" t="s">
        <v>5398</v>
      </c>
      <c r="D4799" t="s">
        <v>18</v>
      </c>
      <c r="E4799" t="s">
        <v>1839</v>
      </c>
      <c r="F4799">
        <v>1</v>
      </c>
      <c r="G4799">
        <v>150</v>
      </c>
      <c r="H4799">
        <v>42.03</v>
      </c>
      <c r="I4799" t="s">
        <v>44</v>
      </c>
      <c r="J4799">
        <v>14</v>
      </c>
      <c r="K4799" t="s">
        <v>51</v>
      </c>
      <c r="L4799">
        <v>5</v>
      </c>
      <c r="M4799" t="str">
        <f>VLOOKUP(D4799,State_Lookup!$A$2:$B$28,2,FALSE)</f>
        <v>Minas Gerais</v>
      </c>
    </row>
    <row r="4800" spans="1:13" x14ac:dyDescent="0.45">
      <c r="A4800" t="s">
        <v>5530</v>
      </c>
      <c r="B4800" t="s">
        <v>5512</v>
      </c>
      <c r="C4800" t="s">
        <v>5398</v>
      </c>
      <c r="D4800" t="s">
        <v>16</v>
      </c>
      <c r="E4800" t="s">
        <v>64</v>
      </c>
      <c r="F4800">
        <v>1</v>
      </c>
      <c r="G4800">
        <v>136.78</v>
      </c>
      <c r="H4800">
        <v>8.2200000000000006</v>
      </c>
      <c r="I4800" t="s">
        <v>44</v>
      </c>
      <c r="J4800">
        <v>6</v>
      </c>
      <c r="K4800" t="s">
        <v>143</v>
      </c>
      <c r="L4800">
        <v>5</v>
      </c>
      <c r="M4800" t="str">
        <f>VLOOKUP(D4800,State_Lookup!$A$2:$B$28,2,FALSE)</f>
        <v>Sao Paulo</v>
      </c>
    </row>
    <row r="4801" spans="1:13" x14ac:dyDescent="0.45">
      <c r="A4801" t="s">
        <v>5531</v>
      </c>
      <c r="B4801" t="s">
        <v>5512</v>
      </c>
      <c r="C4801" t="s">
        <v>5398</v>
      </c>
      <c r="D4801" t="s">
        <v>16</v>
      </c>
      <c r="E4801" t="s">
        <v>950</v>
      </c>
      <c r="F4801">
        <v>1</v>
      </c>
      <c r="G4801">
        <v>795</v>
      </c>
      <c r="H4801">
        <v>63.65</v>
      </c>
      <c r="I4801" t="s">
        <v>44</v>
      </c>
      <c r="J4801">
        <v>9</v>
      </c>
      <c r="K4801" t="s">
        <v>51</v>
      </c>
      <c r="L4801">
        <v>1</v>
      </c>
      <c r="M4801" t="str">
        <f>VLOOKUP(D4801,State_Lookup!$A$2:$B$28,2,FALSE)</f>
        <v>Sao Paulo</v>
      </c>
    </row>
    <row r="4802" spans="1:13" x14ac:dyDescent="0.45">
      <c r="A4802" t="s">
        <v>5532</v>
      </c>
      <c r="B4802" t="s">
        <v>5512</v>
      </c>
      <c r="C4802" t="s">
        <v>5398</v>
      </c>
      <c r="D4802" t="s">
        <v>22</v>
      </c>
      <c r="E4802" t="s">
        <v>1650</v>
      </c>
      <c r="F4802">
        <v>1</v>
      </c>
      <c r="G4802">
        <v>650</v>
      </c>
      <c r="H4802">
        <v>42.94</v>
      </c>
      <c r="I4802" t="s">
        <v>44</v>
      </c>
      <c r="J4802">
        <v>9</v>
      </c>
      <c r="K4802" t="s">
        <v>51</v>
      </c>
      <c r="L4802">
        <v>5</v>
      </c>
      <c r="M4802" t="str">
        <f>VLOOKUP(D4802,State_Lookup!$A$2:$B$28,2,FALSE)</f>
        <v>Bahia</v>
      </c>
    </row>
    <row r="4803" spans="1:13" x14ac:dyDescent="0.45">
      <c r="A4803" t="s">
        <v>5533</v>
      </c>
      <c r="B4803" t="s">
        <v>5512</v>
      </c>
      <c r="C4803" t="s">
        <v>5398</v>
      </c>
      <c r="D4803" t="s">
        <v>23</v>
      </c>
      <c r="E4803" t="s">
        <v>64</v>
      </c>
      <c r="F4803">
        <v>1</v>
      </c>
      <c r="G4803">
        <v>179.9</v>
      </c>
      <c r="H4803">
        <v>16.36</v>
      </c>
      <c r="I4803" t="s">
        <v>44</v>
      </c>
      <c r="J4803">
        <v>7</v>
      </c>
      <c r="K4803" t="s">
        <v>51</v>
      </c>
      <c r="L4803">
        <v>5</v>
      </c>
      <c r="M4803" t="str">
        <f>VLOOKUP(D4803,State_Lookup!$A$2:$B$28,2,FALSE)</f>
        <v>Espirito Santo</v>
      </c>
    </row>
    <row r="4804" spans="1:13" x14ac:dyDescent="0.45">
      <c r="A4804" t="s">
        <v>5534</v>
      </c>
      <c r="B4804" t="s">
        <v>5535</v>
      </c>
      <c r="C4804" t="s">
        <v>5398</v>
      </c>
      <c r="D4804" t="s">
        <v>24</v>
      </c>
      <c r="E4804" t="s">
        <v>49</v>
      </c>
      <c r="F4804">
        <v>1</v>
      </c>
      <c r="G4804">
        <v>49.9</v>
      </c>
      <c r="H4804">
        <v>15.45</v>
      </c>
      <c r="I4804" t="s">
        <v>44</v>
      </c>
      <c r="J4804">
        <v>11</v>
      </c>
      <c r="K4804" t="s">
        <v>51</v>
      </c>
      <c r="L4804">
        <v>5</v>
      </c>
      <c r="M4804" t="str">
        <f>VLOOKUP(D4804,State_Lookup!$A$2:$B$28,2,FALSE)</f>
        <v>Distrito Federal</v>
      </c>
    </row>
    <row r="4805" spans="1:13" x14ac:dyDescent="0.45">
      <c r="A4805" t="s">
        <v>5536</v>
      </c>
      <c r="B4805" t="s">
        <v>5535</v>
      </c>
      <c r="C4805" t="s">
        <v>5398</v>
      </c>
      <c r="D4805" t="s">
        <v>16</v>
      </c>
      <c r="E4805" t="s">
        <v>61</v>
      </c>
      <c r="F4805">
        <v>1</v>
      </c>
      <c r="G4805">
        <v>6.5</v>
      </c>
      <c r="H4805">
        <v>7.39</v>
      </c>
      <c r="I4805" t="s">
        <v>44</v>
      </c>
      <c r="J4805">
        <v>4</v>
      </c>
      <c r="K4805" t="s">
        <v>51</v>
      </c>
      <c r="L4805">
        <v>1</v>
      </c>
      <c r="M4805" t="str">
        <f>VLOOKUP(D4805,State_Lookup!$A$2:$B$28,2,FALSE)</f>
        <v>Sao Paulo</v>
      </c>
    </row>
    <row r="4806" spans="1:13" x14ac:dyDescent="0.45">
      <c r="A4806" t="s">
        <v>5537</v>
      </c>
      <c r="B4806" t="s">
        <v>5535</v>
      </c>
      <c r="C4806" t="s">
        <v>5398</v>
      </c>
      <c r="D4806" t="s">
        <v>16</v>
      </c>
      <c r="E4806" t="s">
        <v>199</v>
      </c>
      <c r="F4806">
        <v>2</v>
      </c>
      <c r="G4806">
        <v>84.89</v>
      </c>
      <c r="H4806">
        <v>32.9</v>
      </c>
      <c r="I4806" t="s">
        <v>50</v>
      </c>
      <c r="J4806">
        <v>4</v>
      </c>
      <c r="K4806" t="s">
        <v>51</v>
      </c>
      <c r="L4806">
        <v>5</v>
      </c>
      <c r="M4806" t="str">
        <f>VLOOKUP(D4806,State_Lookup!$A$2:$B$28,2,FALSE)</f>
        <v>Sao Paulo</v>
      </c>
    </row>
    <row r="4807" spans="1:13" x14ac:dyDescent="0.45">
      <c r="A4807" t="s">
        <v>5538</v>
      </c>
      <c r="B4807" t="s">
        <v>5535</v>
      </c>
      <c r="C4807" t="s">
        <v>5398</v>
      </c>
      <c r="D4807" t="s">
        <v>18</v>
      </c>
      <c r="E4807" t="s">
        <v>79</v>
      </c>
      <c r="F4807">
        <v>1</v>
      </c>
      <c r="G4807">
        <v>84.3</v>
      </c>
      <c r="H4807">
        <v>13.93</v>
      </c>
      <c r="I4807" t="s">
        <v>44</v>
      </c>
      <c r="J4807">
        <v>6</v>
      </c>
      <c r="K4807" t="s">
        <v>51</v>
      </c>
      <c r="L4807">
        <v>5</v>
      </c>
      <c r="M4807" t="str">
        <f>VLOOKUP(D4807,State_Lookup!$A$2:$B$28,2,FALSE)</f>
        <v>Minas Gerais</v>
      </c>
    </row>
    <row r="4808" spans="1:13" x14ac:dyDescent="0.45">
      <c r="A4808" t="s">
        <v>5539</v>
      </c>
      <c r="B4808" t="s">
        <v>5535</v>
      </c>
      <c r="C4808" t="s">
        <v>5398</v>
      </c>
      <c r="D4808" t="s">
        <v>17</v>
      </c>
      <c r="E4808" t="s">
        <v>1903</v>
      </c>
      <c r="F4808">
        <v>1</v>
      </c>
      <c r="G4808">
        <v>34</v>
      </c>
      <c r="H4808">
        <v>19.43</v>
      </c>
      <c r="I4808" t="s">
        <v>44</v>
      </c>
      <c r="J4808">
        <v>7</v>
      </c>
      <c r="K4808" t="s">
        <v>51</v>
      </c>
      <c r="L4808">
        <v>4</v>
      </c>
      <c r="M4808" t="str">
        <f>VLOOKUP(D4808,State_Lookup!$A$2:$B$28,2,FALSE)</f>
        <v>Rio de Janeiro</v>
      </c>
    </row>
    <row r="4809" spans="1:13" x14ac:dyDescent="0.45">
      <c r="A4809" t="s">
        <v>5540</v>
      </c>
      <c r="B4809" t="s">
        <v>5535</v>
      </c>
      <c r="C4809" t="s">
        <v>5398</v>
      </c>
      <c r="D4809" t="s">
        <v>17</v>
      </c>
      <c r="E4809" t="s">
        <v>49</v>
      </c>
      <c r="F4809">
        <v>1</v>
      </c>
      <c r="G4809">
        <v>109</v>
      </c>
      <c r="H4809">
        <v>19.95</v>
      </c>
      <c r="I4809" t="s">
        <v>108</v>
      </c>
      <c r="J4809">
        <v>8</v>
      </c>
      <c r="K4809" t="s">
        <v>51</v>
      </c>
      <c r="L4809">
        <v>5</v>
      </c>
      <c r="M4809" t="str">
        <f>VLOOKUP(D4809,State_Lookup!$A$2:$B$28,2,FALSE)</f>
        <v>Rio de Janeiro</v>
      </c>
    </row>
    <row r="4810" spans="1:13" x14ac:dyDescent="0.45">
      <c r="A4810" t="s">
        <v>5541</v>
      </c>
      <c r="B4810" t="s">
        <v>5535</v>
      </c>
      <c r="C4810" t="s">
        <v>5398</v>
      </c>
      <c r="D4810" t="s">
        <v>19</v>
      </c>
      <c r="E4810" t="s">
        <v>148</v>
      </c>
      <c r="F4810">
        <v>1</v>
      </c>
      <c r="G4810">
        <v>95.9</v>
      </c>
      <c r="H4810">
        <v>18.77</v>
      </c>
      <c r="I4810" t="s">
        <v>44</v>
      </c>
      <c r="J4810">
        <v>20</v>
      </c>
      <c r="K4810" t="s">
        <v>51</v>
      </c>
      <c r="L4810">
        <v>5</v>
      </c>
      <c r="M4810" t="str">
        <f>VLOOKUP(D4810,State_Lookup!$A$2:$B$28,2,FALSE)</f>
        <v>Rio Grande do Sul</v>
      </c>
    </row>
    <row r="4811" spans="1:13" x14ac:dyDescent="0.45">
      <c r="A4811" t="s">
        <v>5542</v>
      </c>
      <c r="B4811" t="s">
        <v>5535</v>
      </c>
      <c r="C4811" t="s">
        <v>5398</v>
      </c>
      <c r="D4811" t="s">
        <v>21</v>
      </c>
      <c r="E4811" t="s">
        <v>1839</v>
      </c>
      <c r="F4811">
        <v>1</v>
      </c>
      <c r="G4811">
        <v>150</v>
      </c>
      <c r="H4811">
        <v>42.03</v>
      </c>
      <c r="I4811" t="s">
        <v>44</v>
      </c>
      <c r="J4811">
        <v>6</v>
      </c>
      <c r="K4811" t="s">
        <v>51</v>
      </c>
      <c r="L4811">
        <v>4</v>
      </c>
      <c r="M4811" t="str">
        <f>VLOOKUP(D4811,State_Lookup!$A$2:$B$28,2,FALSE)</f>
        <v>Santa Catarina</v>
      </c>
    </row>
    <row r="4812" spans="1:13" x14ac:dyDescent="0.45">
      <c r="A4812" t="s">
        <v>5543</v>
      </c>
      <c r="B4812" t="s">
        <v>5535</v>
      </c>
      <c r="C4812" t="s">
        <v>5398</v>
      </c>
      <c r="D4812" t="s">
        <v>16</v>
      </c>
      <c r="E4812" t="s">
        <v>49</v>
      </c>
      <c r="F4812">
        <v>1</v>
      </c>
      <c r="G4812">
        <v>28.9</v>
      </c>
      <c r="H4812">
        <v>12.86</v>
      </c>
      <c r="I4812" t="s">
        <v>44</v>
      </c>
      <c r="J4812">
        <v>6</v>
      </c>
      <c r="K4812" t="s">
        <v>51</v>
      </c>
      <c r="L4812">
        <v>4</v>
      </c>
      <c r="M4812" t="str">
        <f>VLOOKUP(D4812,State_Lookup!$A$2:$B$28,2,FALSE)</f>
        <v>Sao Paulo</v>
      </c>
    </row>
    <row r="4813" spans="1:13" x14ac:dyDescent="0.45">
      <c r="A4813" t="s">
        <v>5544</v>
      </c>
      <c r="B4813" t="s">
        <v>5545</v>
      </c>
      <c r="C4813" t="s">
        <v>5398</v>
      </c>
      <c r="D4813" t="s">
        <v>18</v>
      </c>
      <c r="E4813" t="s">
        <v>110</v>
      </c>
      <c r="F4813">
        <v>1</v>
      </c>
      <c r="G4813">
        <v>432.3</v>
      </c>
      <c r="H4813">
        <v>69.62</v>
      </c>
      <c r="I4813" t="s">
        <v>44</v>
      </c>
      <c r="J4813">
        <v>7</v>
      </c>
      <c r="K4813" t="s">
        <v>51</v>
      </c>
      <c r="L4813">
        <v>5</v>
      </c>
      <c r="M4813" t="str">
        <f>VLOOKUP(D4813,State_Lookup!$A$2:$B$28,2,FALSE)</f>
        <v>Minas Gerais</v>
      </c>
    </row>
    <row r="4814" spans="1:13" x14ac:dyDescent="0.45">
      <c r="A4814" t="s">
        <v>5546</v>
      </c>
      <c r="B4814" t="s">
        <v>5545</v>
      </c>
      <c r="C4814" t="s">
        <v>5398</v>
      </c>
      <c r="D4814" t="s">
        <v>16</v>
      </c>
      <c r="E4814" t="s">
        <v>148</v>
      </c>
      <c r="F4814">
        <v>1</v>
      </c>
      <c r="G4814">
        <v>190</v>
      </c>
      <c r="H4814">
        <v>13.99</v>
      </c>
      <c r="I4814" t="s">
        <v>50</v>
      </c>
      <c r="J4814">
        <v>5</v>
      </c>
      <c r="K4814" t="s">
        <v>51</v>
      </c>
      <c r="L4814">
        <v>5</v>
      </c>
      <c r="M4814" t="str">
        <f>VLOOKUP(D4814,State_Lookup!$A$2:$B$28,2,FALSE)</f>
        <v>Sao Paulo</v>
      </c>
    </row>
    <row r="4815" spans="1:13" x14ac:dyDescent="0.45">
      <c r="A4815" t="s">
        <v>5547</v>
      </c>
      <c r="B4815" t="s">
        <v>5545</v>
      </c>
      <c r="C4815" t="s">
        <v>5398</v>
      </c>
      <c r="D4815" t="s">
        <v>63</v>
      </c>
      <c r="E4815" t="s">
        <v>66</v>
      </c>
      <c r="F4815">
        <v>1</v>
      </c>
      <c r="G4815">
        <v>199</v>
      </c>
      <c r="H4815">
        <v>24.54</v>
      </c>
      <c r="I4815" t="s">
        <v>44</v>
      </c>
      <c r="J4815">
        <v>10</v>
      </c>
      <c r="K4815" t="s">
        <v>51</v>
      </c>
      <c r="L4815">
        <v>5</v>
      </c>
      <c r="M4815" t="str">
        <f>VLOOKUP(D4815,State_Lookup!$A$2:$B$28,2,FALSE)</f>
        <v>Pernambuco</v>
      </c>
    </row>
    <row r="4816" spans="1:13" x14ac:dyDescent="0.45">
      <c r="A4816" t="s">
        <v>5548</v>
      </c>
      <c r="B4816" t="s">
        <v>5545</v>
      </c>
      <c r="C4816" t="s">
        <v>5398</v>
      </c>
      <c r="D4816" t="s">
        <v>24</v>
      </c>
      <c r="E4816" t="s">
        <v>110</v>
      </c>
      <c r="F4816">
        <v>1</v>
      </c>
      <c r="G4816">
        <v>48.9</v>
      </c>
      <c r="H4816">
        <v>16.53</v>
      </c>
      <c r="I4816" t="s">
        <v>133</v>
      </c>
      <c r="J4816">
        <v>10</v>
      </c>
      <c r="K4816" t="s">
        <v>51</v>
      </c>
      <c r="L4816">
        <v>1</v>
      </c>
      <c r="M4816" t="str">
        <f>VLOOKUP(D4816,State_Lookup!$A$2:$B$28,2,FALSE)</f>
        <v>Distrito Federal</v>
      </c>
    </row>
    <row r="4817" spans="1:13" x14ac:dyDescent="0.45">
      <c r="A4817" t="s">
        <v>5549</v>
      </c>
      <c r="B4817" t="s">
        <v>5545</v>
      </c>
      <c r="C4817" t="s">
        <v>5398</v>
      </c>
      <c r="D4817" t="s">
        <v>16</v>
      </c>
      <c r="E4817" t="s">
        <v>244</v>
      </c>
      <c r="F4817">
        <v>1</v>
      </c>
      <c r="G4817">
        <v>119</v>
      </c>
      <c r="H4817">
        <v>22.65</v>
      </c>
      <c r="I4817" t="s">
        <v>44</v>
      </c>
      <c r="J4817">
        <v>10</v>
      </c>
      <c r="K4817" t="s">
        <v>51</v>
      </c>
      <c r="L4817">
        <v>5</v>
      </c>
      <c r="M4817" t="str">
        <f>VLOOKUP(D4817,State_Lookup!$A$2:$B$28,2,FALSE)</f>
        <v>Sao Paulo</v>
      </c>
    </row>
    <row r="4818" spans="1:13" x14ac:dyDescent="0.45">
      <c r="A4818" t="s">
        <v>5550</v>
      </c>
      <c r="B4818" t="s">
        <v>5545</v>
      </c>
      <c r="C4818" t="s">
        <v>5398</v>
      </c>
      <c r="D4818" t="s">
        <v>16</v>
      </c>
      <c r="E4818" t="s">
        <v>49</v>
      </c>
      <c r="F4818">
        <v>1</v>
      </c>
      <c r="G4818">
        <v>49.9</v>
      </c>
      <c r="H4818">
        <v>13.01</v>
      </c>
      <c r="I4818" t="s">
        <v>44</v>
      </c>
      <c r="J4818">
        <v>7</v>
      </c>
      <c r="K4818" t="s">
        <v>51</v>
      </c>
      <c r="L4818">
        <v>5</v>
      </c>
      <c r="M4818" t="str">
        <f>VLOOKUP(D4818,State_Lookup!$A$2:$B$28,2,FALSE)</f>
        <v>Sao Paulo</v>
      </c>
    </row>
    <row r="4819" spans="1:13" x14ac:dyDescent="0.45">
      <c r="A4819" t="s">
        <v>5551</v>
      </c>
      <c r="B4819" t="s">
        <v>5545</v>
      </c>
      <c r="C4819" t="s">
        <v>5398</v>
      </c>
      <c r="D4819" t="s">
        <v>18</v>
      </c>
      <c r="E4819" t="s">
        <v>49</v>
      </c>
      <c r="F4819">
        <v>1</v>
      </c>
      <c r="G4819">
        <v>11.2</v>
      </c>
      <c r="H4819">
        <v>22.06</v>
      </c>
      <c r="I4819" t="s">
        <v>44</v>
      </c>
      <c r="J4819">
        <v>10</v>
      </c>
      <c r="K4819" t="s">
        <v>51</v>
      </c>
      <c r="L4819">
        <v>3</v>
      </c>
      <c r="M4819" t="str">
        <f>VLOOKUP(D4819,State_Lookup!$A$2:$B$28,2,FALSE)</f>
        <v>Minas Gerais</v>
      </c>
    </row>
    <row r="4820" spans="1:13" x14ac:dyDescent="0.45">
      <c r="A4820" t="s">
        <v>5552</v>
      </c>
      <c r="B4820" t="s">
        <v>5545</v>
      </c>
      <c r="C4820" t="s">
        <v>5398</v>
      </c>
      <c r="D4820" t="s">
        <v>18</v>
      </c>
      <c r="E4820" t="s">
        <v>79</v>
      </c>
      <c r="F4820">
        <v>2</v>
      </c>
      <c r="G4820">
        <v>278</v>
      </c>
      <c r="H4820">
        <v>38.14</v>
      </c>
      <c r="I4820" t="s">
        <v>44</v>
      </c>
      <c r="J4820">
        <v>17</v>
      </c>
      <c r="K4820" t="s">
        <v>51</v>
      </c>
      <c r="L4820">
        <v>2</v>
      </c>
      <c r="M4820" t="str">
        <f>VLOOKUP(D4820,State_Lookup!$A$2:$B$28,2,FALSE)</f>
        <v>Minas Gerais</v>
      </c>
    </row>
    <row r="4821" spans="1:13" x14ac:dyDescent="0.45">
      <c r="A4821" t="s">
        <v>5553</v>
      </c>
      <c r="B4821" t="s">
        <v>5545</v>
      </c>
      <c r="C4821" t="s">
        <v>5398</v>
      </c>
      <c r="D4821" t="s">
        <v>17</v>
      </c>
      <c r="E4821" t="s">
        <v>61</v>
      </c>
      <c r="F4821">
        <v>1</v>
      </c>
      <c r="G4821">
        <v>196</v>
      </c>
      <c r="H4821">
        <v>16.47</v>
      </c>
      <c r="I4821" t="s">
        <v>44</v>
      </c>
      <c r="J4821">
        <v>17</v>
      </c>
      <c r="K4821" t="s">
        <v>51</v>
      </c>
      <c r="L4821">
        <v>3</v>
      </c>
      <c r="M4821" t="str">
        <f>VLOOKUP(D4821,State_Lookup!$A$2:$B$28,2,FALSE)</f>
        <v>Rio de Janeiro</v>
      </c>
    </row>
    <row r="4822" spans="1:13" x14ac:dyDescent="0.45">
      <c r="A4822" t="s">
        <v>5554</v>
      </c>
      <c r="B4822" t="s">
        <v>5545</v>
      </c>
      <c r="C4822" t="s">
        <v>5398</v>
      </c>
      <c r="D4822" t="s">
        <v>16</v>
      </c>
      <c r="E4822" t="s">
        <v>192</v>
      </c>
      <c r="F4822">
        <v>1</v>
      </c>
      <c r="G4822">
        <v>129.99</v>
      </c>
      <c r="H4822">
        <v>14.55</v>
      </c>
      <c r="I4822" t="s">
        <v>50</v>
      </c>
      <c r="J4822">
        <v>7</v>
      </c>
      <c r="K4822" t="s">
        <v>51</v>
      </c>
      <c r="L4822">
        <v>5</v>
      </c>
      <c r="M4822" t="str">
        <f>VLOOKUP(D4822,State_Lookup!$A$2:$B$28,2,FALSE)</f>
        <v>Sao Paulo</v>
      </c>
    </row>
    <row r="4823" spans="1:13" x14ac:dyDescent="0.45">
      <c r="A4823" t="s">
        <v>5555</v>
      </c>
      <c r="B4823" t="s">
        <v>5545</v>
      </c>
      <c r="C4823" t="s">
        <v>5398</v>
      </c>
      <c r="D4823" t="s">
        <v>17</v>
      </c>
      <c r="E4823" t="s">
        <v>110</v>
      </c>
      <c r="F4823">
        <v>1</v>
      </c>
      <c r="G4823">
        <v>79</v>
      </c>
      <c r="H4823">
        <v>27.5</v>
      </c>
      <c r="I4823" t="s">
        <v>50</v>
      </c>
      <c r="J4823">
        <v>7</v>
      </c>
      <c r="K4823" t="s">
        <v>51</v>
      </c>
      <c r="L4823">
        <v>3</v>
      </c>
      <c r="M4823" t="str">
        <f>VLOOKUP(D4823,State_Lookup!$A$2:$B$28,2,FALSE)</f>
        <v>Rio de Janeiro</v>
      </c>
    </row>
    <row r="4824" spans="1:13" x14ac:dyDescent="0.45">
      <c r="A4824" t="s">
        <v>5556</v>
      </c>
      <c r="B4824" t="s">
        <v>5545</v>
      </c>
      <c r="C4824" t="s">
        <v>5398</v>
      </c>
      <c r="D4824" t="s">
        <v>19</v>
      </c>
      <c r="E4824" t="s">
        <v>43</v>
      </c>
      <c r="F4824">
        <v>1</v>
      </c>
      <c r="G4824">
        <v>49</v>
      </c>
      <c r="H4824">
        <v>15.44</v>
      </c>
      <c r="I4824" t="s">
        <v>50</v>
      </c>
      <c r="J4824">
        <v>10</v>
      </c>
      <c r="K4824" t="s">
        <v>51</v>
      </c>
      <c r="L4824">
        <v>5</v>
      </c>
      <c r="M4824" t="str">
        <f>VLOOKUP(D4824,State_Lookup!$A$2:$B$28,2,FALSE)</f>
        <v>Rio Grande do Sul</v>
      </c>
    </row>
    <row r="4825" spans="1:13" x14ac:dyDescent="0.45">
      <c r="A4825" t="s">
        <v>5557</v>
      </c>
      <c r="B4825" t="s">
        <v>5545</v>
      </c>
      <c r="C4825" t="s">
        <v>5398</v>
      </c>
      <c r="D4825" t="s">
        <v>16</v>
      </c>
      <c r="E4825" t="s">
        <v>125</v>
      </c>
      <c r="F4825">
        <v>1</v>
      </c>
      <c r="G4825">
        <v>32.9</v>
      </c>
      <c r="H4825">
        <v>7.45</v>
      </c>
      <c r="I4825" t="s">
        <v>44</v>
      </c>
      <c r="J4825">
        <v>4</v>
      </c>
      <c r="K4825" t="s">
        <v>51</v>
      </c>
      <c r="L4825">
        <v>3</v>
      </c>
      <c r="M4825" t="str">
        <f>VLOOKUP(D4825,State_Lookup!$A$2:$B$28,2,FALSE)</f>
        <v>Sao Paulo</v>
      </c>
    </row>
    <row r="4826" spans="1:13" x14ac:dyDescent="0.45">
      <c r="A4826" t="s">
        <v>5558</v>
      </c>
      <c r="B4826" t="s">
        <v>5545</v>
      </c>
      <c r="C4826" t="s">
        <v>5398</v>
      </c>
      <c r="D4826" t="s">
        <v>16</v>
      </c>
      <c r="E4826" t="s">
        <v>1650</v>
      </c>
      <c r="F4826">
        <v>1</v>
      </c>
      <c r="G4826">
        <v>899</v>
      </c>
      <c r="H4826">
        <v>33.54</v>
      </c>
      <c r="I4826" t="s">
        <v>50</v>
      </c>
      <c r="J4826">
        <v>6</v>
      </c>
      <c r="K4826" t="s">
        <v>143</v>
      </c>
      <c r="L4826">
        <v>4</v>
      </c>
      <c r="M4826" t="str">
        <f>VLOOKUP(D4826,State_Lookup!$A$2:$B$28,2,FALSE)</f>
        <v>Sao Paulo</v>
      </c>
    </row>
    <row r="4827" spans="1:13" x14ac:dyDescent="0.45">
      <c r="A4827" t="s">
        <v>5559</v>
      </c>
      <c r="B4827" t="s">
        <v>5545</v>
      </c>
      <c r="C4827" t="s">
        <v>5398</v>
      </c>
      <c r="D4827" t="s">
        <v>16</v>
      </c>
      <c r="E4827" t="s">
        <v>142</v>
      </c>
      <c r="F4827">
        <v>1</v>
      </c>
      <c r="G4827">
        <v>399.9</v>
      </c>
      <c r="H4827">
        <v>93.61</v>
      </c>
      <c r="I4827" t="s">
        <v>44</v>
      </c>
      <c r="J4827">
        <v>4</v>
      </c>
      <c r="K4827" t="s">
        <v>51</v>
      </c>
      <c r="L4827">
        <v>1</v>
      </c>
      <c r="M4827" t="str">
        <f>VLOOKUP(D4827,State_Lookup!$A$2:$B$28,2,FALSE)</f>
        <v>Sao Paulo</v>
      </c>
    </row>
    <row r="4828" spans="1:13" x14ac:dyDescent="0.45">
      <c r="A4828" t="s">
        <v>5560</v>
      </c>
      <c r="B4828" t="s">
        <v>5545</v>
      </c>
      <c r="C4828" t="s">
        <v>5398</v>
      </c>
      <c r="D4828" t="s">
        <v>17</v>
      </c>
      <c r="E4828" t="s">
        <v>192</v>
      </c>
      <c r="F4828">
        <v>1</v>
      </c>
      <c r="G4828">
        <v>168.99</v>
      </c>
      <c r="H4828">
        <v>8.6</v>
      </c>
      <c r="I4828" t="s">
        <v>44</v>
      </c>
      <c r="J4828">
        <v>6</v>
      </c>
      <c r="K4828" t="s">
        <v>51</v>
      </c>
      <c r="L4828">
        <v>5</v>
      </c>
      <c r="M4828" t="str">
        <f>VLOOKUP(D4828,State_Lookup!$A$2:$B$28,2,FALSE)</f>
        <v>Rio de Janeiro</v>
      </c>
    </row>
    <row r="4829" spans="1:13" x14ac:dyDescent="0.45">
      <c r="A4829" t="s">
        <v>5561</v>
      </c>
      <c r="B4829" t="s">
        <v>5545</v>
      </c>
      <c r="C4829" t="s">
        <v>5398</v>
      </c>
      <c r="D4829" t="s">
        <v>63</v>
      </c>
      <c r="E4829" t="s">
        <v>107</v>
      </c>
      <c r="F4829">
        <v>1</v>
      </c>
      <c r="G4829">
        <v>159</v>
      </c>
      <c r="H4829">
        <v>27.77</v>
      </c>
      <c r="I4829" t="s">
        <v>50</v>
      </c>
      <c r="J4829">
        <v>13</v>
      </c>
      <c r="K4829" t="s">
        <v>51</v>
      </c>
      <c r="L4829">
        <v>4</v>
      </c>
      <c r="M4829" t="str">
        <f>VLOOKUP(D4829,State_Lookup!$A$2:$B$28,2,FALSE)</f>
        <v>Pernambuco</v>
      </c>
    </row>
    <row r="4830" spans="1:13" x14ac:dyDescent="0.45">
      <c r="A4830" t="s">
        <v>5562</v>
      </c>
      <c r="B4830" t="s">
        <v>5563</v>
      </c>
      <c r="C4830" t="s">
        <v>5398</v>
      </c>
      <c r="D4830" t="s">
        <v>17</v>
      </c>
      <c r="E4830" t="s">
        <v>79</v>
      </c>
      <c r="F4830">
        <v>1</v>
      </c>
      <c r="G4830">
        <v>639</v>
      </c>
      <c r="H4830">
        <v>21.4</v>
      </c>
      <c r="I4830" t="s">
        <v>44</v>
      </c>
      <c r="J4830">
        <v>11</v>
      </c>
      <c r="K4830" t="s">
        <v>51</v>
      </c>
      <c r="L4830">
        <v>5</v>
      </c>
      <c r="M4830" t="str">
        <f>VLOOKUP(D4830,State_Lookup!$A$2:$B$28,2,FALSE)</f>
        <v>Rio de Janeiro</v>
      </c>
    </row>
    <row r="4831" spans="1:13" x14ac:dyDescent="0.45">
      <c r="A4831" t="s">
        <v>5564</v>
      </c>
      <c r="B4831" t="s">
        <v>5563</v>
      </c>
      <c r="C4831" t="s">
        <v>5398</v>
      </c>
      <c r="D4831" t="s">
        <v>63</v>
      </c>
      <c r="E4831" t="s">
        <v>157</v>
      </c>
      <c r="F4831">
        <v>1</v>
      </c>
      <c r="G4831">
        <v>29</v>
      </c>
      <c r="H4831">
        <v>19.11</v>
      </c>
      <c r="I4831" t="s">
        <v>44</v>
      </c>
      <c r="J4831">
        <v>15</v>
      </c>
      <c r="K4831" t="s">
        <v>51</v>
      </c>
      <c r="L4831">
        <v>3</v>
      </c>
      <c r="M4831" t="str">
        <f>VLOOKUP(D4831,State_Lookup!$A$2:$B$28,2,FALSE)</f>
        <v>Pernambuco</v>
      </c>
    </row>
    <row r="4832" spans="1:13" x14ac:dyDescent="0.45">
      <c r="A4832" t="s">
        <v>5565</v>
      </c>
      <c r="B4832" t="s">
        <v>5563</v>
      </c>
      <c r="C4832" t="s">
        <v>5398</v>
      </c>
      <c r="D4832" t="s">
        <v>16</v>
      </c>
      <c r="E4832" t="s">
        <v>110</v>
      </c>
      <c r="F4832">
        <v>1</v>
      </c>
      <c r="G4832">
        <v>47.9</v>
      </c>
      <c r="H4832">
        <v>9.09</v>
      </c>
      <c r="I4832" t="s">
        <v>44</v>
      </c>
      <c r="J4832">
        <v>3</v>
      </c>
      <c r="K4832" t="s">
        <v>51</v>
      </c>
      <c r="L4832">
        <v>5</v>
      </c>
      <c r="M4832" t="str">
        <f>VLOOKUP(D4832,State_Lookup!$A$2:$B$28,2,FALSE)</f>
        <v>Sao Paulo</v>
      </c>
    </row>
    <row r="4833" spans="1:13" x14ac:dyDescent="0.45">
      <c r="A4833" t="s">
        <v>5566</v>
      </c>
      <c r="B4833" t="s">
        <v>5563</v>
      </c>
      <c r="C4833" t="s">
        <v>5398</v>
      </c>
      <c r="D4833" t="s">
        <v>19</v>
      </c>
      <c r="E4833" t="s">
        <v>244</v>
      </c>
      <c r="F4833">
        <v>1</v>
      </c>
      <c r="G4833">
        <v>39.9</v>
      </c>
      <c r="H4833">
        <v>15.38</v>
      </c>
      <c r="I4833" t="s">
        <v>44</v>
      </c>
      <c r="J4833">
        <v>17</v>
      </c>
      <c r="K4833" t="s">
        <v>51</v>
      </c>
      <c r="L4833">
        <v>5</v>
      </c>
      <c r="M4833" t="str">
        <f>VLOOKUP(D4833,State_Lookup!$A$2:$B$28,2,FALSE)</f>
        <v>Rio Grande do Sul</v>
      </c>
    </row>
    <row r="4834" spans="1:13" x14ac:dyDescent="0.45">
      <c r="A4834" t="s">
        <v>5567</v>
      </c>
      <c r="B4834" t="s">
        <v>5563</v>
      </c>
      <c r="C4834" t="s">
        <v>5398</v>
      </c>
      <c r="D4834" t="s">
        <v>16</v>
      </c>
      <c r="E4834" t="s">
        <v>66</v>
      </c>
      <c r="F4834">
        <v>1</v>
      </c>
      <c r="G4834">
        <v>24.99</v>
      </c>
      <c r="H4834">
        <v>7.44</v>
      </c>
      <c r="I4834" t="s">
        <v>44</v>
      </c>
      <c r="J4834">
        <v>3</v>
      </c>
      <c r="K4834" t="s">
        <v>51</v>
      </c>
      <c r="L4834">
        <v>4</v>
      </c>
      <c r="M4834" t="str">
        <f>VLOOKUP(D4834,State_Lookup!$A$2:$B$28,2,FALSE)</f>
        <v>Sao Paulo</v>
      </c>
    </row>
    <row r="4835" spans="1:13" x14ac:dyDescent="0.45">
      <c r="A4835" t="s">
        <v>5568</v>
      </c>
      <c r="B4835" t="s">
        <v>5563</v>
      </c>
      <c r="C4835" t="s">
        <v>5398</v>
      </c>
      <c r="D4835" t="s">
        <v>16</v>
      </c>
      <c r="E4835" t="s">
        <v>157</v>
      </c>
      <c r="F4835">
        <v>3</v>
      </c>
      <c r="G4835">
        <v>159</v>
      </c>
      <c r="H4835">
        <v>22.89</v>
      </c>
      <c r="I4835" t="s">
        <v>44</v>
      </c>
      <c r="J4835">
        <v>2</v>
      </c>
      <c r="K4835" t="s">
        <v>51</v>
      </c>
      <c r="L4835">
        <v>3</v>
      </c>
      <c r="M4835" t="str">
        <f>VLOOKUP(D4835,State_Lookup!$A$2:$B$28,2,FALSE)</f>
        <v>Sao Paulo</v>
      </c>
    </row>
    <row r="4836" spans="1:13" x14ac:dyDescent="0.45">
      <c r="A4836" t="s">
        <v>5569</v>
      </c>
      <c r="B4836" t="s">
        <v>5563</v>
      </c>
      <c r="C4836" t="s">
        <v>5398</v>
      </c>
      <c r="D4836" t="s">
        <v>18</v>
      </c>
      <c r="E4836" t="s">
        <v>192</v>
      </c>
      <c r="F4836">
        <v>1</v>
      </c>
      <c r="G4836">
        <v>1107</v>
      </c>
      <c r="H4836">
        <v>148.71</v>
      </c>
      <c r="I4836" t="s">
        <v>44</v>
      </c>
      <c r="J4836">
        <v>9</v>
      </c>
      <c r="K4836" t="s">
        <v>51</v>
      </c>
      <c r="L4836">
        <v>5</v>
      </c>
      <c r="M4836" t="str">
        <f>VLOOKUP(D4836,State_Lookup!$A$2:$B$28,2,FALSE)</f>
        <v>Minas Gerais</v>
      </c>
    </row>
    <row r="4837" spans="1:13" x14ac:dyDescent="0.45">
      <c r="A4837" t="s">
        <v>5570</v>
      </c>
      <c r="B4837" t="s">
        <v>5563</v>
      </c>
      <c r="C4837" t="s">
        <v>5398</v>
      </c>
      <c r="D4837" t="s">
        <v>17</v>
      </c>
      <c r="E4837" t="s">
        <v>79</v>
      </c>
      <c r="F4837">
        <v>1</v>
      </c>
      <c r="G4837">
        <v>150</v>
      </c>
      <c r="H4837">
        <v>18.850000000000001</v>
      </c>
      <c r="I4837" t="s">
        <v>44</v>
      </c>
      <c r="J4837">
        <v>5</v>
      </c>
      <c r="K4837" t="s">
        <v>51</v>
      </c>
      <c r="L4837">
        <v>4</v>
      </c>
      <c r="M4837" t="str">
        <f>VLOOKUP(D4837,State_Lookup!$A$2:$B$28,2,FALSE)</f>
        <v>Rio de Janeiro</v>
      </c>
    </row>
    <row r="4838" spans="1:13" x14ac:dyDescent="0.45">
      <c r="A4838" t="s">
        <v>5571</v>
      </c>
      <c r="B4838" t="s">
        <v>5563</v>
      </c>
      <c r="C4838" t="s">
        <v>5398</v>
      </c>
      <c r="D4838" t="s">
        <v>249</v>
      </c>
      <c r="E4838" t="s">
        <v>157</v>
      </c>
      <c r="F4838">
        <v>1</v>
      </c>
      <c r="G4838">
        <v>126.9</v>
      </c>
      <c r="H4838">
        <v>51.61</v>
      </c>
      <c r="I4838" t="s">
        <v>44</v>
      </c>
      <c r="J4838">
        <v>8</v>
      </c>
      <c r="K4838" t="s">
        <v>51</v>
      </c>
      <c r="L4838">
        <v>3</v>
      </c>
      <c r="M4838" t="str">
        <f>VLOOKUP(D4838,State_Lookup!$A$2:$B$28,2,FALSE)</f>
        <v>Tocantins</v>
      </c>
    </row>
    <row r="4839" spans="1:13" x14ac:dyDescent="0.45">
      <c r="A4839" t="s">
        <v>5572</v>
      </c>
      <c r="B4839" t="s">
        <v>5573</v>
      </c>
      <c r="C4839" t="s">
        <v>5398</v>
      </c>
      <c r="D4839" t="s">
        <v>18</v>
      </c>
      <c r="E4839" t="s">
        <v>64</v>
      </c>
      <c r="F4839">
        <v>1</v>
      </c>
      <c r="G4839">
        <v>455.88</v>
      </c>
      <c r="H4839">
        <v>26.34</v>
      </c>
      <c r="I4839" t="s">
        <v>44</v>
      </c>
      <c r="J4839">
        <v>11</v>
      </c>
      <c r="K4839" t="s">
        <v>51</v>
      </c>
      <c r="L4839">
        <v>5</v>
      </c>
      <c r="M4839" t="str">
        <f>VLOOKUP(D4839,State_Lookup!$A$2:$B$28,2,FALSE)</f>
        <v>Minas Gerais</v>
      </c>
    </row>
    <row r="4840" spans="1:13" x14ac:dyDescent="0.45">
      <c r="A4840" t="s">
        <v>5574</v>
      </c>
      <c r="B4840" t="s">
        <v>5573</v>
      </c>
      <c r="C4840" t="s">
        <v>5398</v>
      </c>
      <c r="D4840" t="s">
        <v>25</v>
      </c>
      <c r="E4840" t="s">
        <v>157</v>
      </c>
      <c r="F4840">
        <v>1</v>
      </c>
      <c r="G4840">
        <v>1623.9</v>
      </c>
      <c r="H4840">
        <v>30.56</v>
      </c>
      <c r="I4840" t="s">
        <v>44</v>
      </c>
      <c r="J4840">
        <v>10</v>
      </c>
      <c r="K4840" t="s">
        <v>51</v>
      </c>
      <c r="L4840">
        <v>2</v>
      </c>
      <c r="M4840" t="str">
        <f>VLOOKUP(D4840,State_Lookup!$A$2:$B$28,2,FALSE)</f>
        <v>Goias</v>
      </c>
    </row>
    <row r="4841" spans="1:13" x14ac:dyDescent="0.45">
      <c r="A4841" t="s">
        <v>5575</v>
      </c>
      <c r="B4841" t="s">
        <v>5573</v>
      </c>
      <c r="C4841" t="s">
        <v>5398</v>
      </c>
      <c r="D4841" t="s">
        <v>672</v>
      </c>
      <c r="E4841" t="s">
        <v>107</v>
      </c>
      <c r="F4841">
        <v>1</v>
      </c>
      <c r="G4841">
        <v>495</v>
      </c>
      <c r="H4841">
        <v>101.56</v>
      </c>
      <c r="I4841" t="s">
        <v>44</v>
      </c>
      <c r="J4841">
        <v>11</v>
      </c>
      <c r="K4841" t="s">
        <v>51</v>
      </c>
      <c r="L4841">
        <v>4</v>
      </c>
      <c r="M4841" t="str">
        <f>VLOOKUP(D4841,State_Lookup!$A$2:$B$28,2,FALSE)</f>
        <v>Paraiba</v>
      </c>
    </row>
    <row r="4842" spans="1:13" x14ac:dyDescent="0.45">
      <c r="A4842" t="s">
        <v>5576</v>
      </c>
      <c r="B4842" t="s">
        <v>5573</v>
      </c>
      <c r="C4842" t="s">
        <v>5398</v>
      </c>
      <c r="D4842" t="s">
        <v>17</v>
      </c>
      <c r="E4842" t="s">
        <v>100</v>
      </c>
      <c r="F4842">
        <v>1</v>
      </c>
      <c r="G4842">
        <v>34.9</v>
      </c>
      <c r="H4842">
        <v>19.43</v>
      </c>
      <c r="I4842" t="s">
        <v>44</v>
      </c>
      <c r="J4842">
        <v>4</v>
      </c>
      <c r="K4842" t="s">
        <v>51</v>
      </c>
      <c r="L4842">
        <v>4</v>
      </c>
      <c r="M4842" t="str">
        <f>VLOOKUP(D4842,State_Lookup!$A$2:$B$28,2,FALSE)</f>
        <v>Rio de Janeiro</v>
      </c>
    </row>
    <row r="4843" spans="1:13" x14ac:dyDescent="0.45">
      <c r="A4843" t="s">
        <v>5577</v>
      </c>
      <c r="B4843" t="s">
        <v>5573</v>
      </c>
      <c r="C4843" t="s">
        <v>5398</v>
      </c>
      <c r="D4843" t="s">
        <v>16</v>
      </c>
      <c r="E4843" t="s">
        <v>107</v>
      </c>
      <c r="F4843">
        <v>1</v>
      </c>
      <c r="G4843">
        <v>7.99</v>
      </c>
      <c r="H4843">
        <v>7.39</v>
      </c>
      <c r="I4843" t="s">
        <v>50</v>
      </c>
      <c r="K4843" t="s">
        <v>45</v>
      </c>
      <c r="L4843">
        <v>1</v>
      </c>
      <c r="M4843" t="str">
        <f>VLOOKUP(D4843,State_Lookup!$A$2:$B$28,2,FALSE)</f>
        <v>Sao Paulo</v>
      </c>
    </row>
    <row r="4844" spans="1:13" x14ac:dyDescent="0.45">
      <c r="A4844" t="s">
        <v>5578</v>
      </c>
      <c r="B4844" t="s">
        <v>5573</v>
      </c>
      <c r="C4844" t="s">
        <v>5398</v>
      </c>
      <c r="D4844" t="s">
        <v>22</v>
      </c>
      <c r="E4844" t="s">
        <v>79</v>
      </c>
      <c r="F4844">
        <v>2</v>
      </c>
      <c r="G4844">
        <v>111.8</v>
      </c>
      <c r="H4844">
        <v>44.64</v>
      </c>
      <c r="I4844" t="s">
        <v>44</v>
      </c>
      <c r="J4844">
        <v>12</v>
      </c>
      <c r="K4844" t="s">
        <v>51</v>
      </c>
      <c r="L4844">
        <v>4</v>
      </c>
      <c r="M4844" t="str">
        <f>VLOOKUP(D4844,State_Lookup!$A$2:$B$28,2,FALSE)</f>
        <v>Bahia</v>
      </c>
    </row>
    <row r="4845" spans="1:13" x14ac:dyDescent="0.45">
      <c r="A4845" t="s">
        <v>5579</v>
      </c>
      <c r="B4845" t="s">
        <v>5573</v>
      </c>
      <c r="C4845" t="s">
        <v>5398</v>
      </c>
      <c r="D4845" t="s">
        <v>18</v>
      </c>
      <c r="E4845" t="s">
        <v>152</v>
      </c>
      <c r="F4845">
        <v>1</v>
      </c>
      <c r="G4845">
        <v>149</v>
      </c>
      <c r="H4845">
        <v>24.73</v>
      </c>
      <c r="I4845" t="s">
        <v>44</v>
      </c>
      <c r="J4845">
        <v>2</v>
      </c>
      <c r="K4845" t="s">
        <v>51</v>
      </c>
      <c r="L4845">
        <v>4</v>
      </c>
      <c r="M4845" t="str">
        <f>VLOOKUP(D4845,State_Lookup!$A$2:$B$28,2,FALSE)</f>
        <v>Minas Gerais</v>
      </c>
    </row>
    <row r="4846" spans="1:13" x14ac:dyDescent="0.45">
      <c r="A4846" t="s">
        <v>5580</v>
      </c>
      <c r="B4846" t="s">
        <v>5573</v>
      </c>
      <c r="C4846" t="s">
        <v>5398</v>
      </c>
      <c r="D4846" t="s">
        <v>16</v>
      </c>
      <c r="E4846" t="s">
        <v>142</v>
      </c>
      <c r="F4846">
        <v>1</v>
      </c>
      <c r="G4846">
        <v>32</v>
      </c>
      <c r="H4846">
        <v>8.9700000000000006</v>
      </c>
      <c r="I4846" t="s">
        <v>44</v>
      </c>
      <c r="J4846">
        <v>1</v>
      </c>
      <c r="K4846" t="s">
        <v>51</v>
      </c>
      <c r="L4846">
        <v>5</v>
      </c>
      <c r="M4846" t="str">
        <f>VLOOKUP(D4846,State_Lookup!$A$2:$B$28,2,FALSE)</f>
        <v>Sao Paulo</v>
      </c>
    </row>
    <row r="4847" spans="1:13" x14ac:dyDescent="0.45">
      <c r="A4847" t="s">
        <v>5581</v>
      </c>
      <c r="B4847" t="s">
        <v>5573</v>
      </c>
      <c r="C4847" t="s">
        <v>5398</v>
      </c>
      <c r="D4847" t="s">
        <v>25</v>
      </c>
      <c r="E4847" t="s">
        <v>79</v>
      </c>
      <c r="F4847">
        <v>1</v>
      </c>
      <c r="G4847">
        <v>145.49</v>
      </c>
      <c r="H4847">
        <v>18.82</v>
      </c>
      <c r="I4847" t="s">
        <v>44</v>
      </c>
      <c r="J4847">
        <v>4</v>
      </c>
      <c r="K4847" t="s">
        <v>51</v>
      </c>
      <c r="L4847">
        <v>5</v>
      </c>
      <c r="M4847" t="str">
        <f>VLOOKUP(D4847,State_Lookup!$A$2:$B$28,2,FALSE)</f>
        <v>Goias</v>
      </c>
    </row>
    <row r="4848" spans="1:13" x14ac:dyDescent="0.45">
      <c r="A4848" t="s">
        <v>5582</v>
      </c>
      <c r="B4848" t="s">
        <v>5573</v>
      </c>
      <c r="C4848" t="s">
        <v>5398</v>
      </c>
      <c r="D4848" t="s">
        <v>16</v>
      </c>
      <c r="E4848" t="s">
        <v>157</v>
      </c>
      <c r="F4848">
        <v>1</v>
      </c>
      <c r="G4848">
        <v>2150</v>
      </c>
      <c r="H4848">
        <v>33.15</v>
      </c>
      <c r="I4848" t="s">
        <v>44</v>
      </c>
      <c r="K4848" t="s">
        <v>45</v>
      </c>
      <c r="L4848">
        <v>4</v>
      </c>
      <c r="M4848" t="str">
        <f>VLOOKUP(D4848,State_Lookup!$A$2:$B$28,2,FALSE)</f>
        <v>Sao Paulo</v>
      </c>
    </row>
    <row r="4849" spans="1:13" x14ac:dyDescent="0.45">
      <c r="A4849" t="s">
        <v>5583</v>
      </c>
      <c r="B4849" t="s">
        <v>5573</v>
      </c>
      <c r="C4849" t="s">
        <v>5398</v>
      </c>
      <c r="D4849" t="s">
        <v>16</v>
      </c>
      <c r="E4849" t="s">
        <v>192</v>
      </c>
      <c r="F4849">
        <v>1</v>
      </c>
      <c r="G4849">
        <v>128</v>
      </c>
      <c r="H4849">
        <v>8.16</v>
      </c>
      <c r="I4849" t="s">
        <v>44</v>
      </c>
      <c r="J4849">
        <v>2</v>
      </c>
      <c r="K4849" t="s">
        <v>51</v>
      </c>
      <c r="L4849">
        <v>4</v>
      </c>
      <c r="M4849" t="str">
        <f>VLOOKUP(D4849,State_Lookup!$A$2:$B$28,2,FALSE)</f>
        <v>Sao Paulo</v>
      </c>
    </row>
    <row r="4850" spans="1:13" x14ac:dyDescent="0.45">
      <c r="A4850" t="s">
        <v>5584</v>
      </c>
      <c r="B4850" t="s">
        <v>5573</v>
      </c>
      <c r="C4850" t="s">
        <v>5398</v>
      </c>
      <c r="D4850" t="s">
        <v>16</v>
      </c>
      <c r="E4850" t="s">
        <v>43</v>
      </c>
      <c r="F4850">
        <v>2</v>
      </c>
      <c r="G4850">
        <v>70</v>
      </c>
      <c r="H4850">
        <v>27.66</v>
      </c>
      <c r="I4850" t="s">
        <v>44</v>
      </c>
      <c r="J4850">
        <v>4</v>
      </c>
      <c r="K4850" t="s">
        <v>51</v>
      </c>
      <c r="L4850">
        <v>5</v>
      </c>
      <c r="M4850" t="str">
        <f>VLOOKUP(D4850,State_Lookup!$A$2:$B$28,2,FALSE)</f>
        <v>Sao Paulo</v>
      </c>
    </row>
    <row r="4851" spans="1:13" x14ac:dyDescent="0.45">
      <c r="A4851" t="s">
        <v>5585</v>
      </c>
      <c r="B4851" t="s">
        <v>5586</v>
      </c>
      <c r="C4851" t="s">
        <v>5398</v>
      </c>
      <c r="D4851" t="s">
        <v>16</v>
      </c>
      <c r="E4851" t="s">
        <v>107</v>
      </c>
      <c r="F4851">
        <v>1</v>
      </c>
      <c r="G4851">
        <v>134</v>
      </c>
      <c r="H4851">
        <v>9.1</v>
      </c>
      <c r="I4851" t="s">
        <v>44</v>
      </c>
      <c r="J4851">
        <v>1</v>
      </c>
      <c r="K4851" t="s">
        <v>51</v>
      </c>
      <c r="L4851">
        <v>5</v>
      </c>
      <c r="M4851" t="str">
        <f>VLOOKUP(D4851,State_Lookup!$A$2:$B$28,2,FALSE)</f>
        <v>Sao Paulo</v>
      </c>
    </row>
    <row r="4852" spans="1:13" x14ac:dyDescent="0.45">
      <c r="A4852" t="s">
        <v>5587</v>
      </c>
      <c r="B4852" t="s">
        <v>5586</v>
      </c>
      <c r="C4852" t="s">
        <v>5398</v>
      </c>
      <c r="D4852" t="s">
        <v>18</v>
      </c>
      <c r="E4852" t="s">
        <v>43</v>
      </c>
      <c r="F4852">
        <v>1</v>
      </c>
      <c r="G4852">
        <v>78.8</v>
      </c>
      <c r="H4852">
        <v>18.649999999999999</v>
      </c>
      <c r="I4852" t="s">
        <v>44</v>
      </c>
      <c r="J4852">
        <v>4</v>
      </c>
      <c r="K4852" t="s">
        <v>51</v>
      </c>
      <c r="L4852">
        <v>4</v>
      </c>
      <c r="M4852" t="str">
        <f>VLOOKUP(D4852,State_Lookup!$A$2:$B$28,2,FALSE)</f>
        <v>Minas Gerais</v>
      </c>
    </row>
    <row r="4853" spans="1:13" x14ac:dyDescent="0.45">
      <c r="A4853" t="s">
        <v>5588</v>
      </c>
      <c r="B4853" t="s">
        <v>5586</v>
      </c>
      <c r="C4853" t="s">
        <v>5398</v>
      </c>
      <c r="D4853" t="s">
        <v>21</v>
      </c>
      <c r="E4853" t="s">
        <v>148</v>
      </c>
      <c r="F4853">
        <v>1</v>
      </c>
      <c r="G4853">
        <v>85.99</v>
      </c>
      <c r="H4853">
        <v>23.4</v>
      </c>
      <c r="I4853" t="s">
        <v>44</v>
      </c>
      <c r="J4853">
        <v>7</v>
      </c>
      <c r="K4853" t="s">
        <v>51</v>
      </c>
      <c r="L4853">
        <v>3</v>
      </c>
      <c r="M4853" t="str">
        <f>VLOOKUP(D4853,State_Lookup!$A$2:$B$28,2,FALSE)</f>
        <v>Santa Catarina</v>
      </c>
    </row>
    <row r="4854" spans="1:13" x14ac:dyDescent="0.45">
      <c r="A4854" t="s">
        <v>5589</v>
      </c>
      <c r="B4854" t="s">
        <v>5586</v>
      </c>
      <c r="C4854" t="s">
        <v>5398</v>
      </c>
      <c r="D4854" t="s">
        <v>487</v>
      </c>
      <c r="E4854" t="s">
        <v>79</v>
      </c>
      <c r="F4854">
        <v>1</v>
      </c>
      <c r="G4854">
        <v>199.9</v>
      </c>
      <c r="H4854">
        <v>52.12</v>
      </c>
      <c r="I4854" t="s">
        <v>44</v>
      </c>
      <c r="J4854">
        <v>9</v>
      </c>
      <c r="K4854" t="s">
        <v>51</v>
      </c>
      <c r="L4854">
        <v>4</v>
      </c>
      <c r="M4854" t="str">
        <f>VLOOKUP(D4854,State_Lookup!$A$2:$B$28,2,FALSE)</f>
        <v>Rio Grande do Norte</v>
      </c>
    </row>
    <row r="4855" spans="1:13" x14ac:dyDescent="0.45">
      <c r="A4855" t="s">
        <v>5590</v>
      </c>
      <c r="B4855" t="s">
        <v>5586</v>
      </c>
      <c r="C4855" t="s">
        <v>5398</v>
      </c>
      <c r="D4855" t="s">
        <v>22</v>
      </c>
      <c r="E4855" t="s">
        <v>61</v>
      </c>
      <c r="F4855">
        <v>1</v>
      </c>
      <c r="G4855">
        <v>179.9</v>
      </c>
      <c r="H4855">
        <v>38.17</v>
      </c>
      <c r="I4855" t="s">
        <v>44</v>
      </c>
      <c r="J4855">
        <v>10</v>
      </c>
      <c r="K4855" t="s">
        <v>51</v>
      </c>
      <c r="L4855">
        <v>4</v>
      </c>
      <c r="M4855" t="str">
        <f>VLOOKUP(D4855,State_Lookup!$A$2:$B$28,2,FALSE)</f>
        <v>Bahia</v>
      </c>
    </row>
    <row r="4856" spans="1:13" x14ac:dyDescent="0.45">
      <c r="A4856" t="s">
        <v>5591</v>
      </c>
      <c r="B4856" t="s">
        <v>5586</v>
      </c>
      <c r="C4856" t="s">
        <v>5398</v>
      </c>
      <c r="D4856" t="s">
        <v>18</v>
      </c>
      <c r="E4856" t="s">
        <v>43</v>
      </c>
      <c r="F4856">
        <v>1</v>
      </c>
      <c r="G4856">
        <v>257</v>
      </c>
      <c r="H4856">
        <v>20.99</v>
      </c>
      <c r="I4856" t="s">
        <v>44</v>
      </c>
      <c r="J4856">
        <v>9</v>
      </c>
      <c r="K4856" t="s">
        <v>51</v>
      </c>
      <c r="L4856">
        <v>5</v>
      </c>
      <c r="M4856" t="str">
        <f>VLOOKUP(D4856,State_Lookup!$A$2:$B$28,2,FALSE)</f>
        <v>Minas Gerais</v>
      </c>
    </row>
    <row r="4857" spans="1:13" x14ac:dyDescent="0.45">
      <c r="A4857" t="s">
        <v>5592</v>
      </c>
      <c r="B4857" t="s">
        <v>5586</v>
      </c>
      <c r="C4857" t="s">
        <v>5398</v>
      </c>
      <c r="D4857" t="s">
        <v>16</v>
      </c>
      <c r="E4857" t="s">
        <v>142</v>
      </c>
      <c r="F4857">
        <v>1</v>
      </c>
      <c r="G4857">
        <v>51.9</v>
      </c>
      <c r="H4857">
        <v>15.46</v>
      </c>
      <c r="I4857" t="s">
        <v>44</v>
      </c>
      <c r="J4857">
        <v>4</v>
      </c>
      <c r="K4857" t="s">
        <v>51</v>
      </c>
      <c r="L4857">
        <v>5</v>
      </c>
      <c r="M4857" t="str">
        <f>VLOOKUP(D4857,State_Lookup!$A$2:$B$28,2,FALSE)</f>
        <v>Sao Paulo</v>
      </c>
    </row>
    <row r="4858" spans="1:13" x14ac:dyDescent="0.45">
      <c r="A4858" t="s">
        <v>5593</v>
      </c>
      <c r="B4858" t="s">
        <v>5586</v>
      </c>
      <c r="C4858" t="s">
        <v>5398</v>
      </c>
      <c r="D4858" t="s">
        <v>16</v>
      </c>
      <c r="E4858" t="s">
        <v>157</v>
      </c>
      <c r="F4858">
        <v>1</v>
      </c>
      <c r="G4858">
        <v>169</v>
      </c>
      <c r="H4858">
        <v>8.44</v>
      </c>
      <c r="I4858" t="s">
        <v>44</v>
      </c>
      <c r="J4858">
        <v>1</v>
      </c>
      <c r="K4858" t="s">
        <v>51</v>
      </c>
      <c r="L4858">
        <v>3</v>
      </c>
      <c r="M4858" t="str">
        <f>VLOOKUP(D4858,State_Lookup!$A$2:$B$28,2,FALSE)</f>
        <v>Sao Paulo</v>
      </c>
    </row>
    <row r="4859" spans="1:13" x14ac:dyDescent="0.45">
      <c r="A4859" t="s">
        <v>5594</v>
      </c>
      <c r="B4859" t="s">
        <v>5586</v>
      </c>
      <c r="C4859" t="s">
        <v>5398</v>
      </c>
      <c r="D4859" t="s">
        <v>16</v>
      </c>
      <c r="E4859" t="s">
        <v>110</v>
      </c>
      <c r="F4859">
        <v>1</v>
      </c>
      <c r="G4859">
        <v>56.99</v>
      </c>
      <c r="H4859">
        <v>13.98</v>
      </c>
      <c r="I4859" t="s">
        <v>50</v>
      </c>
      <c r="J4859">
        <v>8</v>
      </c>
      <c r="K4859" t="s">
        <v>51</v>
      </c>
      <c r="L4859">
        <v>5</v>
      </c>
      <c r="M4859" t="str">
        <f>VLOOKUP(D4859,State_Lookup!$A$2:$B$28,2,FALSE)</f>
        <v>Sao Paulo</v>
      </c>
    </row>
    <row r="4860" spans="1:13" x14ac:dyDescent="0.45">
      <c r="A4860" t="s">
        <v>5595</v>
      </c>
      <c r="B4860" t="s">
        <v>5586</v>
      </c>
      <c r="C4860" t="s">
        <v>5398</v>
      </c>
      <c r="D4860" t="s">
        <v>16</v>
      </c>
      <c r="E4860" t="s">
        <v>103</v>
      </c>
      <c r="F4860">
        <v>1</v>
      </c>
      <c r="G4860">
        <v>169.9</v>
      </c>
      <c r="H4860">
        <v>53.54</v>
      </c>
      <c r="I4860" t="s">
        <v>108</v>
      </c>
      <c r="J4860">
        <v>14</v>
      </c>
      <c r="K4860" t="s">
        <v>51</v>
      </c>
      <c r="L4860">
        <v>5</v>
      </c>
      <c r="M4860" t="str">
        <f>VLOOKUP(D4860,State_Lookup!$A$2:$B$28,2,FALSE)</f>
        <v>Sao Paulo</v>
      </c>
    </row>
    <row r="4861" spans="1:13" x14ac:dyDescent="0.45">
      <c r="A4861" t="s">
        <v>5596</v>
      </c>
      <c r="B4861" t="s">
        <v>5586</v>
      </c>
      <c r="C4861" t="s">
        <v>5398</v>
      </c>
      <c r="D4861" t="s">
        <v>18</v>
      </c>
      <c r="E4861" t="s">
        <v>2467</v>
      </c>
      <c r="F4861">
        <v>1</v>
      </c>
      <c r="G4861">
        <v>155.9</v>
      </c>
      <c r="H4861">
        <v>19.190000000000001</v>
      </c>
      <c r="I4861" t="s">
        <v>44</v>
      </c>
      <c r="J4861">
        <v>8</v>
      </c>
      <c r="K4861" t="s">
        <v>51</v>
      </c>
      <c r="L4861">
        <v>5</v>
      </c>
      <c r="M4861" t="str">
        <f>VLOOKUP(D4861,State_Lookup!$A$2:$B$28,2,FALSE)</f>
        <v>Minas Gerais</v>
      </c>
    </row>
    <row r="4862" spans="1:13" x14ac:dyDescent="0.45">
      <c r="A4862" t="s">
        <v>5597</v>
      </c>
      <c r="B4862" t="s">
        <v>5586</v>
      </c>
      <c r="C4862" t="s">
        <v>5398</v>
      </c>
      <c r="D4862" t="s">
        <v>17</v>
      </c>
      <c r="E4862" t="s">
        <v>142</v>
      </c>
      <c r="F4862">
        <v>2</v>
      </c>
      <c r="G4862">
        <v>39.799999999999997</v>
      </c>
      <c r="H4862">
        <v>15.12</v>
      </c>
      <c r="I4862" t="s">
        <v>44</v>
      </c>
      <c r="J4862">
        <v>2</v>
      </c>
      <c r="K4862" t="s">
        <v>51</v>
      </c>
      <c r="L4862">
        <v>5</v>
      </c>
      <c r="M4862" t="str">
        <f>VLOOKUP(D4862,State_Lookup!$A$2:$B$28,2,FALSE)</f>
        <v>Rio de Janeiro</v>
      </c>
    </row>
    <row r="4863" spans="1:13" x14ac:dyDescent="0.45">
      <c r="A4863" t="s">
        <v>5598</v>
      </c>
      <c r="B4863" t="s">
        <v>5586</v>
      </c>
      <c r="C4863" t="s">
        <v>5398</v>
      </c>
      <c r="D4863" t="s">
        <v>18</v>
      </c>
      <c r="E4863" t="s">
        <v>107</v>
      </c>
      <c r="F4863">
        <v>1</v>
      </c>
      <c r="G4863">
        <v>139</v>
      </c>
      <c r="H4863">
        <v>31.91</v>
      </c>
      <c r="I4863" t="s">
        <v>50</v>
      </c>
      <c r="J4863">
        <v>8</v>
      </c>
      <c r="K4863" t="s">
        <v>51</v>
      </c>
      <c r="L4863">
        <v>5</v>
      </c>
      <c r="M4863" t="str">
        <f>VLOOKUP(D4863,State_Lookup!$A$2:$B$28,2,FALSE)</f>
        <v>Minas Gerais</v>
      </c>
    </row>
    <row r="4864" spans="1:13" x14ac:dyDescent="0.45">
      <c r="A4864" t="s">
        <v>5599</v>
      </c>
      <c r="B4864" t="s">
        <v>5586</v>
      </c>
      <c r="C4864" t="s">
        <v>5398</v>
      </c>
      <c r="D4864" t="s">
        <v>16</v>
      </c>
      <c r="E4864" t="s">
        <v>103</v>
      </c>
      <c r="F4864">
        <v>1</v>
      </c>
      <c r="G4864">
        <v>29.99</v>
      </c>
      <c r="H4864">
        <v>14.51</v>
      </c>
      <c r="I4864" t="s">
        <v>44</v>
      </c>
      <c r="J4864">
        <v>3</v>
      </c>
      <c r="K4864" t="s">
        <v>51</v>
      </c>
      <c r="L4864">
        <v>4</v>
      </c>
      <c r="M4864" t="str">
        <f>VLOOKUP(D4864,State_Lookup!$A$2:$B$28,2,FALSE)</f>
        <v>Sao Paulo</v>
      </c>
    </row>
    <row r="4865" spans="1:13" x14ac:dyDescent="0.45">
      <c r="A4865" t="s">
        <v>5600</v>
      </c>
      <c r="B4865" t="s">
        <v>5586</v>
      </c>
      <c r="C4865" t="s">
        <v>5398</v>
      </c>
      <c r="D4865" t="s">
        <v>24</v>
      </c>
      <c r="E4865" t="s">
        <v>79</v>
      </c>
      <c r="F4865">
        <v>1</v>
      </c>
      <c r="G4865">
        <v>23.99</v>
      </c>
      <c r="H4865">
        <v>15.27</v>
      </c>
      <c r="I4865" t="s">
        <v>44</v>
      </c>
      <c r="J4865">
        <v>3</v>
      </c>
      <c r="K4865" t="s">
        <v>51</v>
      </c>
      <c r="L4865">
        <v>5</v>
      </c>
      <c r="M4865" t="str">
        <f>VLOOKUP(D4865,State_Lookup!$A$2:$B$28,2,FALSE)</f>
        <v>Distrito Federal</v>
      </c>
    </row>
    <row r="4866" spans="1:13" x14ac:dyDescent="0.45">
      <c r="A4866" t="s">
        <v>5601</v>
      </c>
      <c r="B4866" t="s">
        <v>5586</v>
      </c>
      <c r="C4866" t="s">
        <v>5398</v>
      </c>
      <c r="D4866" t="s">
        <v>16</v>
      </c>
      <c r="E4866" t="s">
        <v>142</v>
      </c>
      <c r="F4866">
        <v>1</v>
      </c>
      <c r="G4866">
        <v>64.900000000000006</v>
      </c>
      <c r="H4866">
        <v>23.25</v>
      </c>
      <c r="I4866" t="s">
        <v>44</v>
      </c>
      <c r="J4866">
        <v>7</v>
      </c>
      <c r="K4866" t="s">
        <v>51</v>
      </c>
      <c r="L4866">
        <v>5</v>
      </c>
      <c r="M4866" t="str">
        <f>VLOOKUP(D4866,State_Lookup!$A$2:$B$28,2,FALSE)</f>
        <v>Sao Paulo</v>
      </c>
    </row>
    <row r="4867" spans="1:13" x14ac:dyDescent="0.45">
      <c r="A4867" t="s">
        <v>5602</v>
      </c>
      <c r="B4867" t="s">
        <v>5603</v>
      </c>
      <c r="C4867" t="s">
        <v>5398</v>
      </c>
      <c r="D4867" t="s">
        <v>16</v>
      </c>
      <c r="E4867" t="s">
        <v>125</v>
      </c>
      <c r="F4867">
        <v>1</v>
      </c>
      <c r="G4867">
        <v>22.8</v>
      </c>
      <c r="H4867">
        <v>8.32</v>
      </c>
      <c r="I4867" t="s">
        <v>44</v>
      </c>
      <c r="J4867">
        <v>3</v>
      </c>
      <c r="K4867" t="s">
        <v>51</v>
      </c>
      <c r="L4867">
        <v>5</v>
      </c>
      <c r="M4867" t="str">
        <f>VLOOKUP(D4867,State_Lookup!$A$2:$B$28,2,FALSE)</f>
        <v>Sao Paulo</v>
      </c>
    </row>
    <row r="4868" spans="1:13" x14ac:dyDescent="0.45">
      <c r="A4868" t="s">
        <v>5604</v>
      </c>
      <c r="B4868" t="s">
        <v>5603</v>
      </c>
      <c r="C4868" t="s">
        <v>5398</v>
      </c>
      <c r="D4868" t="s">
        <v>16</v>
      </c>
      <c r="E4868" t="s">
        <v>110</v>
      </c>
      <c r="F4868">
        <v>1</v>
      </c>
      <c r="G4868">
        <v>55</v>
      </c>
      <c r="H4868">
        <v>14.7</v>
      </c>
      <c r="I4868" t="s">
        <v>44</v>
      </c>
      <c r="J4868">
        <v>7</v>
      </c>
      <c r="K4868" t="s">
        <v>51</v>
      </c>
      <c r="L4868">
        <v>5</v>
      </c>
      <c r="M4868" t="str">
        <f>VLOOKUP(D4868,State_Lookup!$A$2:$B$28,2,FALSE)</f>
        <v>Sao Paulo</v>
      </c>
    </row>
    <row r="4869" spans="1:13" x14ac:dyDescent="0.45">
      <c r="A4869" t="s">
        <v>5605</v>
      </c>
      <c r="B4869" t="s">
        <v>5603</v>
      </c>
      <c r="C4869" t="s">
        <v>5398</v>
      </c>
      <c r="D4869" t="s">
        <v>16</v>
      </c>
      <c r="E4869" t="s">
        <v>79</v>
      </c>
      <c r="F4869">
        <v>1</v>
      </c>
      <c r="G4869">
        <v>29.9</v>
      </c>
      <c r="H4869">
        <v>7.47</v>
      </c>
      <c r="I4869" t="s">
        <v>44</v>
      </c>
      <c r="J4869">
        <v>2</v>
      </c>
      <c r="K4869" t="s">
        <v>51</v>
      </c>
      <c r="L4869">
        <v>4</v>
      </c>
      <c r="M4869" t="str">
        <f>VLOOKUP(D4869,State_Lookup!$A$2:$B$28,2,FALSE)</f>
        <v>Sao Paulo</v>
      </c>
    </row>
    <row r="4870" spans="1:13" x14ac:dyDescent="0.45">
      <c r="A4870" t="s">
        <v>5606</v>
      </c>
      <c r="B4870" t="s">
        <v>5603</v>
      </c>
      <c r="C4870" t="s">
        <v>5398</v>
      </c>
      <c r="D4870" t="s">
        <v>21</v>
      </c>
      <c r="E4870" t="s">
        <v>157</v>
      </c>
      <c r="F4870">
        <v>1</v>
      </c>
      <c r="G4870">
        <v>117</v>
      </c>
      <c r="H4870">
        <v>18.920000000000002</v>
      </c>
      <c r="I4870" t="s">
        <v>50</v>
      </c>
      <c r="J4870">
        <v>13</v>
      </c>
      <c r="K4870" t="s">
        <v>51</v>
      </c>
      <c r="L4870">
        <v>1</v>
      </c>
      <c r="M4870" t="str">
        <f>VLOOKUP(D4870,State_Lookup!$A$2:$B$28,2,FALSE)</f>
        <v>Santa Catarina</v>
      </c>
    </row>
    <row r="4871" spans="1:13" x14ac:dyDescent="0.45">
      <c r="A4871" t="s">
        <v>5607</v>
      </c>
      <c r="B4871" t="s">
        <v>5603</v>
      </c>
      <c r="C4871" t="s">
        <v>5398</v>
      </c>
      <c r="D4871" t="s">
        <v>17</v>
      </c>
      <c r="E4871" t="s">
        <v>107</v>
      </c>
      <c r="F4871">
        <v>1</v>
      </c>
      <c r="G4871">
        <v>166.9</v>
      </c>
      <c r="H4871">
        <v>27.47</v>
      </c>
      <c r="I4871" t="s">
        <v>44</v>
      </c>
      <c r="J4871">
        <v>8</v>
      </c>
      <c r="K4871" t="s">
        <v>51</v>
      </c>
      <c r="L4871">
        <v>4</v>
      </c>
      <c r="M4871" t="str">
        <f>VLOOKUP(D4871,State_Lookup!$A$2:$B$28,2,FALSE)</f>
        <v>Rio de Janeiro</v>
      </c>
    </row>
    <row r="4872" spans="1:13" x14ac:dyDescent="0.45">
      <c r="A4872" t="s">
        <v>5608</v>
      </c>
      <c r="B4872" t="s">
        <v>5603</v>
      </c>
      <c r="C4872" t="s">
        <v>5398</v>
      </c>
      <c r="D4872" t="s">
        <v>16</v>
      </c>
      <c r="E4872" t="s">
        <v>107</v>
      </c>
      <c r="F4872">
        <v>1</v>
      </c>
      <c r="G4872">
        <v>250</v>
      </c>
      <c r="H4872">
        <v>9.01</v>
      </c>
      <c r="I4872" t="s">
        <v>44</v>
      </c>
      <c r="J4872">
        <v>1</v>
      </c>
      <c r="K4872" t="s">
        <v>51</v>
      </c>
      <c r="L4872">
        <v>5</v>
      </c>
      <c r="M4872" t="str">
        <f>VLOOKUP(D4872,State_Lookup!$A$2:$B$28,2,FALSE)</f>
        <v>Sao Paulo</v>
      </c>
    </row>
    <row r="4873" spans="1:13" x14ac:dyDescent="0.45">
      <c r="A4873" t="s">
        <v>5609</v>
      </c>
      <c r="B4873" t="s">
        <v>5603</v>
      </c>
      <c r="C4873" t="s">
        <v>5398</v>
      </c>
      <c r="D4873" t="s">
        <v>17</v>
      </c>
      <c r="E4873" t="s">
        <v>79</v>
      </c>
      <c r="F4873">
        <v>1</v>
      </c>
      <c r="G4873">
        <v>119.99</v>
      </c>
      <c r="H4873">
        <v>63.09</v>
      </c>
      <c r="I4873" t="s">
        <v>44</v>
      </c>
      <c r="J4873">
        <v>8</v>
      </c>
      <c r="K4873" t="s">
        <v>51</v>
      </c>
      <c r="L4873">
        <v>3</v>
      </c>
      <c r="M4873" t="str">
        <f>VLOOKUP(D4873,State_Lookup!$A$2:$B$28,2,FALSE)</f>
        <v>Rio de Janeiro</v>
      </c>
    </row>
    <row r="4874" spans="1:13" x14ac:dyDescent="0.45">
      <c r="A4874" t="s">
        <v>5610</v>
      </c>
      <c r="B4874" t="s">
        <v>5603</v>
      </c>
      <c r="C4874" t="s">
        <v>5398</v>
      </c>
      <c r="D4874" t="s">
        <v>20</v>
      </c>
      <c r="E4874" t="s">
        <v>66</v>
      </c>
      <c r="F4874">
        <v>1</v>
      </c>
      <c r="G4874">
        <v>14.9</v>
      </c>
      <c r="H4874">
        <v>15.23</v>
      </c>
      <c r="I4874" t="s">
        <v>44</v>
      </c>
      <c r="J4874">
        <v>8</v>
      </c>
      <c r="K4874" t="s">
        <v>51</v>
      </c>
      <c r="L4874">
        <v>4</v>
      </c>
      <c r="M4874" t="str">
        <f>VLOOKUP(D4874,State_Lookup!$A$2:$B$28,2,FALSE)</f>
        <v>Parana</v>
      </c>
    </row>
    <row r="4875" spans="1:13" x14ac:dyDescent="0.45">
      <c r="A4875" t="s">
        <v>5611</v>
      </c>
      <c r="B4875" t="s">
        <v>5603</v>
      </c>
      <c r="C4875" t="s">
        <v>5398</v>
      </c>
      <c r="D4875" t="s">
        <v>16</v>
      </c>
      <c r="E4875" t="s">
        <v>61</v>
      </c>
      <c r="F4875">
        <v>1</v>
      </c>
      <c r="G4875">
        <v>59.9</v>
      </c>
      <c r="H4875">
        <v>17.350000000000001</v>
      </c>
      <c r="I4875" t="s">
        <v>44</v>
      </c>
      <c r="J4875">
        <v>5</v>
      </c>
      <c r="K4875" t="s">
        <v>51</v>
      </c>
      <c r="L4875">
        <v>4</v>
      </c>
      <c r="M4875" t="str">
        <f>VLOOKUP(D4875,State_Lookup!$A$2:$B$28,2,FALSE)</f>
        <v>Sao Paulo</v>
      </c>
    </row>
    <row r="4876" spans="1:13" x14ac:dyDescent="0.45">
      <c r="A4876" t="s">
        <v>5612</v>
      </c>
      <c r="B4876" t="s">
        <v>5603</v>
      </c>
      <c r="C4876" t="s">
        <v>5398</v>
      </c>
      <c r="D4876" t="s">
        <v>16</v>
      </c>
      <c r="E4876" t="s">
        <v>244</v>
      </c>
      <c r="F4876">
        <v>1</v>
      </c>
      <c r="G4876">
        <v>135.9</v>
      </c>
      <c r="H4876">
        <v>16.05</v>
      </c>
      <c r="I4876" t="s">
        <v>44</v>
      </c>
      <c r="J4876">
        <v>4</v>
      </c>
      <c r="K4876" t="s">
        <v>51</v>
      </c>
      <c r="L4876">
        <v>4</v>
      </c>
      <c r="M4876" t="str">
        <f>VLOOKUP(D4876,State_Lookup!$A$2:$B$28,2,FALSE)</f>
        <v>Sao Paulo</v>
      </c>
    </row>
    <row r="4877" spans="1:13" x14ac:dyDescent="0.45">
      <c r="A4877" t="s">
        <v>5613</v>
      </c>
      <c r="B4877" t="s">
        <v>5603</v>
      </c>
      <c r="C4877" t="s">
        <v>5398</v>
      </c>
      <c r="D4877" t="s">
        <v>18</v>
      </c>
      <c r="E4877" t="s">
        <v>69</v>
      </c>
      <c r="F4877">
        <v>1</v>
      </c>
      <c r="G4877">
        <v>34.99</v>
      </c>
      <c r="H4877">
        <v>14.55</v>
      </c>
      <c r="I4877" t="s">
        <v>44</v>
      </c>
      <c r="J4877">
        <v>2</v>
      </c>
      <c r="K4877" t="s">
        <v>51</v>
      </c>
      <c r="L4877">
        <v>5</v>
      </c>
      <c r="M4877" t="str">
        <f>VLOOKUP(D4877,State_Lookup!$A$2:$B$28,2,FALSE)</f>
        <v>Minas Gerais</v>
      </c>
    </row>
    <row r="4878" spans="1:13" x14ac:dyDescent="0.45">
      <c r="A4878" t="s">
        <v>5614</v>
      </c>
      <c r="B4878" t="s">
        <v>5603</v>
      </c>
      <c r="C4878" t="s">
        <v>5398</v>
      </c>
      <c r="D4878" t="s">
        <v>16</v>
      </c>
      <c r="E4878" t="s">
        <v>107</v>
      </c>
      <c r="F4878">
        <v>1</v>
      </c>
      <c r="G4878">
        <v>795.95</v>
      </c>
      <c r="H4878">
        <v>26.21</v>
      </c>
      <c r="I4878" t="s">
        <v>108</v>
      </c>
      <c r="J4878">
        <v>9</v>
      </c>
      <c r="K4878" t="s">
        <v>51</v>
      </c>
      <c r="L4878">
        <v>5</v>
      </c>
      <c r="M4878" t="str">
        <f>VLOOKUP(D4878,State_Lookup!$A$2:$B$28,2,FALSE)</f>
        <v>Sao Paulo</v>
      </c>
    </row>
    <row r="4879" spans="1:13" x14ac:dyDescent="0.45">
      <c r="A4879" t="s">
        <v>5615</v>
      </c>
      <c r="B4879" t="s">
        <v>5603</v>
      </c>
      <c r="C4879" t="s">
        <v>5398</v>
      </c>
      <c r="D4879" t="s">
        <v>17</v>
      </c>
      <c r="E4879" t="s">
        <v>110</v>
      </c>
      <c r="F4879">
        <v>1</v>
      </c>
      <c r="G4879">
        <v>76</v>
      </c>
      <c r="H4879">
        <v>23.33</v>
      </c>
      <c r="I4879" t="s">
        <v>44</v>
      </c>
      <c r="J4879">
        <v>5</v>
      </c>
      <c r="K4879" t="s">
        <v>51</v>
      </c>
      <c r="L4879">
        <v>3</v>
      </c>
      <c r="M4879" t="str">
        <f>VLOOKUP(D4879,State_Lookup!$A$2:$B$28,2,FALSE)</f>
        <v>Rio de Janeiro</v>
      </c>
    </row>
    <row r="4880" spans="1:13" x14ac:dyDescent="0.45">
      <c r="A4880" t="s">
        <v>5616</v>
      </c>
      <c r="B4880" t="s">
        <v>5603</v>
      </c>
      <c r="C4880" t="s">
        <v>5398</v>
      </c>
      <c r="D4880" t="s">
        <v>21</v>
      </c>
      <c r="E4880" t="s">
        <v>192</v>
      </c>
      <c r="F4880">
        <v>1</v>
      </c>
      <c r="G4880">
        <v>105</v>
      </c>
      <c r="H4880">
        <v>27.69</v>
      </c>
      <c r="I4880" t="s">
        <v>50</v>
      </c>
      <c r="J4880">
        <v>13</v>
      </c>
      <c r="K4880" t="s">
        <v>51</v>
      </c>
      <c r="L4880">
        <v>4</v>
      </c>
      <c r="M4880" t="str">
        <f>VLOOKUP(D4880,State_Lookup!$A$2:$B$28,2,FALSE)</f>
        <v>Santa Catarina</v>
      </c>
    </row>
    <row r="4881" spans="1:13" x14ac:dyDescent="0.45">
      <c r="A4881" t="s">
        <v>5617</v>
      </c>
      <c r="B4881" t="s">
        <v>5603</v>
      </c>
      <c r="C4881" t="s">
        <v>5398</v>
      </c>
      <c r="D4881" t="s">
        <v>24</v>
      </c>
      <c r="E4881" t="s">
        <v>79</v>
      </c>
      <c r="F4881">
        <v>1</v>
      </c>
      <c r="G4881">
        <v>66.989999999999995</v>
      </c>
      <c r="H4881">
        <v>23.19</v>
      </c>
      <c r="I4881" t="s">
        <v>44</v>
      </c>
      <c r="J4881">
        <v>13</v>
      </c>
      <c r="K4881" t="s">
        <v>51</v>
      </c>
      <c r="L4881">
        <v>4</v>
      </c>
      <c r="M4881" t="str">
        <f>VLOOKUP(D4881,State_Lookup!$A$2:$B$28,2,FALSE)</f>
        <v>Distrito Federal</v>
      </c>
    </row>
    <row r="4882" spans="1:13" x14ac:dyDescent="0.45">
      <c r="A4882" t="s">
        <v>5618</v>
      </c>
      <c r="B4882" t="s">
        <v>5619</v>
      </c>
      <c r="C4882" t="s">
        <v>5398</v>
      </c>
      <c r="D4882" t="s">
        <v>16</v>
      </c>
      <c r="E4882" t="s">
        <v>79</v>
      </c>
      <c r="F4882">
        <v>1</v>
      </c>
      <c r="G4882">
        <v>118.99</v>
      </c>
      <c r="H4882">
        <v>8.09</v>
      </c>
      <c r="I4882" t="s">
        <v>44</v>
      </c>
      <c r="J4882">
        <v>6</v>
      </c>
      <c r="K4882" t="s">
        <v>51</v>
      </c>
      <c r="L4882">
        <v>5</v>
      </c>
      <c r="M4882" t="str">
        <f>VLOOKUP(D4882,State_Lookup!$A$2:$B$28,2,FALSE)</f>
        <v>Sao Paulo</v>
      </c>
    </row>
    <row r="4883" spans="1:13" x14ac:dyDescent="0.45">
      <c r="A4883" t="s">
        <v>5620</v>
      </c>
      <c r="B4883" t="s">
        <v>5619</v>
      </c>
      <c r="C4883" t="s">
        <v>5398</v>
      </c>
      <c r="D4883" t="s">
        <v>18</v>
      </c>
      <c r="E4883" t="s">
        <v>64</v>
      </c>
      <c r="F4883">
        <v>1</v>
      </c>
      <c r="G4883">
        <v>64</v>
      </c>
      <c r="H4883">
        <v>18.55</v>
      </c>
      <c r="I4883" t="s">
        <v>44</v>
      </c>
      <c r="J4883">
        <v>5</v>
      </c>
      <c r="K4883" t="s">
        <v>51</v>
      </c>
      <c r="L4883">
        <v>5</v>
      </c>
      <c r="M4883" t="str">
        <f>VLOOKUP(D4883,State_Lookup!$A$2:$B$28,2,FALSE)</f>
        <v>Minas Gerais</v>
      </c>
    </row>
    <row r="4884" spans="1:13" x14ac:dyDescent="0.45">
      <c r="A4884" t="s">
        <v>5621</v>
      </c>
      <c r="B4884" t="s">
        <v>5619</v>
      </c>
      <c r="C4884" t="s">
        <v>5398</v>
      </c>
      <c r="D4884" t="s">
        <v>17</v>
      </c>
      <c r="E4884" t="s">
        <v>110</v>
      </c>
      <c r="F4884">
        <v>1</v>
      </c>
      <c r="G4884">
        <v>109.9</v>
      </c>
      <c r="H4884">
        <v>23.57</v>
      </c>
      <c r="I4884" t="s">
        <v>50</v>
      </c>
      <c r="J4884">
        <v>7</v>
      </c>
      <c r="K4884" t="s">
        <v>51</v>
      </c>
      <c r="L4884">
        <v>4</v>
      </c>
      <c r="M4884" t="str">
        <f>VLOOKUP(D4884,State_Lookup!$A$2:$B$28,2,FALSE)</f>
        <v>Rio de Janeiro</v>
      </c>
    </row>
    <row r="4885" spans="1:13" x14ac:dyDescent="0.45">
      <c r="A4885" t="s">
        <v>5622</v>
      </c>
      <c r="B4885" t="s">
        <v>5619</v>
      </c>
      <c r="C4885" t="s">
        <v>5398</v>
      </c>
      <c r="D4885" t="s">
        <v>20</v>
      </c>
      <c r="E4885" t="s">
        <v>110</v>
      </c>
      <c r="F4885">
        <v>1</v>
      </c>
      <c r="G4885">
        <v>69</v>
      </c>
      <c r="H4885">
        <v>23.28</v>
      </c>
      <c r="I4885" t="s">
        <v>44</v>
      </c>
      <c r="J4885">
        <v>9</v>
      </c>
      <c r="K4885" t="s">
        <v>51</v>
      </c>
      <c r="M4885" t="str">
        <f>VLOOKUP(D4885,State_Lookup!$A$2:$B$28,2,FALSE)</f>
        <v>Parana</v>
      </c>
    </row>
    <row r="4886" spans="1:13" x14ac:dyDescent="0.45">
      <c r="A4886" t="s">
        <v>5623</v>
      </c>
      <c r="B4886" t="s">
        <v>5619</v>
      </c>
      <c r="C4886" t="s">
        <v>5398</v>
      </c>
      <c r="D4886" t="s">
        <v>18</v>
      </c>
      <c r="E4886" t="s">
        <v>66</v>
      </c>
      <c r="F4886">
        <v>1</v>
      </c>
      <c r="G4886">
        <v>39.9</v>
      </c>
      <c r="H4886">
        <v>15.38</v>
      </c>
      <c r="I4886" t="s">
        <v>44</v>
      </c>
      <c r="J4886">
        <v>5</v>
      </c>
      <c r="K4886" t="s">
        <v>51</v>
      </c>
      <c r="M4886" t="str">
        <f>VLOOKUP(D4886,State_Lookup!$A$2:$B$28,2,FALSE)</f>
        <v>Minas Gerais</v>
      </c>
    </row>
    <row r="4887" spans="1:13" x14ac:dyDescent="0.45">
      <c r="A4887" t="s">
        <v>5624</v>
      </c>
      <c r="B4887" t="s">
        <v>5619</v>
      </c>
      <c r="C4887" t="s">
        <v>5398</v>
      </c>
      <c r="D4887" t="s">
        <v>20</v>
      </c>
      <c r="E4887" t="s">
        <v>79</v>
      </c>
      <c r="F4887">
        <v>1</v>
      </c>
      <c r="G4887">
        <v>149.65</v>
      </c>
      <c r="H4887">
        <v>19.149999999999999</v>
      </c>
      <c r="I4887" t="s">
        <v>50</v>
      </c>
      <c r="J4887">
        <v>6</v>
      </c>
      <c r="K4887" t="s">
        <v>51</v>
      </c>
      <c r="L4887">
        <v>5</v>
      </c>
      <c r="M4887" t="str">
        <f>VLOOKUP(D4887,State_Lookup!$A$2:$B$28,2,FALSE)</f>
        <v>Parana</v>
      </c>
    </row>
    <row r="4888" spans="1:13" x14ac:dyDescent="0.45">
      <c r="A4888" t="s">
        <v>5625</v>
      </c>
      <c r="B4888" t="s">
        <v>5619</v>
      </c>
      <c r="C4888" t="s">
        <v>5398</v>
      </c>
      <c r="D4888" t="s">
        <v>16</v>
      </c>
      <c r="E4888" t="s">
        <v>49</v>
      </c>
      <c r="F4888">
        <v>1</v>
      </c>
      <c r="G4888">
        <v>43</v>
      </c>
      <c r="H4888">
        <v>8.0399999999999991</v>
      </c>
      <c r="I4888" t="s">
        <v>50</v>
      </c>
      <c r="J4888">
        <v>5</v>
      </c>
      <c r="K4888" t="s">
        <v>51</v>
      </c>
      <c r="L4888">
        <v>5</v>
      </c>
      <c r="M4888" t="str">
        <f>VLOOKUP(D4888,State_Lookup!$A$2:$B$28,2,FALSE)</f>
        <v>Sao Paulo</v>
      </c>
    </row>
    <row r="4889" spans="1:13" x14ac:dyDescent="0.45">
      <c r="A4889" t="s">
        <v>5626</v>
      </c>
      <c r="B4889" t="s">
        <v>5619</v>
      </c>
      <c r="C4889" t="s">
        <v>5398</v>
      </c>
      <c r="D4889" t="s">
        <v>16</v>
      </c>
      <c r="E4889" t="s">
        <v>142</v>
      </c>
      <c r="F4889">
        <v>1</v>
      </c>
      <c r="G4889">
        <v>89.9</v>
      </c>
      <c r="H4889">
        <v>17.760000000000002</v>
      </c>
      <c r="I4889" t="s">
        <v>44</v>
      </c>
      <c r="J4889">
        <v>8</v>
      </c>
      <c r="K4889" t="s">
        <v>51</v>
      </c>
      <c r="L4889">
        <v>5</v>
      </c>
      <c r="M4889" t="str">
        <f>VLOOKUP(D4889,State_Lookup!$A$2:$B$28,2,FALSE)</f>
        <v>Sao Paulo</v>
      </c>
    </row>
    <row r="4890" spans="1:13" x14ac:dyDescent="0.45">
      <c r="A4890" t="s">
        <v>5627</v>
      </c>
      <c r="B4890" t="s">
        <v>5619</v>
      </c>
      <c r="C4890" t="s">
        <v>5398</v>
      </c>
      <c r="D4890" t="s">
        <v>19</v>
      </c>
      <c r="E4890" t="s">
        <v>43</v>
      </c>
      <c r="F4890">
        <v>1</v>
      </c>
      <c r="G4890">
        <v>55</v>
      </c>
      <c r="H4890">
        <v>19.579999999999998</v>
      </c>
      <c r="I4890" t="s">
        <v>44</v>
      </c>
      <c r="J4890">
        <v>15</v>
      </c>
      <c r="K4890" t="s">
        <v>51</v>
      </c>
      <c r="L4890">
        <v>5</v>
      </c>
      <c r="M4890" t="str">
        <f>VLOOKUP(D4890,State_Lookup!$A$2:$B$28,2,FALSE)</f>
        <v>Rio Grande do Sul</v>
      </c>
    </row>
    <row r="4891" spans="1:13" x14ac:dyDescent="0.45">
      <c r="A4891" t="s">
        <v>5628</v>
      </c>
      <c r="B4891" t="s">
        <v>5619</v>
      </c>
      <c r="C4891" t="s">
        <v>5398</v>
      </c>
      <c r="D4891" t="s">
        <v>18</v>
      </c>
      <c r="E4891" t="s">
        <v>49</v>
      </c>
      <c r="F4891">
        <v>1</v>
      </c>
      <c r="G4891">
        <v>3099</v>
      </c>
      <c r="H4891">
        <v>252.35</v>
      </c>
      <c r="I4891" t="s">
        <v>44</v>
      </c>
      <c r="J4891">
        <v>5</v>
      </c>
      <c r="K4891" t="s">
        <v>51</v>
      </c>
      <c r="L4891">
        <v>4</v>
      </c>
      <c r="M4891" t="str">
        <f>VLOOKUP(D4891,State_Lookup!$A$2:$B$28,2,FALSE)</f>
        <v>Minas Gerais</v>
      </c>
    </row>
    <row r="4892" spans="1:13" x14ac:dyDescent="0.45">
      <c r="A4892" t="s">
        <v>5629</v>
      </c>
      <c r="B4892" t="s">
        <v>5619</v>
      </c>
      <c r="C4892" t="s">
        <v>5398</v>
      </c>
      <c r="D4892" t="s">
        <v>16</v>
      </c>
      <c r="E4892" t="s">
        <v>103</v>
      </c>
      <c r="F4892">
        <v>1</v>
      </c>
      <c r="G4892">
        <v>232.9</v>
      </c>
      <c r="H4892">
        <v>37.71</v>
      </c>
      <c r="I4892" t="s">
        <v>44</v>
      </c>
      <c r="J4892">
        <v>7</v>
      </c>
      <c r="K4892" t="s">
        <v>51</v>
      </c>
      <c r="L4892">
        <v>4</v>
      </c>
      <c r="M4892" t="str">
        <f>VLOOKUP(D4892,State_Lookup!$A$2:$B$28,2,FALSE)</f>
        <v>Sao Paulo</v>
      </c>
    </row>
    <row r="4893" spans="1:13" x14ac:dyDescent="0.45">
      <c r="A4893" t="s">
        <v>5630</v>
      </c>
      <c r="B4893" t="s">
        <v>5619</v>
      </c>
      <c r="C4893" t="s">
        <v>5398</v>
      </c>
      <c r="D4893" t="s">
        <v>16</v>
      </c>
      <c r="E4893" t="s">
        <v>152</v>
      </c>
      <c r="F4893">
        <v>1</v>
      </c>
      <c r="G4893">
        <v>60</v>
      </c>
      <c r="H4893">
        <v>9.17</v>
      </c>
      <c r="I4893" t="s">
        <v>44</v>
      </c>
      <c r="J4893">
        <v>5</v>
      </c>
      <c r="K4893" t="s">
        <v>143</v>
      </c>
      <c r="L4893">
        <v>4</v>
      </c>
      <c r="M4893" t="str">
        <f>VLOOKUP(D4893,State_Lookup!$A$2:$B$28,2,FALSE)</f>
        <v>Sao Paulo</v>
      </c>
    </row>
    <row r="4894" spans="1:13" x14ac:dyDescent="0.45">
      <c r="A4894" t="s">
        <v>5631</v>
      </c>
      <c r="B4894" t="s">
        <v>5619</v>
      </c>
      <c r="C4894" t="s">
        <v>5398</v>
      </c>
      <c r="D4894" t="s">
        <v>63</v>
      </c>
      <c r="E4894" t="s">
        <v>157</v>
      </c>
      <c r="F4894">
        <v>1</v>
      </c>
      <c r="G4894">
        <v>49</v>
      </c>
      <c r="H4894">
        <v>19.25</v>
      </c>
      <c r="I4894" t="s">
        <v>50</v>
      </c>
      <c r="J4894">
        <v>7</v>
      </c>
      <c r="K4894" t="s">
        <v>51</v>
      </c>
      <c r="L4894">
        <v>5</v>
      </c>
      <c r="M4894" t="str">
        <f>VLOOKUP(D4894,State_Lookup!$A$2:$B$28,2,FALSE)</f>
        <v>Pernambuco</v>
      </c>
    </row>
    <row r="4895" spans="1:13" x14ac:dyDescent="0.45">
      <c r="A4895" t="s">
        <v>5632</v>
      </c>
      <c r="B4895" t="s">
        <v>5619</v>
      </c>
      <c r="C4895" t="s">
        <v>5398</v>
      </c>
      <c r="D4895" t="s">
        <v>16</v>
      </c>
      <c r="E4895" t="s">
        <v>142</v>
      </c>
      <c r="F4895">
        <v>2</v>
      </c>
      <c r="G4895">
        <v>11.7</v>
      </c>
      <c r="H4895">
        <v>36.46</v>
      </c>
      <c r="I4895" t="s">
        <v>44</v>
      </c>
      <c r="J4895">
        <v>5</v>
      </c>
      <c r="K4895" t="s">
        <v>51</v>
      </c>
      <c r="L4895">
        <v>3</v>
      </c>
      <c r="M4895" t="str">
        <f>VLOOKUP(D4895,State_Lookup!$A$2:$B$28,2,FALSE)</f>
        <v>Sao Paulo</v>
      </c>
    </row>
    <row r="4896" spans="1:13" x14ac:dyDescent="0.45">
      <c r="A4896" t="s">
        <v>5633</v>
      </c>
      <c r="B4896" t="s">
        <v>5619</v>
      </c>
      <c r="C4896" t="s">
        <v>5398</v>
      </c>
      <c r="D4896" t="s">
        <v>16</v>
      </c>
      <c r="E4896" t="s">
        <v>79</v>
      </c>
      <c r="F4896">
        <v>1</v>
      </c>
      <c r="G4896">
        <v>55</v>
      </c>
      <c r="H4896">
        <v>8.5500000000000007</v>
      </c>
      <c r="I4896" t="s">
        <v>44</v>
      </c>
      <c r="J4896">
        <v>2</v>
      </c>
      <c r="K4896" t="s">
        <v>51</v>
      </c>
      <c r="L4896">
        <v>5</v>
      </c>
      <c r="M4896" t="str">
        <f>VLOOKUP(D4896,State_Lookup!$A$2:$B$28,2,FALSE)</f>
        <v>Sao Paulo</v>
      </c>
    </row>
    <row r="4897" spans="1:13" x14ac:dyDescent="0.45">
      <c r="A4897" t="s">
        <v>5634</v>
      </c>
      <c r="B4897" t="s">
        <v>5619</v>
      </c>
      <c r="C4897" t="s">
        <v>5398</v>
      </c>
      <c r="D4897" t="s">
        <v>16</v>
      </c>
      <c r="E4897" t="s">
        <v>157</v>
      </c>
      <c r="F4897">
        <v>1</v>
      </c>
      <c r="G4897">
        <v>44</v>
      </c>
      <c r="H4897">
        <v>12.97</v>
      </c>
      <c r="I4897" t="s">
        <v>50</v>
      </c>
      <c r="J4897">
        <v>8</v>
      </c>
      <c r="K4897" t="s">
        <v>51</v>
      </c>
      <c r="L4897">
        <v>5</v>
      </c>
      <c r="M4897" t="str">
        <f>VLOOKUP(D4897,State_Lookup!$A$2:$B$28,2,FALSE)</f>
        <v>Sao Paulo</v>
      </c>
    </row>
    <row r="4898" spans="1:13" x14ac:dyDescent="0.45">
      <c r="A4898" t="s">
        <v>5635</v>
      </c>
      <c r="B4898" t="s">
        <v>5619</v>
      </c>
      <c r="C4898" t="s">
        <v>5398</v>
      </c>
      <c r="D4898" t="s">
        <v>21</v>
      </c>
      <c r="E4898" t="s">
        <v>244</v>
      </c>
      <c r="F4898">
        <v>1</v>
      </c>
      <c r="G4898">
        <v>24.9</v>
      </c>
      <c r="H4898">
        <v>18.32</v>
      </c>
      <c r="I4898" t="s">
        <v>50</v>
      </c>
      <c r="J4898">
        <v>13</v>
      </c>
      <c r="K4898" t="s">
        <v>51</v>
      </c>
      <c r="L4898">
        <v>5</v>
      </c>
      <c r="M4898" t="str">
        <f>VLOOKUP(D4898,State_Lookup!$A$2:$B$28,2,FALSE)</f>
        <v>Santa Catarina</v>
      </c>
    </row>
    <row r="4899" spans="1:13" x14ac:dyDescent="0.45">
      <c r="A4899" t="s">
        <v>5636</v>
      </c>
      <c r="B4899" t="s">
        <v>5619</v>
      </c>
      <c r="C4899" t="s">
        <v>5398</v>
      </c>
      <c r="D4899" t="s">
        <v>63</v>
      </c>
      <c r="E4899" t="s">
        <v>2467</v>
      </c>
      <c r="F4899">
        <v>1</v>
      </c>
      <c r="G4899">
        <v>396.18</v>
      </c>
      <c r="H4899">
        <v>84.15</v>
      </c>
      <c r="I4899" t="s">
        <v>50</v>
      </c>
      <c r="J4899">
        <v>12</v>
      </c>
      <c r="K4899" t="s">
        <v>51</v>
      </c>
      <c r="L4899">
        <v>3</v>
      </c>
      <c r="M4899" t="str">
        <f>VLOOKUP(D4899,State_Lookup!$A$2:$B$28,2,FALSE)</f>
        <v>Pernambuco</v>
      </c>
    </row>
    <row r="4900" spans="1:13" x14ac:dyDescent="0.45">
      <c r="A4900" t="s">
        <v>5637</v>
      </c>
      <c r="B4900" t="s">
        <v>5619</v>
      </c>
      <c r="C4900" t="s">
        <v>5398</v>
      </c>
      <c r="D4900" t="s">
        <v>23</v>
      </c>
      <c r="E4900" t="s">
        <v>66</v>
      </c>
      <c r="F4900">
        <v>1</v>
      </c>
      <c r="G4900">
        <v>94.99</v>
      </c>
      <c r="H4900">
        <v>15.77</v>
      </c>
      <c r="I4900" t="s">
        <v>44</v>
      </c>
      <c r="J4900">
        <v>8</v>
      </c>
      <c r="K4900" t="s">
        <v>51</v>
      </c>
      <c r="L4900">
        <v>5</v>
      </c>
      <c r="M4900" t="str">
        <f>VLOOKUP(D4900,State_Lookup!$A$2:$B$28,2,FALSE)</f>
        <v>Espirito Santo</v>
      </c>
    </row>
    <row r="4901" spans="1:13" x14ac:dyDescent="0.45">
      <c r="A4901" t="s">
        <v>5638</v>
      </c>
      <c r="B4901" t="s">
        <v>5619</v>
      </c>
      <c r="C4901" t="s">
        <v>5398</v>
      </c>
      <c r="D4901" t="s">
        <v>23</v>
      </c>
      <c r="E4901" t="s">
        <v>69</v>
      </c>
      <c r="F4901">
        <v>1</v>
      </c>
      <c r="G4901">
        <v>85</v>
      </c>
      <c r="H4901">
        <v>38.869999999999997</v>
      </c>
      <c r="I4901" t="s">
        <v>44</v>
      </c>
      <c r="J4901">
        <v>12</v>
      </c>
      <c r="K4901" t="s">
        <v>51</v>
      </c>
      <c r="L4901">
        <v>5</v>
      </c>
      <c r="M4901" t="str">
        <f>VLOOKUP(D4901,State_Lookup!$A$2:$B$28,2,FALSE)</f>
        <v>Espirito Santo</v>
      </c>
    </row>
    <row r="4902" spans="1:13" x14ac:dyDescent="0.45">
      <c r="A4902" t="s">
        <v>5639</v>
      </c>
      <c r="B4902" t="s">
        <v>5619</v>
      </c>
      <c r="C4902" t="s">
        <v>5398</v>
      </c>
      <c r="D4902" t="s">
        <v>20</v>
      </c>
      <c r="E4902" t="s">
        <v>125</v>
      </c>
      <c r="F4902">
        <v>1</v>
      </c>
      <c r="G4902">
        <v>399</v>
      </c>
      <c r="H4902">
        <v>29.74</v>
      </c>
      <c r="I4902" t="s">
        <v>50</v>
      </c>
      <c r="J4902">
        <v>8</v>
      </c>
      <c r="K4902" t="s">
        <v>51</v>
      </c>
      <c r="L4902">
        <v>4</v>
      </c>
      <c r="M4902" t="str">
        <f>VLOOKUP(D4902,State_Lookup!$A$2:$B$28,2,FALSE)</f>
        <v>Parana</v>
      </c>
    </row>
    <row r="4903" spans="1:13" x14ac:dyDescent="0.45">
      <c r="A4903" t="s">
        <v>5640</v>
      </c>
      <c r="B4903" t="s">
        <v>5641</v>
      </c>
      <c r="C4903" t="s">
        <v>5398</v>
      </c>
      <c r="D4903" t="s">
        <v>18</v>
      </c>
      <c r="E4903" t="s">
        <v>107</v>
      </c>
      <c r="F4903">
        <v>1</v>
      </c>
      <c r="G4903">
        <v>498.9</v>
      </c>
      <c r="H4903">
        <v>29.79</v>
      </c>
      <c r="I4903" t="s">
        <v>44</v>
      </c>
      <c r="J4903">
        <v>10</v>
      </c>
      <c r="K4903" t="s">
        <v>51</v>
      </c>
      <c r="L4903">
        <v>4</v>
      </c>
      <c r="M4903" t="str">
        <f>VLOOKUP(D4903,State_Lookup!$A$2:$B$28,2,FALSE)</f>
        <v>Minas Gerais</v>
      </c>
    </row>
    <row r="4904" spans="1:13" x14ac:dyDescent="0.45">
      <c r="A4904" t="s">
        <v>5642</v>
      </c>
      <c r="B4904" t="s">
        <v>5641</v>
      </c>
      <c r="C4904" t="s">
        <v>5398</v>
      </c>
      <c r="D4904" t="s">
        <v>16</v>
      </c>
      <c r="E4904" t="s">
        <v>107</v>
      </c>
      <c r="F4904">
        <v>1</v>
      </c>
      <c r="G4904">
        <v>32.99</v>
      </c>
      <c r="H4904">
        <v>7.49</v>
      </c>
      <c r="I4904" t="s">
        <v>44</v>
      </c>
      <c r="J4904">
        <v>1</v>
      </c>
      <c r="K4904" t="s">
        <v>51</v>
      </c>
      <c r="L4904">
        <v>5</v>
      </c>
      <c r="M4904" t="str">
        <f>VLOOKUP(D4904,State_Lookup!$A$2:$B$28,2,FALSE)</f>
        <v>Sao Paulo</v>
      </c>
    </row>
    <row r="4905" spans="1:13" x14ac:dyDescent="0.45">
      <c r="A4905" t="s">
        <v>5643</v>
      </c>
      <c r="B4905" t="s">
        <v>5641</v>
      </c>
      <c r="C4905" t="s">
        <v>5398</v>
      </c>
      <c r="D4905" t="s">
        <v>22</v>
      </c>
      <c r="E4905" t="s">
        <v>61</v>
      </c>
      <c r="F4905">
        <v>1</v>
      </c>
      <c r="G4905">
        <v>120</v>
      </c>
      <c r="H4905">
        <v>37.75</v>
      </c>
      <c r="I4905" t="s">
        <v>44</v>
      </c>
      <c r="J4905">
        <v>9</v>
      </c>
      <c r="K4905" t="s">
        <v>51</v>
      </c>
      <c r="L4905">
        <v>4</v>
      </c>
      <c r="M4905" t="str">
        <f>VLOOKUP(D4905,State_Lookup!$A$2:$B$28,2,FALSE)</f>
        <v>Bahia</v>
      </c>
    </row>
    <row r="4906" spans="1:13" x14ac:dyDescent="0.45">
      <c r="A4906" t="s">
        <v>5644</v>
      </c>
      <c r="B4906" t="s">
        <v>5641</v>
      </c>
      <c r="C4906" t="s">
        <v>5398</v>
      </c>
      <c r="D4906" t="s">
        <v>18</v>
      </c>
      <c r="E4906" t="s">
        <v>125</v>
      </c>
      <c r="F4906">
        <v>1</v>
      </c>
      <c r="G4906">
        <v>15</v>
      </c>
      <c r="H4906">
        <v>16.32</v>
      </c>
      <c r="I4906" t="s">
        <v>50</v>
      </c>
      <c r="J4906">
        <v>6</v>
      </c>
      <c r="K4906" t="s">
        <v>51</v>
      </c>
      <c r="L4906">
        <v>5</v>
      </c>
      <c r="M4906" t="str">
        <f>VLOOKUP(D4906,State_Lookup!$A$2:$B$28,2,FALSE)</f>
        <v>Minas Gerais</v>
      </c>
    </row>
    <row r="4907" spans="1:13" x14ac:dyDescent="0.45">
      <c r="A4907" t="s">
        <v>5645</v>
      </c>
      <c r="B4907" t="s">
        <v>5641</v>
      </c>
      <c r="C4907" t="s">
        <v>5398</v>
      </c>
      <c r="D4907" t="s">
        <v>487</v>
      </c>
      <c r="E4907" t="s">
        <v>43</v>
      </c>
      <c r="F4907">
        <v>1</v>
      </c>
      <c r="G4907">
        <v>44.99</v>
      </c>
      <c r="H4907">
        <v>51.04</v>
      </c>
      <c r="I4907" t="s">
        <v>50</v>
      </c>
      <c r="J4907">
        <v>8</v>
      </c>
      <c r="K4907" t="s">
        <v>51</v>
      </c>
      <c r="L4907">
        <v>5</v>
      </c>
      <c r="M4907" t="str">
        <f>VLOOKUP(D4907,State_Lookup!$A$2:$B$28,2,FALSE)</f>
        <v>Rio Grande do Norte</v>
      </c>
    </row>
    <row r="4908" spans="1:13" x14ac:dyDescent="0.45">
      <c r="A4908" t="s">
        <v>5646</v>
      </c>
      <c r="B4908" t="s">
        <v>5641</v>
      </c>
      <c r="C4908" t="s">
        <v>5398</v>
      </c>
      <c r="D4908" t="s">
        <v>16</v>
      </c>
      <c r="E4908" t="s">
        <v>1900</v>
      </c>
      <c r="F4908">
        <v>1</v>
      </c>
      <c r="G4908">
        <v>128</v>
      </c>
      <c r="H4908">
        <v>19.07</v>
      </c>
      <c r="I4908" t="s">
        <v>44</v>
      </c>
      <c r="J4908">
        <v>5</v>
      </c>
      <c r="K4908" t="s">
        <v>143</v>
      </c>
      <c r="L4908">
        <v>5</v>
      </c>
      <c r="M4908" t="str">
        <f>VLOOKUP(D4908,State_Lookup!$A$2:$B$28,2,FALSE)</f>
        <v>Sao Paulo</v>
      </c>
    </row>
    <row r="4909" spans="1:13" x14ac:dyDescent="0.45">
      <c r="A4909" t="s">
        <v>5647</v>
      </c>
      <c r="B4909" t="s">
        <v>5641</v>
      </c>
      <c r="C4909" t="s">
        <v>5398</v>
      </c>
      <c r="D4909" t="s">
        <v>16</v>
      </c>
      <c r="E4909" t="s">
        <v>43</v>
      </c>
      <c r="F4909">
        <v>3</v>
      </c>
      <c r="G4909">
        <v>179.7</v>
      </c>
      <c r="H4909">
        <v>27.51</v>
      </c>
      <c r="I4909" t="s">
        <v>133</v>
      </c>
      <c r="J4909">
        <v>7</v>
      </c>
      <c r="K4909" t="s">
        <v>51</v>
      </c>
      <c r="L4909">
        <v>5</v>
      </c>
      <c r="M4909" t="str">
        <f>VLOOKUP(D4909,State_Lookup!$A$2:$B$28,2,FALSE)</f>
        <v>Sao Paulo</v>
      </c>
    </row>
    <row r="4910" spans="1:13" x14ac:dyDescent="0.45">
      <c r="A4910" t="s">
        <v>5648</v>
      </c>
      <c r="B4910" t="s">
        <v>5641</v>
      </c>
      <c r="C4910" t="s">
        <v>5398</v>
      </c>
      <c r="D4910" t="s">
        <v>16</v>
      </c>
      <c r="E4910" t="s">
        <v>110</v>
      </c>
      <c r="F4910">
        <v>6</v>
      </c>
      <c r="G4910">
        <v>411</v>
      </c>
      <c r="H4910">
        <v>39</v>
      </c>
      <c r="I4910" t="s">
        <v>44</v>
      </c>
      <c r="J4910">
        <v>7</v>
      </c>
      <c r="K4910" t="s">
        <v>51</v>
      </c>
      <c r="L4910">
        <v>1</v>
      </c>
      <c r="M4910" t="str">
        <f>VLOOKUP(D4910,State_Lookup!$A$2:$B$28,2,FALSE)</f>
        <v>Sao Paulo</v>
      </c>
    </row>
    <row r="4911" spans="1:13" x14ac:dyDescent="0.45">
      <c r="A4911" t="s">
        <v>5649</v>
      </c>
      <c r="B4911" t="s">
        <v>5641</v>
      </c>
      <c r="C4911" t="s">
        <v>5398</v>
      </c>
      <c r="D4911" t="s">
        <v>219</v>
      </c>
      <c r="E4911" t="s">
        <v>662</v>
      </c>
      <c r="F4911">
        <v>1</v>
      </c>
      <c r="G4911">
        <v>229</v>
      </c>
      <c r="H4911">
        <v>28.37</v>
      </c>
      <c r="I4911" t="s">
        <v>50</v>
      </c>
      <c r="J4911">
        <v>11</v>
      </c>
      <c r="K4911" t="s">
        <v>51</v>
      </c>
      <c r="L4911">
        <v>5</v>
      </c>
      <c r="M4911" t="str">
        <f>VLOOKUP(D4911,State_Lookup!$A$2:$B$28,2,FALSE)</f>
        <v>Rondonia</v>
      </c>
    </row>
    <row r="4912" spans="1:13" x14ac:dyDescent="0.45">
      <c r="A4912" t="s">
        <v>5650</v>
      </c>
      <c r="B4912" t="s">
        <v>5651</v>
      </c>
      <c r="C4912" t="s">
        <v>5398</v>
      </c>
      <c r="D4912" t="s">
        <v>672</v>
      </c>
      <c r="E4912" t="s">
        <v>157</v>
      </c>
      <c r="F4912">
        <v>1</v>
      </c>
      <c r="G4912">
        <v>49</v>
      </c>
      <c r="H4912">
        <v>51.06</v>
      </c>
      <c r="I4912" t="s">
        <v>44</v>
      </c>
      <c r="J4912">
        <v>12</v>
      </c>
      <c r="K4912" t="s">
        <v>51</v>
      </c>
      <c r="L4912">
        <v>5</v>
      </c>
      <c r="M4912" t="str">
        <f>VLOOKUP(D4912,State_Lookup!$A$2:$B$28,2,FALSE)</f>
        <v>Paraiba</v>
      </c>
    </row>
    <row r="4913" spans="1:13" x14ac:dyDescent="0.45">
      <c r="A4913" t="s">
        <v>5652</v>
      </c>
      <c r="B4913" t="s">
        <v>5651</v>
      </c>
      <c r="C4913" t="s">
        <v>5398</v>
      </c>
      <c r="D4913" t="s">
        <v>16</v>
      </c>
      <c r="E4913" t="s">
        <v>110</v>
      </c>
      <c r="F4913">
        <v>1</v>
      </c>
      <c r="G4913">
        <v>129.9</v>
      </c>
      <c r="H4913">
        <v>15.22</v>
      </c>
      <c r="I4913" t="s">
        <v>108</v>
      </c>
      <c r="J4913">
        <v>7</v>
      </c>
      <c r="K4913" t="s">
        <v>51</v>
      </c>
      <c r="L4913">
        <v>4</v>
      </c>
      <c r="M4913" t="str">
        <f>VLOOKUP(D4913,State_Lookup!$A$2:$B$28,2,FALSE)</f>
        <v>Sao Paulo</v>
      </c>
    </row>
    <row r="4914" spans="1:13" x14ac:dyDescent="0.45">
      <c r="A4914" t="s">
        <v>5653</v>
      </c>
      <c r="B4914" t="s">
        <v>5651</v>
      </c>
      <c r="C4914" t="s">
        <v>5398</v>
      </c>
      <c r="D4914" t="s">
        <v>16</v>
      </c>
      <c r="E4914" t="s">
        <v>132</v>
      </c>
      <c r="F4914">
        <v>1</v>
      </c>
      <c r="G4914">
        <v>11.9</v>
      </c>
      <c r="H4914">
        <v>7.39</v>
      </c>
      <c r="I4914" t="s">
        <v>133</v>
      </c>
      <c r="J4914">
        <v>7</v>
      </c>
      <c r="K4914" t="s">
        <v>51</v>
      </c>
      <c r="L4914">
        <v>5</v>
      </c>
      <c r="M4914" t="str">
        <f>VLOOKUP(D4914,State_Lookup!$A$2:$B$28,2,FALSE)</f>
        <v>Sao Paulo</v>
      </c>
    </row>
    <row r="4915" spans="1:13" x14ac:dyDescent="0.45">
      <c r="A4915" t="s">
        <v>5654</v>
      </c>
      <c r="B4915" t="s">
        <v>5651</v>
      </c>
      <c r="C4915" t="s">
        <v>5398</v>
      </c>
      <c r="D4915" t="s">
        <v>16</v>
      </c>
      <c r="E4915" t="s">
        <v>64</v>
      </c>
      <c r="F4915">
        <v>1</v>
      </c>
      <c r="G4915">
        <v>682.98</v>
      </c>
      <c r="H4915">
        <v>20.079999999999998</v>
      </c>
      <c r="I4915" t="s">
        <v>44</v>
      </c>
      <c r="J4915">
        <v>5</v>
      </c>
      <c r="K4915" t="s">
        <v>51</v>
      </c>
      <c r="L4915">
        <v>5</v>
      </c>
      <c r="M4915" t="str">
        <f>VLOOKUP(D4915,State_Lookup!$A$2:$B$28,2,FALSE)</f>
        <v>Sao Paulo</v>
      </c>
    </row>
    <row r="4916" spans="1:13" x14ac:dyDescent="0.45">
      <c r="A4916" t="s">
        <v>5655</v>
      </c>
      <c r="B4916" t="s">
        <v>5651</v>
      </c>
      <c r="C4916" t="s">
        <v>5398</v>
      </c>
      <c r="D4916" t="s">
        <v>17</v>
      </c>
      <c r="E4916" t="s">
        <v>1056</v>
      </c>
      <c r="F4916">
        <v>1</v>
      </c>
      <c r="G4916">
        <v>44.06</v>
      </c>
      <c r="H4916">
        <v>18.11</v>
      </c>
      <c r="I4916" t="s">
        <v>44</v>
      </c>
      <c r="J4916">
        <v>7</v>
      </c>
      <c r="K4916" t="s">
        <v>51</v>
      </c>
      <c r="L4916">
        <v>4</v>
      </c>
      <c r="M4916" t="str">
        <f>VLOOKUP(D4916,State_Lookup!$A$2:$B$28,2,FALSE)</f>
        <v>Rio de Janeiro</v>
      </c>
    </row>
    <row r="4917" spans="1:13" x14ac:dyDescent="0.45">
      <c r="A4917" t="s">
        <v>5656</v>
      </c>
      <c r="B4917" t="s">
        <v>5651</v>
      </c>
      <c r="C4917" t="s">
        <v>5398</v>
      </c>
      <c r="D4917" t="s">
        <v>16</v>
      </c>
      <c r="E4917" t="s">
        <v>64</v>
      </c>
      <c r="F4917">
        <v>1</v>
      </c>
      <c r="G4917">
        <v>39</v>
      </c>
      <c r="H4917">
        <v>12.93</v>
      </c>
      <c r="I4917" t="s">
        <v>44</v>
      </c>
      <c r="J4917">
        <v>5</v>
      </c>
      <c r="K4917" t="s">
        <v>51</v>
      </c>
      <c r="L4917">
        <v>5</v>
      </c>
      <c r="M4917" t="str">
        <f>VLOOKUP(D4917,State_Lookup!$A$2:$B$28,2,FALSE)</f>
        <v>Sao Paulo</v>
      </c>
    </row>
    <row r="4918" spans="1:13" x14ac:dyDescent="0.45">
      <c r="A4918" t="s">
        <v>5657</v>
      </c>
      <c r="B4918" t="s">
        <v>5651</v>
      </c>
      <c r="C4918" t="s">
        <v>5398</v>
      </c>
      <c r="D4918" t="s">
        <v>20</v>
      </c>
      <c r="E4918" t="s">
        <v>192</v>
      </c>
      <c r="F4918">
        <v>1</v>
      </c>
      <c r="G4918">
        <v>15</v>
      </c>
      <c r="H4918">
        <v>15.23</v>
      </c>
      <c r="I4918" t="s">
        <v>44</v>
      </c>
      <c r="J4918">
        <v>5</v>
      </c>
      <c r="K4918" t="s">
        <v>51</v>
      </c>
      <c r="L4918">
        <v>4</v>
      </c>
      <c r="M4918" t="str">
        <f>VLOOKUP(D4918,State_Lookup!$A$2:$B$28,2,FALSE)</f>
        <v>Parana</v>
      </c>
    </row>
    <row r="4919" spans="1:13" x14ac:dyDescent="0.45">
      <c r="A4919" t="s">
        <v>5658</v>
      </c>
      <c r="B4919" t="s">
        <v>5651</v>
      </c>
      <c r="C4919" t="s">
        <v>5398</v>
      </c>
      <c r="D4919" t="s">
        <v>17</v>
      </c>
      <c r="E4919" t="s">
        <v>79</v>
      </c>
      <c r="F4919">
        <v>2</v>
      </c>
      <c r="G4919">
        <v>144</v>
      </c>
      <c r="H4919">
        <v>20</v>
      </c>
      <c r="I4919" t="s">
        <v>44</v>
      </c>
      <c r="J4919">
        <v>11</v>
      </c>
      <c r="K4919" t="s">
        <v>51</v>
      </c>
      <c r="L4919">
        <v>5</v>
      </c>
      <c r="M4919" t="str">
        <f>VLOOKUP(D4919,State_Lookup!$A$2:$B$28,2,FALSE)</f>
        <v>Rio de Janeiro</v>
      </c>
    </row>
    <row r="4920" spans="1:13" x14ac:dyDescent="0.45">
      <c r="A4920" t="s">
        <v>5659</v>
      </c>
      <c r="B4920" t="s">
        <v>5651</v>
      </c>
      <c r="C4920" t="s">
        <v>5398</v>
      </c>
      <c r="D4920" t="s">
        <v>16</v>
      </c>
      <c r="E4920" t="s">
        <v>100</v>
      </c>
      <c r="F4920">
        <v>1</v>
      </c>
      <c r="G4920">
        <v>220</v>
      </c>
      <c r="H4920">
        <v>38.67</v>
      </c>
      <c r="I4920" t="s">
        <v>108</v>
      </c>
      <c r="J4920">
        <v>6</v>
      </c>
      <c r="K4920" t="s">
        <v>51</v>
      </c>
      <c r="L4920">
        <v>1</v>
      </c>
      <c r="M4920" t="str">
        <f>VLOOKUP(D4920,State_Lookup!$A$2:$B$28,2,FALSE)</f>
        <v>Sao Paulo</v>
      </c>
    </row>
    <row r="4921" spans="1:13" x14ac:dyDescent="0.45">
      <c r="A4921" t="s">
        <v>5660</v>
      </c>
      <c r="B4921" t="s">
        <v>5651</v>
      </c>
      <c r="C4921" t="s">
        <v>5398</v>
      </c>
      <c r="D4921" t="s">
        <v>20</v>
      </c>
      <c r="E4921" t="s">
        <v>107</v>
      </c>
      <c r="F4921">
        <v>1</v>
      </c>
      <c r="G4921">
        <v>29.99</v>
      </c>
      <c r="H4921">
        <v>18.309999999999999</v>
      </c>
      <c r="I4921" t="s">
        <v>44</v>
      </c>
      <c r="J4921">
        <v>10</v>
      </c>
      <c r="K4921" t="s">
        <v>51</v>
      </c>
      <c r="L4921">
        <v>5</v>
      </c>
      <c r="M4921" t="str">
        <f>VLOOKUP(D4921,State_Lookup!$A$2:$B$28,2,FALSE)</f>
        <v>Parana</v>
      </c>
    </row>
    <row r="4922" spans="1:13" x14ac:dyDescent="0.45">
      <c r="A4922" t="s">
        <v>5661</v>
      </c>
      <c r="B4922" t="s">
        <v>5651</v>
      </c>
      <c r="C4922" t="s">
        <v>5398</v>
      </c>
      <c r="D4922" t="s">
        <v>16</v>
      </c>
      <c r="E4922" t="s">
        <v>103</v>
      </c>
      <c r="F4922">
        <v>1</v>
      </c>
      <c r="G4922">
        <v>127.9</v>
      </c>
      <c r="H4922">
        <v>18.03</v>
      </c>
      <c r="I4922" t="s">
        <v>133</v>
      </c>
      <c r="J4922">
        <v>9</v>
      </c>
      <c r="K4922" t="s">
        <v>51</v>
      </c>
      <c r="L4922">
        <v>3</v>
      </c>
      <c r="M4922" t="str">
        <f>VLOOKUP(D4922,State_Lookup!$A$2:$B$28,2,FALSE)</f>
        <v>Sao Paulo</v>
      </c>
    </row>
    <row r="4923" spans="1:13" x14ac:dyDescent="0.45">
      <c r="A4923" t="s">
        <v>5662</v>
      </c>
      <c r="B4923" t="s">
        <v>5651</v>
      </c>
      <c r="C4923" t="s">
        <v>5398</v>
      </c>
      <c r="D4923" t="s">
        <v>16</v>
      </c>
      <c r="E4923" t="s">
        <v>107</v>
      </c>
      <c r="F4923">
        <v>1</v>
      </c>
      <c r="G4923">
        <v>39.9</v>
      </c>
      <c r="H4923">
        <v>7.54</v>
      </c>
      <c r="I4923" t="s">
        <v>50</v>
      </c>
      <c r="J4923">
        <v>5</v>
      </c>
      <c r="K4923" t="s">
        <v>51</v>
      </c>
      <c r="L4923">
        <v>5</v>
      </c>
      <c r="M4923" t="str">
        <f>VLOOKUP(D4923,State_Lookup!$A$2:$B$28,2,FALSE)</f>
        <v>Sao Paulo</v>
      </c>
    </row>
    <row r="4924" spans="1:13" x14ac:dyDescent="0.45">
      <c r="A4924" t="s">
        <v>5663</v>
      </c>
      <c r="B4924" t="s">
        <v>5651</v>
      </c>
      <c r="C4924" t="s">
        <v>5398</v>
      </c>
      <c r="D4924" t="s">
        <v>487</v>
      </c>
      <c r="E4924" t="s">
        <v>110</v>
      </c>
      <c r="F4924">
        <v>1</v>
      </c>
      <c r="G4924">
        <v>29.9</v>
      </c>
      <c r="H4924">
        <v>27.49</v>
      </c>
      <c r="I4924" t="s">
        <v>50</v>
      </c>
      <c r="J4924">
        <v>12</v>
      </c>
      <c r="K4924" t="s">
        <v>51</v>
      </c>
      <c r="L4924">
        <v>3</v>
      </c>
      <c r="M4924" t="str">
        <f>VLOOKUP(D4924,State_Lookup!$A$2:$B$28,2,FALSE)</f>
        <v>Rio Grande do Norte</v>
      </c>
    </row>
    <row r="4925" spans="1:13" x14ac:dyDescent="0.45">
      <c r="A4925" t="s">
        <v>5664</v>
      </c>
      <c r="B4925" t="s">
        <v>5651</v>
      </c>
      <c r="C4925" t="s">
        <v>5398</v>
      </c>
      <c r="D4925" t="s">
        <v>21</v>
      </c>
      <c r="E4925" t="s">
        <v>107</v>
      </c>
      <c r="F4925">
        <v>1</v>
      </c>
      <c r="G4925">
        <v>1788</v>
      </c>
      <c r="H4925">
        <v>110.61</v>
      </c>
      <c r="I4925" t="s">
        <v>44</v>
      </c>
      <c r="J4925">
        <v>12</v>
      </c>
      <c r="K4925" t="s">
        <v>51</v>
      </c>
      <c r="M4925" t="str">
        <f>VLOOKUP(D4925,State_Lookup!$A$2:$B$28,2,FALSE)</f>
        <v>Santa Catarina</v>
      </c>
    </row>
    <row r="4926" spans="1:13" x14ac:dyDescent="0.45">
      <c r="A4926" t="s">
        <v>5665</v>
      </c>
      <c r="B4926" t="s">
        <v>5651</v>
      </c>
      <c r="C4926" t="s">
        <v>5398</v>
      </c>
      <c r="D4926" t="s">
        <v>21</v>
      </c>
      <c r="E4926" t="s">
        <v>79</v>
      </c>
      <c r="F4926">
        <v>1</v>
      </c>
      <c r="G4926">
        <v>66.989999999999995</v>
      </c>
      <c r="H4926">
        <v>27.75</v>
      </c>
      <c r="I4926" t="s">
        <v>44</v>
      </c>
      <c r="J4926">
        <v>6</v>
      </c>
      <c r="K4926" t="s">
        <v>51</v>
      </c>
      <c r="L4926">
        <v>1</v>
      </c>
      <c r="M4926" t="str">
        <f>VLOOKUP(D4926,State_Lookup!$A$2:$B$28,2,FALSE)</f>
        <v>Santa Catarina</v>
      </c>
    </row>
    <row r="4927" spans="1:13" x14ac:dyDescent="0.45">
      <c r="A4927" t="s">
        <v>5666</v>
      </c>
      <c r="B4927" t="s">
        <v>5651</v>
      </c>
      <c r="C4927" t="s">
        <v>5398</v>
      </c>
      <c r="D4927" t="s">
        <v>20</v>
      </c>
      <c r="E4927" t="s">
        <v>366</v>
      </c>
      <c r="F4927">
        <v>1</v>
      </c>
      <c r="G4927">
        <v>32</v>
      </c>
      <c r="H4927">
        <v>19.41</v>
      </c>
      <c r="I4927" t="s">
        <v>44</v>
      </c>
      <c r="J4927">
        <v>10</v>
      </c>
      <c r="K4927" t="s">
        <v>51</v>
      </c>
      <c r="L4927">
        <v>5</v>
      </c>
      <c r="M4927" t="str">
        <f>VLOOKUP(D4927,State_Lookup!$A$2:$B$28,2,FALSE)</f>
        <v>Parana</v>
      </c>
    </row>
    <row r="4928" spans="1:13" x14ac:dyDescent="0.45">
      <c r="A4928" t="s">
        <v>5667</v>
      </c>
      <c r="B4928" t="s">
        <v>5651</v>
      </c>
      <c r="C4928" t="s">
        <v>5398</v>
      </c>
      <c r="D4928" t="s">
        <v>21</v>
      </c>
      <c r="E4928" t="s">
        <v>110</v>
      </c>
      <c r="F4928">
        <v>1</v>
      </c>
      <c r="G4928">
        <v>57.99</v>
      </c>
      <c r="H4928">
        <v>9.7200000000000006</v>
      </c>
      <c r="I4928" t="s">
        <v>44</v>
      </c>
      <c r="J4928">
        <v>5</v>
      </c>
      <c r="K4928" t="s">
        <v>143</v>
      </c>
      <c r="L4928">
        <v>5</v>
      </c>
      <c r="M4928" t="str">
        <f>VLOOKUP(D4928,State_Lookup!$A$2:$B$28,2,FALSE)</f>
        <v>Santa Catarina</v>
      </c>
    </row>
    <row r="4929" spans="1:13" x14ac:dyDescent="0.45">
      <c r="A4929" t="s">
        <v>5668</v>
      </c>
      <c r="B4929" t="s">
        <v>5669</v>
      </c>
      <c r="C4929" t="s">
        <v>5398</v>
      </c>
      <c r="D4929" t="s">
        <v>19</v>
      </c>
      <c r="E4929" t="s">
        <v>107</v>
      </c>
      <c r="F4929">
        <v>1</v>
      </c>
      <c r="G4929">
        <v>108.9</v>
      </c>
      <c r="H4929">
        <v>23.56</v>
      </c>
      <c r="I4929" t="s">
        <v>50</v>
      </c>
      <c r="J4929">
        <v>10</v>
      </c>
      <c r="K4929" t="s">
        <v>51</v>
      </c>
      <c r="L4929">
        <v>5</v>
      </c>
      <c r="M4929" t="str">
        <f>VLOOKUP(D4929,State_Lookup!$A$2:$B$28,2,FALSE)</f>
        <v>Rio Grande do Sul</v>
      </c>
    </row>
    <row r="4930" spans="1:13" x14ac:dyDescent="0.45">
      <c r="A4930" t="s">
        <v>5670</v>
      </c>
      <c r="B4930" t="s">
        <v>5669</v>
      </c>
      <c r="C4930" t="s">
        <v>5398</v>
      </c>
      <c r="D4930" t="s">
        <v>20</v>
      </c>
      <c r="E4930" t="s">
        <v>53</v>
      </c>
      <c r="F4930">
        <v>1</v>
      </c>
      <c r="G4930">
        <v>79.900000000000006</v>
      </c>
      <c r="H4930">
        <v>15.66</v>
      </c>
      <c r="I4930" t="s">
        <v>44</v>
      </c>
      <c r="J4930">
        <v>4</v>
      </c>
      <c r="K4930" t="s">
        <v>51</v>
      </c>
      <c r="L4930">
        <v>5</v>
      </c>
      <c r="M4930" t="str">
        <f>VLOOKUP(D4930,State_Lookup!$A$2:$B$28,2,FALSE)</f>
        <v>Parana</v>
      </c>
    </row>
    <row r="4931" spans="1:13" x14ac:dyDescent="0.45">
      <c r="A4931" t="s">
        <v>5671</v>
      </c>
      <c r="B4931" t="s">
        <v>5669</v>
      </c>
      <c r="C4931" t="s">
        <v>5398</v>
      </c>
      <c r="D4931" t="s">
        <v>16</v>
      </c>
      <c r="E4931" t="s">
        <v>142</v>
      </c>
      <c r="F4931">
        <v>1</v>
      </c>
      <c r="G4931">
        <v>49.9</v>
      </c>
      <c r="H4931">
        <v>13.01</v>
      </c>
      <c r="I4931" t="s">
        <v>44</v>
      </c>
      <c r="J4931">
        <v>4</v>
      </c>
      <c r="K4931" t="s">
        <v>51</v>
      </c>
      <c r="L4931">
        <v>5</v>
      </c>
      <c r="M4931" t="str">
        <f>VLOOKUP(D4931,State_Lookup!$A$2:$B$28,2,FALSE)</f>
        <v>Sao Paulo</v>
      </c>
    </row>
    <row r="4932" spans="1:13" x14ac:dyDescent="0.45">
      <c r="A4932" t="s">
        <v>5672</v>
      </c>
      <c r="B4932" t="s">
        <v>5669</v>
      </c>
      <c r="C4932" t="s">
        <v>5398</v>
      </c>
      <c r="D4932" t="s">
        <v>19</v>
      </c>
      <c r="E4932" t="s">
        <v>110</v>
      </c>
      <c r="F4932">
        <v>1</v>
      </c>
      <c r="G4932">
        <v>129.9</v>
      </c>
      <c r="H4932">
        <v>23.71</v>
      </c>
      <c r="I4932" t="s">
        <v>44</v>
      </c>
      <c r="J4932">
        <v>8</v>
      </c>
      <c r="K4932" t="s">
        <v>51</v>
      </c>
      <c r="L4932">
        <v>5</v>
      </c>
      <c r="M4932" t="str">
        <f>VLOOKUP(D4932,State_Lookup!$A$2:$B$28,2,FALSE)</f>
        <v>Rio Grande do Sul</v>
      </c>
    </row>
    <row r="4933" spans="1:13" x14ac:dyDescent="0.45">
      <c r="A4933" t="s">
        <v>5673</v>
      </c>
      <c r="B4933" t="s">
        <v>5669</v>
      </c>
      <c r="C4933" t="s">
        <v>5398</v>
      </c>
      <c r="D4933" t="s">
        <v>20</v>
      </c>
      <c r="E4933" t="s">
        <v>142</v>
      </c>
      <c r="F4933">
        <v>1</v>
      </c>
      <c r="G4933">
        <v>27.8</v>
      </c>
      <c r="H4933">
        <v>15.3</v>
      </c>
      <c r="I4933" t="s">
        <v>44</v>
      </c>
      <c r="J4933">
        <v>5</v>
      </c>
      <c r="K4933" t="s">
        <v>51</v>
      </c>
      <c r="L4933">
        <v>5</v>
      </c>
      <c r="M4933" t="str">
        <f>VLOOKUP(D4933,State_Lookup!$A$2:$B$28,2,FALSE)</f>
        <v>Parana</v>
      </c>
    </row>
    <row r="4934" spans="1:13" x14ac:dyDescent="0.45">
      <c r="A4934" t="s">
        <v>5674</v>
      </c>
      <c r="B4934" t="s">
        <v>5669</v>
      </c>
      <c r="C4934" t="s">
        <v>5398</v>
      </c>
      <c r="D4934" t="s">
        <v>21</v>
      </c>
      <c r="E4934" t="s">
        <v>110</v>
      </c>
      <c r="F4934">
        <v>2</v>
      </c>
      <c r="G4934">
        <v>133.80000000000001</v>
      </c>
      <c r="H4934">
        <v>46.54</v>
      </c>
      <c r="I4934" t="s">
        <v>44</v>
      </c>
      <c r="J4934">
        <v>8</v>
      </c>
      <c r="K4934" t="s">
        <v>51</v>
      </c>
      <c r="L4934">
        <v>3</v>
      </c>
      <c r="M4934" t="str">
        <f>VLOOKUP(D4934,State_Lookup!$A$2:$B$28,2,FALSE)</f>
        <v>Santa Catarina</v>
      </c>
    </row>
    <row r="4935" spans="1:13" x14ac:dyDescent="0.45">
      <c r="A4935" t="s">
        <v>5675</v>
      </c>
      <c r="B4935" t="s">
        <v>5669</v>
      </c>
      <c r="C4935" t="s">
        <v>5398</v>
      </c>
      <c r="D4935" t="s">
        <v>16</v>
      </c>
      <c r="E4935" t="s">
        <v>125</v>
      </c>
      <c r="F4935">
        <v>1</v>
      </c>
      <c r="G4935">
        <v>64.989999999999995</v>
      </c>
      <c r="H4935">
        <v>18.559999999999999</v>
      </c>
      <c r="I4935" t="s">
        <v>44</v>
      </c>
      <c r="J4935">
        <v>5</v>
      </c>
      <c r="K4935" t="s">
        <v>51</v>
      </c>
      <c r="L4935">
        <v>5</v>
      </c>
      <c r="M4935" t="str">
        <f>VLOOKUP(D4935,State_Lookup!$A$2:$B$28,2,FALSE)</f>
        <v>Sao Paulo</v>
      </c>
    </row>
    <row r="4936" spans="1:13" x14ac:dyDescent="0.45">
      <c r="A4936" t="s">
        <v>5676</v>
      </c>
      <c r="B4936" t="s">
        <v>5677</v>
      </c>
      <c r="C4936" t="s">
        <v>5398</v>
      </c>
      <c r="D4936" t="s">
        <v>194</v>
      </c>
      <c r="E4936" t="s">
        <v>103</v>
      </c>
      <c r="F4936">
        <v>2</v>
      </c>
      <c r="G4936">
        <v>146.88999999999999</v>
      </c>
      <c r="H4936">
        <v>23.98</v>
      </c>
      <c r="I4936" t="s">
        <v>44</v>
      </c>
      <c r="J4936">
        <v>10</v>
      </c>
      <c r="K4936" t="s">
        <v>51</v>
      </c>
      <c r="L4936">
        <v>5</v>
      </c>
      <c r="M4936" t="str">
        <f>VLOOKUP(D4936,State_Lookup!$A$2:$B$28,2,FALSE)</f>
        <v>Mato Grosso do Sul</v>
      </c>
    </row>
    <row r="4937" spans="1:13" x14ac:dyDescent="0.45">
      <c r="A4937" t="s">
        <v>5678</v>
      </c>
      <c r="B4937" t="s">
        <v>5677</v>
      </c>
      <c r="C4937" t="s">
        <v>5398</v>
      </c>
      <c r="D4937" t="s">
        <v>16</v>
      </c>
      <c r="E4937" t="s">
        <v>110</v>
      </c>
      <c r="F4937">
        <v>1</v>
      </c>
      <c r="G4937">
        <v>32.99</v>
      </c>
      <c r="H4937">
        <v>12.89</v>
      </c>
      <c r="I4937" t="s">
        <v>44</v>
      </c>
      <c r="J4937">
        <v>8</v>
      </c>
      <c r="K4937" t="s">
        <v>51</v>
      </c>
      <c r="L4937">
        <v>5</v>
      </c>
      <c r="M4937" t="str">
        <f>VLOOKUP(D4937,State_Lookup!$A$2:$B$28,2,FALSE)</f>
        <v>Sao Paulo</v>
      </c>
    </row>
    <row r="4938" spans="1:13" x14ac:dyDescent="0.45">
      <c r="A4938" t="s">
        <v>5679</v>
      </c>
      <c r="B4938" t="s">
        <v>5677</v>
      </c>
      <c r="C4938" t="s">
        <v>5398</v>
      </c>
      <c r="D4938" t="s">
        <v>23</v>
      </c>
      <c r="E4938" t="s">
        <v>110</v>
      </c>
      <c r="F4938">
        <v>1</v>
      </c>
      <c r="G4938">
        <v>119.9</v>
      </c>
      <c r="H4938">
        <v>60.07</v>
      </c>
      <c r="I4938" t="s">
        <v>44</v>
      </c>
      <c r="J4938">
        <v>9</v>
      </c>
      <c r="K4938" t="s">
        <v>51</v>
      </c>
      <c r="L4938">
        <v>5</v>
      </c>
      <c r="M4938" t="str">
        <f>VLOOKUP(D4938,State_Lookup!$A$2:$B$28,2,FALSE)</f>
        <v>Espirito Santo</v>
      </c>
    </row>
    <row r="4939" spans="1:13" x14ac:dyDescent="0.45">
      <c r="A4939" t="s">
        <v>5680</v>
      </c>
      <c r="B4939" t="s">
        <v>5677</v>
      </c>
      <c r="C4939" t="s">
        <v>5398</v>
      </c>
      <c r="D4939" t="s">
        <v>22</v>
      </c>
      <c r="E4939" t="s">
        <v>110</v>
      </c>
      <c r="F4939">
        <v>1</v>
      </c>
      <c r="G4939">
        <v>69</v>
      </c>
      <c r="H4939">
        <v>27.43</v>
      </c>
      <c r="I4939" t="s">
        <v>44</v>
      </c>
      <c r="J4939">
        <v>9</v>
      </c>
      <c r="K4939" t="s">
        <v>51</v>
      </c>
      <c r="L4939">
        <v>4</v>
      </c>
      <c r="M4939" t="str">
        <f>VLOOKUP(D4939,State_Lookup!$A$2:$B$28,2,FALSE)</f>
        <v>Bahia</v>
      </c>
    </row>
    <row r="4940" spans="1:13" x14ac:dyDescent="0.45">
      <c r="A4940" t="s">
        <v>5681</v>
      </c>
      <c r="B4940" t="s">
        <v>5677</v>
      </c>
      <c r="C4940" t="s">
        <v>5398</v>
      </c>
      <c r="D4940" t="s">
        <v>16</v>
      </c>
      <c r="E4940" t="s">
        <v>132</v>
      </c>
      <c r="F4940">
        <v>1</v>
      </c>
      <c r="G4940">
        <v>24.99</v>
      </c>
      <c r="H4940">
        <v>12.84</v>
      </c>
      <c r="I4940" t="s">
        <v>44</v>
      </c>
      <c r="J4940">
        <v>8</v>
      </c>
      <c r="K4940" t="s">
        <v>51</v>
      </c>
      <c r="L4940">
        <v>5</v>
      </c>
      <c r="M4940" t="str">
        <f>VLOOKUP(D4940,State_Lookup!$A$2:$B$28,2,FALSE)</f>
        <v>Sao Paulo</v>
      </c>
    </row>
    <row r="4941" spans="1:13" x14ac:dyDescent="0.45">
      <c r="A4941" t="s">
        <v>5682</v>
      </c>
      <c r="B4941" t="s">
        <v>5677</v>
      </c>
      <c r="C4941" t="s">
        <v>5398</v>
      </c>
      <c r="D4941" t="s">
        <v>24</v>
      </c>
      <c r="E4941" t="s">
        <v>142</v>
      </c>
      <c r="F4941">
        <v>1</v>
      </c>
      <c r="G4941">
        <v>68.88</v>
      </c>
      <c r="H4941">
        <v>44.28</v>
      </c>
      <c r="I4941" t="s">
        <v>44</v>
      </c>
      <c r="J4941">
        <v>7</v>
      </c>
      <c r="K4941" t="s">
        <v>51</v>
      </c>
      <c r="L4941">
        <v>5</v>
      </c>
      <c r="M4941" t="str">
        <f>VLOOKUP(D4941,State_Lookup!$A$2:$B$28,2,FALSE)</f>
        <v>Distrito Federal</v>
      </c>
    </row>
    <row r="4942" spans="1:13" x14ac:dyDescent="0.45">
      <c r="A4942" t="s">
        <v>5683</v>
      </c>
      <c r="B4942" t="s">
        <v>5677</v>
      </c>
      <c r="C4942" t="s">
        <v>5398</v>
      </c>
      <c r="D4942" t="s">
        <v>16</v>
      </c>
      <c r="E4942" t="s">
        <v>49</v>
      </c>
      <c r="F4942">
        <v>2</v>
      </c>
      <c r="G4942">
        <v>209.9</v>
      </c>
      <c r="H4942">
        <v>31.67</v>
      </c>
      <c r="I4942" t="s">
        <v>44</v>
      </c>
      <c r="J4942">
        <v>3</v>
      </c>
      <c r="K4942" t="s">
        <v>51</v>
      </c>
      <c r="L4942">
        <v>5</v>
      </c>
      <c r="M4942" t="str">
        <f>VLOOKUP(D4942,State_Lookup!$A$2:$B$28,2,FALSE)</f>
        <v>Sao Paulo</v>
      </c>
    </row>
    <row r="4943" spans="1:13" x14ac:dyDescent="0.45">
      <c r="A4943" t="s">
        <v>5684</v>
      </c>
      <c r="B4943" t="s">
        <v>5677</v>
      </c>
      <c r="C4943" t="s">
        <v>5398</v>
      </c>
      <c r="D4943" t="s">
        <v>16</v>
      </c>
      <c r="E4943" t="s">
        <v>110</v>
      </c>
      <c r="F4943">
        <v>1</v>
      </c>
      <c r="G4943">
        <v>55.99</v>
      </c>
      <c r="H4943">
        <v>14.7</v>
      </c>
      <c r="I4943" t="s">
        <v>44</v>
      </c>
      <c r="J4943">
        <v>8</v>
      </c>
      <c r="K4943" t="s">
        <v>51</v>
      </c>
      <c r="L4943">
        <v>3</v>
      </c>
      <c r="M4943" t="str">
        <f>VLOOKUP(D4943,State_Lookup!$A$2:$B$28,2,FALSE)</f>
        <v>Sao Paulo</v>
      </c>
    </row>
    <row r="4944" spans="1:13" x14ac:dyDescent="0.45">
      <c r="A4944" t="s">
        <v>5685</v>
      </c>
      <c r="B4944" t="s">
        <v>5677</v>
      </c>
      <c r="C4944" t="s">
        <v>5398</v>
      </c>
      <c r="D4944" t="s">
        <v>18</v>
      </c>
      <c r="E4944" t="s">
        <v>49</v>
      </c>
      <c r="F4944">
        <v>1</v>
      </c>
      <c r="G4944">
        <v>49.9</v>
      </c>
      <c r="H4944">
        <v>18.149999999999999</v>
      </c>
      <c r="I4944" t="s">
        <v>50</v>
      </c>
      <c r="J4944">
        <v>6</v>
      </c>
      <c r="K4944" t="s">
        <v>51</v>
      </c>
      <c r="L4944">
        <v>3</v>
      </c>
      <c r="M4944" t="str">
        <f>VLOOKUP(D4944,State_Lookup!$A$2:$B$28,2,FALSE)</f>
        <v>Minas Gerais</v>
      </c>
    </row>
    <row r="4945" spans="1:13" x14ac:dyDescent="0.45">
      <c r="A4945" t="s">
        <v>5686</v>
      </c>
      <c r="B4945" t="s">
        <v>5677</v>
      </c>
      <c r="C4945" t="s">
        <v>5398</v>
      </c>
      <c r="D4945" t="s">
        <v>21</v>
      </c>
      <c r="E4945" t="s">
        <v>142</v>
      </c>
      <c r="F4945">
        <v>1</v>
      </c>
      <c r="G4945">
        <v>64.900000000000006</v>
      </c>
      <c r="H4945">
        <v>19.64</v>
      </c>
      <c r="I4945" t="s">
        <v>44</v>
      </c>
      <c r="J4945">
        <v>8</v>
      </c>
      <c r="K4945" t="s">
        <v>51</v>
      </c>
      <c r="L4945">
        <v>5</v>
      </c>
      <c r="M4945" t="str">
        <f>VLOOKUP(D4945,State_Lookup!$A$2:$B$28,2,FALSE)</f>
        <v>Santa Catarina</v>
      </c>
    </row>
    <row r="4946" spans="1:13" x14ac:dyDescent="0.45">
      <c r="A4946" t="s">
        <v>5687</v>
      </c>
      <c r="B4946" t="s">
        <v>5677</v>
      </c>
      <c r="C4946" t="s">
        <v>5398</v>
      </c>
      <c r="D4946" t="s">
        <v>16</v>
      </c>
      <c r="E4946" t="s">
        <v>107</v>
      </c>
      <c r="F4946">
        <v>1</v>
      </c>
      <c r="G4946">
        <v>169.9</v>
      </c>
      <c r="H4946">
        <v>13.92</v>
      </c>
      <c r="I4946" t="s">
        <v>44</v>
      </c>
      <c r="J4946">
        <v>8</v>
      </c>
      <c r="K4946" t="s">
        <v>143</v>
      </c>
      <c r="L4946">
        <v>5</v>
      </c>
      <c r="M4946" t="str">
        <f>VLOOKUP(D4946,State_Lookup!$A$2:$B$28,2,FALSE)</f>
        <v>Sao Paulo</v>
      </c>
    </row>
    <row r="4947" spans="1:13" x14ac:dyDescent="0.45">
      <c r="A4947" t="s">
        <v>5688</v>
      </c>
      <c r="B4947" t="s">
        <v>5677</v>
      </c>
      <c r="C4947" t="s">
        <v>5398</v>
      </c>
      <c r="D4947" t="s">
        <v>21</v>
      </c>
      <c r="E4947" t="s">
        <v>142</v>
      </c>
      <c r="F4947">
        <v>1</v>
      </c>
      <c r="G4947">
        <v>114.99</v>
      </c>
      <c r="H4947">
        <v>15.11</v>
      </c>
      <c r="I4947" t="s">
        <v>44</v>
      </c>
      <c r="J4947">
        <v>9</v>
      </c>
      <c r="K4947" t="s">
        <v>51</v>
      </c>
      <c r="L4947">
        <v>5</v>
      </c>
      <c r="M4947" t="str">
        <f>VLOOKUP(D4947,State_Lookup!$A$2:$B$28,2,FALSE)</f>
        <v>Santa Catarina</v>
      </c>
    </row>
    <row r="4948" spans="1:13" x14ac:dyDescent="0.45">
      <c r="A4948" t="s">
        <v>5689</v>
      </c>
      <c r="B4948" t="s">
        <v>5677</v>
      </c>
      <c r="C4948" t="s">
        <v>5398</v>
      </c>
      <c r="D4948" t="s">
        <v>18</v>
      </c>
      <c r="E4948" t="s">
        <v>43</v>
      </c>
      <c r="F4948">
        <v>2</v>
      </c>
      <c r="G4948">
        <v>198</v>
      </c>
      <c r="H4948">
        <v>63.27</v>
      </c>
      <c r="I4948" t="s">
        <v>44</v>
      </c>
      <c r="J4948">
        <v>10</v>
      </c>
      <c r="K4948" t="s">
        <v>51</v>
      </c>
      <c r="L4948">
        <v>4</v>
      </c>
      <c r="M4948" t="str">
        <f>VLOOKUP(D4948,State_Lookup!$A$2:$B$28,2,FALSE)</f>
        <v>Minas Gerais</v>
      </c>
    </row>
    <row r="4949" spans="1:13" x14ac:dyDescent="0.45">
      <c r="A4949" t="s">
        <v>5690</v>
      </c>
      <c r="B4949" t="s">
        <v>5691</v>
      </c>
      <c r="C4949" t="s">
        <v>5398</v>
      </c>
      <c r="D4949" t="s">
        <v>16</v>
      </c>
      <c r="E4949" t="s">
        <v>64</v>
      </c>
      <c r="F4949">
        <v>1</v>
      </c>
      <c r="G4949">
        <v>116.9</v>
      </c>
      <c r="H4949">
        <v>15.92</v>
      </c>
      <c r="I4949" t="s">
        <v>44</v>
      </c>
      <c r="J4949">
        <v>4</v>
      </c>
      <c r="K4949" t="s">
        <v>51</v>
      </c>
      <c r="L4949">
        <v>5</v>
      </c>
      <c r="M4949" t="str">
        <f>VLOOKUP(D4949,State_Lookup!$A$2:$B$28,2,FALSE)</f>
        <v>Sao Paulo</v>
      </c>
    </row>
    <row r="4950" spans="1:13" x14ac:dyDescent="0.45">
      <c r="A4950" t="s">
        <v>5692</v>
      </c>
      <c r="B4950" t="s">
        <v>5691</v>
      </c>
      <c r="C4950" t="s">
        <v>5398</v>
      </c>
      <c r="D4950" t="s">
        <v>16</v>
      </c>
      <c r="E4950" t="s">
        <v>64</v>
      </c>
      <c r="F4950">
        <v>1</v>
      </c>
      <c r="G4950">
        <v>172.5</v>
      </c>
      <c r="H4950">
        <v>9.3699999999999992</v>
      </c>
      <c r="I4950" t="s">
        <v>44</v>
      </c>
      <c r="J4950">
        <v>4</v>
      </c>
      <c r="K4950" t="s">
        <v>51</v>
      </c>
      <c r="L4950">
        <v>5</v>
      </c>
      <c r="M4950" t="str">
        <f>VLOOKUP(D4950,State_Lookup!$A$2:$B$28,2,FALSE)</f>
        <v>Sao Paulo</v>
      </c>
    </row>
    <row r="4951" spans="1:13" x14ac:dyDescent="0.45">
      <c r="A4951" t="s">
        <v>5693</v>
      </c>
      <c r="B4951" t="s">
        <v>5691</v>
      </c>
      <c r="C4951" t="s">
        <v>5398</v>
      </c>
      <c r="D4951" t="s">
        <v>208</v>
      </c>
      <c r="E4951" t="s">
        <v>302</v>
      </c>
      <c r="F4951">
        <v>1</v>
      </c>
      <c r="G4951">
        <v>59.9</v>
      </c>
      <c r="H4951">
        <v>37.79</v>
      </c>
      <c r="I4951" t="s">
        <v>44</v>
      </c>
      <c r="J4951">
        <v>9</v>
      </c>
      <c r="K4951" t="s">
        <v>51</v>
      </c>
      <c r="L4951">
        <v>5</v>
      </c>
      <c r="M4951" t="str">
        <f>VLOOKUP(D4951,State_Lookup!$A$2:$B$28,2,FALSE)</f>
        <v>Mato Grosso</v>
      </c>
    </row>
    <row r="4952" spans="1:13" x14ac:dyDescent="0.45">
      <c r="A4952" t="s">
        <v>5694</v>
      </c>
      <c r="B4952" t="s">
        <v>5691</v>
      </c>
      <c r="C4952" t="s">
        <v>5398</v>
      </c>
      <c r="D4952" t="s">
        <v>16</v>
      </c>
      <c r="E4952" t="s">
        <v>49</v>
      </c>
      <c r="F4952">
        <v>1</v>
      </c>
      <c r="G4952">
        <v>27.9</v>
      </c>
      <c r="H4952">
        <v>12.86</v>
      </c>
      <c r="I4952" t="s">
        <v>133</v>
      </c>
      <c r="J4952">
        <v>4</v>
      </c>
      <c r="K4952" t="s">
        <v>51</v>
      </c>
      <c r="L4952">
        <v>5</v>
      </c>
      <c r="M4952" t="str">
        <f>VLOOKUP(D4952,State_Lookup!$A$2:$B$28,2,FALSE)</f>
        <v>Sao Paulo</v>
      </c>
    </row>
    <row r="4953" spans="1:13" x14ac:dyDescent="0.45">
      <c r="A4953" t="s">
        <v>5695</v>
      </c>
      <c r="B4953" t="s">
        <v>5691</v>
      </c>
      <c r="C4953" t="s">
        <v>5398</v>
      </c>
      <c r="D4953" t="s">
        <v>16</v>
      </c>
      <c r="E4953" t="s">
        <v>157</v>
      </c>
      <c r="F4953">
        <v>1</v>
      </c>
      <c r="G4953">
        <v>77</v>
      </c>
      <c r="H4953">
        <v>7.8</v>
      </c>
      <c r="I4953" t="s">
        <v>44</v>
      </c>
      <c r="J4953">
        <v>7</v>
      </c>
      <c r="K4953" t="s">
        <v>143</v>
      </c>
      <c r="L4953">
        <v>3</v>
      </c>
      <c r="M4953" t="str">
        <f>VLOOKUP(D4953,State_Lookup!$A$2:$B$28,2,FALSE)</f>
        <v>Sao Paulo</v>
      </c>
    </row>
    <row r="4954" spans="1:13" x14ac:dyDescent="0.45">
      <c r="A4954" t="s">
        <v>5696</v>
      </c>
      <c r="B4954" t="s">
        <v>5691</v>
      </c>
      <c r="C4954" t="s">
        <v>5398</v>
      </c>
      <c r="D4954" t="s">
        <v>18</v>
      </c>
      <c r="E4954" t="s">
        <v>69</v>
      </c>
      <c r="F4954">
        <v>1</v>
      </c>
      <c r="G4954">
        <v>99.99</v>
      </c>
      <c r="H4954">
        <v>23.69</v>
      </c>
      <c r="I4954" t="s">
        <v>44</v>
      </c>
      <c r="J4954">
        <v>7</v>
      </c>
      <c r="K4954" t="s">
        <v>51</v>
      </c>
      <c r="L4954">
        <v>5</v>
      </c>
      <c r="M4954" t="str">
        <f>VLOOKUP(D4954,State_Lookup!$A$2:$B$28,2,FALSE)</f>
        <v>Minas Gerais</v>
      </c>
    </row>
    <row r="4955" spans="1:13" x14ac:dyDescent="0.45">
      <c r="A4955" t="s">
        <v>5697</v>
      </c>
      <c r="B4955" t="s">
        <v>5691</v>
      </c>
      <c r="C4955" t="s">
        <v>5398</v>
      </c>
      <c r="D4955" t="s">
        <v>18</v>
      </c>
      <c r="E4955" t="s">
        <v>110</v>
      </c>
      <c r="F4955">
        <v>1</v>
      </c>
      <c r="G4955">
        <v>72.12</v>
      </c>
      <c r="H4955">
        <v>18.61</v>
      </c>
      <c r="I4955" t="s">
        <v>50</v>
      </c>
      <c r="J4955">
        <v>7</v>
      </c>
      <c r="K4955" t="s">
        <v>51</v>
      </c>
      <c r="L4955">
        <v>5</v>
      </c>
      <c r="M4955" t="str">
        <f>VLOOKUP(D4955,State_Lookup!$A$2:$B$28,2,FALSE)</f>
        <v>Minas Gerais</v>
      </c>
    </row>
    <row r="4956" spans="1:13" x14ac:dyDescent="0.45">
      <c r="A4956" t="s">
        <v>5698</v>
      </c>
      <c r="B4956" t="s">
        <v>5691</v>
      </c>
      <c r="C4956" t="s">
        <v>5398</v>
      </c>
      <c r="D4956" t="s">
        <v>16</v>
      </c>
      <c r="E4956" t="s">
        <v>43</v>
      </c>
      <c r="F4956">
        <v>1</v>
      </c>
      <c r="G4956">
        <v>295</v>
      </c>
      <c r="H4956">
        <v>34.549999999999997</v>
      </c>
      <c r="I4956" t="s">
        <v>44</v>
      </c>
      <c r="J4956">
        <v>8</v>
      </c>
      <c r="K4956" t="s">
        <v>51</v>
      </c>
      <c r="L4956">
        <v>4</v>
      </c>
      <c r="M4956" t="str">
        <f>VLOOKUP(D4956,State_Lookup!$A$2:$B$28,2,FALSE)</f>
        <v>Sao Paulo</v>
      </c>
    </row>
    <row r="4957" spans="1:13" x14ac:dyDescent="0.45">
      <c r="A4957" t="s">
        <v>5699</v>
      </c>
      <c r="B4957" t="s">
        <v>5691</v>
      </c>
      <c r="C4957" t="s">
        <v>5398</v>
      </c>
      <c r="D4957" t="s">
        <v>16</v>
      </c>
      <c r="E4957" t="s">
        <v>79</v>
      </c>
      <c r="F4957">
        <v>2</v>
      </c>
      <c r="G4957">
        <v>38.979999999999997</v>
      </c>
      <c r="H4957">
        <v>14.8</v>
      </c>
      <c r="I4957" t="s">
        <v>44</v>
      </c>
      <c r="J4957">
        <v>3</v>
      </c>
      <c r="K4957" t="s">
        <v>51</v>
      </c>
      <c r="L4957">
        <v>5</v>
      </c>
      <c r="M4957" t="str">
        <f>VLOOKUP(D4957,State_Lookup!$A$2:$B$28,2,FALSE)</f>
        <v>Sao Paulo</v>
      </c>
    </row>
    <row r="4958" spans="1:13" x14ac:dyDescent="0.45">
      <c r="A4958" t="s">
        <v>5700</v>
      </c>
      <c r="B4958" t="s">
        <v>5691</v>
      </c>
      <c r="C4958" t="s">
        <v>5398</v>
      </c>
      <c r="D4958" t="s">
        <v>16</v>
      </c>
      <c r="E4958" t="s">
        <v>79</v>
      </c>
      <c r="F4958">
        <v>1</v>
      </c>
      <c r="G4958">
        <v>89.9</v>
      </c>
      <c r="H4958">
        <v>15.7</v>
      </c>
      <c r="I4958" t="s">
        <v>44</v>
      </c>
      <c r="J4958">
        <v>4</v>
      </c>
      <c r="K4958" t="s">
        <v>51</v>
      </c>
      <c r="L4958">
        <v>5</v>
      </c>
      <c r="M4958" t="str">
        <f>VLOOKUP(D4958,State_Lookup!$A$2:$B$28,2,FALSE)</f>
        <v>Sao Paulo</v>
      </c>
    </row>
    <row r="4959" spans="1:13" x14ac:dyDescent="0.45">
      <c r="A4959" t="s">
        <v>5701</v>
      </c>
      <c r="B4959" t="s">
        <v>5702</v>
      </c>
      <c r="C4959" t="s">
        <v>5398</v>
      </c>
      <c r="D4959" t="s">
        <v>17</v>
      </c>
      <c r="E4959" t="s">
        <v>267</v>
      </c>
      <c r="F4959">
        <v>1</v>
      </c>
      <c r="G4959">
        <v>289.89999999999998</v>
      </c>
      <c r="H4959">
        <v>45.83</v>
      </c>
      <c r="I4959" t="s">
        <v>44</v>
      </c>
      <c r="J4959">
        <v>7</v>
      </c>
      <c r="K4959" t="s">
        <v>51</v>
      </c>
      <c r="L4959">
        <v>4</v>
      </c>
      <c r="M4959" t="str">
        <f>VLOOKUP(D4959,State_Lookup!$A$2:$B$28,2,FALSE)</f>
        <v>Rio de Janeiro</v>
      </c>
    </row>
    <row r="4960" spans="1:13" x14ac:dyDescent="0.45">
      <c r="A4960" t="s">
        <v>5703</v>
      </c>
      <c r="B4960" t="s">
        <v>5702</v>
      </c>
      <c r="C4960" t="s">
        <v>5398</v>
      </c>
      <c r="D4960" t="s">
        <v>16</v>
      </c>
      <c r="E4960" t="s">
        <v>142</v>
      </c>
      <c r="F4960">
        <v>2</v>
      </c>
      <c r="G4960">
        <v>69.8</v>
      </c>
      <c r="H4960">
        <v>36.020000000000003</v>
      </c>
      <c r="I4960" t="s">
        <v>44</v>
      </c>
      <c r="J4960">
        <v>2</v>
      </c>
      <c r="K4960" t="s">
        <v>51</v>
      </c>
      <c r="L4960">
        <v>5</v>
      </c>
      <c r="M4960" t="str">
        <f>VLOOKUP(D4960,State_Lookup!$A$2:$B$28,2,FALSE)</f>
        <v>Sao Paulo</v>
      </c>
    </row>
    <row r="4961" spans="1:13" x14ac:dyDescent="0.45">
      <c r="A4961" t="s">
        <v>5704</v>
      </c>
      <c r="B4961" t="s">
        <v>5702</v>
      </c>
      <c r="C4961" t="s">
        <v>5398</v>
      </c>
      <c r="D4961" t="s">
        <v>17</v>
      </c>
      <c r="E4961" t="s">
        <v>107</v>
      </c>
      <c r="F4961">
        <v>1</v>
      </c>
      <c r="G4961">
        <v>120</v>
      </c>
      <c r="H4961">
        <v>27.14</v>
      </c>
      <c r="I4961" t="s">
        <v>44</v>
      </c>
      <c r="J4961">
        <v>7</v>
      </c>
      <c r="K4961" t="s">
        <v>51</v>
      </c>
      <c r="L4961">
        <v>5</v>
      </c>
      <c r="M4961" t="str">
        <f>VLOOKUP(D4961,State_Lookup!$A$2:$B$28,2,FALSE)</f>
        <v>Rio de Janeiro</v>
      </c>
    </row>
    <row r="4962" spans="1:13" x14ac:dyDescent="0.45">
      <c r="A4962" t="s">
        <v>5705</v>
      </c>
      <c r="B4962" t="s">
        <v>5702</v>
      </c>
      <c r="C4962" t="s">
        <v>5398</v>
      </c>
      <c r="D4962" t="s">
        <v>16</v>
      </c>
      <c r="E4962" t="s">
        <v>157</v>
      </c>
      <c r="F4962">
        <v>1</v>
      </c>
      <c r="G4962">
        <v>152.9</v>
      </c>
      <c r="H4962">
        <v>13.73</v>
      </c>
      <c r="I4962" t="s">
        <v>44</v>
      </c>
      <c r="J4962">
        <v>7</v>
      </c>
      <c r="K4962" t="s">
        <v>51</v>
      </c>
      <c r="L4962">
        <v>5</v>
      </c>
      <c r="M4962" t="str">
        <f>VLOOKUP(D4962,State_Lookup!$A$2:$B$28,2,FALSE)</f>
        <v>Sao Paulo</v>
      </c>
    </row>
    <row r="4963" spans="1:13" x14ac:dyDescent="0.45">
      <c r="A4963" t="s">
        <v>5706</v>
      </c>
      <c r="B4963" t="s">
        <v>5702</v>
      </c>
      <c r="C4963" t="s">
        <v>5398</v>
      </c>
      <c r="D4963" t="s">
        <v>17</v>
      </c>
      <c r="E4963" t="s">
        <v>132</v>
      </c>
      <c r="F4963">
        <v>1</v>
      </c>
      <c r="G4963">
        <v>84</v>
      </c>
      <c r="H4963">
        <v>22.52</v>
      </c>
      <c r="I4963" t="s">
        <v>44</v>
      </c>
      <c r="J4963">
        <v>6</v>
      </c>
      <c r="K4963" t="s">
        <v>51</v>
      </c>
      <c r="L4963">
        <v>4</v>
      </c>
      <c r="M4963" t="str">
        <f>VLOOKUP(D4963,State_Lookup!$A$2:$B$28,2,FALSE)</f>
        <v>Rio de Janeiro</v>
      </c>
    </row>
    <row r="4964" spans="1:13" x14ac:dyDescent="0.45">
      <c r="A4964" t="s">
        <v>5707</v>
      </c>
      <c r="B4964" t="s">
        <v>5702</v>
      </c>
      <c r="C4964" t="s">
        <v>5398</v>
      </c>
      <c r="D4964" t="s">
        <v>16</v>
      </c>
      <c r="E4964" t="s">
        <v>79</v>
      </c>
      <c r="F4964">
        <v>1</v>
      </c>
      <c r="G4964">
        <v>31.95</v>
      </c>
      <c r="H4964">
        <v>12.88</v>
      </c>
      <c r="I4964" t="s">
        <v>44</v>
      </c>
      <c r="J4964">
        <v>5</v>
      </c>
      <c r="K4964" t="s">
        <v>51</v>
      </c>
      <c r="L4964">
        <v>5</v>
      </c>
      <c r="M4964" t="str">
        <f>VLOOKUP(D4964,State_Lookup!$A$2:$B$28,2,FALSE)</f>
        <v>Sao Paulo</v>
      </c>
    </row>
    <row r="4965" spans="1:13" x14ac:dyDescent="0.45">
      <c r="A4965" t="s">
        <v>5708</v>
      </c>
      <c r="B4965" t="s">
        <v>5702</v>
      </c>
      <c r="C4965" t="s">
        <v>5398</v>
      </c>
      <c r="D4965" t="s">
        <v>18</v>
      </c>
      <c r="E4965" t="s">
        <v>79</v>
      </c>
      <c r="F4965">
        <v>1</v>
      </c>
      <c r="G4965">
        <v>330</v>
      </c>
      <c r="H4965">
        <v>19.989999999999998</v>
      </c>
      <c r="I4965" t="s">
        <v>50</v>
      </c>
      <c r="J4965">
        <v>6</v>
      </c>
      <c r="K4965" t="s">
        <v>51</v>
      </c>
      <c r="L4965">
        <v>5</v>
      </c>
      <c r="M4965" t="str">
        <f>VLOOKUP(D4965,State_Lookup!$A$2:$B$28,2,FALSE)</f>
        <v>Minas Gerais</v>
      </c>
    </row>
    <row r="4966" spans="1:13" x14ac:dyDescent="0.45">
      <c r="A4966" t="s">
        <v>5709</v>
      </c>
      <c r="B4966" t="s">
        <v>5702</v>
      </c>
      <c r="C4966" t="s">
        <v>5398</v>
      </c>
      <c r="D4966" t="s">
        <v>20</v>
      </c>
      <c r="E4966" t="s">
        <v>49</v>
      </c>
      <c r="F4966">
        <v>1</v>
      </c>
      <c r="G4966">
        <v>59.9</v>
      </c>
      <c r="H4966">
        <v>14.72</v>
      </c>
      <c r="I4966" t="s">
        <v>44</v>
      </c>
      <c r="J4966">
        <v>5</v>
      </c>
      <c r="K4966" t="s">
        <v>51</v>
      </c>
      <c r="L4966">
        <v>4</v>
      </c>
      <c r="M4966" t="str">
        <f>VLOOKUP(D4966,State_Lookup!$A$2:$B$28,2,FALSE)</f>
        <v>Parana</v>
      </c>
    </row>
    <row r="4967" spans="1:13" x14ac:dyDescent="0.45">
      <c r="A4967" t="s">
        <v>5710</v>
      </c>
      <c r="B4967" t="s">
        <v>5702</v>
      </c>
      <c r="C4967" t="s">
        <v>5398</v>
      </c>
      <c r="D4967" t="s">
        <v>18</v>
      </c>
      <c r="E4967" t="s">
        <v>79</v>
      </c>
      <c r="F4967">
        <v>1</v>
      </c>
      <c r="G4967">
        <v>330</v>
      </c>
      <c r="H4967">
        <v>20.41</v>
      </c>
      <c r="I4967" t="s">
        <v>44</v>
      </c>
      <c r="J4967">
        <v>6</v>
      </c>
      <c r="K4967" t="s">
        <v>51</v>
      </c>
      <c r="L4967">
        <v>4</v>
      </c>
      <c r="M4967" t="str">
        <f>VLOOKUP(D4967,State_Lookup!$A$2:$B$28,2,FALSE)</f>
        <v>Minas Gerais</v>
      </c>
    </row>
    <row r="4968" spans="1:13" x14ac:dyDescent="0.45">
      <c r="A4968" t="s">
        <v>5711</v>
      </c>
      <c r="B4968" t="s">
        <v>5712</v>
      </c>
      <c r="C4968" t="s">
        <v>5398</v>
      </c>
      <c r="D4968" t="s">
        <v>16</v>
      </c>
      <c r="E4968" t="s">
        <v>142</v>
      </c>
      <c r="F4968">
        <v>1</v>
      </c>
      <c r="G4968">
        <v>69.900000000000006</v>
      </c>
      <c r="H4968">
        <v>21.13</v>
      </c>
      <c r="I4968" t="s">
        <v>44</v>
      </c>
      <c r="J4968">
        <v>7</v>
      </c>
      <c r="K4968" t="s">
        <v>51</v>
      </c>
      <c r="L4968">
        <v>5</v>
      </c>
      <c r="M4968" t="str">
        <f>VLOOKUP(D4968,State_Lookup!$A$2:$B$28,2,FALSE)</f>
        <v>Sao Paulo</v>
      </c>
    </row>
    <row r="4969" spans="1:13" x14ac:dyDescent="0.45">
      <c r="A4969" t="s">
        <v>5713</v>
      </c>
      <c r="B4969" t="s">
        <v>5712</v>
      </c>
      <c r="C4969" t="s">
        <v>5398</v>
      </c>
      <c r="D4969" t="s">
        <v>18</v>
      </c>
      <c r="E4969" t="s">
        <v>103</v>
      </c>
      <c r="F4969">
        <v>1</v>
      </c>
      <c r="G4969">
        <v>149.9</v>
      </c>
      <c r="H4969">
        <v>27.35</v>
      </c>
      <c r="I4969" t="s">
        <v>44</v>
      </c>
      <c r="J4969">
        <v>7</v>
      </c>
      <c r="K4969" t="s">
        <v>51</v>
      </c>
      <c r="L4969">
        <v>1</v>
      </c>
      <c r="M4969" t="str">
        <f>VLOOKUP(D4969,State_Lookup!$A$2:$B$28,2,FALSE)</f>
        <v>Minas Gerais</v>
      </c>
    </row>
    <row r="4970" spans="1:13" x14ac:dyDescent="0.45">
      <c r="A4970" t="s">
        <v>5714</v>
      </c>
      <c r="B4970" t="s">
        <v>5712</v>
      </c>
      <c r="C4970" t="s">
        <v>5398</v>
      </c>
      <c r="D4970" t="s">
        <v>20</v>
      </c>
      <c r="E4970" t="s">
        <v>79</v>
      </c>
      <c r="F4970">
        <v>1</v>
      </c>
      <c r="G4970">
        <v>19.489999999999998</v>
      </c>
      <c r="H4970">
        <v>18.239999999999998</v>
      </c>
      <c r="I4970" t="s">
        <v>44</v>
      </c>
      <c r="J4970">
        <v>8</v>
      </c>
      <c r="K4970" t="s">
        <v>51</v>
      </c>
      <c r="L4970">
        <v>5</v>
      </c>
      <c r="M4970" t="str">
        <f>VLOOKUP(D4970,State_Lookup!$A$2:$B$28,2,FALSE)</f>
        <v>Parana</v>
      </c>
    </row>
    <row r="4971" spans="1:13" x14ac:dyDescent="0.45">
      <c r="A4971" t="s">
        <v>5715</v>
      </c>
      <c r="B4971" t="s">
        <v>5712</v>
      </c>
      <c r="C4971" t="s">
        <v>5398</v>
      </c>
      <c r="D4971" t="s">
        <v>16</v>
      </c>
      <c r="E4971" t="s">
        <v>142</v>
      </c>
      <c r="F4971">
        <v>2</v>
      </c>
      <c r="G4971">
        <v>25</v>
      </c>
      <c r="H4971">
        <v>14.78</v>
      </c>
      <c r="I4971" t="s">
        <v>44</v>
      </c>
      <c r="J4971">
        <v>2</v>
      </c>
      <c r="K4971" t="s">
        <v>51</v>
      </c>
      <c r="L4971">
        <v>5</v>
      </c>
      <c r="M4971" t="str">
        <f>VLOOKUP(D4971,State_Lookup!$A$2:$B$28,2,FALSE)</f>
        <v>Sao Paulo</v>
      </c>
    </row>
    <row r="4972" spans="1:13" x14ac:dyDescent="0.45">
      <c r="A4972" t="s">
        <v>5716</v>
      </c>
      <c r="B4972" t="s">
        <v>5712</v>
      </c>
      <c r="C4972" t="s">
        <v>5398</v>
      </c>
      <c r="D4972" t="s">
        <v>21</v>
      </c>
      <c r="E4972" t="s">
        <v>79</v>
      </c>
      <c r="F4972">
        <v>1</v>
      </c>
      <c r="G4972">
        <v>38</v>
      </c>
      <c r="H4972">
        <v>18.37</v>
      </c>
      <c r="I4972" t="s">
        <v>50</v>
      </c>
      <c r="J4972">
        <v>6</v>
      </c>
      <c r="K4972" t="s">
        <v>51</v>
      </c>
      <c r="L4972">
        <v>5</v>
      </c>
      <c r="M4972" t="str">
        <f>VLOOKUP(D4972,State_Lookup!$A$2:$B$28,2,FALSE)</f>
        <v>Santa Catarina</v>
      </c>
    </row>
    <row r="4973" spans="1:13" x14ac:dyDescent="0.45">
      <c r="A4973" t="s">
        <v>5717</v>
      </c>
      <c r="B4973" t="s">
        <v>5712</v>
      </c>
      <c r="C4973" t="s">
        <v>5398</v>
      </c>
      <c r="D4973" t="s">
        <v>16</v>
      </c>
      <c r="E4973" t="s">
        <v>43</v>
      </c>
      <c r="F4973">
        <v>3</v>
      </c>
      <c r="G4973">
        <v>51</v>
      </c>
      <c r="H4973">
        <v>40.29</v>
      </c>
      <c r="I4973" t="s">
        <v>44</v>
      </c>
      <c r="J4973">
        <v>3</v>
      </c>
      <c r="K4973" t="s">
        <v>51</v>
      </c>
      <c r="L4973">
        <v>5</v>
      </c>
      <c r="M4973" t="str">
        <f>VLOOKUP(D4973,State_Lookup!$A$2:$B$28,2,FALSE)</f>
        <v>Sao Paulo</v>
      </c>
    </row>
    <row r="4974" spans="1:13" x14ac:dyDescent="0.45">
      <c r="A4974" t="s">
        <v>5718</v>
      </c>
      <c r="B4974" t="s">
        <v>5712</v>
      </c>
      <c r="C4974" t="s">
        <v>5398</v>
      </c>
      <c r="D4974" t="s">
        <v>16</v>
      </c>
      <c r="E4974" t="s">
        <v>269</v>
      </c>
      <c r="F4974">
        <v>1</v>
      </c>
      <c r="G4974">
        <v>55.9</v>
      </c>
      <c r="H4974">
        <v>8.5500000000000007</v>
      </c>
      <c r="I4974" t="s">
        <v>44</v>
      </c>
      <c r="J4974">
        <v>5</v>
      </c>
      <c r="K4974" t="s">
        <v>143</v>
      </c>
      <c r="L4974">
        <v>4</v>
      </c>
      <c r="M4974" t="str">
        <f>VLOOKUP(D4974,State_Lookup!$A$2:$B$28,2,FALSE)</f>
        <v>Sao Paulo</v>
      </c>
    </row>
    <row r="4975" spans="1:13" x14ac:dyDescent="0.45">
      <c r="A4975" t="s">
        <v>5719</v>
      </c>
      <c r="B4975" t="s">
        <v>5712</v>
      </c>
      <c r="C4975" t="s">
        <v>5398</v>
      </c>
      <c r="D4975" t="s">
        <v>18</v>
      </c>
      <c r="E4975" t="s">
        <v>260</v>
      </c>
      <c r="F4975">
        <v>1</v>
      </c>
      <c r="G4975">
        <v>47.5</v>
      </c>
      <c r="H4975">
        <v>18.43</v>
      </c>
      <c r="I4975" t="s">
        <v>44</v>
      </c>
      <c r="J4975">
        <v>6</v>
      </c>
      <c r="K4975" t="s">
        <v>51</v>
      </c>
      <c r="L4975">
        <v>5</v>
      </c>
      <c r="M4975" t="str">
        <f>VLOOKUP(D4975,State_Lookup!$A$2:$B$28,2,FALSE)</f>
        <v>Minas Gerais</v>
      </c>
    </row>
    <row r="4976" spans="1:13" x14ac:dyDescent="0.45">
      <c r="A4976" t="s">
        <v>5720</v>
      </c>
      <c r="B4976" t="s">
        <v>5712</v>
      </c>
      <c r="C4976" t="s">
        <v>5398</v>
      </c>
      <c r="D4976" t="s">
        <v>16</v>
      </c>
      <c r="E4976" t="s">
        <v>269</v>
      </c>
      <c r="F4976">
        <v>1</v>
      </c>
      <c r="G4976">
        <v>157</v>
      </c>
      <c r="H4976">
        <v>16.399999999999999</v>
      </c>
      <c r="I4976" t="s">
        <v>44</v>
      </c>
      <c r="J4976">
        <v>2</v>
      </c>
      <c r="K4976" t="s">
        <v>51</v>
      </c>
      <c r="L4976">
        <v>3</v>
      </c>
      <c r="M4976" t="str">
        <f>VLOOKUP(D4976,State_Lookup!$A$2:$B$28,2,FALSE)</f>
        <v>Sao Paulo</v>
      </c>
    </row>
    <row r="4977" spans="1:13" x14ac:dyDescent="0.45">
      <c r="A4977" t="s">
        <v>5721</v>
      </c>
      <c r="B4977" t="s">
        <v>5712</v>
      </c>
      <c r="C4977" t="s">
        <v>5398</v>
      </c>
      <c r="D4977" t="s">
        <v>16</v>
      </c>
      <c r="E4977" t="s">
        <v>64</v>
      </c>
      <c r="F4977">
        <v>1</v>
      </c>
      <c r="G4977">
        <v>96.99</v>
      </c>
      <c r="H4977">
        <v>7.94</v>
      </c>
      <c r="I4977" t="s">
        <v>44</v>
      </c>
      <c r="J4977">
        <v>5</v>
      </c>
      <c r="K4977" t="s">
        <v>51</v>
      </c>
      <c r="L4977">
        <v>1</v>
      </c>
      <c r="M4977" t="str">
        <f>VLOOKUP(D4977,State_Lookup!$A$2:$B$28,2,FALSE)</f>
        <v>Sao Paulo</v>
      </c>
    </row>
    <row r="4978" spans="1:13" x14ac:dyDescent="0.45">
      <c r="A4978" t="s">
        <v>5722</v>
      </c>
      <c r="B4978" t="s">
        <v>5712</v>
      </c>
      <c r="C4978" t="s">
        <v>5398</v>
      </c>
      <c r="D4978" t="s">
        <v>21</v>
      </c>
      <c r="E4978" t="s">
        <v>157</v>
      </c>
      <c r="F4978">
        <v>1</v>
      </c>
      <c r="G4978">
        <v>77</v>
      </c>
      <c r="H4978">
        <v>18.64</v>
      </c>
      <c r="I4978" t="s">
        <v>44</v>
      </c>
      <c r="J4978">
        <v>8</v>
      </c>
      <c r="K4978" t="s">
        <v>51</v>
      </c>
      <c r="L4978">
        <v>5</v>
      </c>
      <c r="M4978" t="str">
        <f>VLOOKUP(D4978,State_Lookup!$A$2:$B$28,2,FALSE)</f>
        <v>Santa Catarina</v>
      </c>
    </row>
    <row r="4979" spans="1:13" x14ac:dyDescent="0.45">
      <c r="A4979" t="s">
        <v>5723</v>
      </c>
      <c r="B4979" t="s">
        <v>5724</v>
      </c>
      <c r="C4979" t="s">
        <v>5398</v>
      </c>
      <c r="D4979" t="s">
        <v>16</v>
      </c>
      <c r="E4979" t="s">
        <v>157</v>
      </c>
      <c r="F4979">
        <v>2</v>
      </c>
      <c r="G4979">
        <v>100</v>
      </c>
      <c r="H4979">
        <v>15.23</v>
      </c>
      <c r="I4979" t="s">
        <v>44</v>
      </c>
      <c r="J4979">
        <v>4</v>
      </c>
      <c r="K4979" t="s">
        <v>51</v>
      </c>
      <c r="L4979">
        <v>5</v>
      </c>
      <c r="M4979" t="str">
        <f>VLOOKUP(D4979,State_Lookup!$A$2:$B$28,2,FALSE)</f>
        <v>Sao Paulo</v>
      </c>
    </row>
    <row r="4980" spans="1:13" x14ac:dyDescent="0.45">
      <c r="A4980" t="s">
        <v>5725</v>
      </c>
      <c r="B4980" t="s">
        <v>5724</v>
      </c>
      <c r="C4980" t="s">
        <v>5398</v>
      </c>
      <c r="D4980" t="s">
        <v>16</v>
      </c>
      <c r="E4980" t="s">
        <v>107</v>
      </c>
      <c r="F4980">
        <v>1</v>
      </c>
      <c r="G4980">
        <v>107.9</v>
      </c>
      <c r="H4980">
        <v>15.07</v>
      </c>
      <c r="I4980" t="s">
        <v>50</v>
      </c>
      <c r="J4980">
        <v>6</v>
      </c>
      <c r="K4980" t="s">
        <v>51</v>
      </c>
      <c r="L4980">
        <v>5</v>
      </c>
      <c r="M4980" t="str">
        <f>VLOOKUP(D4980,State_Lookup!$A$2:$B$28,2,FALSE)</f>
        <v>Sao Paulo</v>
      </c>
    </row>
    <row r="4981" spans="1:13" x14ac:dyDescent="0.45">
      <c r="A4981" t="s">
        <v>5726</v>
      </c>
      <c r="B4981" t="s">
        <v>5724</v>
      </c>
      <c r="C4981" t="s">
        <v>5398</v>
      </c>
      <c r="D4981" t="s">
        <v>16</v>
      </c>
      <c r="E4981" t="s">
        <v>61</v>
      </c>
      <c r="F4981">
        <v>1</v>
      </c>
      <c r="G4981">
        <v>62</v>
      </c>
      <c r="H4981">
        <v>8.59</v>
      </c>
      <c r="I4981" t="s">
        <v>50</v>
      </c>
      <c r="J4981">
        <v>5</v>
      </c>
      <c r="K4981" t="s">
        <v>51</v>
      </c>
      <c r="L4981">
        <v>4</v>
      </c>
      <c r="M4981" t="str">
        <f>VLOOKUP(D4981,State_Lookup!$A$2:$B$28,2,FALSE)</f>
        <v>Sao Paulo</v>
      </c>
    </row>
    <row r="4982" spans="1:13" x14ac:dyDescent="0.45">
      <c r="A4982" t="s">
        <v>5727</v>
      </c>
      <c r="B4982" t="s">
        <v>5724</v>
      </c>
      <c r="C4982" t="s">
        <v>5398</v>
      </c>
      <c r="D4982" t="s">
        <v>17</v>
      </c>
      <c r="E4982" t="s">
        <v>668</v>
      </c>
      <c r="F4982">
        <v>2</v>
      </c>
      <c r="G4982">
        <v>29.8</v>
      </c>
      <c r="H4982">
        <v>36.46</v>
      </c>
      <c r="I4982" t="s">
        <v>44</v>
      </c>
      <c r="J4982">
        <v>6</v>
      </c>
      <c r="K4982" t="s">
        <v>51</v>
      </c>
      <c r="L4982">
        <v>3</v>
      </c>
      <c r="M4982" t="str">
        <f>VLOOKUP(D4982,State_Lookup!$A$2:$B$28,2,FALSE)</f>
        <v>Rio de Janeiro</v>
      </c>
    </row>
    <row r="4983" spans="1:13" x14ac:dyDescent="0.45">
      <c r="A4983" t="s">
        <v>5728</v>
      </c>
      <c r="B4983" t="s">
        <v>5724</v>
      </c>
      <c r="C4983" t="s">
        <v>5398</v>
      </c>
      <c r="D4983" t="s">
        <v>18</v>
      </c>
      <c r="E4983" t="s">
        <v>79</v>
      </c>
      <c r="F4983">
        <v>1</v>
      </c>
      <c r="G4983">
        <v>217.9</v>
      </c>
      <c r="H4983">
        <v>25.61</v>
      </c>
      <c r="I4983" t="s">
        <v>44</v>
      </c>
      <c r="J4983">
        <v>5</v>
      </c>
      <c r="K4983" t="s">
        <v>51</v>
      </c>
      <c r="L4983">
        <v>5</v>
      </c>
      <c r="M4983" t="str">
        <f>VLOOKUP(D4983,State_Lookup!$A$2:$B$28,2,FALSE)</f>
        <v>Minas Gerais</v>
      </c>
    </row>
    <row r="4984" spans="1:13" x14ac:dyDescent="0.45">
      <c r="A4984" t="s">
        <v>5729</v>
      </c>
      <c r="B4984" t="s">
        <v>5730</v>
      </c>
      <c r="C4984" t="s">
        <v>5398</v>
      </c>
      <c r="D4984" t="s">
        <v>16</v>
      </c>
      <c r="E4984" t="s">
        <v>79</v>
      </c>
      <c r="F4984">
        <v>1</v>
      </c>
      <c r="G4984">
        <v>179</v>
      </c>
      <c r="H4984">
        <v>9.41</v>
      </c>
      <c r="I4984" t="s">
        <v>44</v>
      </c>
      <c r="J4984">
        <v>4</v>
      </c>
      <c r="K4984" t="s">
        <v>51</v>
      </c>
      <c r="L4984">
        <v>5</v>
      </c>
      <c r="M4984" t="str">
        <f>VLOOKUP(D4984,State_Lookup!$A$2:$B$28,2,FALSE)</f>
        <v>Sao Paulo</v>
      </c>
    </row>
    <row r="4985" spans="1:13" x14ac:dyDescent="0.45">
      <c r="A4985" t="s">
        <v>5731</v>
      </c>
      <c r="B4985" t="s">
        <v>5730</v>
      </c>
      <c r="C4985" t="s">
        <v>5398</v>
      </c>
      <c r="D4985" t="s">
        <v>16</v>
      </c>
      <c r="E4985" t="s">
        <v>269</v>
      </c>
      <c r="F4985">
        <v>1</v>
      </c>
      <c r="G4985">
        <v>29.9</v>
      </c>
      <c r="H4985">
        <v>7.47</v>
      </c>
      <c r="I4985" t="s">
        <v>44</v>
      </c>
      <c r="J4985">
        <v>3</v>
      </c>
      <c r="K4985" t="s">
        <v>51</v>
      </c>
      <c r="L4985">
        <v>5</v>
      </c>
      <c r="M4985" t="str">
        <f>VLOOKUP(D4985,State_Lookup!$A$2:$B$28,2,FALSE)</f>
        <v>Sao Paulo</v>
      </c>
    </row>
    <row r="4986" spans="1:13" x14ac:dyDescent="0.45">
      <c r="A4986" t="s">
        <v>5732</v>
      </c>
      <c r="B4986" t="s">
        <v>5730</v>
      </c>
      <c r="C4986" t="s">
        <v>5398</v>
      </c>
      <c r="D4986" t="s">
        <v>18</v>
      </c>
      <c r="E4986" t="s">
        <v>269</v>
      </c>
      <c r="F4986">
        <v>1</v>
      </c>
      <c r="G4986">
        <v>219</v>
      </c>
      <c r="H4986">
        <v>45.33</v>
      </c>
      <c r="I4986" t="s">
        <v>50</v>
      </c>
      <c r="J4986">
        <v>6</v>
      </c>
      <c r="K4986" t="s">
        <v>51</v>
      </c>
      <c r="L4986">
        <v>5</v>
      </c>
      <c r="M4986" t="str">
        <f>VLOOKUP(D4986,State_Lookup!$A$2:$B$28,2,FALSE)</f>
        <v>Minas Gerais</v>
      </c>
    </row>
    <row r="4987" spans="1:13" x14ac:dyDescent="0.45">
      <c r="A4987" t="s">
        <v>5733</v>
      </c>
      <c r="B4987" t="s">
        <v>5730</v>
      </c>
      <c r="C4987" t="s">
        <v>5398</v>
      </c>
      <c r="D4987" t="s">
        <v>21</v>
      </c>
      <c r="E4987" t="s">
        <v>61</v>
      </c>
      <c r="F4987">
        <v>1</v>
      </c>
      <c r="G4987">
        <v>84.99</v>
      </c>
      <c r="H4987">
        <v>18.7</v>
      </c>
      <c r="I4987" t="s">
        <v>44</v>
      </c>
      <c r="J4987">
        <v>6</v>
      </c>
      <c r="K4987" t="s">
        <v>51</v>
      </c>
      <c r="L4987">
        <v>5</v>
      </c>
      <c r="M4987" t="str">
        <f>VLOOKUP(D4987,State_Lookup!$A$2:$B$28,2,FALSE)</f>
        <v>Santa Catarina</v>
      </c>
    </row>
    <row r="4988" spans="1:13" x14ac:dyDescent="0.45">
      <c r="A4988" t="s">
        <v>5734</v>
      </c>
      <c r="B4988" t="s">
        <v>5735</v>
      </c>
      <c r="C4988" t="s">
        <v>5398</v>
      </c>
      <c r="D4988" t="s">
        <v>16</v>
      </c>
      <c r="E4988" t="s">
        <v>61</v>
      </c>
      <c r="F4988">
        <v>1</v>
      </c>
      <c r="G4988">
        <v>88.89</v>
      </c>
      <c r="H4988">
        <v>7.88</v>
      </c>
      <c r="I4988" t="s">
        <v>44</v>
      </c>
      <c r="J4988">
        <v>4</v>
      </c>
      <c r="K4988" t="s">
        <v>51</v>
      </c>
      <c r="L4988">
        <v>4</v>
      </c>
      <c r="M4988" t="str">
        <f>VLOOKUP(D4988,State_Lookup!$A$2:$B$28,2,FALSE)</f>
        <v>Sao Paulo</v>
      </c>
    </row>
    <row r="4989" spans="1:13" x14ac:dyDescent="0.45">
      <c r="A4989" t="s">
        <v>5736</v>
      </c>
      <c r="B4989" t="s">
        <v>5735</v>
      </c>
      <c r="C4989" t="s">
        <v>5398</v>
      </c>
      <c r="D4989" t="s">
        <v>17</v>
      </c>
      <c r="E4989" t="s">
        <v>142</v>
      </c>
      <c r="F4989">
        <v>1</v>
      </c>
      <c r="G4989">
        <v>23.8</v>
      </c>
      <c r="H4989">
        <v>18.27</v>
      </c>
      <c r="I4989" t="s">
        <v>44</v>
      </c>
      <c r="J4989">
        <v>5</v>
      </c>
      <c r="K4989" t="s">
        <v>51</v>
      </c>
      <c r="L4989">
        <v>5</v>
      </c>
      <c r="M4989" t="str">
        <f>VLOOKUP(D4989,State_Lookup!$A$2:$B$28,2,FALSE)</f>
        <v>Rio de Janeiro</v>
      </c>
    </row>
    <row r="4990" spans="1:13" x14ac:dyDescent="0.45">
      <c r="A4990" t="s">
        <v>5737</v>
      </c>
      <c r="B4990" t="s">
        <v>5735</v>
      </c>
      <c r="C4990" t="s">
        <v>5398</v>
      </c>
      <c r="D4990" t="s">
        <v>17</v>
      </c>
      <c r="E4990" t="s">
        <v>64</v>
      </c>
      <c r="F4990">
        <v>2</v>
      </c>
      <c r="G4990">
        <v>233.8</v>
      </c>
      <c r="H4990">
        <v>31.84</v>
      </c>
      <c r="I4990" t="s">
        <v>44</v>
      </c>
      <c r="J4990">
        <v>3</v>
      </c>
      <c r="K4990" t="s">
        <v>51</v>
      </c>
      <c r="L4990">
        <v>3</v>
      </c>
      <c r="M4990" t="str">
        <f>VLOOKUP(D4990,State_Lookup!$A$2:$B$28,2,FALSE)</f>
        <v>Rio de Janeiro</v>
      </c>
    </row>
    <row r="4991" spans="1:13" x14ac:dyDescent="0.45">
      <c r="A4991" t="s">
        <v>5738</v>
      </c>
      <c r="B4991" t="s">
        <v>5735</v>
      </c>
      <c r="C4991" t="s">
        <v>5398</v>
      </c>
      <c r="D4991" t="s">
        <v>16</v>
      </c>
      <c r="E4991" t="s">
        <v>1648</v>
      </c>
      <c r="F4991">
        <v>2</v>
      </c>
      <c r="G4991">
        <v>31.8</v>
      </c>
      <c r="H4991">
        <v>14.78</v>
      </c>
      <c r="I4991" t="s">
        <v>50</v>
      </c>
      <c r="J4991">
        <v>3</v>
      </c>
      <c r="K4991" t="s">
        <v>51</v>
      </c>
      <c r="L4991">
        <v>5</v>
      </c>
      <c r="M4991" t="str">
        <f>VLOOKUP(D4991,State_Lookup!$A$2:$B$28,2,FALSE)</f>
        <v>Sao Paulo</v>
      </c>
    </row>
    <row r="4992" spans="1:13" x14ac:dyDescent="0.45">
      <c r="A4992" t="s">
        <v>5739</v>
      </c>
      <c r="B4992" t="s">
        <v>5735</v>
      </c>
      <c r="C4992" t="s">
        <v>5398</v>
      </c>
      <c r="D4992" t="s">
        <v>16</v>
      </c>
      <c r="E4992" t="s">
        <v>157</v>
      </c>
      <c r="F4992">
        <v>1</v>
      </c>
      <c r="G4992">
        <v>249</v>
      </c>
      <c r="H4992">
        <v>9.9</v>
      </c>
      <c r="I4992" t="s">
        <v>44</v>
      </c>
      <c r="J4992">
        <v>2</v>
      </c>
      <c r="K4992" t="s">
        <v>51</v>
      </c>
      <c r="L4992">
        <v>1</v>
      </c>
      <c r="M4992" t="str">
        <f>VLOOKUP(D4992,State_Lookup!$A$2:$B$28,2,FALSE)</f>
        <v>Sao Paulo</v>
      </c>
    </row>
    <row r="4993" spans="1:13" x14ac:dyDescent="0.45">
      <c r="A4993" t="s">
        <v>5740</v>
      </c>
      <c r="B4993" t="s">
        <v>5735</v>
      </c>
      <c r="C4993" t="s">
        <v>5398</v>
      </c>
      <c r="D4993" t="s">
        <v>16</v>
      </c>
      <c r="E4993" t="s">
        <v>61</v>
      </c>
      <c r="F4993">
        <v>1</v>
      </c>
      <c r="G4993">
        <v>12.99</v>
      </c>
      <c r="H4993">
        <v>7.39</v>
      </c>
      <c r="I4993" t="s">
        <v>50</v>
      </c>
      <c r="J4993">
        <v>4</v>
      </c>
      <c r="K4993" t="s">
        <v>51</v>
      </c>
      <c r="L4993">
        <v>5</v>
      </c>
      <c r="M4993" t="str">
        <f>VLOOKUP(D4993,State_Lookup!$A$2:$B$28,2,FALSE)</f>
        <v>Sao Paulo</v>
      </c>
    </row>
    <row r="4994" spans="1:13" x14ac:dyDescent="0.45">
      <c r="A4994" t="s">
        <v>5741</v>
      </c>
      <c r="B4994" t="s">
        <v>5742</v>
      </c>
      <c r="C4994" t="s">
        <v>5398</v>
      </c>
      <c r="D4994" t="s">
        <v>16</v>
      </c>
      <c r="E4994" t="s">
        <v>61</v>
      </c>
      <c r="F4994">
        <v>1</v>
      </c>
      <c r="G4994">
        <v>20.9</v>
      </c>
      <c r="H4994">
        <v>12.81</v>
      </c>
      <c r="I4994" t="s">
        <v>44</v>
      </c>
      <c r="J4994">
        <v>3</v>
      </c>
      <c r="K4994" t="s">
        <v>51</v>
      </c>
      <c r="L4994">
        <v>5</v>
      </c>
      <c r="M4994" t="str">
        <f>VLOOKUP(D4994,State_Lookup!$A$2:$B$28,2,FALSE)</f>
        <v>Sao Paulo</v>
      </c>
    </row>
    <row r="4995" spans="1:13" x14ac:dyDescent="0.45">
      <c r="A4995" t="s">
        <v>5743</v>
      </c>
      <c r="B4995" t="s">
        <v>5744</v>
      </c>
      <c r="C4995" t="s">
        <v>5398</v>
      </c>
      <c r="D4995" t="s">
        <v>16</v>
      </c>
      <c r="E4995" t="s">
        <v>107</v>
      </c>
      <c r="F4995">
        <v>1</v>
      </c>
      <c r="G4995">
        <v>38.99</v>
      </c>
      <c r="H4995">
        <v>7.53</v>
      </c>
      <c r="I4995" t="s">
        <v>44</v>
      </c>
      <c r="J4995">
        <v>3</v>
      </c>
      <c r="K4995" t="s">
        <v>143</v>
      </c>
      <c r="L4995">
        <v>3</v>
      </c>
      <c r="M4995" t="str">
        <f>VLOOKUP(D4995,State_Lookup!$A$2:$B$28,2,FALSE)</f>
        <v>Sao Paulo</v>
      </c>
    </row>
    <row r="4996" spans="1:13" x14ac:dyDescent="0.45">
      <c r="A4996" t="s">
        <v>5745</v>
      </c>
      <c r="B4996" t="s">
        <v>5744</v>
      </c>
      <c r="C4996" t="s">
        <v>5398</v>
      </c>
      <c r="D4996" t="s">
        <v>16</v>
      </c>
      <c r="E4996" t="s">
        <v>110</v>
      </c>
      <c r="F4996">
        <v>1</v>
      </c>
      <c r="G4996">
        <v>57.9</v>
      </c>
      <c r="H4996">
        <v>11.43</v>
      </c>
      <c r="I4996" t="s">
        <v>44</v>
      </c>
      <c r="J4996">
        <v>2</v>
      </c>
      <c r="K4996" t="s">
        <v>51</v>
      </c>
      <c r="L4996">
        <v>5</v>
      </c>
      <c r="M4996" t="str">
        <f>VLOOKUP(D4996,State_Lookup!$A$2:$B$28,2,FALSE)</f>
        <v>Sao Paulo</v>
      </c>
    </row>
    <row r="4997" spans="1:13" x14ac:dyDescent="0.45">
      <c r="A4997" t="s">
        <v>5746</v>
      </c>
      <c r="B4997" t="s">
        <v>5744</v>
      </c>
      <c r="C4997" t="s">
        <v>5398</v>
      </c>
      <c r="D4997" t="s">
        <v>16</v>
      </c>
      <c r="E4997" t="s">
        <v>49</v>
      </c>
      <c r="F4997">
        <v>1</v>
      </c>
      <c r="G4997">
        <v>42</v>
      </c>
      <c r="H4997">
        <v>8.4499999999999993</v>
      </c>
      <c r="I4997" t="s">
        <v>44</v>
      </c>
      <c r="J4997">
        <v>1</v>
      </c>
      <c r="K4997" t="s">
        <v>51</v>
      </c>
      <c r="L4997">
        <v>5</v>
      </c>
      <c r="M4997" t="str">
        <f>VLOOKUP(D4997,State_Lookup!$A$2:$B$28,2,FALSE)</f>
        <v>Sao Paulo</v>
      </c>
    </row>
    <row r="4998" spans="1:13" x14ac:dyDescent="0.45">
      <c r="A4998" t="s">
        <v>5747</v>
      </c>
      <c r="B4998" t="s">
        <v>5744</v>
      </c>
      <c r="C4998" t="s">
        <v>5398</v>
      </c>
      <c r="D4998" t="s">
        <v>16</v>
      </c>
      <c r="E4998" t="s">
        <v>64</v>
      </c>
      <c r="F4998">
        <v>1</v>
      </c>
      <c r="G4998">
        <v>79.8</v>
      </c>
      <c r="H4998">
        <v>7.82</v>
      </c>
      <c r="I4998" t="s">
        <v>44</v>
      </c>
      <c r="J4998">
        <v>3</v>
      </c>
      <c r="K4998" t="s">
        <v>51</v>
      </c>
      <c r="L4998">
        <v>5</v>
      </c>
      <c r="M4998" t="str">
        <f>VLOOKUP(D4998,State_Lookup!$A$2:$B$28,2,FALSE)</f>
        <v>Sao Paulo</v>
      </c>
    </row>
    <row r="4999" spans="1:13" x14ac:dyDescent="0.45">
      <c r="A4999" t="s">
        <v>5748</v>
      </c>
      <c r="B4999" t="s">
        <v>5749</v>
      </c>
      <c r="C4999" t="s">
        <v>5398</v>
      </c>
      <c r="D4999" t="s">
        <v>18</v>
      </c>
      <c r="E4999" t="s">
        <v>79</v>
      </c>
      <c r="F4999">
        <v>1</v>
      </c>
      <c r="G4999">
        <v>45.9</v>
      </c>
      <c r="H4999">
        <v>15.39</v>
      </c>
      <c r="I4999" t="s">
        <v>133</v>
      </c>
      <c r="J4999">
        <v>1</v>
      </c>
      <c r="K4999" t="s">
        <v>51</v>
      </c>
      <c r="L4999">
        <v>5</v>
      </c>
      <c r="M4999" t="str">
        <f>VLOOKUP(D4999,State_Lookup!$A$2:$B$28,2,FALSE)</f>
        <v>Minas Gerais</v>
      </c>
    </row>
    <row r="5000" spans="1:13" x14ac:dyDescent="0.45">
      <c r="A5000" t="s">
        <v>5750</v>
      </c>
      <c r="B5000" t="s">
        <v>5749</v>
      </c>
      <c r="C5000" t="s">
        <v>5398</v>
      </c>
      <c r="D5000" t="s">
        <v>16</v>
      </c>
      <c r="E5000" t="s">
        <v>157</v>
      </c>
      <c r="F5000">
        <v>1</v>
      </c>
      <c r="G5000">
        <v>169.8</v>
      </c>
      <c r="H5000">
        <v>8.4499999999999993</v>
      </c>
      <c r="I5000" t="s">
        <v>44</v>
      </c>
      <c r="J5000">
        <v>1</v>
      </c>
      <c r="K5000" t="s">
        <v>51</v>
      </c>
      <c r="L5000">
        <v>5</v>
      </c>
      <c r="M5000" t="str">
        <f>VLOOKUP(D5000,State_Lookup!$A$2:$B$28,2,FALSE)</f>
        <v>Sao Paulo</v>
      </c>
    </row>
    <row r="5001" spans="1:13" x14ac:dyDescent="0.45">
      <c r="A5001" t="s">
        <v>5751</v>
      </c>
      <c r="B5001" t="s">
        <v>5749</v>
      </c>
      <c r="C5001" t="s">
        <v>5398</v>
      </c>
      <c r="D5001" t="s">
        <v>16</v>
      </c>
      <c r="E5001" t="s">
        <v>53</v>
      </c>
      <c r="F5001">
        <v>1</v>
      </c>
      <c r="G5001">
        <v>63.9</v>
      </c>
      <c r="H5001">
        <v>9.1999999999999993</v>
      </c>
      <c r="I5001" t="s">
        <v>44</v>
      </c>
      <c r="J5001">
        <v>1</v>
      </c>
      <c r="K5001" t="s">
        <v>51</v>
      </c>
      <c r="L5001">
        <v>1</v>
      </c>
      <c r="M5001" t="str">
        <f>VLOOKUP(D5001,State_Lookup!$A$2:$B$28,2,FALSE)</f>
        <v>Sao Paulo</v>
      </c>
    </row>
  </sheetData>
  <autoFilter ref="A1:L5001" xr:uid="{00000000-0009-0000-0000-000001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workbookViewId="0"/>
  </sheetViews>
  <sheetFormatPr defaultRowHeight="14.25" x14ac:dyDescent="0.45"/>
  <sheetData>
    <row r="1" spans="1:2" x14ac:dyDescent="0.45">
      <c r="A1" s="7" t="s">
        <v>5752</v>
      </c>
      <c r="B1" s="7" t="s">
        <v>38</v>
      </c>
    </row>
    <row r="2" spans="1:2" x14ac:dyDescent="0.45">
      <c r="A2" t="s">
        <v>235</v>
      </c>
      <c r="B2" t="s">
        <v>5753</v>
      </c>
    </row>
    <row r="3" spans="1:2" x14ac:dyDescent="0.45">
      <c r="A3" t="s">
        <v>632</v>
      </c>
      <c r="B3" t="s">
        <v>5754</v>
      </c>
    </row>
    <row r="4" spans="1:2" x14ac:dyDescent="0.45">
      <c r="A4" t="s">
        <v>210</v>
      </c>
      <c r="B4" t="s">
        <v>5755</v>
      </c>
    </row>
    <row r="5" spans="1:2" x14ac:dyDescent="0.45">
      <c r="A5" t="s">
        <v>656</v>
      </c>
      <c r="B5" t="s">
        <v>5756</v>
      </c>
    </row>
    <row r="6" spans="1:2" x14ac:dyDescent="0.45">
      <c r="A6" t="s">
        <v>22</v>
      </c>
      <c r="B6" t="s">
        <v>5757</v>
      </c>
    </row>
    <row r="7" spans="1:2" x14ac:dyDescent="0.45">
      <c r="A7" t="s">
        <v>128</v>
      </c>
      <c r="B7" t="s">
        <v>5758</v>
      </c>
    </row>
    <row r="8" spans="1:2" x14ac:dyDescent="0.45">
      <c r="A8" t="s">
        <v>24</v>
      </c>
      <c r="B8" t="s">
        <v>5759</v>
      </c>
    </row>
    <row r="9" spans="1:2" x14ac:dyDescent="0.45">
      <c r="A9" t="s">
        <v>23</v>
      </c>
      <c r="B9" t="s">
        <v>5760</v>
      </c>
    </row>
    <row r="10" spans="1:2" x14ac:dyDescent="0.45">
      <c r="A10" t="s">
        <v>25</v>
      </c>
      <c r="B10" t="s">
        <v>5761</v>
      </c>
    </row>
    <row r="11" spans="1:2" x14ac:dyDescent="0.45">
      <c r="A11" t="s">
        <v>141</v>
      </c>
      <c r="B11" t="s">
        <v>5762</v>
      </c>
    </row>
    <row r="12" spans="1:2" x14ac:dyDescent="0.45">
      <c r="A12" t="s">
        <v>18</v>
      </c>
      <c r="B12" t="s">
        <v>5763</v>
      </c>
    </row>
    <row r="13" spans="1:2" x14ac:dyDescent="0.45">
      <c r="A13" t="s">
        <v>194</v>
      </c>
      <c r="B13" t="s">
        <v>5764</v>
      </c>
    </row>
    <row r="14" spans="1:2" x14ac:dyDescent="0.45">
      <c r="A14" t="s">
        <v>208</v>
      </c>
      <c r="B14" t="s">
        <v>5765</v>
      </c>
    </row>
    <row r="15" spans="1:2" x14ac:dyDescent="0.45">
      <c r="A15" t="s">
        <v>122</v>
      </c>
      <c r="B15" t="s">
        <v>5766</v>
      </c>
    </row>
    <row r="16" spans="1:2" x14ac:dyDescent="0.45">
      <c r="A16" t="s">
        <v>672</v>
      </c>
      <c r="B16" t="s">
        <v>5767</v>
      </c>
    </row>
    <row r="17" spans="1:2" x14ac:dyDescent="0.45">
      <c r="A17" t="s">
        <v>63</v>
      </c>
      <c r="B17" t="s">
        <v>5768</v>
      </c>
    </row>
    <row r="18" spans="1:2" x14ac:dyDescent="0.45">
      <c r="A18" t="s">
        <v>113</v>
      </c>
      <c r="B18" t="s">
        <v>5769</v>
      </c>
    </row>
    <row r="19" spans="1:2" x14ac:dyDescent="0.45">
      <c r="A19" t="s">
        <v>20</v>
      </c>
      <c r="B19" t="s">
        <v>5770</v>
      </c>
    </row>
    <row r="20" spans="1:2" x14ac:dyDescent="0.45">
      <c r="A20" t="s">
        <v>17</v>
      </c>
      <c r="B20" t="s">
        <v>5771</v>
      </c>
    </row>
    <row r="21" spans="1:2" x14ac:dyDescent="0.45">
      <c r="A21" t="s">
        <v>487</v>
      </c>
      <c r="B21" t="s">
        <v>5772</v>
      </c>
    </row>
    <row r="22" spans="1:2" x14ac:dyDescent="0.45">
      <c r="A22" t="s">
        <v>219</v>
      </c>
      <c r="B22" t="s">
        <v>5773</v>
      </c>
    </row>
    <row r="23" spans="1:2" x14ac:dyDescent="0.45">
      <c r="A23" t="s">
        <v>42</v>
      </c>
      <c r="B23" t="s">
        <v>5774</v>
      </c>
    </row>
    <row r="24" spans="1:2" x14ac:dyDescent="0.45">
      <c r="A24" t="s">
        <v>19</v>
      </c>
      <c r="B24" t="s">
        <v>5775</v>
      </c>
    </row>
    <row r="25" spans="1:2" x14ac:dyDescent="0.45">
      <c r="A25" t="s">
        <v>21</v>
      </c>
      <c r="B25" t="s">
        <v>5776</v>
      </c>
    </row>
    <row r="26" spans="1:2" x14ac:dyDescent="0.45">
      <c r="A26" t="s">
        <v>83</v>
      </c>
      <c r="B26" t="s">
        <v>5777</v>
      </c>
    </row>
    <row r="27" spans="1:2" x14ac:dyDescent="0.45">
      <c r="A27" t="s">
        <v>16</v>
      </c>
      <c r="B27" t="s">
        <v>5778</v>
      </c>
    </row>
    <row r="28" spans="1:2" x14ac:dyDescent="0.45">
      <c r="A28" t="s">
        <v>249</v>
      </c>
      <c r="B28" t="s">
        <v>5779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Pivot_Delivery</vt:lpstr>
      <vt:lpstr>Pivot_Category</vt:lpstr>
      <vt:lpstr>Pivot_Monthly</vt:lpstr>
      <vt:lpstr>KPI_Summary</vt:lpstr>
      <vt:lpstr>Orders</vt:lpstr>
      <vt:lpstr>State_Lookup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vivek prasad</cp:lastModifiedBy>
  <dcterms:created xsi:type="dcterms:W3CDTF">2026-10-04T08:23:50Z</dcterms:created>
  <dcterms:modified xsi:type="dcterms:W3CDTF">2026-10-04T08:23:59Z</dcterms:modified>
</cp:coreProperties>
</file>